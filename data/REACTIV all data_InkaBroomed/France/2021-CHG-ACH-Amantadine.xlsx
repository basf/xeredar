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hidePivotFieldList="1" defaultThemeVersion="124226"/>
  <xr:revisionPtr revIDLastSave="0" documentId="13_ncr:1_{37D99C49-6A36-4DEB-ACEE-8328D15527A8}" xr6:coauthVersionLast="46" xr6:coauthVersionMax="46" xr10:uidLastSave="{00000000-0000-0000-0000-000000000000}"/>
  <bookViews>
    <workbookView xWindow="-120" yWindow="-120" windowWidth="29040" windowHeight="15840"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concurrentCalc="0"/>
  <pivotCaches>
    <pivotCache cacheId="0" r:id="rId20"/>
    <pivotCache cacheId="1" r:id="rId21"/>
    <pivotCache cacheId="2" r:id="rId22"/>
    <pivotCache cacheId="3" r:id="rId23"/>
  </pivotCaches>
</workbook>
</file>

<file path=xl/calcChain.xml><?xml version="1.0" encoding="utf-8"?>
<calcChain xmlns="http://schemas.openxmlformats.org/spreadsheetml/2006/main">
  <c r="V4" i="33" l="1"/>
  <c r="U4" i="33"/>
  <c r="T4" i="33"/>
  <c r="S4" i="33"/>
  <c r="R4" i="33"/>
  <c r="M4" i="33"/>
  <c r="L4" i="33"/>
  <c r="K4" i="33"/>
  <c r="J4" i="33"/>
  <c r="I4" i="33"/>
  <c r="V4" i="23"/>
  <c r="U4" i="23"/>
  <c r="T4" i="23"/>
  <c r="S4" i="23"/>
  <c r="R4" i="23"/>
  <c r="M4" i="23"/>
  <c r="L4" i="23"/>
  <c r="K4" i="23"/>
  <c r="J4" i="23"/>
  <c r="I4" i="23"/>
  <c r="B43" i="10"/>
  <c r="D43" i="10"/>
  <c r="E43" i="10"/>
  <c r="C43" i="10"/>
  <c r="A43" i="10"/>
  <c r="V4" i="1"/>
  <c r="B42" i="10"/>
  <c r="D42" i="10"/>
  <c r="E42" i="10"/>
  <c r="C42" i="10"/>
  <c r="A42" i="10"/>
  <c r="U4" i="1"/>
  <c r="B41" i="10"/>
  <c r="D41" i="10"/>
  <c r="E41" i="10"/>
  <c r="C41" i="10"/>
  <c r="A41" i="10"/>
  <c r="T4" i="1"/>
  <c r="B40" i="10"/>
  <c r="D40" i="10"/>
  <c r="E40" i="10"/>
  <c r="C40" i="10"/>
  <c r="A40" i="10"/>
  <c r="S4" i="1"/>
  <c r="B39" i="10"/>
  <c r="D39" i="10"/>
  <c r="E39" i="10"/>
  <c r="C39" i="10"/>
  <c r="A39" i="10"/>
  <c r="R4" i="1"/>
  <c r="A19" i="10"/>
  <c r="M4" i="1"/>
  <c r="A18" i="10"/>
  <c r="L4" i="1"/>
  <c r="A17" i="10"/>
  <c r="K4" i="1"/>
  <c r="A16" i="10"/>
  <c r="J4" i="1"/>
  <c r="A15" i="10"/>
  <c r="I4" i="1"/>
  <c r="B43" i="33"/>
  <c r="B53" i="4"/>
  <c r="B42" i="33"/>
  <c r="B52" i="4"/>
  <c r="B41" i="33"/>
  <c r="B51" i="4"/>
  <c r="B40" i="33"/>
  <c r="B50" i="4"/>
  <c r="O23" i="1"/>
  <c r="B28" i="1"/>
  <c r="B6" i="4"/>
  <c r="B29" i="1"/>
  <c r="B7" i="4"/>
  <c r="B30" i="1"/>
  <c r="B8" i="4"/>
  <c r="B31" i="1"/>
  <c r="B9" i="4"/>
  <c r="B32" i="1"/>
  <c r="B10" i="4"/>
  <c r="B33" i="1"/>
  <c r="B11" i="4"/>
  <c r="B34" i="1"/>
  <c r="B12" i="4"/>
  <c r="B35" i="1"/>
  <c r="B13" i="4"/>
  <c r="B36" i="1"/>
  <c r="B14" i="4"/>
  <c r="B37" i="1"/>
  <c r="B15" i="4"/>
  <c r="B38" i="1"/>
  <c r="B16" i="4"/>
  <c r="B39" i="1"/>
  <c r="B17" i="4"/>
  <c r="B40" i="1"/>
  <c r="B18" i="4"/>
  <c r="B41" i="1"/>
  <c r="B19" i="4"/>
  <c r="B42" i="1"/>
  <c r="B20" i="4"/>
  <c r="B43" i="1"/>
  <c r="B21" i="4"/>
  <c r="O23" i="23"/>
  <c r="B28" i="23"/>
  <c r="B22" i="4"/>
  <c r="B29" i="23"/>
  <c r="B23" i="4"/>
  <c r="B30" i="23"/>
  <c r="B24" i="4"/>
  <c r="B31" i="23"/>
  <c r="B25" i="4"/>
  <c r="B32" i="23"/>
  <c r="B26" i="4"/>
  <c r="B33" i="23"/>
  <c r="B27" i="4"/>
  <c r="B34" i="23"/>
  <c r="B28" i="4"/>
  <c r="B35" i="23"/>
  <c r="B29" i="4"/>
  <c r="B36" i="23"/>
  <c r="B30" i="4"/>
  <c r="B37" i="23"/>
  <c r="B31" i="4"/>
  <c r="B38" i="23"/>
  <c r="B32" i="4"/>
  <c r="B39" i="23"/>
  <c r="B33" i="4"/>
  <c r="B40" i="23"/>
  <c r="B34" i="4"/>
  <c r="B41" i="23"/>
  <c r="B35" i="4"/>
  <c r="B42" i="23"/>
  <c r="B36" i="4"/>
  <c r="B43" i="23"/>
  <c r="B37" i="4"/>
  <c r="O23" i="33"/>
  <c r="B28" i="33"/>
  <c r="B38" i="4"/>
  <c r="B29" i="33"/>
  <c r="B39" i="4"/>
  <c r="B30" i="33"/>
  <c r="B40" i="4"/>
  <c r="B31" i="33"/>
  <c r="B41" i="4"/>
  <c r="B32" i="33"/>
  <c r="B42" i="4"/>
  <c r="B33" i="33"/>
  <c r="B43" i="4"/>
  <c r="B34" i="33"/>
  <c r="B44" i="4"/>
  <c r="B35" i="33"/>
  <c r="B45" i="4"/>
  <c r="B36" i="33"/>
  <c r="B46" i="4"/>
  <c r="B37" i="33"/>
  <c r="B47" i="4"/>
  <c r="B38" i="33"/>
  <c r="B48" i="4"/>
  <c r="B39" i="33"/>
  <c r="B49" i="4"/>
  <c r="B78" i="4"/>
  <c r="B79" i="4"/>
  <c r="C43" i="33"/>
  <c r="C53" i="4"/>
  <c r="C42" i="33"/>
  <c r="C52" i="4"/>
  <c r="C41" i="33"/>
  <c r="C51" i="4"/>
  <c r="C40" i="33"/>
  <c r="C50" i="4"/>
  <c r="C28" i="1"/>
  <c r="C6" i="4"/>
  <c r="C29" i="1"/>
  <c r="C7" i="4"/>
  <c r="C30" i="1"/>
  <c r="C8" i="4"/>
  <c r="C31" i="1"/>
  <c r="C9" i="4"/>
  <c r="C32" i="1"/>
  <c r="C10" i="4"/>
  <c r="C33" i="1"/>
  <c r="C11" i="4"/>
  <c r="C34" i="1"/>
  <c r="C12" i="4"/>
  <c r="C35" i="1"/>
  <c r="C13" i="4"/>
  <c r="C36" i="1"/>
  <c r="C14" i="4"/>
  <c r="C37" i="1"/>
  <c r="C15" i="4"/>
  <c r="C38" i="1"/>
  <c r="C16" i="4"/>
  <c r="C39" i="1"/>
  <c r="C17" i="4"/>
  <c r="C40" i="1"/>
  <c r="C18" i="4"/>
  <c r="C41" i="1"/>
  <c r="C19" i="4"/>
  <c r="C42" i="1"/>
  <c r="C20" i="4"/>
  <c r="C43" i="1"/>
  <c r="C21" i="4"/>
  <c r="C28" i="23"/>
  <c r="C22" i="4"/>
  <c r="C29" i="23"/>
  <c r="C23" i="4"/>
  <c r="C30" i="23"/>
  <c r="C24" i="4"/>
  <c r="C31" i="23"/>
  <c r="C25" i="4"/>
  <c r="C32" i="23"/>
  <c r="C26" i="4"/>
  <c r="C33" i="23"/>
  <c r="C27" i="4"/>
  <c r="C34" i="23"/>
  <c r="C28" i="4"/>
  <c r="C35" i="23"/>
  <c r="C29" i="4"/>
  <c r="C36" i="23"/>
  <c r="C30" i="4"/>
  <c r="C37" i="23"/>
  <c r="C31" i="4"/>
  <c r="C38" i="23"/>
  <c r="C32" i="4"/>
  <c r="C39" i="23"/>
  <c r="C33" i="4"/>
  <c r="C40" i="23"/>
  <c r="C34" i="4"/>
  <c r="C41" i="23"/>
  <c r="C35" i="4"/>
  <c r="C42" i="23"/>
  <c r="C36" i="4"/>
  <c r="C43" i="23"/>
  <c r="C37" i="4"/>
  <c r="C28" i="33"/>
  <c r="C38" i="4"/>
  <c r="C29" i="33"/>
  <c r="C39" i="4"/>
  <c r="C30" i="33"/>
  <c r="C40" i="4"/>
  <c r="C31" i="33"/>
  <c r="C41" i="4"/>
  <c r="C32" i="33"/>
  <c r="C42" i="4"/>
  <c r="C33" i="33"/>
  <c r="C43" i="4"/>
  <c r="C34" i="33"/>
  <c r="C44" i="4"/>
  <c r="C35" i="33"/>
  <c r="C45" i="4"/>
  <c r="C36" i="33"/>
  <c r="C46" i="4"/>
  <c r="C37" i="33"/>
  <c r="C47" i="4"/>
  <c r="C38" i="33"/>
  <c r="C48" i="4"/>
  <c r="C39" i="33"/>
  <c r="C49" i="4"/>
  <c r="C78" i="4"/>
  <c r="C79" i="4"/>
  <c r="D43" i="33"/>
  <c r="D53" i="4"/>
  <c r="D42" i="33"/>
  <c r="D52" i="4"/>
  <c r="D41" i="33"/>
  <c r="D51" i="4"/>
  <c r="D40" i="33"/>
  <c r="D50" i="4"/>
  <c r="D28" i="1"/>
  <c r="D6" i="4"/>
  <c r="D29" i="1"/>
  <c r="D7" i="4"/>
  <c r="D30" i="1"/>
  <c r="D8" i="4"/>
  <c r="D31" i="1"/>
  <c r="D9" i="4"/>
  <c r="D32" i="1"/>
  <c r="D10" i="4"/>
  <c r="D33" i="1"/>
  <c r="D11" i="4"/>
  <c r="D34" i="1"/>
  <c r="D12" i="4"/>
  <c r="D35" i="1"/>
  <c r="D13" i="4"/>
  <c r="D36" i="1"/>
  <c r="D14" i="4"/>
  <c r="D37" i="1"/>
  <c r="D15" i="4"/>
  <c r="D38" i="1"/>
  <c r="D16" i="4"/>
  <c r="D39" i="1"/>
  <c r="D17" i="4"/>
  <c r="D40" i="1"/>
  <c r="D18" i="4"/>
  <c r="D41" i="1"/>
  <c r="D19" i="4"/>
  <c r="D42" i="1"/>
  <c r="D20" i="4"/>
  <c r="D43" i="1"/>
  <c r="D21" i="4"/>
  <c r="D28" i="23"/>
  <c r="D22" i="4"/>
  <c r="D29" i="23"/>
  <c r="D23" i="4"/>
  <c r="D30" i="23"/>
  <c r="D24" i="4"/>
  <c r="D31" i="23"/>
  <c r="D25" i="4"/>
  <c r="D32" i="23"/>
  <c r="D26" i="4"/>
  <c r="D33" i="23"/>
  <c r="D27" i="4"/>
  <c r="D34" i="23"/>
  <c r="D28" i="4"/>
  <c r="D35" i="23"/>
  <c r="D29" i="4"/>
  <c r="D36" i="23"/>
  <c r="D30" i="4"/>
  <c r="D37" i="23"/>
  <c r="D31" i="4"/>
  <c r="D38" i="23"/>
  <c r="D32" i="4"/>
  <c r="D39" i="23"/>
  <c r="D33" i="4"/>
  <c r="D40" i="23"/>
  <c r="D34" i="4"/>
  <c r="D41" i="23"/>
  <c r="D35" i="4"/>
  <c r="D42" i="23"/>
  <c r="D36" i="4"/>
  <c r="D43" i="23"/>
  <c r="D37" i="4"/>
  <c r="D28" i="33"/>
  <c r="D38" i="4"/>
  <c r="D29" i="33"/>
  <c r="D39" i="4"/>
  <c r="D30" i="33"/>
  <c r="D40" i="4"/>
  <c r="D31" i="33"/>
  <c r="D41" i="4"/>
  <c r="D32" i="33"/>
  <c r="D42" i="4"/>
  <c r="D33" i="33"/>
  <c r="D43" i="4"/>
  <c r="D34" i="33"/>
  <c r="D44" i="4"/>
  <c r="D35" i="33"/>
  <c r="D45" i="4"/>
  <c r="D36" i="33"/>
  <c r="D46" i="4"/>
  <c r="D37" i="33"/>
  <c r="D47" i="4"/>
  <c r="D38" i="33"/>
  <c r="D48" i="4"/>
  <c r="D39" i="33"/>
  <c r="D49" i="4"/>
  <c r="D78" i="4"/>
  <c r="D79" i="4"/>
  <c r="E43" i="33"/>
  <c r="E53" i="4"/>
  <c r="E42" i="33"/>
  <c r="E52" i="4"/>
  <c r="E41" i="33"/>
  <c r="E51" i="4"/>
  <c r="E40" i="33"/>
  <c r="E50" i="4"/>
  <c r="E28" i="1"/>
  <c r="E6" i="4"/>
  <c r="E29" i="1"/>
  <c r="E7" i="4"/>
  <c r="E30" i="1"/>
  <c r="E8" i="4"/>
  <c r="E31" i="1"/>
  <c r="E9" i="4"/>
  <c r="E32" i="1"/>
  <c r="E10" i="4"/>
  <c r="E33" i="1"/>
  <c r="E11" i="4"/>
  <c r="E34" i="1"/>
  <c r="E12" i="4"/>
  <c r="E35" i="1"/>
  <c r="E13" i="4"/>
  <c r="E36" i="1"/>
  <c r="E14" i="4"/>
  <c r="E37" i="1"/>
  <c r="E15" i="4"/>
  <c r="E38" i="1"/>
  <c r="E16" i="4"/>
  <c r="E39" i="1"/>
  <c r="E17" i="4"/>
  <c r="E40" i="1"/>
  <c r="E18" i="4"/>
  <c r="E41" i="1"/>
  <c r="E19" i="4"/>
  <c r="E42" i="1"/>
  <c r="E20" i="4"/>
  <c r="E43" i="1"/>
  <c r="E21" i="4"/>
  <c r="E28" i="23"/>
  <c r="E22" i="4"/>
  <c r="E29" i="23"/>
  <c r="E23" i="4"/>
  <c r="E30" i="23"/>
  <c r="E24" i="4"/>
  <c r="E31" i="23"/>
  <c r="E25" i="4"/>
  <c r="E32" i="23"/>
  <c r="E26" i="4"/>
  <c r="E33" i="23"/>
  <c r="E27" i="4"/>
  <c r="E34" i="23"/>
  <c r="E28" i="4"/>
  <c r="E35" i="23"/>
  <c r="E29" i="4"/>
  <c r="E36" i="23"/>
  <c r="E30" i="4"/>
  <c r="E37" i="23"/>
  <c r="E31" i="4"/>
  <c r="E38" i="23"/>
  <c r="E32" i="4"/>
  <c r="E39" i="23"/>
  <c r="E33" i="4"/>
  <c r="E40" i="23"/>
  <c r="E34" i="4"/>
  <c r="E41" i="23"/>
  <c r="E35" i="4"/>
  <c r="E42" i="23"/>
  <c r="E36" i="4"/>
  <c r="E43" i="23"/>
  <c r="E37" i="4"/>
  <c r="E28" i="33"/>
  <c r="E38" i="4"/>
  <c r="E29" i="33"/>
  <c r="E39" i="4"/>
  <c r="E30" i="33"/>
  <c r="E40" i="4"/>
  <c r="E31" i="33"/>
  <c r="E41" i="4"/>
  <c r="E32" i="33"/>
  <c r="E42" i="4"/>
  <c r="E33" i="33"/>
  <c r="E43" i="4"/>
  <c r="E34" i="33"/>
  <c r="E44" i="4"/>
  <c r="E35" i="33"/>
  <c r="E45" i="4"/>
  <c r="E36" i="33"/>
  <c r="E46" i="4"/>
  <c r="E37" i="33"/>
  <c r="E47" i="4"/>
  <c r="E38" i="33"/>
  <c r="E48" i="4"/>
  <c r="E39" i="33"/>
  <c r="E49" i="4"/>
  <c r="E78" i="4"/>
  <c r="E79" i="4"/>
  <c r="F43" i="33"/>
  <c r="F53" i="4"/>
  <c r="F42" i="33"/>
  <c r="F52" i="4"/>
  <c r="F41" i="33"/>
  <c r="F51" i="4"/>
  <c r="F40" i="33"/>
  <c r="F50" i="4"/>
  <c r="F28" i="1"/>
  <c r="F6" i="4"/>
  <c r="F29" i="1"/>
  <c r="F7" i="4"/>
  <c r="F30" i="1"/>
  <c r="F8" i="4"/>
  <c r="F31" i="1"/>
  <c r="F9" i="4"/>
  <c r="F32" i="1"/>
  <c r="F10" i="4"/>
  <c r="F33" i="1"/>
  <c r="F11" i="4"/>
  <c r="F34" i="1"/>
  <c r="F12" i="4"/>
  <c r="F35" i="1"/>
  <c r="F13" i="4"/>
  <c r="F36" i="1"/>
  <c r="F14" i="4"/>
  <c r="F37" i="1"/>
  <c r="F15" i="4"/>
  <c r="F38" i="1"/>
  <c r="F16" i="4"/>
  <c r="F39" i="1"/>
  <c r="F17" i="4"/>
  <c r="F40" i="1"/>
  <c r="F18" i="4"/>
  <c r="F41" i="1"/>
  <c r="F19" i="4"/>
  <c r="F42" i="1"/>
  <c r="F20" i="4"/>
  <c r="F43" i="1"/>
  <c r="F21" i="4"/>
  <c r="F28" i="23"/>
  <c r="F22" i="4"/>
  <c r="F29" i="23"/>
  <c r="F23" i="4"/>
  <c r="F30" i="23"/>
  <c r="F24" i="4"/>
  <c r="F31" i="23"/>
  <c r="F25" i="4"/>
  <c r="F32" i="23"/>
  <c r="F26" i="4"/>
  <c r="F33" i="23"/>
  <c r="F27" i="4"/>
  <c r="F34" i="23"/>
  <c r="F28" i="4"/>
  <c r="F35" i="23"/>
  <c r="F29" i="4"/>
  <c r="F36" i="23"/>
  <c r="F30" i="4"/>
  <c r="F37" i="23"/>
  <c r="F31" i="4"/>
  <c r="F38" i="23"/>
  <c r="F32" i="4"/>
  <c r="F39" i="23"/>
  <c r="F33" i="4"/>
  <c r="F40" i="23"/>
  <c r="F34" i="4"/>
  <c r="F41" i="23"/>
  <c r="F35" i="4"/>
  <c r="F42" i="23"/>
  <c r="F36" i="4"/>
  <c r="F43" i="23"/>
  <c r="F37" i="4"/>
  <c r="F28" i="33"/>
  <c r="F38" i="4"/>
  <c r="F29" i="33"/>
  <c r="F39" i="4"/>
  <c r="F30" i="33"/>
  <c r="F40" i="4"/>
  <c r="F31" i="33"/>
  <c r="F41" i="4"/>
  <c r="F32" i="33"/>
  <c r="F42" i="4"/>
  <c r="F33" i="33"/>
  <c r="F43" i="4"/>
  <c r="F34" i="33"/>
  <c r="F44" i="4"/>
  <c r="F35" i="33"/>
  <c r="F45" i="4"/>
  <c r="F36" i="33"/>
  <c r="F46" i="4"/>
  <c r="F37" i="33"/>
  <c r="F47" i="4"/>
  <c r="F38" i="33"/>
  <c r="F48" i="4"/>
  <c r="F39" i="33"/>
  <c r="F49" i="4"/>
  <c r="F78" i="4"/>
  <c r="F79" i="4"/>
  <c r="G43" i="33"/>
  <c r="G53" i="4"/>
  <c r="G42" i="33"/>
  <c r="G52" i="4"/>
  <c r="G41" i="33"/>
  <c r="G51" i="4"/>
  <c r="G40" i="33"/>
  <c r="G50" i="4"/>
  <c r="G28" i="1"/>
  <c r="G6" i="4"/>
  <c r="G29" i="1"/>
  <c r="G7" i="4"/>
  <c r="G30" i="1"/>
  <c r="G8" i="4"/>
  <c r="G31" i="1"/>
  <c r="G9" i="4"/>
  <c r="G32" i="1"/>
  <c r="G10" i="4"/>
  <c r="G33" i="1"/>
  <c r="G11" i="4"/>
  <c r="G34" i="1"/>
  <c r="G12" i="4"/>
  <c r="G35" i="1"/>
  <c r="G13" i="4"/>
  <c r="G36" i="1"/>
  <c r="G14" i="4"/>
  <c r="G37" i="1"/>
  <c r="G15" i="4"/>
  <c r="G38" i="1"/>
  <c r="G16" i="4"/>
  <c r="G39" i="1"/>
  <c r="G17" i="4"/>
  <c r="G40" i="1"/>
  <c r="G18" i="4"/>
  <c r="G41" i="1"/>
  <c r="G19" i="4"/>
  <c r="G42" i="1"/>
  <c r="G20" i="4"/>
  <c r="G43" i="1"/>
  <c r="G21" i="4"/>
  <c r="G28" i="23"/>
  <c r="G22" i="4"/>
  <c r="G29" i="23"/>
  <c r="G23" i="4"/>
  <c r="G30" i="23"/>
  <c r="G24" i="4"/>
  <c r="G31" i="23"/>
  <c r="G25" i="4"/>
  <c r="G32" i="23"/>
  <c r="G26" i="4"/>
  <c r="G33" i="23"/>
  <c r="G27" i="4"/>
  <c r="G34" i="23"/>
  <c r="G28" i="4"/>
  <c r="G35" i="23"/>
  <c r="G29" i="4"/>
  <c r="G36" i="23"/>
  <c r="G30" i="4"/>
  <c r="G37" i="23"/>
  <c r="G31" i="4"/>
  <c r="G38" i="23"/>
  <c r="G32" i="4"/>
  <c r="G39" i="23"/>
  <c r="G33" i="4"/>
  <c r="G40" i="23"/>
  <c r="G34" i="4"/>
  <c r="G41" i="23"/>
  <c r="G35" i="4"/>
  <c r="G42" i="23"/>
  <c r="G36" i="4"/>
  <c r="G43" i="23"/>
  <c r="G37" i="4"/>
  <c r="G28" i="33"/>
  <c r="G38" i="4"/>
  <c r="G29" i="33"/>
  <c r="G39" i="4"/>
  <c r="G30" i="33"/>
  <c r="G40" i="4"/>
  <c r="G31" i="33"/>
  <c r="G41" i="4"/>
  <c r="G32" i="33"/>
  <c r="G42" i="4"/>
  <c r="G33" i="33"/>
  <c r="G43" i="4"/>
  <c r="G34" i="33"/>
  <c r="G44" i="4"/>
  <c r="G35" i="33"/>
  <c r="G45" i="4"/>
  <c r="G36" i="33"/>
  <c r="G46" i="4"/>
  <c r="G37" i="33"/>
  <c r="G47" i="4"/>
  <c r="G38" i="33"/>
  <c r="G48" i="4"/>
  <c r="G39" i="33"/>
  <c r="G49" i="4"/>
  <c r="G78" i="4"/>
  <c r="G79" i="4"/>
  <c r="H43" i="33"/>
  <c r="H53" i="4"/>
  <c r="H42" i="33"/>
  <c r="H52" i="4"/>
  <c r="H41" i="33"/>
  <c r="H51" i="4"/>
  <c r="H40" i="33"/>
  <c r="H50" i="4"/>
  <c r="H28" i="1"/>
  <c r="H6" i="4"/>
  <c r="H29" i="1"/>
  <c r="H7" i="4"/>
  <c r="H30" i="1"/>
  <c r="H8" i="4"/>
  <c r="H31" i="1"/>
  <c r="H9" i="4"/>
  <c r="H32" i="1"/>
  <c r="H10" i="4"/>
  <c r="H33" i="1"/>
  <c r="H11" i="4"/>
  <c r="H34" i="1"/>
  <c r="H12" i="4"/>
  <c r="H35" i="1"/>
  <c r="H13" i="4"/>
  <c r="H36" i="1"/>
  <c r="H14" i="4"/>
  <c r="H37" i="1"/>
  <c r="H15" i="4"/>
  <c r="H38" i="1"/>
  <c r="H16" i="4"/>
  <c r="H39" i="1"/>
  <c r="H17" i="4"/>
  <c r="H40" i="1"/>
  <c r="H18" i="4"/>
  <c r="H41" i="1"/>
  <c r="H19" i="4"/>
  <c r="H42" i="1"/>
  <c r="H20" i="4"/>
  <c r="H43" i="1"/>
  <c r="H21" i="4"/>
  <c r="H28" i="23"/>
  <c r="H22" i="4"/>
  <c r="H29" i="23"/>
  <c r="H23" i="4"/>
  <c r="H30" i="23"/>
  <c r="H24" i="4"/>
  <c r="H31" i="23"/>
  <c r="H25" i="4"/>
  <c r="H32" i="23"/>
  <c r="H26" i="4"/>
  <c r="H33" i="23"/>
  <c r="H27" i="4"/>
  <c r="H34" i="23"/>
  <c r="H28" i="4"/>
  <c r="H35" i="23"/>
  <c r="H29" i="4"/>
  <c r="H36" i="23"/>
  <c r="H30" i="4"/>
  <c r="H37" i="23"/>
  <c r="H31" i="4"/>
  <c r="H38" i="23"/>
  <c r="H32" i="4"/>
  <c r="H39" i="23"/>
  <c r="H33" i="4"/>
  <c r="H40" i="23"/>
  <c r="H34" i="4"/>
  <c r="H41" i="23"/>
  <c r="H35" i="4"/>
  <c r="H42" i="23"/>
  <c r="H36" i="4"/>
  <c r="H43" i="23"/>
  <c r="H37" i="4"/>
  <c r="H28" i="33"/>
  <c r="H38" i="4"/>
  <c r="H29" i="33"/>
  <c r="H39" i="4"/>
  <c r="H30" i="33"/>
  <c r="H40" i="4"/>
  <c r="H31" i="33"/>
  <c r="H41" i="4"/>
  <c r="H32" i="33"/>
  <c r="H42" i="4"/>
  <c r="H33" i="33"/>
  <c r="H43" i="4"/>
  <c r="H34" i="33"/>
  <c r="H44" i="4"/>
  <c r="H35" i="33"/>
  <c r="H45" i="4"/>
  <c r="H36" i="33"/>
  <c r="H46" i="4"/>
  <c r="H37" i="33"/>
  <c r="H47" i="4"/>
  <c r="H38" i="33"/>
  <c r="H48" i="4"/>
  <c r="H39" i="33"/>
  <c r="H49" i="4"/>
  <c r="H78" i="4"/>
  <c r="H79" i="4"/>
  <c r="I43" i="33"/>
  <c r="I53" i="4"/>
  <c r="I42" i="33"/>
  <c r="I52" i="4"/>
  <c r="I41" i="33"/>
  <c r="I51" i="4"/>
  <c r="I40" i="33"/>
  <c r="I50" i="4"/>
  <c r="I28" i="1"/>
  <c r="I6" i="4"/>
  <c r="I29" i="1"/>
  <c r="I7" i="4"/>
  <c r="I30" i="1"/>
  <c r="I8" i="4"/>
  <c r="I31" i="1"/>
  <c r="I9" i="4"/>
  <c r="I32" i="1"/>
  <c r="I10" i="4"/>
  <c r="I33" i="1"/>
  <c r="I11" i="4"/>
  <c r="I34" i="1"/>
  <c r="I12" i="4"/>
  <c r="I35" i="1"/>
  <c r="I13" i="4"/>
  <c r="I36" i="1"/>
  <c r="I14" i="4"/>
  <c r="I37" i="1"/>
  <c r="I15" i="4"/>
  <c r="I38" i="1"/>
  <c r="I16" i="4"/>
  <c r="I39" i="1"/>
  <c r="I17" i="4"/>
  <c r="I40" i="1"/>
  <c r="I18" i="4"/>
  <c r="I41" i="1"/>
  <c r="I19" i="4"/>
  <c r="I42" i="1"/>
  <c r="I20" i="4"/>
  <c r="I43" i="1"/>
  <c r="I21" i="4"/>
  <c r="I28" i="23"/>
  <c r="I22" i="4"/>
  <c r="I29" i="23"/>
  <c r="I23" i="4"/>
  <c r="I30" i="23"/>
  <c r="I24" i="4"/>
  <c r="I31" i="23"/>
  <c r="I25" i="4"/>
  <c r="I32" i="23"/>
  <c r="I26" i="4"/>
  <c r="I33" i="23"/>
  <c r="I27" i="4"/>
  <c r="I34" i="23"/>
  <c r="I28" i="4"/>
  <c r="I35" i="23"/>
  <c r="I29" i="4"/>
  <c r="I36" i="23"/>
  <c r="I30" i="4"/>
  <c r="I37" i="23"/>
  <c r="I31" i="4"/>
  <c r="I38" i="23"/>
  <c r="I32" i="4"/>
  <c r="I39" i="23"/>
  <c r="I33" i="4"/>
  <c r="I40" i="23"/>
  <c r="I34" i="4"/>
  <c r="I41" i="23"/>
  <c r="I35" i="4"/>
  <c r="I42" i="23"/>
  <c r="I36" i="4"/>
  <c r="I43" i="23"/>
  <c r="I37" i="4"/>
  <c r="I28" i="33"/>
  <c r="I38" i="4"/>
  <c r="I29" i="33"/>
  <c r="I39" i="4"/>
  <c r="I30" i="33"/>
  <c r="I40" i="4"/>
  <c r="I31" i="33"/>
  <c r="I41" i="4"/>
  <c r="I32" i="33"/>
  <c r="I42" i="4"/>
  <c r="I33" i="33"/>
  <c r="I43" i="4"/>
  <c r="I34" i="33"/>
  <c r="I44" i="4"/>
  <c r="I35" i="33"/>
  <c r="I45" i="4"/>
  <c r="I36" i="33"/>
  <c r="I46" i="4"/>
  <c r="I37" i="33"/>
  <c r="I47" i="4"/>
  <c r="I38" i="33"/>
  <c r="I48" i="4"/>
  <c r="I39" i="33"/>
  <c r="I49" i="4"/>
  <c r="I78" i="4"/>
  <c r="I79" i="4"/>
  <c r="B80" i="4"/>
  <c r="M81" i="4"/>
  <c r="L81" i="4"/>
  <c r="K81" i="4"/>
  <c r="J81" i="4"/>
  <c r="I61" i="23"/>
  <c r="J61" i="23"/>
  <c r="K61" i="23"/>
  <c r="L61" i="23"/>
  <c r="M61" i="23"/>
  <c r="C61" i="23"/>
  <c r="D61" i="23"/>
  <c r="E61" i="23"/>
  <c r="F61" i="23"/>
  <c r="G61" i="23"/>
  <c r="H61" i="23"/>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L28" i="33"/>
  <c r="L29" i="33"/>
  <c r="L30" i="33"/>
  <c r="L31" i="33"/>
  <c r="L32" i="33"/>
  <c r="L33" i="33"/>
  <c r="L34" i="33"/>
  <c r="L35" i="33"/>
  <c r="L36" i="33"/>
  <c r="L37" i="33"/>
  <c r="L38" i="33"/>
  <c r="L39" i="33"/>
  <c r="L40" i="33"/>
  <c r="L41" i="33"/>
  <c r="L42" i="33"/>
  <c r="L43" i="33"/>
  <c r="L56" i="33"/>
  <c r="H56" i="33"/>
  <c r="D56" i="33"/>
  <c r="I56" i="33"/>
  <c r="K28" i="33"/>
  <c r="K29" i="33"/>
  <c r="K30" i="33"/>
  <c r="K31" i="33"/>
  <c r="K32" i="33"/>
  <c r="K33" i="33"/>
  <c r="K34" i="33"/>
  <c r="K35" i="33"/>
  <c r="K36" i="33"/>
  <c r="K37" i="33"/>
  <c r="K38" i="33"/>
  <c r="K39" i="33"/>
  <c r="K40" i="33"/>
  <c r="K41" i="33"/>
  <c r="K42" i="33"/>
  <c r="K43" i="33"/>
  <c r="K56" i="33"/>
  <c r="G56" i="33"/>
  <c r="C56" i="33"/>
  <c r="M28" i="33"/>
  <c r="M29" i="33"/>
  <c r="M30" i="33"/>
  <c r="M31" i="33"/>
  <c r="M32" i="33"/>
  <c r="M33" i="33"/>
  <c r="M34" i="33"/>
  <c r="M35" i="33"/>
  <c r="M36" i="33"/>
  <c r="M37" i="33"/>
  <c r="M38" i="33"/>
  <c r="M39" i="33"/>
  <c r="M40" i="33"/>
  <c r="M41" i="33"/>
  <c r="M42" i="33"/>
  <c r="M43" i="33"/>
  <c r="M56" i="33"/>
  <c r="E56" i="33"/>
  <c r="J28" i="33"/>
  <c r="J29" i="33"/>
  <c r="J30" i="33"/>
  <c r="J31" i="33"/>
  <c r="J32" i="33"/>
  <c r="J33" i="33"/>
  <c r="J34" i="33"/>
  <c r="J35" i="33"/>
  <c r="J36" i="33"/>
  <c r="J37" i="33"/>
  <c r="J38" i="33"/>
  <c r="J39" i="33"/>
  <c r="J40" i="33"/>
  <c r="J41" i="33"/>
  <c r="J42" i="33"/>
  <c r="J43" i="33"/>
  <c r="J56" i="33"/>
  <c r="F56" i="33"/>
  <c r="B56" i="33"/>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A7" i="10"/>
  <c r="A8" i="10"/>
  <c r="A9" i="10"/>
  <c r="A10" i="10"/>
  <c r="A11" i="10"/>
  <c r="A12" i="10"/>
  <c r="A13" i="10"/>
  <c r="A14" i="10"/>
  <c r="A7" i="22"/>
  <c r="A8" i="22"/>
  <c r="A9" i="22"/>
  <c r="A10" i="22"/>
  <c r="A11" i="22"/>
  <c r="A20" i="10"/>
  <c r="A12" i="22"/>
  <c r="A21" i="10"/>
  <c r="A13" i="22"/>
  <c r="A22" i="10"/>
  <c r="A14" i="22"/>
  <c r="A23" i="10"/>
  <c r="A15" i="22"/>
  <c r="A24" i="10"/>
  <c r="A16" i="22"/>
  <c r="A25" i="10"/>
  <c r="A17" i="22"/>
  <c r="A26" i="10"/>
  <c r="A18" i="22"/>
  <c r="A27" i="10"/>
  <c r="A19" i="22"/>
  <c r="A28" i="10"/>
  <c r="A20" i="22"/>
  <c r="A29" i="10"/>
  <c r="A21" i="22"/>
  <c r="A30" i="10"/>
  <c r="A22" i="22"/>
  <c r="A31" i="10"/>
  <c r="A23" i="22"/>
  <c r="A32" i="10"/>
  <c r="A24" i="22"/>
  <c r="A33" i="10"/>
  <c r="A25" i="22"/>
  <c r="A34" i="10"/>
  <c r="A26" i="22"/>
  <c r="A35" i="10"/>
  <c r="A36" i="10"/>
  <c r="A37" i="10"/>
  <c r="A38" i="10"/>
  <c r="A44" i="10"/>
  <c r="A45" i="10"/>
  <c r="A46" i="10"/>
  <c r="A47" i="10"/>
  <c r="A48" i="10"/>
  <c r="A49" i="10"/>
  <c r="A50" i="10"/>
  <c r="A51" i="10"/>
  <c r="A52" i="10"/>
  <c r="A53" i="10"/>
  <c r="A54" i="10"/>
  <c r="A55" i="10"/>
  <c r="A56" i="10"/>
  <c r="A57" i="10"/>
  <c r="A58" i="10"/>
  <c r="B2" i="37"/>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c r="B4" i="23"/>
  <c r="B4" i="1"/>
  <c r="H4" i="33"/>
  <c r="H4" i="23"/>
  <c r="H4" i="1"/>
  <c r="G4" i="33"/>
  <c r="G4" i="23"/>
  <c r="G4" i="1"/>
  <c r="C4" i="33"/>
  <c r="C4" i="23"/>
  <c r="C4" i="1"/>
  <c r="D4" i="33"/>
  <c r="D4" i="23"/>
  <c r="D4" i="1"/>
  <c r="F4" i="33"/>
  <c r="F4" i="23"/>
  <c r="F4" i="1"/>
  <c r="E4" i="33"/>
  <c r="E4" i="23"/>
  <c r="E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c r="A45" i="33"/>
  <c r="V43" i="33"/>
  <c r="V53" i="4"/>
  <c r="U43" i="33"/>
  <c r="U53" i="4"/>
  <c r="T43" i="33"/>
  <c r="T53" i="4"/>
  <c r="S43" i="33"/>
  <c r="S53" i="4"/>
  <c r="R43" i="33"/>
  <c r="R53" i="4"/>
  <c r="Q43" i="33"/>
  <c r="Q53" i="4"/>
  <c r="P43" i="33"/>
  <c r="P53" i="4"/>
  <c r="M53" i="4"/>
  <c r="L53" i="4"/>
  <c r="K53" i="4"/>
  <c r="J53" i="4"/>
  <c r="V42" i="33"/>
  <c r="V52" i="4"/>
  <c r="U42" i="33"/>
  <c r="U52" i="4"/>
  <c r="T42" i="33"/>
  <c r="T52" i="4"/>
  <c r="S42" i="33"/>
  <c r="S52" i="4"/>
  <c r="R42" i="33"/>
  <c r="R52" i="4"/>
  <c r="Q42" i="33"/>
  <c r="Q52" i="4"/>
  <c r="P42" i="33"/>
  <c r="P52" i="4"/>
  <c r="M52" i="4"/>
  <c r="L52" i="4"/>
  <c r="K52" i="4"/>
  <c r="J52" i="4"/>
  <c r="V41" i="33"/>
  <c r="V51" i="4"/>
  <c r="U41" i="33"/>
  <c r="U51" i="4"/>
  <c r="T41" i="33"/>
  <c r="T51" i="4"/>
  <c r="S41" i="33"/>
  <c r="S51" i="4"/>
  <c r="R41" i="33"/>
  <c r="R51" i="4"/>
  <c r="Q41" i="33"/>
  <c r="Q51" i="4"/>
  <c r="P41" i="33"/>
  <c r="P51" i="4"/>
  <c r="M51" i="4"/>
  <c r="L51" i="4"/>
  <c r="K51" i="4"/>
  <c r="J51" i="4"/>
  <c r="V40" i="33"/>
  <c r="V50" i="4"/>
  <c r="U40" i="33"/>
  <c r="U50" i="4"/>
  <c r="T40" i="33"/>
  <c r="T50" i="4"/>
  <c r="S40" i="33"/>
  <c r="S50" i="4"/>
  <c r="R40" i="33"/>
  <c r="R50" i="4"/>
  <c r="Q40" i="33"/>
  <c r="Q50" i="4"/>
  <c r="P40" i="33"/>
  <c r="P50" i="4"/>
  <c r="M50" i="4"/>
  <c r="L50" i="4"/>
  <c r="K50" i="4"/>
  <c r="J50" i="4"/>
  <c r="V39" i="33"/>
  <c r="V49" i="4"/>
  <c r="U39" i="33"/>
  <c r="U49" i="4"/>
  <c r="T39" i="33"/>
  <c r="T49" i="4"/>
  <c r="S39" i="33"/>
  <c r="S49" i="4"/>
  <c r="R39" i="33"/>
  <c r="R49" i="4"/>
  <c r="Q39" i="33"/>
  <c r="Q49" i="4"/>
  <c r="P39" i="33"/>
  <c r="P49" i="4"/>
  <c r="M49" i="4"/>
  <c r="L49" i="4"/>
  <c r="K49" i="4"/>
  <c r="J49" i="4"/>
  <c r="V38" i="33"/>
  <c r="V48" i="4"/>
  <c r="U38" i="33"/>
  <c r="U48" i="4"/>
  <c r="T38" i="33"/>
  <c r="T48" i="4"/>
  <c r="S38" i="33"/>
  <c r="S48" i="4"/>
  <c r="R38" i="33"/>
  <c r="R48" i="4"/>
  <c r="Q38" i="33"/>
  <c r="Q48" i="4"/>
  <c r="P38" i="33"/>
  <c r="P48" i="4"/>
  <c r="M48" i="4"/>
  <c r="L48" i="4"/>
  <c r="K48" i="4"/>
  <c r="J48" i="4"/>
  <c r="V37" i="33"/>
  <c r="V47" i="4"/>
  <c r="U37" i="33"/>
  <c r="U47" i="4"/>
  <c r="T37" i="33"/>
  <c r="T47" i="4"/>
  <c r="S37" i="33"/>
  <c r="S47" i="4"/>
  <c r="R37" i="33"/>
  <c r="R47" i="4"/>
  <c r="Q37" i="33"/>
  <c r="Q47" i="4"/>
  <c r="P37" i="33"/>
  <c r="P47" i="4"/>
  <c r="M47" i="4"/>
  <c r="L47" i="4"/>
  <c r="K47" i="4"/>
  <c r="J47" i="4"/>
  <c r="V36" i="33"/>
  <c r="V46" i="4"/>
  <c r="U36" i="33"/>
  <c r="U46" i="4"/>
  <c r="T36" i="33"/>
  <c r="T46" i="4"/>
  <c r="S36" i="33"/>
  <c r="S46" i="4"/>
  <c r="R36" i="33"/>
  <c r="R46" i="4"/>
  <c r="Q36" i="33"/>
  <c r="Q46" i="4"/>
  <c r="P36" i="33"/>
  <c r="P46" i="4"/>
  <c r="M46" i="4"/>
  <c r="L46" i="4"/>
  <c r="K46" i="4"/>
  <c r="J46" i="4"/>
  <c r="S35" i="33"/>
  <c r="S45" i="4"/>
  <c r="O35" i="33"/>
  <c r="O45" i="4"/>
  <c r="K40" i="4"/>
  <c r="V24" i="33"/>
  <c r="U24" i="33"/>
  <c r="T24" i="33"/>
  <c r="S24" i="33"/>
  <c r="R24" i="33"/>
  <c r="Q24" i="33"/>
  <c r="P24" i="33"/>
  <c r="O24" i="33"/>
  <c r="L24" i="33"/>
  <c r="J24" i="33"/>
  <c r="I24" i="33"/>
  <c r="H24" i="33"/>
  <c r="G24" i="33"/>
  <c r="F24" i="33"/>
  <c r="E24" i="33"/>
  <c r="D24" i="33"/>
  <c r="C24" i="33"/>
  <c r="B24" i="33"/>
  <c r="V23" i="33"/>
  <c r="U23" i="33"/>
  <c r="T23" i="33"/>
  <c r="S23" i="33"/>
  <c r="R23" i="33"/>
  <c r="Q23" i="33"/>
  <c r="P23" i="33"/>
  <c r="J45" i="4"/>
  <c r="L23" i="33"/>
  <c r="J23" i="33"/>
  <c r="I23" i="33"/>
  <c r="H23" i="33"/>
  <c r="G23" i="33"/>
  <c r="F23" i="33"/>
  <c r="E23" i="33"/>
  <c r="D23" i="33"/>
  <c r="C23" i="33"/>
  <c r="B23" i="33"/>
  <c r="A22" i="33"/>
  <c r="H22" i="33"/>
  <c r="G45" i="33"/>
  <c r="F27" i="33"/>
  <c r="F52" i="33"/>
  <c r="E45" i="33"/>
  <c r="D22" i="33"/>
  <c r="C45" i="33"/>
  <c r="B45" i="33"/>
  <c r="U29" i="33"/>
  <c r="U39" i="4"/>
  <c r="R31" i="33"/>
  <c r="R41" i="4"/>
  <c r="S33" i="33"/>
  <c r="S43" i="4"/>
  <c r="P35" i="33"/>
  <c r="P45" i="4"/>
  <c r="S32" i="33"/>
  <c r="S42" i="4"/>
  <c r="R28" i="33"/>
  <c r="V31" i="33"/>
  <c r="V41" i="4"/>
  <c r="P34" i="33"/>
  <c r="P44" i="4"/>
  <c r="Q30" i="33"/>
  <c r="Q40" i="4"/>
  <c r="T34" i="33"/>
  <c r="T44" i="4"/>
  <c r="T35" i="33"/>
  <c r="T45" i="4"/>
  <c r="V28" i="33"/>
  <c r="Q29" i="33"/>
  <c r="Q39" i="4"/>
  <c r="U30" i="33"/>
  <c r="U40" i="4"/>
  <c r="S28" i="33"/>
  <c r="R29" i="33"/>
  <c r="V29" i="33"/>
  <c r="R30" i="33"/>
  <c r="R40" i="4"/>
  <c r="V30" i="33"/>
  <c r="V40" i="4"/>
  <c r="S31" i="33"/>
  <c r="S41" i="4"/>
  <c r="P32" i="33"/>
  <c r="P42" i="4"/>
  <c r="T32" i="33"/>
  <c r="T42" i="4"/>
  <c r="P33" i="33"/>
  <c r="P43" i="4"/>
  <c r="T33" i="33"/>
  <c r="T43" i="4"/>
  <c r="Q34" i="33"/>
  <c r="Q44" i="4"/>
  <c r="U34" i="33"/>
  <c r="U44" i="4"/>
  <c r="Q35" i="33"/>
  <c r="Q45" i="4"/>
  <c r="U35" i="33"/>
  <c r="U45" i="4"/>
  <c r="P28" i="33"/>
  <c r="T28" i="33"/>
  <c r="S29" i="33"/>
  <c r="S39" i="4"/>
  <c r="S30" i="33"/>
  <c r="S40" i="4"/>
  <c r="P31" i="33"/>
  <c r="P41" i="4"/>
  <c r="T31" i="33"/>
  <c r="T41" i="4"/>
  <c r="Q32" i="33"/>
  <c r="Q42" i="4"/>
  <c r="U32" i="33"/>
  <c r="U42" i="4"/>
  <c r="Q33" i="33"/>
  <c r="Q43" i="4"/>
  <c r="U33" i="33"/>
  <c r="U43" i="4"/>
  <c r="R34" i="33"/>
  <c r="R44" i="4"/>
  <c r="V34" i="33"/>
  <c r="V44" i="4"/>
  <c r="R35" i="33"/>
  <c r="R45" i="4"/>
  <c r="V35" i="33"/>
  <c r="V45" i="4"/>
  <c r="Q28" i="33"/>
  <c r="U28" i="33"/>
  <c r="P29" i="33"/>
  <c r="P39" i="4"/>
  <c r="T29" i="33"/>
  <c r="T39" i="4"/>
  <c r="P30" i="33"/>
  <c r="P40" i="4"/>
  <c r="T30" i="33"/>
  <c r="T40" i="4"/>
  <c r="Q31" i="33"/>
  <c r="Q41" i="4"/>
  <c r="U31" i="33"/>
  <c r="U41" i="4"/>
  <c r="R32" i="33"/>
  <c r="R42" i="4"/>
  <c r="V32" i="33"/>
  <c r="V42" i="4"/>
  <c r="R33" i="33"/>
  <c r="R43" i="4"/>
  <c r="V33" i="33"/>
  <c r="V43" i="4"/>
  <c r="S34" i="33"/>
  <c r="S44" i="4"/>
  <c r="O36" i="33"/>
  <c r="O46" i="4"/>
  <c r="O37" i="33"/>
  <c r="O47" i="4"/>
  <c r="O38" i="33"/>
  <c r="O48" i="4"/>
  <c r="O39" i="33"/>
  <c r="O49" i="4"/>
  <c r="O40" i="33"/>
  <c r="O50" i="4"/>
  <c r="O41" i="33"/>
  <c r="O51" i="4"/>
  <c r="O42" i="33"/>
  <c r="O52" i="4"/>
  <c r="O43" i="33"/>
  <c r="O53" i="4"/>
  <c r="O31" i="33"/>
  <c r="O41" i="4"/>
  <c r="O30" i="33"/>
  <c r="O40" i="4"/>
  <c r="O28" i="33"/>
  <c r="O29" i="33"/>
  <c r="O39" i="4"/>
  <c r="O32" i="33"/>
  <c r="O42" i="4"/>
  <c r="O33" i="33"/>
  <c r="O43" i="4"/>
  <c r="O34" i="33"/>
  <c r="O44" i="4"/>
  <c r="K42" i="4"/>
  <c r="K41" i="4"/>
  <c r="J38" i="4"/>
  <c r="L40" i="4"/>
  <c r="K45" i="4"/>
  <c r="L39" i="4"/>
  <c r="K43" i="4"/>
  <c r="K39" i="4"/>
  <c r="K44" i="4"/>
  <c r="L41" i="4"/>
  <c r="L42" i="4"/>
  <c r="L43" i="4"/>
  <c r="L44" i="4"/>
  <c r="L45" i="4"/>
  <c r="L38" i="4"/>
  <c r="M39" i="4"/>
  <c r="M40" i="4"/>
  <c r="M41" i="4"/>
  <c r="M42" i="4"/>
  <c r="M43" i="4"/>
  <c r="M44" i="4"/>
  <c r="M45" i="4"/>
  <c r="M38" i="4"/>
  <c r="J39" i="4"/>
  <c r="J40" i="4"/>
  <c r="J41" i="4"/>
  <c r="J42" i="4"/>
  <c r="J43" i="4"/>
  <c r="J44" i="4"/>
  <c r="V38" i="4"/>
  <c r="R38" i="4"/>
  <c r="U38" i="4"/>
  <c r="B22" i="33"/>
  <c r="E22" i="33"/>
  <c r="I45" i="33"/>
  <c r="I52" i="33"/>
  <c r="I27" i="33"/>
  <c r="K38" i="4"/>
  <c r="K46" i="33"/>
  <c r="K53" i="33"/>
  <c r="P46" i="33"/>
  <c r="P53" i="33"/>
  <c r="P38" i="4"/>
  <c r="P47" i="33"/>
  <c r="P48" i="33"/>
  <c r="P54" i="33"/>
  <c r="T38" i="4"/>
  <c r="T46" i="33"/>
  <c r="T53" i="33"/>
  <c r="T47" i="33"/>
  <c r="T48" i="33"/>
  <c r="T54" i="33"/>
  <c r="B27" i="33"/>
  <c r="B52" i="33"/>
  <c r="L46" i="33"/>
  <c r="L53" i="33"/>
  <c r="Q47" i="33"/>
  <c r="Q48" i="33"/>
  <c r="Q54" i="33"/>
  <c r="Q38" i="4"/>
  <c r="D27" i="33"/>
  <c r="D52" i="33"/>
  <c r="I22" i="33"/>
  <c r="E27" i="33"/>
  <c r="E52" i="33"/>
  <c r="O38" i="4"/>
  <c r="S38" i="4"/>
  <c r="S46" i="33"/>
  <c r="S53" i="33"/>
  <c r="S47" i="33"/>
  <c r="S48" i="33"/>
  <c r="S54" i="33"/>
  <c r="D45" i="33"/>
  <c r="G57" i="33"/>
  <c r="H57" i="33"/>
  <c r="C57" i="33"/>
  <c r="J57" i="33"/>
  <c r="D57" i="33"/>
  <c r="L57" i="33"/>
  <c r="F57" i="33"/>
  <c r="K57" i="33"/>
  <c r="B57" i="33"/>
  <c r="E57" i="33"/>
  <c r="I57" i="33"/>
  <c r="M57" i="33"/>
  <c r="U46" i="33"/>
  <c r="U53" i="33"/>
  <c r="U47" i="33"/>
  <c r="U48" i="33"/>
  <c r="U54" i="33"/>
  <c r="Q46" i="33"/>
  <c r="Q53" i="33"/>
  <c r="F22" i="33"/>
  <c r="B47" i="33"/>
  <c r="R47" i="33"/>
  <c r="R48" i="33"/>
  <c r="R54" i="33"/>
  <c r="R46" i="33"/>
  <c r="R53" i="33"/>
  <c r="V47" i="33"/>
  <c r="V48" i="33"/>
  <c r="V54" i="33"/>
  <c r="V46" i="33"/>
  <c r="V53" i="33"/>
  <c r="F45" i="33"/>
  <c r="G22" i="33"/>
  <c r="G27" i="33"/>
  <c r="G52" i="33"/>
  <c r="C22" i="33"/>
  <c r="C27" i="33"/>
  <c r="C52" i="33"/>
  <c r="H27" i="33"/>
  <c r="H52" i="33"/>
  <c r="H45" i="33"/>
  <c r="S56" i="33"/>
  <c r="Q56" i="33"/>
  <c r="R56" i="33"/>
  <c r="U56" i="33"/>
  <c r="V56" i="33"/>
  <c r="P56" i="33"/>
  <c r="T56" i="33"/>
  <c r="O56" i="33"/>
  <c r="T57" i="33"/>
  <c r="P57" i="33"/>
  <c r="V57" i="33"/>
  <c r="U57" i="33"/>
  <c r="R57" i="33"/>
  <c r="Q57" i="33"/>
  <c r="S57" i="33"/>
  <c r="V39" i="4"/>
  <c r="R39" i="4"/>
  <c r="M46" i="33"/>
  <c r="M53" i="33"/>
  <c r="H46" i="33"/>
  <c r="H53" i="33"/>
  <c r="O57" i="33"/>
  <c r="J46" i="33"/>
  <c r="J53" i="33"/>
  <c r="E47" i="33"/>
  <c r="E48" i="33"/>
  <c r="E54" i="33"/>
  <c r="D46" i="33"/>
  <c r="D53" i="33"/>
  <c r="O46" i="33"/>
  <c r="O53" i="33"/>
  <c r="O55" i="33"/>
  <c r="K47" i="33"/>
  <c r="C47" i="33"/>
  <c r="C48" i="33"/>
  <c r="C54" i="33"/>
  <c r="J47" i="33"/>
  <c r="J48" i="33"/>
  <c r="J54" i="33"/>
  <c r="F46" i="33"/>
  <c r="F53" i="33"/>
  <c r="D47" i="33"/>
  <c r="B46" i="33"/>
  <c r="H47" i="33"/>
  <c r="H48" i="33"/>
  <c r="H54" i="33"/>
  <c r="O47" i="33"/>
  <c r="O48" i="33"/>
  <c r="O54" i="33"/>
  <c r="G46" i="33"/>
  <c r="G53" i="33"/>
  <c r="G47" i="33"/>
  <c r="G48" i="33"/>
  <c r="G54" i="33"/>
  <c r="M47" i="33"/>
  <c r="M48" i="33"/>
  <c r="M54" i="33"/>
  <c r="I46" i="33"/>
  <c r="I53" i="33"/>
  <c r="F47" i="33"/>
  <c r="F48" i="33"/>
  <c r="F54" i="33"/>
  <c r="C46" i="33"/>
  <c r="C53" i="33"/>
  <c r="I47" i="33"/>
  <c r="I48" i="33"/>
  <c r="I54" i="33"/>
  <c r="K48" i="33"/>
  <c r="K54" i="33"/>
  <c r="B48" i="33"/>
  <c r="B54" i="33"/>
  <c r="L47" i="33"/>
  <c r="L48" i="33"/>
  <c r="L54" i="33"/>
  <c r="E46" i="33"/>
  <c r="E53" i="33"/>
  <c r="D48" i="33"/>
  <c r="D54" i="33"/>
  <c r="U55" i="33"/>
  <c r="O59" i="33"/>
  <c r="B53" i="33"/>
  <c r="M55" i="33"/>
  <c r="B65" i="33"/>
  <c r="B64" i="33"/>
  <c r="R61" i="33"/>
  <c r="T55" i="33"/>
  <c r="P55" i="33"/>
  <c r="R55" i="33"/>
  <c r="V55" i="33"/>
  <c r="S55" i="33"/>
  <c r="Q55" i="33"/>
  <c r="Q59" i="33"/>
  <c r="Q61" i="33"/>
  <c r="P59" i="33"/>
  <c r="P61" i="33"/>
  <c r="V61" i="33"/>
  <c r="U61" i="33"/>
  <c r="S61" i="33"/>
  <c r="T61" i="33"/>
  <c r="D55" i="33"/>
  <c r="B55" i="33"/>
  <c r="K55" i="33"/>
  <c r="L55" i="33"/>
  <c r="G55" i="33"/>
  <c r="F55" i="33"/>
  <c r="C55" i="33"/>
  <c r="J55" i="33"/>
  <c r="H55" i="33"/>
  <c r="I55" i="33"/>
  <c r="E55" i="33"/>
  <c r="H61" i="33"/>
  <c r="F61" i="33"/>
  <c r="K61" i="33"/>
  <c r="G61" i="33"/>
  <c r="O61" i="33"/>
  <c r="J61" i="33"/>
  <c r="E61" i="33"/>
  <c r="M61" i="33"/>
  <c r="I61" i="33"/>
  <c r="C61" i="33"/>
  <c r="D61" i="33"/>
  <c r="L61" i="33"/>
  <c r="L22" i="33"/>
  <c r="K22" i="33"/>
  <c r="J52" i="33"/>
  <c r="M45" i="33"/>
  <c r="M52" i="33"/>
  <c r="M27" i="33"/>
  <c r="M22" i="33"/>
  <c r="K52" i="33"/>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c r="Q22" i="33"/>
  <c r="Q45" i="33"/>
  <c r="Q27" i="33"/>
  <c r="Q52" i="33"/>
  <c r="O27" i="33"/>
  <c r="O52" i="33"/>
  <c r="O22" i="33"/>
  <c r="O45" i="33"/>
  <c r="P22" i="33"/>
  <c r="P45" i="33"/>
  <c r="P27" i="33"/>
  <c r="P52" i="33"/>
  <c r="B3" i="27"/>
  <c r="G9" i="27"/>
  <c r="G10" i="27"/>
  <c r="E9" i="27"/>
  <c r="E10" i="27"/>
  <c r="F9" i="27"/>
  <c r="F10" i="27"/>
  <c r="G6" i="22"/>
  <c r="G31" i="22"/>
  <c r="G30" i="22"/>
  <c r="M4" i="28"/>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c r="Q10" i="12"/>
  <c r="P22" i="1"/>
  <c r="Q45" i="1"/>
  <c r="R28" i="23"/>
  <c r="S28" i="23"/>
  <c r="S22" i="4"/>
  <c r="T28" i="23"/>
  <c r="T22" i="4"/>
  <c r="U28" i="23"/>
  <c r="U22" i="4"/>
  <c r="V28" i="23"/>
  <c r="R29" i="23"/>
  <c r="R23" i="4"/>
  <c r="S29" i="23"/>
  <c r="S23" i="4"/>
  <c r="T29" i="23"/>
  <c r="T23" i="4"/>
  <c r="U29" i="23"/>
  <c r="V29" i="23"/>
  <c r="V23" i="4"/>
  <c r="R30" i="23"/>
  <c r="R24" i="4"/>
  <c r="S30" i="23"/>
  <c r="T30" i="23"/>
  <c r="T24" i="4"/>
  <c r="U30" i="23"/>
  <c r="U24" i="4"/>
  <c r="V30" i="23"/>
  <c r="V24" i="4"/>
  <c r="R31" i="23"/>
  <c r="R25" i="4"/>
  <c r="S31" i="23"/>
  <c r="S25" i="4"/>
  <c r="T31" i="23"/>
  <c r="T25" i="4"/>
  <c r="U31" i="23"/>
  <c r="U25" i="4"/>
  <c r="V31" i="23"/>
  <c r="V25" i="4"/>
  <c r="P32" i="23"/>
  <c r="P26" i="4"/>
  <c r="R32" i="23"/>
  <c r="R26" i="4"/>
  <c r="S32" i="23"/>
  <c r="S26" i="4"/>
  <c r="T32" i="23"/>
  <c r="T26" i="4"/>
  <c r="U32" i="23"/>
  <c r="U26" i="4"/>
  <c r="V32" i="23"/>
  <c r="V26" i="4"/>
  <c r="R33" i="23"/>
  <c r="R27" i="4"/>
  <c r="S33" i="23"/>
  <c r="S27" i="4"/>
  <c r="T33" i="23"/>
  <c r="U33" i="23"/>
  <c r="V33" i="23"/>
  <c r="R34" i="23"/>
  <c r="R28" i="4"/>
  <c r="S34" i="23"/>
  <c r="S28" i="4"/>
  <c r="T34" i="23"/>
  <c r="T28" i="4"/>
  <c r="U34" i="23"/>
  <c r="U28" i="4"/>
  <c r="V34" i="23"/>
  <c r="V28" i="4"/>
  <c r="R35" i="23"/>
  <c r="R29" i="4"/>
  <c r="S35" i="23"/>
  <c r="S29" i="4"/>
  <c r="T35" i="23"/>
  <c r="T29" i="4"/>
  <c r="U35" i="23"/>
  <c r="V35" i="23"/>
  <c r="V29" i="4"/>
  <c r="P36" i="23"/>
  <c r="P30" i="4"/>
  <c r="Q36" i="23"/>
  <c r="Q30" i="4"/>
  <c r="R36" i="23"/>
  <c r="R30" i="4"/>
  <c r="S36" i="23"/>
  <c r="T36" i="23"/>
  <c r="T30" i="4"/>
  <c r="U36" i="23"/>
  <c r="U30" i="4"/>
  <c r="V36" i="23"/>
  <c r="V30" i="4"/>
  <c r="P37" i="23"/>
  <c r="P31" i="4"/>
  <c r="Q37" i="23"/>
  <c r="R37" i="23"/>
  <c r="R31" i="4"/>
  <c r="S37" i="23"/>
  <c r="S31" i="4"/>
  <c r="T37" i="23"/>
  <c r="T31" i="4"/>
  <c r="U37" i="23"/>
  <c r="V37" i="23"/>
  <c r="V31" i="4"/>
  <c r="P38" i="23"/>
  <c r="P32" i="4"/>
  <c r="Q38" i="23"/>
  <c r="Q32" i="4"/>
  <c r="R38" i="23"/>
  <c r="R32" i="4"/>
  <c r="S38" i="23"/>
  <c r="T38" i="23"/>
  <c r="T32" i="4"/>
  <c r="U38" i="23"/>
  <c r="U32" i="4"/>
  <c r="V38" i="23"/>
  <c r="V32" i="4"/>
  <c r="P39" i="23"/>
  <c r="P33" i="4"/>
  <c r="Q39" i="23"/>
  <c r="Q33" i="4"/>
  <c r="R39" i="23"/>
  <c r="R33" i="4"/>
  <c r="S39" i="23"/>
  <c r="S33" i="4"/>
  <c r="T39" i="23"/>
  <c r="T33" i="4"/>
  <c r="U39" i="23"/>
  <c r="V39" i="23"/>
  <c r="V33" i="4"/>
  <c r="P40" i="23"/>
  <c r="P34" i="4"/>
  <c r="Q40" i="23"/>
  <c r="Q34" i="4"/>
  <c r="R40" i="23"/>
  <c r="R34" i="4"/>
  <c r="S40" i="23"/>
  <c r="T40" i="23"/>
  <c r="T34" i="4"/>
  <c r="U40" i="23"/>
  <c r="U34" i="4"/>
  <c r="V40" i="23"/>
  <c r="V34" i="4"/>
  <c r="P41" i="23"/>
  <c r="P35" i="4"/>
  <c r="Q41" i="23"/>
  <c r="R41" i="23"/>
  <c r="R35" i="4"/>
  <c r="S41" i="23"/>
  <c r="S35" i="4"/>
  <c r="T41" i="23"/>
  <c r="T35" i="4"/>
  <c r="U41" i="23"/>
  <c r="V41" i="23"/>
  <c r="V35" i="4"/>
  <c r="P42" i="23"/>
  <c r="P36" i="4"/>
  <c r="Q42" i="23"/>
  <c r="Q36" i="4"/>
  <c r="R42" i="23"/>
  <c r="R36" i="4"/>
  <c r="S42" i="23"/>
  <c r="T42" i="23"/>
  <c r="T36" i="4"/>
  <c r="U42" i="23"/>
  <c r="U36" i="4"/>
  <c r="V42" i="23"/>
  <c r="V36" i="4"/>
  <c r="P43" i="23"/>
  <c r="Q43" i="23"/>
  <c r="R43" i="23"/>
  <c r="S43" i="23"/>
  <c r="T43" i="23"/>
  <c r="U43" i="23"/>
  <c r="V43" i="23"/>
  <c r="M32" i="23"/>
  <c r="M26" i="4"/>
  <c r="M34" i="23"/>
  <c r="M28" i="4"/>
  <c r="K36" i="23"/>
  <c r="K30" i="4"/>
  <c r="L36" i="23"/>
  <c r="L30" i="4"/>
  <c r="M36" i="23"/>
  <c r="M30" i="4"/>
  <c r="K37" i="23"/>
  <c r="K31" i="4"/>
  <c r="L37" i="23"/>
  <c r="L31" i="4"/>
  <c r="M37" i="23"/>
  <c r="M31" i="4"/>
  <c r="K38" i="23"/>
  <c r="K32" i="4"/>
  <c r="L38" i="23"/>
  <c r="L32" i="4"/>
  <c r="M38" i="23"/>
  <c r="M32" i="4"/>
  <c r="K39" i="23"/>
  <c r="K33" i="4"/>
  <c r="L39" i="23"/>
  <c r="L33" i="4"/>
  <c r="M39" i="23"/>
  <c r="M33" i="4"/>
  <c r="K40" i="23"/>
  <c r="K34" i="4"/>
  <c r="L40" i="23"/>
  <c r="L34" i="4"/>
  <c r="M40" i="23"/>
  <c r="M34" i="4"/>
  <c r="K41" i="23"/>
  <c r="K35" i="4"/>
  <c r="L41" i="23"/>
  <c r="L35" i="4"/>
  <c r="M41" i="23"/>
  <c r="M35" i="4"/>
  <c r="K42" i="23"/>
  <c r="K36" i="4"/>
  <c r="L42" i="23"/>
  <c r="L36" i="4"/>
  <c r="M42" i="23"/>
  <c r="M36" i="4"/>
  <c r="K43" i="23"/>
  <c r="L43" i="23"/>
  <c r="M43" i="23"/>
  <c r="S28" i="1"/>
  <c r="T28" i="1"/>
  <c r="U28" i="1"/>
  <c r="V28" i="1"/>
  <c r="S29" i="1"/>
  <c r="S7" i="4"/>
  <c r="T29" i="1"/>
  <c r="T7" i="4"/>
  <c r="U29" i="1"/>
  <c r="U7" i="4"/>
  <c r="V29" i="1"/>
  <c r="V7" i="4"/>
  <c r="S30" i="1"/>
  <c r="S8" i="4"/>
  <c r="T30" i="1"/>
  <c r="T8" i="4"/>
  <c r="U30" i="1"/>
  <c r="U8" i="4"/>
  <c r="V30" i="1"/>
  <c r="V8" i="4"/>
  <c r="S31" i="1"/>
  <c r="S9" i="4"/>
  <c r="T31" i="1"/>
  <c r="T9" i="4"/>
  <c r="U31" i="1"/>
  <c r="U9" i="4"/>
  <c r="V31" i="1"/>
  <c r="V9" i="4"/>
  <c r="S32" i="1"/>
  <c r="S10" i="4"/>
  <c r="T32" i="1"/>
  <c r="T10" i="4"/>
  <c r="U32" i="1"/>
  <c r="U10" i="4"/>
  <c r="V32" i="1"/>
  <c r="V10" i="4"/>
  <c r="S33" i="1"/>
  <c r="S11" i="4"/>
  <c r="T33" i="1"/>
  <c r="T11" i="4"/>
  <c r="U33" i="1"/>
  <c r="U11" i="4"/>
  <c r="V33" i="1"/>
  <c r="V11" i="4"/>
  <c r="S34" i="1"/>
  <c r="S12" i="4"/>
  <c r="T34" i="1"/>
  <c r="T12" i="4"/>
  <c r="U34" i="1"/>
  <c r="U12" i="4"/>
  <c r="V34" i="1"/>
  <c r="V12" i="4"/>
  <c r="S35" i="1"/>
  <c r="S13" i="4"/>
  <c r="T35" i="1"/>
  <c r="T13" i="4"/>
  <c r="U35" i="1"/>
  <c r="U13" i="4"/>
  <c r="V35" i="1"/>
  <c r="V13" i="4"/>
  <c r="S36" i="1"/>
  <c r="S14" i="4"/>
  <c r="T36" i="1"/>
  <c r="T14" i="4"/>
  <c r="U36" i="1"/>
  <c r="U14" i="4"/>
  <c r="V36" i="1"/>
  <c r="V14" i="4"/>
  <c r="S37" i="1"/>
  <c r="S15" i="4"/>
  <c r="T37" i="1"/>
  <c r="T15" i="4"/>
  <c r="U37" i="1"/>
  <c r="U15" i="4"/>
  <c r="V37" i="1"/>
  <c r="V15" i="4"/>
  <c r="S38" i="1"/>
  <c r="S16" i="4"/>
  <c r="T38" i="1"/>
  <c r="T16" i="4"/>
  <c r="U38" i="1"/>
  <c r="U16" i="4"/>
  <c r="V38" i="1"/>
  <c r="V16" i="4"/>
  <c r="S39" i="1"/>
  <c r="S17" i="4"/>
  <c r="T39" i="1"/>
  <c r="T17" i="4"/>
  <c r="U39" i="1"/>
  <c r="U17" i="4"/>
  <c r="V39" i="1"/>
  <c r="V17" i="4"/>
  <c r="S40" i="1"/>
  <c r="S18" i="4"/>
  <c r="T40" i="1"/>
  <c r="T18" i="4"/>
  <c r="U40" i="1"/>
  <c r="U18" i="4"/>
  <c r="V40" i="1"/>
  <c r="V18" i="4"/>
  <c r="S41" i="1"/>
  <c r="S19" i="4"/>
  <c r="T41" i="1"/>
  <c r="T19" i="4"/>
  <c r="U41" i="1"/>
  <c r="U19" i="4"/>
  <c r="V41" i="1"/>
  <c r="V19" i="4"/>
  <c r="S42" i="1"/>
  <c r="S20" i="4"/>
  <c r="T42" i="1"/>
  <c r="T20" i="4"/>
  <c r="U42" i="1"/>
  <c r="U20" i="4"/>
  <c r="V42" i="1"/>
  <c r="V20" i="4"/>
  <c r="S43" i="1"/>
  <c r="S21" i="4"/>
  <c r="T43" i="1"/>
  <c r="U43" i="1"/>
  <c r="V43" i="1"/>
  <c r="K36" i="1"/>
  <c r="K14" i="4"/>
  <c r="L36" i="1"/>
  <c r="L14" i="4"/>
  <c r="M36" i="1"/>
  <c r="M14" i="4"/>
  <c r="K37" i="1"/>
  <c r="K15" i="4"/>
  <c r="L37" i="1"/>
  <c r="L15" i="4"/>
  <c r="M37" i="1"/>
  <c r="M15" i="4"/>
  <c r="K38" i="1"/>
  <c r="K16" i="4"/>
  <c r="L38" i="1"/>
  <c r="L16" i="4"/>
  <c r="M38" i="1"/>
  <c r="M16" i="4"/>
  <c r="K39" i="1"/>
  <c r="K17" i="4"/>
  <c r="L39" i="1"/>
  <c r="L17" i="4"/>
  <c r="M39" i="1"/>
  <c r="M17" i="4"/>
  <c r="K40" i="1"/>
  <c r="K18" i="4"/>
  <c r="L40" i="1"/>
  <c r="L18" i="4"/>
  <c r="M40" i="1"/>
  <c r="M18" i="4"/>
  <c r="K41" i="1"/>
  <c r="K19" i="4"/>
  <c r="L41" i="1"/>
  <c r="L19" i="4"/>
  <c r="M41" i="1"/>
  <c r="M19" i="4"/>
  <c r="K42" i="1"/>
  <c r="K20" i="4"/>
  <c r="L42" i="1"/>
  <c r="L20" i="4"/>
  <c r="M42" i="1"/>
  <c r="M20" i="4"/>
  <c r="K43" i="1"/>
  <c r="L43" i="1"/>
  <c r="M43" i="1"/>
  <c r="N45" i="1"/>
  <c r="A45" i="1"/>
  <c r="A45" i="23"/>
  <c r="A22" i="23"/>
  <c r="A22" i="1"/>
  <c r="B1" i="4"/>
  <c r="A52" i="23"/>
  <c r="U37" i="4"/>
  <c r="Q37" i="4"/>
  <c r="S36" i="4"/>
  <c r="U35" i="4"/>
  <c r="Q35" i="4"/>
  <c r="S34" i="4"/>
  <c r="U33" i="4"/>
  <c r="S32" i="4"/>
  <c r="U31" i="4"/>
  <c r="Q31" i="4"/>
  <c r="S30" i="4"/>
  <c r="U27" i="4"/>
  <c r="S24" i="4"/>
  <c r="U23"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L23" i="23"/>
  <c r="J23" i="23"/>
  <c r="I23" i="23"/>
  <c r="H23" i="23"/>
  <c r="G23" i="23"/>
  <c r="F23" i="23"/>
  <c r="E23" i="23"/>
  <c r="D23" i="23"/>
  <c r="C23" i="23"/>
  <c r="B23" i="23"/>
  <c r="Q45" i="23"/>
  <c r="P45" i="23"/>
  <c r="O45" i="23"/>
  <c r="I22" i="23"/>
  <c r="H27" i="23"/>
  <c r="H52" i="23"/>
  <c r="G45" i="23"/>
  <c r="F27" i="23"/>
  <c r="F52" i="23"/>
  <c r="E45" i="23"/>
  <c r="C45" i="23"/>
  <c r="B45" i="23"/>
  <c r="J40" i="23"/>
  <c r="J34" i="4"/>
  <c r="J36" i="23"/>
  <c r="J30" i="4"/>
  <c r="J42" i="23"/>
  <c r="J36" i="4"/>
  <c r="J38" i="23"/>
  <c r="J32" i="4"/>
  <c r="J41" i="23"/>
  <c r="J35" i="4"/>
  <c r="J37" i="23"/>
  <c r="J31" i="4"/>
  <c r="J43" i="23"/>
  <c r="J39" i="23"/>
  <c r="J33" i="4"/>
  <c r="V27" i="4"/>
  <c r="P22" i="23"/>
  <c r="S23" i="1"/>
  <c r="T23" i="1"/>
  <c r="U23" i="1"/>
  <c r="V23" i="1"/>
  <c r="S24" i="1"/>
  <c r="T24" i="1"/>
  <c r="U24" i="1"/>
  <c r="V24" i="1"/>
  <c r="L23" i="1"/>
  <c r="M23" i="1"/>
  <c r="L24" i="1"/>
  <c r="M24" i="1"/>
  <c r="I23" i="1"/>
  <c r="I24" i="1"/>
  <c r="J36" i="1"/>
  <c r="J14" i="4"/>
  <c r="J37" i="1"/>
  <c r="J15" i="4"/>
  <c r="J38" i="1"/>
  <c r="J16" i="4"/>
  <c r="J39" i="1"/>
  <c r="J17" i="4"/>
  <c r="J40" i="1"/>
  <c r="J18" i="4"/>
  <c r="J41" i="1"/>
  <c r="J19" i="4"/>
  <c r="J42" i="1"/>
  <c r="J20" i="4"/>
  <c r="J43" i="1"/>
  <c r="I45" i="1"/>
  <c r="R33" i="1"/>
  <c r="R11" i="4"/>
  <c r="Q36" i="1"/>
  <c r="Q14" i="4"/>
  <c r="R36" i="1"/>
  <c r="R14" i="4"/>
  <c r="Q37" i="1"/>
  <c r="Q15" i="4"/>
  <c r="P38" i="1"/>
  <c r="P16" i="4"/>
  <c r="Q38" i="1"/>
  <c r="Q16" i="4"/>
  <c r="P39" i="1"/>
  <c r="P17" i="4"/>
  <c r="Q39" i="1"/>
  <c r="Q17" i="4"/>
  <c r="R39" i="1"/>
  <c r="R17" i="4"/>
  <c r="P40" i="1"/>
  <c r="P18" i="4"/>
  <c r="Q40" i="1"/>
  <c r="Q18" i="4"/>
  <c r="R40" i="1"/>
  <c r="R18" i="4"/>
  <c r="P41" i="1"/>
  <c r="P19" i="4"/>
  <c r="Q41" i="1"/>
  <c r="Q19" i="4"/>
  <c r="P42" i="1"/>
  <c r="P20" i="4"/>
  <c r="Q42" i="1"/>
  <c r="Q20" i="4"/>
  <c r="P43" i="1"/>
  <c r="Q43" i="1"/>
  <c r="R43" i="1"/>
  <c r="B23" i="1"/>
  <c r="B4" i="4"/>
  <c r="B62" i="4"/>
  <c r="A52" i="1"/>
  <c r="O22" i="1"/>
  <c r="Q24" i="1"/>
  <c r="P24" i="1"/>
  <c r="O24" i="1"/>
  <c r="Q23" i="1"/>
  <c r="P23" i="1"/>
  <c r="H27" i="1"/>
  <c r="H52" i="1"/>
  <c r="G27" i="1"/>
  <c r="G52" i="1"/>
  <c r="F27" i="1"/>
  <c r="F52" i="1"/>
  <c r="E4" i="4"/>
  <c r="D22" i="1"/>
  <c r="C45" i="1"/>
  <c r="O43" i="1"/>
  <c r="P33" i="1"/>
  <c r="P11" i="4"/>
  <c r="Q27" i="1"/>
  <c r="Q52" i="1"/>
  <c r="K24" i="1"/>
  <c r="J24" i="1"/>
  <c r="H24" i="1"/>
  <c r="G24" i="1"/>
  <c r="F24" i="1"/>
  <c r="E24" i="1"/>
  <c r="D24" i="1"/>
  <c r="C24" i="1"/>
  <c r="B24" i="1"/>
  <c r="K23" i="1"/>
  <c r="J23" i="1"/>
  <c r="H23" i="1"/>
  <c r="G23" i="1"/>
  <c r="F23" i="1"/>
  <c r="E23" i="1"/>
  <c r="D23" i="1"/>
  <c r="C23" i="1"/>
  <c r="R24" i="1"/>
  <c r="R23" i="1"/>
  <c r="K4" i="4"/>
  <c r="K62" i="4"/>
  <c r="L4" i="4"/>
  <c r="K52" i="23"/>
  <c r="L27" i="23"/>
  <c r="U56" i="1"/>
  <c r="V56" i="23"/>
  <c r="S56" i="1"/>
  <c r="T56" i="1"/>
  <c r="R56" i="23"/>
  <c r="S56" i="23"/>
  <c r="V56" i="1"/>
  <c r="T56" i="23"/>
  <c r="U56" i="23"/>
  <c r="O9" i="12"/>
  <c r="O10" i="12"/>
  <c r="J33" i="23"/>
  <c r="J27" i="4"/>
  <c r="J35" i="23"/>
  <c r="J29" i="4"/>
  <c r="J30" i="23"/>
  <c r="J24" i="4"/>
  <c r="P35" i="23"/>
  <c r="P29" i="4"/>
  <c r="Q34" i="23"/>
  <c r="Q28" i="4"/>
  <c r="P31" i="23"/>
  <c r="P25" i="4"/>
  <c r="P30" i="23"/>
  <c r="P24" i="4"/>
  <c r="Q28" i="23"/>
  <c r="J31" i="23"/>
  <c r="J25" i="4"/>
  <c r="J29" i="23"/>
  <c r="J23" i="4"/>
  <c r="P34" i="23"/>
  <c r="P28" i="4"/>
  <c r="Q29" i="23"/>
  <c r="Q23" i="4"/>
  <c r="P28" i="23"/>
  <c r="Q33" i="23"/>
  <c r="Q27" i="4"/>
  <c r="O42" i="23"/>
  <c r="O36" i="4"/>
  <c r="P29" i="23"/>
  <c r="J34" i="23"/>
  <c r="J28" i="4"/>
  <c r="J28" i="23"/>
  <c r="O36" i="23"/>
  <c r="O30" i="4"/>
  <c r="Q35" i="23"/>
  <c r="Q29" i="4"/>
  <c r="P33" i="23"/>
  <c r="P27" i="4"/>
  <c r="Q32" i="23"/>
  <c r="Q26" i="4"/>
  <c r="Q31" i="23"/>
  <c r="Q25" i="4"/>
  <c r="Q30" i="23"/>
  <c r="Q24" i="4"/>
  <c r="O41" i="23"/>
  <c r="O35" i="4"/>
  <c r="O33" i="23"/>
  <c r="O27" i="4"/>
  <c r="J32" i="23"/>
  <c r="O40" i="23"/>
  <c r="O34" i="4"/>
  <c r="O43" i="23"/>
  <c r="O37" i="4"/>
  <c r="O39" i="23"/>
  <c r="O33" i="4"/>
  <c r="O29" i="23"/>
  <c r="O23" i="4"/>
  <c r="O35" i="23"/>
  <c r="O29" i="4"/>
  <c r="M35" i="23"/>
  <c r="M29" i="4"/>
  <c r="L34" i="23"/>
  <c r="L28" i="4"/>
  <c r="K33" i="23"/>
  <c r="K27" i="4"/>
  <c r="K31" i="23"/>
  <c r="K25" i="4"/>
  <c r="M30" i="23"/>
  <c r="M24" i="4"/>
  <c r="L29" i="23"/>
  <c r="L23" i="4"/>
  <c r="K28" i="23"/>
  <c r="L35" i="23"/>
  <c r="L29" i="4"/>
  <c r="K34" i="23"/>
  <c r="K28" i="4"/>
  <c r="L30" i="23"/>
  <c r="L24" i="4"/>
  <c r="K29" i="23"/>
  <c r="K23" i="4"/>
  <c r="K35" i="23"/>
  <c r="K29" i="4"/>
  <c r="M33" i="23"/>
  <c r="M27" i="4"/>
  <c r="L32" i="23"/>
  <c r="L26" i="4"/>
  <c r="M31" i="23"/>
  <c r="M25" i="4"/>
  <c r="K30" i="23"/>
  <c r="K24" i="4"/>
  <c r="M28" i="23"/>
  <c r="L33" i="23"/>
  <c r="L27" i="4"/>
  <c r="K32" i="23"/>
  <c r="K26" i="4"/>
  <c r="L31" i="23"/>
  <c r="L25" i="4"/>
  <c r="M29" i="23"/>
  <c r="M23" i="4"/>
  <c r="L28" i="23"/>
  <c r="L22" i="4"/>
  <c r="Q28" i="1"/>
  <c r="O32" i="1"/>
  <c r="O10" i="4"/>
  <c r="O38" i="1"/>
  <c r="O16" i="4"/>
  <c r="P30" i="1"/>
  <c r="P8" i="4"/>
  <c r="O42" i="1"/>
  <c r="O20" i="4"/>
  <c r="O39" i="1"/>
  <c r="O17" i="4"/>
  <c r="Q35" i="1"/>
  <c r="Q13" i="4"/>
  <c r="O41" i="1"/>
  <c r="O19" i="4"/>
  <c r="P28" i="1"/>
  <c r="Q34" i="1"/>
  <c r="Q12" i="4"/>
  <c r="Q33" i="1"/>
  <c r="Q11" i="4"/>
  <c r="P34" i="1"/>
  <c r="P12" i="4"/>
  <c r="O40" i="1"/>
  <c r="O18" i="4"/>
  <c r="Q31" i="1"/>
  <c r="Q9" i="4"/>
  <c r="J33" i="1"/>
  <c r="J11" i="4"/>
  <c r="J29" i="1"/>
  <c r="J7" i="4"/>
  <c r="K35" i="1"/>
  <c r="K13" i="4"/>
  <c r="M33" i="1"/>
  <c r="M11" i="4"/>
  <c r="K30" i="1"/>
  <c r="K8" i="4"/>
  <c r="M28" i="1"/>
  <c r="M6" i="4"/>
  <c r="J32" i="1"/>
  <c r="J10" i="4"/>
  <c r="J28" i="1"/>
  <c r="J6" i="4"/>
  <c r="M34" i="1"/>
  <c r="M12" i="4"/>
  <c r="L33" i="1"/>
  <c r="L11" i="4"/>
  <c r="M32" i="1"/>
  <c r="M10" i="4"/>
  <c r="M31" i="1"/>
  <c r="M9" i="4"/>
  <c r="M29" i="1"/>
  <c r="M7" i="4"/>
  <c r="L28" i="1"/>
  <c r="J35" i="1"/>
  <c r="J13" i="4"/>
  <c r="J31" i="1"/>
  <c r="J9" i="4"/>
  <c r="M35" i="1"/>
  <c r="M13" i="4"/>
  <c r="L34" i="1"/>
  <c r="L12" i="4"/>
  <c r="K33" i="1"/>
  <c r="K11" i="4"/>
  <c r="L32" i="1"/>
  <c r="L10" i="4"/>
  <c r="L31" i="1"/>
  <c r="L9" i="4"/>
  <c r="M30" i="1"/>
  <c r="M8" i="4"/>
  <c r="L29" i="1"/>
  <c r="L7" i="4"/>
  <c r="K28" i="1"/>
  <c r="K6" i="4"/>
  <c r="J34" i="1"/>
  <c r="J12" i="4"/>
  <c r="J30" i="1"/>
  <c r="J8" i="4"/>
  <c r="L35" i="1"/>
  <c r="L13" i="4"/>
  <c r="K34" i="1"/>
  <c r="K12" i="4"/>
  <c r="K32" i="1"/>
  <c r="K10" i="4"/>
  <c r="K31" i="1"/>
  <c r="K9" i="4"/>
  <c r="L30" i="1"/>
  <c r="L8" i="4"/>
  <c r="K29" i="1"/>
  <c r="K7" i="4"/>
  <c r="L6" i="4"/>
  <c r="T6" i="4"/>
  <c r="M22" i="4"/>
  <c r="Q6" i="4"/>
  <c r="J22" i="4"/>
  <c r="S6" i="4"/>
  <c r="Q22" i="4"/>
  <c r="P6" i="4"/>
  <c r="U6" i="4"/>
  <c r="P22" i="4"/>
  <c r="T22" i="33"/>
  <c r="Q22" i="1"/>
  <c r="S9" i="12"/>
  <c r="S10" i="12"/>
  <c r="N9" i="12"/>
  <c r="N10" i="12"/>
  <c r="M9" i="12"/>
  <c r="M10" i="12"/>
  <c r="I9" i="12"/>
  <c r="I10" i="12"/>
  <c r="P9" i="12"/>
  <c r="P10" i="12"/>
  <c r="R35" i="1"/>
  <c r="R13" i="4"/>
  <c r="R41" i="1"/>
  <c r="R19" i="4"/>
  <c r="R37" i="1"/>
  <c r="R15" i="4"/>
  <c r="Q29" i="1"/>
  <c r="O37" i="1"/>
  <c r="O15" i="4"/>
  <c r="P29" i="1"/>
  <c r="R42" i="1"/>
  <c r="R20" i="4"/>
  <c r="R38" i="1"/>
  <c r="R16" i="4"/>
  <c r="R34" i="1"/>
  <c r="R12" i="4"/>
  <c r="L74" i="4"/>
  <c r="H2" i="12"/>
  <c r="L62" i="4"/>
  <c r="E55" i="4"/>
  <c r="E62" i="4"/>
  <c r="K9" i="12"/>
  <c r="K10" i="12"/>
  <c r="P21" i="4"/>
  <c r="I52" i="23"/>
  <c r="V37" i="4"/>
  <c r="R37" i="4"/>
  <c r="K37" i="4"/>
  <c r="I45" i="23"/>
  <c r="O21" i="4"/>
  <c r="R21" i="4"/>
  <c r="Q21" i="4"/>
  <c r="C27" i="23"/>
  <c r="C52" i="23"/>
  <c r="I27" i="23"/>
  <c r="V21" i="4"/>
  <c r="T21" i="4"/>
  <c r="O37" i="23"/>
  <c r="O31" i="4"/>
  <c r="O34" i="23"/>
  <c r="O28" i="4"/>
  <c r="O38" i="23"/>
  <c r="T37" i="4"/>
  <c r="L37" i="4"/>
  <c r="P37" i="4"/>
  <c r="S37" i="4"/>
  <c r="J37" i="4"/>
  <c r="M37" i="4"/>
  <c r="Q4" i="4"/>
  <c r="Q62" i="4"/>
  <c r="H7" i="22"/>
  <c r="A44" i="22"/>
  <c r="H22" i="22"/>
  <c r="H19" i="22"/>
  <c r="H15" i="22"/>
  <c r="H25" i="22"/>
  <c r="H21" i="22"/>
  <c r="H18" i="22"/>
  <c r="P27" i="23"/>
  <c r="P52" i="23"/>
  <c r="H20" i="22"/>
  <c r="H17" i="22"/>
  <c r="H23" i="22"/>
  <c r="H16" i="22"/>
  <c r="A49" i="22"/>
  <c r="J4" i="4"/>
  <c r="J45" i="23"/>
  <c r="M27" i="23"/>
  <c r="H10" i="22"/>
  <c r="M4" i="4"/>
  <c r="H13" i="22"/>
  <c r="H12" i="22"/>
  <c r="H11" i="22"/>
  <c r="L45" i="1"/>
  <c r="L27" i="1"/>
  <c r="L52" i="1"/>
  <c r="H9" i="22"/>
  <c r="H8" i="22"/>
  <c r="O32" i="23"/>
  <c r="O31" i="23"/>
  <c r="O25" i="4"/>
  <c r="O30" i="23"/>
  <c r="O24" i="4"/>
  <c r="R46" i="23"/>
  <c r="R53" i="23"/>
  <c r="O28" i="23"/>
  <c r="G47" i="23"/>
  <c r="G48" i="23"/>
  <c r="G54" i="23"/>
  <c r="Q32" i="1"/>
  <c r="P32" i="1"/>
  <c r="P10" i="4"/>
  <c r="D4" i="4"/>
  <c r="P23" i="4"/>
  <c r="O29" i="1"/>
  <c r="O7" i="4"/>
  <c r="B27" i="23"/>
  <c r="B52" i="23"/>
  <c r="K45" i="23"/>
  <c r="E27" i="23"/>
  <c r="E52" i="23"/>
  <c r="Q30" i="1"/>
  <c r="Q8" i="4"/>
  <c r="P35" i="1"/>
  <c r="P13" i="4"/>
  <c r="P31" i="1"/>
  <c r="P9" i="4"/>
  <c r="H22" i="23"/>
  <c r="V47" i="23"/>
  <c r="V48" i="23"/>
  <c r="V54" i="23"/>
  <c r="R47" i="23"/>
  <c r="R48" i="23"/>
  <c r="R54" i="23"/>
  <c r="G46" i="23"/>
  <c r="G53" i="23"/>
  <c r="P37" i="1"/>
  <c r="F22" i="23"/>
  <c r="O36" i="1"/>
  <c r="Q46" i="23"/>
  <c r="Q53" i="23"/>
  <c r="H45" i="23"/>
  <c r="D46" i="23"/>
  <c r="D53" i="23"/>
  <c r="Q47" i="23"/>
  <c r="Q48" i="23"/>
  <c r="Q54" i="23"/>
  <c r="U46" i="23"/>
  <c r="U53" i="23"/>
  <c r="T46" i="23"/>
  <c r="T53" i="23"/>
  <c r="R31" i="1"/>
  <c r="R9" i="4"/>
  <c r="R22" i="4"/>
  <c r="V22" i="4"/>
  <c r="U29" i="4"/>
  <c r="T47" i="23"/>
  <c r="T48" i="23"/>
  <c r="T54" i="23"/>
  <c r="T27" i="4"/>
  <c r="H46" i="23"/>
  <c r="H53" i="23"/>
  <c r="V57" i="1"/>
  <c r="U57" i="23"/>
  <c r="U57" i="1"/>
  <c r="T57" i="23"/>
  <c r="T57" i="1"/>
  <c r="S57" i="23"/>
  <c r="S57" i="1"/>
  <c r="V57" i="23"/>
  <c r="R57" i="23"/>
  <c r="J21" i="4"/>
  <c r="M21" i="4"/>
  <c r="R28" i="1"/>
  <c r="R30" i="1"/>
  <c r="R8" i="4"/>
  <c r="L21" i="4"/>
  <c r="U21" i="4"/>
  <c r="R29" i="1"/>
  <c r="R7" i="4"/>
  <c r="K21" i="4"/>
  <c r="P36" i="1"/>
  <c r="P14" i="4"/>
  <c r="R32" i="1"/>
  <c r="O34" i="1"/>
  <c r="O12" i="4"/>
  <c r="O35" i="1"/>
  <c r="O13" i="4"/>
  <c r="O33" i="1"/>
  <c r="O11" i="4"/>
  <c r="O30" i="1"/>
  <c r="O8" i="4"/>
  <c r="O31" i="1"/>
  <c r="O9" i="4"/>
  <c r="U46" i="1"/>
  <c r="U53" i="1"/>
  <c r="O28" i="1"/>
  <c r="S47" i="1"/>
  <c r="S48" i="1"/>
  <c r="S54" i="1"/>
  <c r="T46" i="1"/>
  <c r="T53" i="1"/>
  <c r="T47" i="1"/>
  <c r="T48" i="1"/>
  <c r="T54" i="1"/>
  <c r="S46" i="1"/>
  <c r="S53" i="1"/>
  <c r="V46" i="1"/>
  <c r="V53" i="1"/>
  <c r="V6" i="4"/>
  <c r="V47" i="1"/>
  <c r="V48" i="1"/>
  <c r="V54" i="1"/>
  <c r="U47" i="1"/>
  <c r="U48" i="1"/>
  <c r="U54" i="1"/>
  <c r="L52" i="23"/>
  <c r="C4" i="4"/>
  <c r="C47" i="23"/>
  <c r="C48" i="23"/>
  <c r="C54" i="23"/>
  <c r="P47" i="23"/>
  <c r="P48" i="23"/>
  <c r="P54" i="23"/>
  <c r="F47" i="23"/>
  <c r="F48" i="23"/>
  <c r="F54" i="23"/>
  <c r="U47" i="23"/>
  <c r="U48" i="23"/>
  <c r="U54" i="23"/>
  <c r="A47" i="22"/>
  <c r="F46" i="23"/>
  <c r="F53" i="23"/>
  <c r="C46" i="23"/>
  <c r="C53" i="23"/>
  <c r="G27" i="23"/>
  <c r="G52" i="23"/>
  <c r="A50" i="22"/>
  <c r="H50" i="22"/>
  <c r="K27" i="23"/>
  <c r="L22" i="1"/>
  <c r="D27" i="1"/>
  <c r="D52" i="1"/>
  <c r="D45" i="1"/>
  <c r="D22" i="23"/>
  <c r="D45" i="23"/>
  <c r="D27" i="23"/>
  <c r="D52" i="23"/>
  <c r="S46" i="23"/>
  <c r="S53" i="23"/>
  <c r="S47" i="23"/>
  <c r="S48" i="23"/>
  <c r="S54" i="23"/>
  <c r="V46" i="23"/>
  <c r="V53" i="23"/>
  <c r="F45" i="23"/>
  <c r="E22" i="23"/>
  <c r="G22" i="23"/>
  <c r="K22" i="23"/>
  <c r="L45" i="23"/>
  <c r="O22" i="23"/>
  <c r="Q22" i="23"/>
  <c r="B22" i="23"/>
  <c r="C22" i="23"/>
  <c r="L22" i="23"/>
  <c r="Q27" i="23"/>
  <c r="Q52" i="23"/>
  <c r="O27" i="23"/>
  <c r="O52" i="23"/>
  <c r="E45" i="1"/>
  <c r="B27" i="1"/>
  <c r="B52" i="1"/>
  <c r="K27" i="1"/>
  <c r="K52" i="1"/>
  <c r="F4" i="4"/>
  <c r="G22" i="1"/>
  <c r="F45" i="1"/>
  <c r="C22" i="1"/>
  <c r="B22" i="1"/>
  <c r="G45" i="1"/>
  <c r="E27" i="1"/>
  <c r="E52" i="1"/>
  <c r="E22" i="1"/>
  <c r="I22" i="1"/>
  <c r="I27" i="1"/>
  <c r="P27" i="1"/>
  <c r="P52" i="1"/>
  <c r="H4" i="4"/>
  <c r="F22" i="1"/>
  <c r="I4" i="4"/>
  <c r="G4" i="4"/>
  <c r="C27" i="1"/>
  <c r="C52" i="1"/>
  <c r="B45" i="1"/>
  <c r="K74" i="4"/>
  <c r="G2" i="12"/>
  <c r="K22" i="1"/>
  <c r="H22" i="1"/>
  <c r="O4" i="4"/>
  <c r="H45" i="1"/>
  <c r="O45" i="1"/>
  <c r="P4" i="4"/>
  <c r="K45" i="1"/>
  <c r="P45" i="1"/>
  <c r="O27" i="1"/>
  <c r="O52" i="1"/>
  <c r="I52" i="1"/>
  <c r="K55" i="4"/>
  <c r="B55" i="4"/>
  <c r="H9" i="12"/>
  <c r="H10" i="12"/>
  <c r="G9" i="12"/>
  <c r="G10" i="12"/>
  <c r="E9" i="12"/>
  <c r="E10" i="12"/>
  <c r="L55" i="4"/>
  <c r="E74" i="4"/>
  <c r="B74" i="4"/>
  <c r="T9" i="12"/>
  <c r="T10" i="12"/>
  <c r="F9" i="12"/>
  <c r="F10" i="12"/>
  <c r="L9" i="12"/>
  <c r="L10" i="12"/>
  <c r="J9" i="12"/>
  <c r="J10" i="12"/>
  <c r="R9" i="12"/>
  <c r="R10" i="12"/>
  <c r="D56" i="23"/>
  <c r="F56" i="23"/>
  <c r="L56" i="23"/>
  <c r="M78" i="4"/>
  <c r="U78" i="4"/>
  <c r="G56" i="1"/>
  <c r="R56" i="1"/>
  <c r="S78" i="4"/>
  <c r="C56" i="23"/>
  <c r="O56" i="23"/>
  <c r="L78" i="4"/>
  <c r="M56" i="1"/>
  <c r="I56" i="23"/>
  <c r="C56" i="1"/>
  <c r="Q56" i="1"/>
  <c r="H56" i="1"/>
  <c r="F56" i="1"/>
  <c r="E56" i="1"/>
  <c r="Q56" i="23"/>
  <c r="G56" i="23"/>
  <c r="H56" i="23"/>
  <c r="K56" i="23"/>
  <c r="J56" i="1"/>
  <c r="O56" i="1"/>
  <c r="P56" i="1"/>
  <c r="V78" i="4"/>
  <c r="L56" i="1"/>
  <c r="D56" i="1"/>
  <c r="B56" i="23"/>
  <c r="I56" i="1"/>
  <c r="P56" i="23"/>
  <c r="J56" i="23"/>
  <c r="K56" i="1"/>
  <c r="T78" i="4"/>
  <c r="E56" i="23"/>
  <c r="M56" i="23"/>
  <c r="B56" i="1"/>
  <c r="E46" i="23"/>
  <c r="E53" i="23"/>
  <c r="M47" i="23"/>
  <c r="M48" i="23"/>
  <c r="M54" i="23"/>
  <c r="P46" i="23"/>
  <c r="P53" i="23"/>
  <c r="I57" i="23"/>
  <c r="C57" i="23"/>
  <c r="G57" i="23"/>
  <c r="D57" i="23"/>
  <c r="E57" i="23"/>
  <c r="P57" i="23"/>
  <c r="Q57" i="23"/>
  <c r="I46" i="23"/>
  <c r="I53" i="23"/>
  <c r="H47" i="23"/>
  <c r="H48" i="23"/>
  <c r="H54" i="23"/>
  <c r="D47" i="23"/>
  <c r="D48" i="23"/>
  <c r="D54" i="23"/>
  <c r="E47" i="23"/>
  <c r="E48" i="23"/>
  <c r="E54" i="23"/>
  <c r="I47" i="23"/>
  <c r="I48" i="23"/>
  <c r="I54" i="23"/>
  <c r="M46" i="23"/>
  <c r="M53" i="23"/>
  <c r="J57" i="23"/>
  <c r="H57" i="23"/>
  <c r="F57" i="23"/>
  <c r="J26" i="4"/>
  <c r="J56" i="4"/>
  <c r="J75" i="4"/>
  <c r="J46" i="23"/>
  <c r="J53" i="23"/>
  <c r="J47" i="23"/>
  <c r="J48" i="23"/>
  <c r="J54" i="23"/>
  <c r="K47" i="23"/>
  <c r="K48" i="23"/>
  <c r="K54" i="23"/>
  <c r="L47" i="23"/>
  <c r="L48" i="23"/>
  <c r="L54" i="23"/>
  <c r="K46" i="23"/>
  <c r="K53" i="23"/>
  <c r="L46" i="23"/>
  <c r="L53" i="23"/>
  <c r="K57" i="23"/>
  <c r="L57" i="23"/>
  <c r="M57" i="23"/>
  <c r="K22" i="4"/>
  <c r="K63" i="4"/>
  <c r="K64" i="4"/>
  <c r="S63" i="4"/>
  <c r="S64" i="4"/>
  <c r="M47" i="1"/>
  <c r="M48" i="1"/>
  <c r="M54" i="1"/>
  <c r="L46" i="1"/>
  <c r="L53" i="1"/>
  <c r="K46" i="1"/>
  <c r="K53" i="1"/>
  <c r="K47" i="1"/>
  <c r="K48" i="1"/>
  <c r="K54" i="1"/>
  <c r="M46" i="1"/>
  <c r="M53" i="1"/>
  <c r="L47" i="1"/>
  <c r="L48" i="1"/>
  <c r="L54" i="1"/>
  <c r="J46" i="1"/>
  <c r="J53" i="1"/>
  <c r="J47" i="1"/>
  <c r="J48" i="1"/>
  <c r="J54" i="1"/>
  <c r="M63" i="4"/>
  <c r="M64" i="4"/>
  <c r="F46" i="1"/>
  <c r="F53" i="1"/>
  <c r="K57" i="1"/>
  <c r="J57" i="1"/>
  <c r="L57" i="1"/>
  <c r="M57" i="1"/>
  <c r="P47" i="1"/>
  <c r="P48" i="1"/>
  <c r="P54" i="1"/>
  <c r="R6" i="4"/>
  <c r="P7" i="4"/>
  <c r="O6" i="4"/>
  <c r="L63" i="4"/>
  <c r="L64" i="4"/>
  <c r="Q7" i="4"/>
  <c r="U63" i="4"/>
  <c r="U64" i="4"/>
  <c r="V63" i="4"/>
  <c r="V64" i="4"/>
  <c r="T63" i="4"/>
  <c r="T64" i="4"/>
  <c r="H47" i="22"/>
  <c r="H49" i="22"/>
  <c r="H44" i="22"/>
  <c r="A46" i="22"/>
  <c r="H46" i="22"/>
  <c r="T27" i="33"/>
  <c r="T52" i="33"/>
  <c r="A34" i="22"/>
  <c r="H34" i="22"/>
  <c r="A35" i="22"/>
  <c r="H35" i="22"/>
  <c r="T45" i="33"/>
  <c r="A38" i="22"/>
  <c r="H38" i="22"/>
  <c r="A42" i="22"/>
  <c r="H42" i="22"/>
  <c r="A40" i="22"/>
  <c r="H40" i="22"/>
  <c r="I47" i="1"/>
  <c r="I48" i="1"/>
  <c r="I54" i="1"/>
  <c r="F47" i="1"/>
  <c r="F48" i="1"/>
  <c r="F54" i="1"/>
  <c r="G47" i="1"/>
  <c r="G48" i="1"/>
  <c r="G54" i="1"/>
  <c r="E47" i="1"/>
  <c r="E48" i="1"/>
  <c r="E54" i="1"/>
  <c r="Q46" i="1"/>
  <c r="Q53" i="1"/>
  <c r="E46" i="1"/>
  <c r="E53" i="1"/>
  <c r="Q47" i="1"/>
  <c r="Q48" i="1"/>
  <c r="Q54" i="1"/>
  <c r="I46" i="1"/>
  <c r="I53" i="1"/>
  <c r="Q74" i="4"/>
  <c r="A51" i="22"/>
  <c r="H51" i="22"/>
  <c r="A45" i="22"/>
  <c r="H45" i="22"/>
  <c r="M57" i="4"/>
  <c r="M58" i="4"/>
  <c r="M76" i="4"/>
  <c r="T57" i="4"/>
  <c r="T58" i="4"/>
  <c r="T76" i="4"/>
  <c r="H57" i="1"/>
  <c r="G57" i="1"/>
  <c r="F57" i="1"/>
  <c r="I57" i="1"/>
  <c r="E57" i="1"/>
  <c r="G46" i="1"/>
  <c r="G53" i="1"/>
  <c r="H46" i="1"/>
  <c r="H53" i="1"/>
  <c r="H47" i="1"/>
  <c r="H48" i="1"/>
  <c r="H54" i="1"/>
  <c r="I63" i="4"/>
  <c r="I64" i="4"/>
  <c r="I55" i="4"/>
  <c r="I62" i="4"/>
  <c r="V57" i="4"/>
  <c r="V58" i="4"/>
  <c r="V76" i="4"/>
  <c r="V56" i="4"/>
  <c r="V75" i="4"/>
  <c r="U57" i="4"/>
  <c r="U58" i="4"/>
  <c r="U76" i="4"/>
  <c r="L56" i="4"/>
  <c r="L75" i="4"/>
  <c r="S56" i="4"/>
  <c r="S75" i="4"/>
  <c r="O55" i="4"/>
  <c r="O62" i="4"/>
  <c r="F55" i="4"/>
  <c r="F62" i="4"/>
  <c r="M55" i="4"/>
  <c r="M62" i="4"/>
  <c r="J55" i="4"/>
  <c r="J62" i="4"/>
  <c r="L57" i="4"/>
  <c r="L58" i="4"/>
  <c r="L76" i="4"/>
  <c r="P55" i="4"/>
  <c r="P62" i="4"/>
  <c r="G55" i="4"/>
  <c r="G62" i="4"/>
  <c r="H74" i="4"/>
  <c r="H62" i="4"/>
  <c r="U22" i="33"/>
  <c r="U45" i="33"/>
  <c r="U27" i="33"/>
  <c r="U52" i="33"/>
  <c r="R45" i="33"/>
  <c r="R27" i="33"/>
  <c r="R52" i="33"/>
  <c r="R22" i="33"/>
  <c r="U56" i="4"/>
  <c r="U75" i="4"/>
  <c r="M56" i="4"/>
  <c r="M75" i="4"/>
  <c r="T56" i="4"/>
  <c r="T75" i="4"/>
  <c r="C74" i="4"/>
  <c r="C62" i="4"/>
  <c r="D55" i="4"/>
  <c r="D62" i="4"/>
  <c r="S27" i="33"/>
  <c r="S52" i="33"/>
  <c r="S22" i="33"/>
  <c r="S45" i="33"/>
  <c r="A36" i="22"/>
  <c r="H36" i="22"/>
  <c r="S57" i="4"/>
  <c r="S58" i="4"/>
  <c r="S76" i="4"/>
  <c r="Q55" i="4"/>
  <c r="V45" i="1"/>
  <c r="O32" i="4"/>
  <c r="Q10" i="4"/>
  <c r="H55" i="4"/>
  <c r="R10" i="4"/>
  <c r="O14" i="4"/>
  <c r="P15" i="4"/>
  <c r="V45" i="23"/>
  <c r="A32" i="22"/>
  <c r="H32" i="22"/>
  <c r="D13" i="28"/>
  <c r="D9" i="28"/>
  <c r="D5" i="28"/>
  <c r="D14" i="28"/>
  <c r="D10" i="28"/>
  <c r="D6" i="28"/>
  <c r="D15" i="28"/>
  <c r="D11" i="28"/>
  <c r="D7" i="28"/>
  <c r="D3" i="28"/>
  <c r="D12" i="28"/>
  <c r="D8" i="28"/>
  <c r="D4" i="28"/>
  <c r="L79" i="4"/>
  <c r="V79" i="4"/>
  <c r="M79" i="4"/>
  <c r="U79" i="4"/>
  <c r="T79" i="4"/>
  <c r="S79" i="4"/>
  <c r="O26" i="4"/>
  <c r="P46" i="1"/>
  <c r="P53" i="1"/>
  <c r="A37" i="22"/>
  <c r="H37" i="22"/>
  <c r="U22" i="1"/>
  <c r="M74" i="4"/>
  <c r="I2" i="12"/>
  <c r="M27" i="1"/>
  <c r="M52" i="1"/>
  <c r="M22" i="1"/>
  <c r="J52" i="1"/>
  <c r="J74" i="4"/>
  <c r="F2" i="12"/>
  <c r="J27" i="1"/>
  <c r="J45" i="1"/>
  <c r="A48" i="22"/>
  <c r="H48" i="22"/>
  <c r="A33" i="22"/>
  <c r="H33" i="22"/>
  <c r="A43" i="22"/>
  <c r="H43" i="22"/>
  <c r="A41" i="22"/>
  <c r="H41" i="22"/>
  <c r="A39" i="22"/>
  <c r="H39" i="22"/>
  <c r="C55" i="4"/>
  <c r="U22" i="23"/>
  <c r="J22" i="23"/>
  <c r="J52" i="23"/>
  <c r="J22" i="1"/>
  <c r="J27" i="23"/>
  <c r="R22" i="1"/>
  <c r="R22" i="23"/>
  <c r="M52" i="23"/>
  <c r="M22" i="23"/>
  <c r="M45" i="23"/>
  <c r="L2" i="12"/>
  <c r="M45" i="1"/>
  <c r="B46" i="23"/>
  <c r="B53" i="23"/>
  <c r="B55" i="23"/>
  <c r="O46" i="23"/>
  <c r="O53" i="23"/>
  <c r="O55" i="23"/>
  <c r="O47" i="23"/>
  <c r="O48" i="23"/>
  <c r="O54" i="23"/>
  <c r="B47" i="23"/>
  <c r="B48" i="23"/>
  <c r="B54" i="23"/>
  <c r="B57" i="23"/>
  <c r="O57" i="23"/>
  <c r="O22" i="4"/>
  <c r="R47" i="1"/>
  <c r="R48" i="1"/>
  <c r="R54" i="1"/>
  <c r="Q57" i="1"/>
  <c r="D74" i="4"/>
  <c r="M2" i="12"/>
  <c r="R46" i="1"/>
  <c r="R53" i="1"/>
  <c r="J2" i="12"/>
  <c r="C47" i="1"/>
  <c r="C48" i="1"/>
  <c r="C54" i="1"/>
  <c r="G74" i="4"/>
  <c r="D57" i="1"/>
  <c r="R57" i="1"/>
  <c r="P57" i="1"/>
  <c r="O57" i="1"/>
  <c r="C57" i="1"/>
  <c r="C63" i="4"/>
  <c r="C64" i="4"/>
  <c r="B57" i="1"/>
  <c r="C46" i="1"/>
  <c r="C53" i="1"/>
  <c r="B46" i="1"/>
  <c r="B53" i="1"/>
  <c r="G55" i="1"/>
  <c r="B47" i="1"/>
  <c r="B48" i="1"/>
  <c r="B54" i="1"/>
  <c r="D46" i="1"/>
  <c r="D53" i="1"/>
  <c r="O47" i="1"/>
  <c r="O48" i="1"/>
  <c r="O54" i="1"/>
  <c r="O46" i="1"/>
  <c r="O53" i="1"/>
  <c r="O55" i="1"/>
  <c r="D47" i="1"/>
  <c r="D48" i="1"/>
  <c r="D54" i="1"/>
  <c r="F74" i="4"/>
  <c r="I74" i="4"/>
  <c r="O74" i="4"/>
  <c r="P74" i="4"/>
  <c r="AD2" i="12"/>
  <c r="Q78" i="4"/>
  <c r="K78" i="4"/>
  <c r="O78" i="4"/>
  <c r="P78" i="4"/>
  <c r="R78" i="4"/>
  <c r="J78" i="4"/>
  <c r="J79" i="4"/>
  <c r="J57" i="4"/>
  <c r="J58" i="4"/>
  <c r="J76" i="4"/>
  <c r="F4" i="12"/>
  <c r="J63" i="4"/>
  <c r="J64" i="4"/>
  <c r="K79" i="4"/>
  <c r="K56" i="4"/>
  <c r="K75" i="4"/>
  <c r="K57" i="4"/>
  <c r="K58" i="4"/>
  <c r="K76" i="4"/>
  <c r="G4" i="12"/>
  <c r="C55" i="23"/>
  <c r="F55" i="23"/>
  <c r="H56" i="4"/>
  <c r="H75" i="4"/>
  <c r="F63" i="4"/>
  <c r="F64" i="4"/>
  <c r="I57" i="4"/>
  <c r="I58" i="4"/>
  <c r="I76" i="4"/>
  <c r="V4" i="4"/>
  <c r="V55" i="4"/>
  <c r="R63" i="4"/>
  <c r="R64" i="4"/>
  <c r="P55" i="23"/>
  <c r="U55" i="1"/>
  <c r="R55" i="23"/>
  <c r="S55" i="1"/>
  <c r="U55" i="23"/>
  <c r="T55" i="1"/>
  <c r="R55" i="1"/>
  <c r="P55" i="1"/>
  <c r="V55" i="1"/>
  <c r="Q55" i="23"/>
  <c r="Q55" i="1"/>
  <c r="S55" i="23"/>
  <c r="V55" i="23"/>
  <c r="T55" i="23"/>
  <c r="D63" i="4"/>
  <c r="D64" i="4"/>
  <c r="B63" i="4"/>
  <c r="B64" i="4"/>
  <c r="O63" i="4"/>
  <c r="O64" i="4"/>
  <c r="G56" i="4"/>
  <c r="G75" i="4"/>
  <c r="H57" i="4"/>
  <c r="H58" i="4"/>
  <c r="H76" i="4"/>
  <c r="H63" i="4"/>
  <c r="H64" i="4"/>
  <c r="P63" i="4"/>
  <c r="P64" i="4"/>
  <c r="G63" i="4"/>
  <c r="G64" i="4"/>
  <c r="E63" i="4"/>
  <c r="E64" i="4"/>
  <c r="Q63" i="4"/>
  <c r="Q64" i="4"/>
  <c r="V27" i="23"/>
  <c r="V52" i="23"/>
  <c r="I56" i="4"/>
  <c r="I75" i="4"/>
  <c r="J4" i="12"/>
  <c r="M4" i="12"/>
  <c r="H4" i="12"/>
  <c r="I4" i="12"/>
  <c r="L4" i="12"/>
  <c r="U45" i="1"/>
  <c r="V22" i="1"/>
  <c r="V22" i="23"/>
  <c r="V27" i="1"/>
  <c r="V52" i="1"/>
  <c r="G57" i="4"/>
  <c r="G58" i="4"/>
  <c r="G76" i="4"/>
  <c r="F57" i="4"/>
  <c r="F58" i="4"/>
  <c r="F76" i="4"/>
  <c r="B56" i="4"/>
  <c r="E57" i="4"/>
  <c r="E58" i="4"/>
  <c r="E76" i="4"/>
  <c r="E56" i="4"/>
  <c r="E75" i="4"/>
  <c r="F56" i="4"/>
  <c r="F75" i="4"/>
  <c r="P57" i="4"/>
  <c r="P58" i="4"/>
  <c r="P76" i="4"/>
  <c r="R56" i="4"/>
  <c r="R75" i="4"/>
  <c r="D56" i="4"/>
  <c r="D75" i="4"/>
  <c r="B57" i="4"/>
  <c r="B58" i="4"/>
  <c r="B76" i="4"/>
  <c r="AH2" i="12"/>
  <c r="V45" i="33"/>
  <c r="V27" i="33"/>
  <c r="V52" i="33"/>
  <c r="V22" i="33"/>
  <c r="D57" i="4"/>
  <c r="D58" i="4"/>
  <c r="D76" i="4"/>
  <c r="O57" i="4"/>
  <c r="O58" i="4"/>
  <c r="O76" i="4"/>
  <c r="C57" i="4"/>
  <c r="C58" i="4"/>
  <c r="C76" i="4"/>
  <c r="Q2" i="12"/>
  <c r="Q4" i="12"/>
  <c r="P2" i="12"/>
  <c r="P4" i="12"/>
  <c r="Q56" i="4"/>
  <c r="Q75" i="4"/>
  <c r="O56" i="4"/>
  <c r="O75" i="4"/>
  <c r="T77" i="4"/>
  <c r="C56" i="4"/>
  <c r="C75" i="4"/>
  <c r="R2" i="12"/>
  <c r="R4" i="12"/>
  <c r="AA2" i="12"/>
  <c r="P56" i="4"/>
  <c r="R57" i="4"/>
  <c r="R58" i="4"/>
  <c r="R76" i="4"/>
  <c r="Q57" i="4"/>
  <c r="Q58" i="4"/>
  <c r="Q76" i="4"/>
  <c r="Q79" i="4"/>
  <c r="P79" i="4"/>
  <c r="R79" i="4"/>
  <c r="R80" i="4"/>
  <c r="U4" i="4"/>
  <c r="F2" i="27"/>
  <c r="O2" i="12"/>
  <c r="O4" i="12"/>
  <c r="U27" i="1"/>
  <c r="U52" i="1"/>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O79" i="4"/>
  <c r="B64" i="23"/>
  <c r="Q59" i="23"/>
  <c r="P59" i="23"/>
  <c r="B65" i="23"/>
  <c r="N2" i="12"/>
  <c r="N4" i="12"/>
  <c r="R45" i="23"/>
  <c r="S4" i="4"/>
  <c r="S62" i="4"/>
  <c r="S45" i="1"/>
  <c r="S27" i="1"/>
  <c r="S52" i="1"/>
  <c r="S22" i="1"/>
  <c r="S2" i="12"/>
  <c r="S4" i="12"/>
  <c r="U27" i="23"/>
  <c r="U52" i="23"/>
  <c r="U45" i="23"/>
  <c r="S45" i="23"/>
  <c r="S27" i="23"/>
  <c r="S52" i="23"/>
  <c r="S22" i="23"/>
  <c r="R45" i="1"/>
  <c r="R4" i="4"/>
  <c r="R62" i="4"/>
  <c r="R27" i="1"/>
  <c r="R52" i="1"/>
  <c r="R27" i="23"/>
  <c r="R52" i="23"/>
  <c r="O59" i="23"/>
  <c r="C55" i="1"/>
  <c r="H55" i="1"/>
  <c r="F55" i="1"/>
  <c r="I55" i="1"/>
  <c r="L55" i="1"/>
  <c r="J55" i="1"/>
  <c r="D55" i="1"/>
  <c r="K55" i="1"/>
  <c r="E55" i="1"/>
  <c r="H3" i="12"/>
  <c r="O59" i="1"/>
  <c r="M55" i="1"/>
  <c r="P59" i="1"/>
  <c r="Q59" i="1"/>
  <c r="B65" i="1"/>
  <c r="B64" i="1"/>
  <c r="B55" i="1"/>
  <c r="G3" i="12"/>
  <c r="T27" i="23"/>
  <c r="T52" i="23"/>
  <c r="T45" i="23"/>
  <c r="T22" i="23"/>
  <c r="F3" i="12"/>
  <c r="J3" i="12"/>
  <c r="I3" i="12"/>
  <c r="T27" i="1"/>
  <c r="T52" i="1"/>
  <c r="T45" i="1"/>
  <c r="T4" i="4"/>
  <c r="T62" i="4"/>
  <c r="T22" i="1"/>
  <c r="F4" i="27"/>
  <c r="J80" i="4"/>
  <c r="V74" i="4"/>
  <c r="Z2" i="12"/>
  <c r="V62" i="4"/>
  <c r="P75" i="4"/>
  <c r="B5" i="27"/>
  <c r="O81" i="4"/>
  <c r="AE2" i="12"/>
  <c r="U74" i="4"/>
  <c r="Y2" i="12"/>
  <c r="U62" i="4"/>
  <c r="B6" i="12"/>
  <c r="B6" i="27"/>
  <c r="R61" i="23"/>
  <c r="U55" i="4"/>
  <c r="F3" i="27"/>
  <c r="V77" i="4"/>
  <c r="U77" i="4"/>
  <c r="O77" i="4"/>
  <c r="S77" i="4"/>
  <c r="Q77" i="4"/>
  <c r="R77" i="4"/>
  <c r="P81" i="4"/>
  <c r="Q81" i="4"/>
  <c r="B86" i="4"/>
  <c r="B87" i="4"/>
  <c r="B75" i="4"/>
  <c r="Q61" i="23"/>
  <c r="U61" i="23"/>
  <c r="P61" i="23"/>
  <c r="S61" i="23"/>
  <c r="T61" i="23"/>
  <c r="V61" i="23"/>
  <c r="D61" i="1"/>
  <c r="U61" i="1"/>
  <c r="S61" i="1"/>
  <c r="G61" i="1"/>
  <c r="M61" i="1"/>
  <c r="L61" i="1"/>
  <c r="T61" i="1"/>
  <c r="E61" i="1"/>
  <c r="F61" i="1"/>
  <c r="K61" i="1"/>
  <c r="I61" i="1"/>
  <c r="J61" i="1"/>
  <c r="V61" i="1"/>
  <c r="H61" i="1"/>
  <c r="O3" i="12"/>
  <c r="R3" i="12"/>
  <c r="S3" i="12"/>
  <c r="N3" i="12"/>
  <c r="M3" i="12"/>
  <c r="L3" i="12"/>
  <c r="AC2" i="12"/>
  <c r="S55" i="4"/>
  <c r="S74" i="4"/>
  <c r="W2" i="12"/>
  <c r="AG2" i="12"/>
  <c r="R55" i="4"/>
  <c r="R74" i="4"/>
  <c r="AD4" i="12"/>
  <c r="P3" i="12"/>
  <c r="Q3" i="12"/>
  <c r="K2" i="12"/>
  <c r="K4" i="12"/>
  <c r="B4" i="27"/>
  <c r="B4" i="12"/>
  <c r="O61" i="1"/>
  <c r="Q61" i="1"/>
  <c r="P61" i="1"/>
  <c r="C61" i="1"/>
  <c r="R61" i="1"/>
  <c r="AB2" i="12"/>
  <c r="AB4" i="12"/>
  <c r="AF2" i="12"/>
  <c r="T55" i="4"/>
  <c r="T74" i="4"/>
  <c r="B5" i="12"/>
  <c r="P77" i="4"/>
  <c r="AE4" i="12"/>
  <c r="Z4" i="12"/>
  <c r="W4" i="12"/>
  <c r="AG4" i="12"/>
  <c r="AC4" i="12"/>
  <c r="AH4" i="12"/>
  <c r="AF4" i="12"/>
  <c r="Y4" i="12"/>
  <c r="AA4" i="12"/>
  <c r="I81" i="4"/>
  <c r="F2" i="28"/>
  <c r="F81" i="4"/>
  <c r="F83" i="4"/>
  <c r="G81" i="4"/>
  <c r="H81" i="4"/>
  <c r="D81" i="4"/>
  <c r="D83" i="4"/>
  <c r="E81" i="4"/>
  <c r="C81" i="4"/>
  <c r="K77" i="4"/>
  <c r="J77" i="4"/>
  <c r="G77" i="4"/>
  <c r="F77" i="4"/>
  <c r="L77" i="4"/>
  <c r="B77" i="4"/>
  <c r="B2" i="27"/>
  <c r="G6" i="27"/>
  <c r="M77" i="4"/>
  <c r="I77" i="4"/>
  <c r="B2" i="12"/>
  <c r="E6" i="12"/>
  <c r="H77" i="4"/>
  <c r="D77" i="4"/>
  <c r="C77" i="4"/>
  <c r="E77" i="4"/>
  <c r="AG8" i="12"/>
  <c r="AG9" i="12"/>
  <c r="AG10" i="12"/>
  <c r="U8" i="12"/>
  <c r="U9" i="12"/>
  <c r="U10" i="12"/>
  <c r="AJ8" i="12"/>
  <c r="AJ9" i="12"/>
  <c r="AJ10" i="12"/>
  <c r="AB8" i="12"/>
  <c r="AB9" i="12"/>
  <c r="AB10" i="12"/>
  <c r="Z8" i="12"/>
  <c r="Z9" i="12"/>
  <c r="Z10" i="12"/>
  <c r="AC8" i="12"/>
  <c r="AC9" i="12"/>
  <c r="AC10" i="12"/>
  <c r="V8" i="12"/>
  <c r="V9" i="12"/>
  <c r="V10" i="12"/>
  <c r="X8" i="12"/>
  <c r="X9" i="12"/>
  <c r="X10" i="12"/>
  <c r="AH8" i="12"/>
  <c r="AH9" i="12"/>
  <c r="AH10" i="12"/>
  <c r="AD8" i="12"/>
  <c r="AD9" i="12"/>
  <c r="AD10" i="12"/>
  <c r="AI8" i="12"/>
  <c r="AI9" i="12"/>
  <c r="AI10" i="12"/>
  <c r="W8" i="12"/>
  <c r="W9" i="12"/>
  <c r="W10" i="12"/>
  <c r="Y8" i="12"/>
  <c r="Y9" i="12"/>
  <c r="Y10" i="12"/>
  <c r="AE8" i="12"/>
  <c r="AE9" i="12"/>
  <c r="AE10" i="12"/>
  <c r="AA8" i="12"/>
  <c r="AA9" i="12"/>
  <c r="AA10" i="12"/>
  <c r="AF8" i="12"/>
  <c r="AF9" i="12"/>
  <c r="AF10" i="12"/>
  <c r="H8" i="27"/>
  <c r="H9" i="27"/>
  <c r="H10" i="27"/>
  <c r="J8" i="27"/>
  <c r="J9" i="27"/>
  <c r="J10" i="27"/>
  <c r="I8" i="27"/>
  <c r="I9" i="27"/>
  <c r="I10" i="27"/>
  <c r="L83" i="4"/>
  <c r="Q5" i="12"/>
  <c r="V83" i="4"/>
  <c r="T83" i="4"/>
  <c r="M83" i="4"/>
  <c r="R5" i="12"/>
  <c r="P83" i="4"/>
  <c r="U83" i="4"/>
  <c r="S5" i="12"/>
  <c r="Q83" i="4"/>
  <c r="K83" i="4"/>
  <c r="P5" i="12"/>
  <c r="J83" i="4"/>
  <c r="R83" i="4"/>
  <c r="S83" i="4"/>
  <c r="O83" i="4"/>
  <c r="O61" i="23"/>
  <c r="AG3" i="12"/>
  <c r="AD3" i="12"/>
  <c r="AE3" i="12"/>
  <c r="AC3" i="12"/>
  <c r="W3" i="12"/>
  <c r="Y3" i="12"/>
  <c r="I2" i="27"/>
  <c r="I4" i="27"/>
  <c r="V2" i="12"/>
  <c r="V4" i="12"/>
  <c r="J2" i="28"/>
  <c r="K3" i="12"/>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c r="X2" i="12"/>
  <c r="X4"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c r="G26" i="22"/>
  <c r="F7" i="22"/>
  <c r="K7" i="22"/>
  <c r="F19" i="22"/>
  <c r="G19" i="22"/>
  <c r="F23" i="22"/>
  <c r="G23" i="22"/>
  <c r="N5" i="12"/>
  <c r="M5" i="12"/>
  <c r="I5" i="12"/>
  <c r="F20" i="22"/>
  <c r="I20" i="22"/>
  <c r="F9" i="22"/>
  <c r="I9" i="22"/>
  <c r="F12" i="22"/>
  <c r="G12" i="22"/>
  <c r="F16" i="22"/>
  <c r="G16" i="22"/>
  <c r="F22" i="22"/>
  <c r="I22" i="22"/>
  <c r="J5" i="12"/>
  <c r="F15" i="22"/>
  <c r="I15" i="22"/>
  <c r="L5" i="12"/>
  <c r="F21" i="22"/>
  <c r="G21" i="22"/>
  <c r="F5" i="12"/>
  <c r="F24" i="22"/>
  <c r="I24" i="22"/>
  <c r="F10" i="22"/>
  <c r="K10" i="22"/>
  <c r="F11" i="22"/>
  <c r="I11" i="22"/>
  <c r="F13" i="22"/>
  <c r="I13" i="22"/>
  <c r="F14" i="22"/>
  <c r="I14" i="22"/>
  <c r="F18" i="22"/>
  <c r="G18" i="22"/>
  <c r="F8" i="22"/>
  <c r="G8" i="22"/>
  <c r="F5" i="27"/>
  <c r="F25" i="22"/>
  <c r="K25" i="22"/>
  <c r="M25" i="22"/>
  <c r="G5" i="12"/>
  <c r="H5" i="12"/>
  <c r="F17" i="22"/>
  <c r="K17" i="22"/>
  <c r="M17" i="22"/>
  <c r="K5" i="12"/>
  <c r="G51" i="22"/>
  <c r="J51" i="22"/>
  <c r="I51" i="22"/>
  <c r="M51" i="22"/>
  <c r="K51" i="22"/>
  <c r="N51" i="22"/>
  <c r="G44" i="22"/>
  <c r="J44" i="22"/>
  <c r="I44" i="22"/>
  <c r="M44" i="22"/>
  <c r="K44" i="22"/>
  <c r="N44" i="22"/>
  <c r="G38" i="22"/>
  <c r="J38" i="22"/>
  <c r="I38" i="22"/>
  <c r="M38" i="22"/>
  <c r="K38" i="22"/>
  <c r="N38" i="22"/>
  <c r="G33" i="22"/>
  <c r="J33" i="22"/>
  <c r="I33" i="22"/>
  <c r="K33" i="22"/>
  <c r="M33" i="22"/>
  <c r="N33" i="22"/>
  <c r="G46" i="22"/>
  <c r="J46" i="22"/>
  <c r="I46" i="22"/>
  <c r="M46" i="22"/>
  <c r="K46" i="22"/>
  <c r="N46" i="22"/>
  <c r="G37" i="22"/>
  <c r="J37" i="22"/>
  <c r="I37" i="22"/>
  <c r="M37" i="22"/>
  <c r="K37" i="22"/>
  <c r="N37" i="22"/>
  <c r="G40" i="22"/>
  <c r="J40" i="22"/>
  <c r="I40" i="22"/>
  <c r="M40" i="22"/>
  <c r="K40" i="22"/>
  <c r="N40" i="22"/>
  <c r="G41" i="22"/>
  <c r="J41" i="22"/>
  <c r="I41" i="22"/>
  <c r="M41" i="22"/>
  <c r="K41" i="22"/>
  <c r="N41" i="22"/>
  <c r="G50" i="22"/>
  <c r="J50" i="22"/>
  <c r="I50" i="22"/>
  <c r="M50" i="22"/>
  <c r="K50" i="22"/>
  <c r="N50" i="22"/>
  <c r="G35" i="22"/>
  <c r="J35" i="22"/>
  <c r="I35" i="22"/>
  <c r="K35" i="22"/>
  <c r="M35" i="22"/>
  <c r="N35" i="22"/>
  <c r="G42" i="22"/>
  <c r="J42" i="22"/>
  <c r="I42" i="22"/>
  <c r="M42" i="22"/>
  <c r="K42" i="22"/>
  <c r="N42" i="22"/>
  <c r="G47" i="22"/>
  <c r="J47" i="22"/>
  <c r="I47" i="22"/>
  <c r="M47" i="22"/>
  <c r="K47" i="22"/>
  <c r="N47" i="22"/>
  <c r="G49" i="22"/>
  <c r="J49" i="22"/>
  <c r="I49" i="22"/>
  <c r="M49" i="22"/>
  <c r="K49" i="22"/>
  <c r="N49" i="22"/>
  <c r="G34" i="22"/>
  <c r="J34" i="22"/>
  <c r="I34" i="22"/>
  <c r="K34" i="22"/>
  <c r="M34" i="22"/>
  <c r="N34" i="22"/>
  <c r="G39" i="22"/>
  <c r="J39" i="22"/>
  <c r="I39" i="22"/>
  <c r="M39" i="22"/>
  <c r="K39" i="22"/>
  <c r="N39" i="22"/>
  <c r="G32" i="22"/>
  <c r="J32" i="22"/>
  <c r="I32" i="22"/>
  <c r="K32" i="22"/>
  <c r="M32" i="22"/>
  <c r="G45" i="22"/>
  <c r="J45" i="22"/>
  <c r="I45" i="22"/>
  <c r="M45" i="22"/>
  <c r="K45" i="22"/>
  <c r="N45" i="22"/>
  <c r="G36" i="22"/>
  <c r="J36" i="22"/>
  <c r="I36" i="22"/>
  <c r="K36" i="22"/>
  <c r="M36" i="22"/>
  <c r="N36" i="22"/>
  <c r="G48" i="22"/>
  <c r="J48" i="22"/>
  <c r="I48" i="22"/>
  <c r="M48" i="22"/>
  <c r="K48" i="22"/>
  <c r="N48" i="22"/>
  <c r="G43" i="22"/>
  <c r="J43" i="22"/>
  <c r="I43" i="22"/>
  <c r="M43" i="22"/>
  <c r="K43" i="22"/>
  <c r="N43" i="22"/>
  <c r="L3" i="28"/>
  <c r="G15" i="22"/>
  <c r="K12" i="22"/>
  <c r="M12" i="22"/>
  <c r="G14" i="22"/>
  <c r="K26" i="22"/>
  <c r="M26" i="22"/>
  <c r="G25" i="22"/>
  <c r="K24" i="22"/>
  <c r="M24" i="22"/>
  <c r="I19" i="22"/>
  <c r="K19" i="22"/>
  <c r="M19" i="22"/>
  <c r="K16" i="22"/>
  <c r="M16" i="22"/>
  <c r="I10" i="22"/>
  <c r="G22" i="22"/>
  <c r="K21" i="22"/>
  <c r="M21" i="22"/>
  <c r="G11" i="22"/>
  <c r="K18" i="22"/>
  <c r="M18" i="22"/>
  <c r="G10" i="22"/>
  <c r="I18" i="22"/>
  <c r="I12" i="22"/>
  <c r="K15" i="22"/>
  <c r="M15" i="22"/>
  <c r="G13" i="22"/>
  <c r="K14" i="22"/>
  <c r="M14" i="22"/>
  <c r="I25" i="22"/>
  <c r="G9" i="22"/>
  <c r="G7" i="22"/>
  <c r="G24" i="22"/>
  <c r="I7" i="22"/>
  <c r="G3" i="28"/>
  <c r="I17" i="22"/>
  <c r="I26" i="22"/>
  <c r="G17" i="22"/>
  <c r="K13" i="22"/>
  <c r="M13" i="22"/>
  <c r="K9" i="22"/>
  <c r="M9" i="22"/>
  <c r="M10" i="22"/>
  <c r="N10" i="22"/>
  <c r="I16" i="22"/>
  <c r="G20" i="22"/>
  <c r="K8" i="22"/>
  <c r="M8" i="22"/>
  <c r="K23" i="22"/>
  <c r="M23" i="22"/>
  <c r="I21" i="22"/>
  <c r="K22" i="22"/>
  <c r="M22" i="22"/>
  <c r="I8" i="22"/>
  <c r="I23" i="22"/>
  <c r="K20" i="22"/>
  <c r="M20" i="22"/>
  <c r="K11" i="22"/>
  <c r="M11" i="22"/>
  <c r="M7" i="22"/>
  <c r="H3" i="28"/>
  <c r="N7" i="22"/>
  <c r="N25" i="22"/>
  <c r="N17"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H2" i="28"/>
  <c r="N12" i="22"/>
  <c r="N26" i="22"/>
  <c r="N24" i="22"/>
  <c r="N13" i="22"/>
  <c r="N14" i="22"/>
  <c r="N21" i="22"/>
  <c r="N19" i="22"/>
  <c r="N8" i="22"/>
  <c r="N16" i="22"/>
  <c r="N18" i="22"/>
  <c r="N20" i="22"/>
  <c r="G2" i="28"/>
  <c r="N15" i="22"/>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<sst xmlns="http://schemas.openxmlformats.org/spreadsheetml/2006/main" count="7791" uniqueCount="4248">
  <si>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</si>
  <si>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</si>
  <si>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</si>
  <si>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</si>
  <si>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</si>
  <si>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</si>
  <si>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</si>
  <si>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</si>
  <si>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</si>
  <si>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</si>
  <si>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</si>
  <si>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</si>
  <si>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</si>
  <si>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</si>
  <si>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</si>
  <si>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</si>
  <si>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</si>
  <si>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</si>
  <si>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</si>
  <si>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</si>
  <si>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</si>
  <si>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</si>
  <si>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</si>
  <si>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</si>
  <si>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</si>
  <si>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</si>
  <si>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</si>
  <si>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</si>
  <si>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</si>
  <si>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</si>
  <si>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</si>
  <si>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</si>
  <si>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</si>
  <si>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</si>
  <si>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</si>
  <si>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</si>
  <si>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</si>
  <si>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</si>
  <si>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</si>
  <si>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</si>
  <si>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</si>
  <si>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</si>
  <si>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</si>
  <si>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</si>
  <si>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</si>
  <si>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</si>
  <si>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</si>
  <si>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</si>
  <si>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</si>
  <si>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</si>
  <si>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</si>
  <si>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</si>
  <si>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</si>
  <si>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</si>
  <si>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</si>
  <si>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</si>
  <si>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</si>
  <si>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</si>
  <si>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</si>
  <si>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</si>
  <si>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</si>
  <si>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</si>
  <si>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</si>
  <si>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</si>
  <si>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</si>
  <si>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</si>
  <si>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</si>
  <si>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</si>
  <si>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</si>
  <si>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</si>
  <si>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</si>
  <si>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</si>
  <si>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</si>
  <si>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</si>
  <si>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</si>
  <si>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</si>
  <si>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</si>
  <si>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</si>
  <si>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</si>
  <si>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</si>
  <si>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</si>
  <si>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</si>
  <si>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</si>
  <si>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</si>
  <si>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</si>
  <si>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</si>
  <si>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</si>
  <si>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</si>
  <si>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</si>
  <si>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</si>
  <si>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</si>
  <si>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</si>
  <si>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</si>
  <si>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</si>
  <si>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</si>
  <si>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</si>
  <si>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</si>
  <si>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</si>
  <si>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</si>
  <si>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</si>
  <si>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</si>
  <si>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</si>
  <si>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</si>
  <si>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</si>
  <si>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</si>
  <si>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</si>
  <si>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</si>
  <si>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</si>
  <si>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</si>
  <si>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</si>
  <si>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</si>
  <si>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</si>
  <si>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</si>
  <si>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</si>
  <si>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</si>
  <si>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</si>
  <si>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</si>
  <si>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</si>
  <si>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</si>
  <si>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</si>
  <si>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</si>
  <si>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</si>
  <si>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</si>
  <si>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</si>
  <si>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</si>
  <si>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</si>
  <si>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</si>
  <si>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</si>
  <si>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</si>
  <si>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</si>
  <si>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</si>
  <si>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</si>
  <si>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</si>
  <si>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</si>
  <si>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</si>
  <si>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</si>
  <si>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</si>
  <si>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</si>
  <si>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</si>
  <si>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</si>
  <si>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</si>
  <si>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</si>
  <si>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</si>
  <si>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</si>
  <si>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</si>
  <si>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</si>
  <si>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</si>
  <si>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</si>
  <si>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</si>
  <si>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</si>
  <si>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</si>
  <si>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</si>
  <si>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</si>
  <si>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</si>
  <si>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</si>
  <si>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</si>
  <si>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</si>
  <si>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</si>
  <si>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</si>
  <si>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</si>
  <si>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</si>
  <si>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</si>
  <si>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</si>
  <si>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</si>
  <si>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</si>
  <si>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</si>
  <si>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F:\images\20210310\plaque 1/@01 Evian + 0.2% DMSO/A1_01- exclu.tif</t>
  </si>
  <si>
    <t>F:\images\20210310\plaque 1/@01 Evian + 0.2% DMSO/A1_02- exclu.tif</t>
  </si>
  <si>
    <t xml:space="preserve">F:\images\20210310\plaque 1/@01 Evian + 0.2% DMSO/A1_03.tif </t>
  </si>
  <si>
    <t xml:space="preserve"> 7310.9044 </t>
  </si>
  <si>
    <t xml:space="preserve"> 77.0207 </t>
  </si>
  <si>
    <t xml:space="preserve">F:\images\20210310\plaque 1/@01 Evian + 0.2% DMSO/B1_01.tif </t>
  </si>
  <si>
    <t xml:space="preserve"> 3266.1141 </t>
  </si>
  <si>
    <t xml:space="preserve"> 66.1391 </t>
  </si>
  <si>
    <t xml:space="preserve">F:\images\20210310\plaque 1/@01 Evian + 0.2% DMSO/B1_02.tif </t>
  </si>
  <si>
    <t xml:space="preserve"> 237.9288 </t>
  </si>
  <si>
    <t xml:space="preserve"> 63.8182 </t>
  </si>
  <si>
    <t xml:space="preserve">F:\images\20210310\plaque 1/@01 Evian + 0.2% DMSO/B1_03.tif </t>
  </si>
  <si>
    <t xml:space="preserve"> 1470.8328 </t>
  </si>
  <si>
    <t xml:space="preserve"> 64.5441 </t>
  </si>
  <si>
    <t xml:space="preserve">F:\images\20210310\plaque 1/@01 Evian + 0.2% DMSO/C1_01.tif </t>
  </si>
  <si>
    <t xml:space="preserve"> 4347.6088 </t>
  </si>
  <si>
    <t xml:space="preserve"> 67.9403 </t>
  </si>
  <si>
    <t xml:space="preserve">F:\images\20210310\plaque 1/@01 Evian + 0.2% DMSO/C1_02.tif </t>
  </si>
  <si>
    <t xml:space="preserve"> 843.5659 </t>
  </si>
  <si>
    <t xml:space="preserve"> 63.3333 </t>
  </si>
  <si>
    <t xml:space="preserve">F:\images\20210310\plaque 1/@01 Evian + 0.2% DMSO/C1_03.tif </t>
  </si>
  <si>
    <t xml:space="preserve"> 7743.5023 </t>
  </si>
  <si>
    <t xml:space="preserve"> 75.486 </t>
  </si>
  <si>
    <t>F:\images\20210310\plaque 1/@01 Evian + 0.2% DMSO/D1_01- exclu.tif</t>
  </si>
  <si>
    <t xml:space="preserve">F:\images\20210310\plaque 1/@01 Evian + 0.2% DMSO/D1_02.tif </t>
  </si>
  <si>
    <t xml:space="preserve"> 4044.7903 </t>
  </si>
  <si>
    <t xml:space="preserve"> 72.1176 </t>
  </si>
  <si>
    <t xml:space="preserve">F:\images\20210310\plaque 1/@01 Evian + 0.2% DMSO/D1_03.tif </t>
  </si>
  <si>
    <t xml:space="preserve"> 1146.3844 </t>
  </si>
  <si>
    <t xml:space="preserve"> 63.283 </t>
  </si>
  <si>
    <t xml:space="preserve">F:\images\20210310\plaque 1/@01 Evian + 0.2% DMSO/E1_01.tif </t>
  </si>
  <si>
    <t xml:space="preserve"> 65.3333 </t>
  </si>
  <si>
    <t xml:space="preserve">F:\images\20210310\plaque 1/@01 Evian + 0.2% DMSO/E1_02.tif </t>
  </si>
  <si>
    <t xml:space="preserve"> 2011.5802 </t>
  </si>
  <si>
    <t xml:space="preserve"> 69.6774 </t>
  </si>
  <si>
    <t xml:space="preserve">F:\images\20210310\plaque 1/@01 Evian + 0.2% DMSO/E1_03.tif </t>
  </si>
  <si>
    <t xml:space="preserve"> 259.5587 </t>
  </si>
  <si>
    <t>F:\images\20210310\plaque 1/@01 Evian + 0.2% DMSO/F1_01- exclu.tif</t>
  </si>
  <si>
    <t>F:\images\20210310\plaque 1/@01 Evian + 0.2% DMSO/F1_02- exclu.tif</t>
  </si>
  <si>
    <t>F:\images\20210310\plaque 1/@01 Evian + 0.2% DMSO/F1_03- exclu.tif</t>
  </si>
  <si>
    <t xml:space="preserve">F:\images\20210310\plaque 1/@01 Evian + 0.2% DMSO/G1_01.tif </t>
  </si>
  <si>
    <t xml:space="preserve"> 1405.9432 </t>
  </si>
  <si>
    <t xml:space="preserve"> 64.5846 </t>
  </si>
  <si>
    <t xml:space="preserve">F:\images\20210310\plaque 1/@01 Evian + 0.2% DMSO/G1_02.tif </t>
  </si>
  <si>
    <t xml:space="preserve"> 5861.7014 </t>
  </si>
  <si>
    <t xml:space="preserve"> 73.2657 </t>
  </si>
  <si>
    <t xml:space="preserve">F:\images\20210310\plaque 1/@01 Evian + 0.2% DMSO/G1_03.tif </t>
  </si>
  <si>
    <t xml:space="preserve"> 497.4876 </t>
  </si>
  <si>
    <t xml:space="preserve"> 62.087 </t>
  </si>
  <si>
    <t xml:space="preserve">F:\images\20210310\plaque 1/@01 Evian + 0.2% DMSO/H1_01.tif </t>
  </si>
  <si>
    <t xml:space="preserve"> 64.5455 </t>
  </si>
  <si>
    <t xml:space="preserve">F:\images\20210310\plaque 1/@01 Evian + 0.2% DMSO/H1_02.tif </t>
  </si>
  <si>
    <t xml:space="preserve"> 4239.4593 </t>
  </si>
  <si>
    <t xml:space="preserve"> 66.7041 </t>
  </si>
  <si>
    <t xml:space="preserve">F:\images\20210310\plaque 1/@01 Evian + 0.2% DMSO/H1_03.tif </t>
  </si>
  <si>
    <t xml:space="preserve"> 2703.7368 </t>
  </si>
  <si>
    <t xml:space="preserve"> 67.992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</si>
  <si>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</si>
  <si>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</si>
  <si>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</si>
  <si>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</si>
  <si>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</si>
  <si>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</si>
  <si>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</si>
  <si>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F:\images\20210310\plaque 1/@01 Evian + 0.2% DMSO/ </t>
  </si>
  <si>
    <t xml:space="preserve"> 67.9311 </t>
  </si>
  <si>
    <t xml:space="preserve"> 5.5863 </t>
  </si>
  <si>
    <t xml:space="preserve"> 205531.792 </t>
  </si>
  <si>
    <t xml:space="preserve"> 210761.203 </t>
  </si>
  <si>
    <t xml:space="preserve">file name </t>
  </si>
  <si>
    <t xml:space="preserve">F:\images\20210310\plaque 1/@02 EE2 33.8/A2_01.tif </t>
  </si>
  <si>
    <t xml:space="preserve"> 994.9752 </t>
  </si>
  <si>
    <t xml:space="preserve"> 63.3043 </t>
  </si>
  <si>
    <t xml:space="preserve">F:\images\20210310\plaque 1/@02 EE2 33.8/A2_02.tif </t>
  </si>
  <si>
    <t xml:space="preserve"> 281.1886 </t>
  </si>
  <si>
    <t xml:space="preserve"> 65.3077 </t>
  </si>
  <si>
    <t xml:space="preserve">F:\images\20210310\plaque 1/@02 EE2 33.8/A2_03.tif </t>
  </si>
  <si>
    <t xml:space="preserve"> 3785.2316 </t>
  </si>
  <si>
    <t xml:space="preserve"> 68.32 </t>
  </si>
  <si>
    <t xml:space="preserve">F:\images\20210310\plaque 1/@02 EE2 33.8/B2_01.tif </t>
  </si>
  <si>
    <t xml:space="preserve"> 475.8577 </t>
  </si>
  <si>
    <t xml:space="preserve"> 62.1364 </t>
  </si>
  <si>
    <t xml:space="preserve">F:\images\20210310\plaque 1/@02 EE2 33.8/B2_02.tif </t>
  </si>
  <si>
    <t xml:space="preserve"> 2465.808 </t>
  </si>
  <si>
    <t xml:space="preserve"> 68.8947 </t>
  </si>
  <si>
    <t xml:space="preserve">F:\images\20210310\plaque 1/@02 EE2 33.8/B2_03.tif </t>
  </si>
  <si>
    <t xml:space="preserve"> 4693.6871 </t>
  </si>
  <si>
    <t xml:space="preserve"> 64.1705 </t>
  </si>
  <si>
    <t xml:space="preserve">F:\images\20210310\plaque 1/@02 EE2 33.8/C2_01.tif </t>
  </si>
  <si>
    <t xml:space="preserve"> 302.8185 </t>
  </si>
  <si>
    <t xml:space="preserve"> 63.7857 </t>
  </si>
  <si>
    <t xml:space="preserve">F:\images\20210310\plaque 1/@02 EE2 33.8/C2_02.tif </t>
  </si>
  <si>
    <t xml:space="preserve"> 173.0392 </t>
  </si>
  <si>
    <t xml:space="preserve"> 62.625 </t>
  </si>
  <si>
    <t xml:space="preserve">F:\images\20210310\plaque 1/@02 EE2 33.8/C2_03.tif </t>
  </si>
  <si>
    <t xml:space="preserve"> 63.125 </t>
  </si>
  <si>
    <t xml:space="preserve">F:\images\20210310\plaque 1/@02 EE2 33.8/D2_01.tif </t>
  </si>
  <si>
    <t xml:space="preserve"> 2898.4059 </t>
  </si>
  <si>
    <t xml:space="preserve"> 68.4104 </t>
  </si>
  <si>
    <t xml:space="preserve">F:\images\20210310\plaque 1/@02 EE2 33.8/D2_02.tif </t>
  </si>
  <si>
    <t xml:space="preserve"> 65.3676 </t>
  </si>
  <si>
    <t xml:space="preserve">F:\images\20210310\plaque 1/@02 EE2 33.8/D2_03.tif </t>
  </si>
  <si>
    <t xml:space="preserve"> 367.7082 </t>
  </si>
  <si>
    <t xml:space="preserve"> 64.1176 </t>
  </si>
  <si>
    <t xml:space="preserve">F:\images\20210310\plaque 1/@02 EE2 33.8/E2_01.tif </t>
  </si>
  <si>
    <t xml:space="preserve"> 71.5092 </t>
  </si>
  <si>
    <t xml:space="preserve">F:\images\20210310\plaque 1/@02 EE2 33.8/E2_02.tif </t>
  </si>
  <si>
    <t xml:space="preserve"> 3157.9646 </t>
  </si>
  <si>
    <t xml:space="preserve"> 69.1438 </t>
  </si>
  <si>
    <t xml:space="preserve">F:\images\20210310\plaque 1/@02 EE2 33.8/E2_03.tif </t>
  </si>
  <si>
    <t xml:space="preserve"> 3698.712 </t>
  </si>
  <si>
    <t xml:space="preserve"> 69.5029 </t>
  </si>
  <si>
    <t xml:space="preserve">F:\images\20210310\plaque 1/@02 EE2 33.8/F2_01.tif </t>
  </si>
  <si>
    <t xml:space="preserve"> 5818.4417 </t>
  </si>
  <si>
    <t xml:space="preserve"> 70.4833 </t>
  </si>
  <si>
    <t xml:space="preserve">F:\images\20210310\plaque 1/@02 EE2 33.8/F2_02.tif </t>
  </si>
  <si>
    <t xml:space="preserve"> 865.1958 </t>
  </si>
  <si>
    <t xml:space="preserve"> 62.4 </t>
  </si>
  <si>
    <t xml:space="preserve">F:\images\20210310\plaque 1/@02 EE2 33.8/F2_03.tif </t>
  </si>
  <si>
    <t xml:space="preserve"> 346.0783 </t>
  </si>
  <si>
    <t xml:space="preserve"> 62.375 </t>
  </si>
  <si>
    <t xml:space="preserve">F:\images\20210310\plaque 1/@02 EE2 33.8/G2_01.tif </t>
  </si>
  <si>
    <t xml:space="preserve"> 6402.4488 </t>
  </si>
  <si>
    <t xml:space="preserve"> 74.9392 </t>
  </si>
  <si>
    <t xml:space="preserve">F:\images\20210310\plaque 1/@02 EE2 33.8/G2_02.tif </t>
  </si>
  <si>
    <t xml:space="preserve"> 4974.8758 </t>
  </si>
  <si>
    <t xml:space="preserve"> 70.8652 </t>
  </si>
  <si>
    <t xml:space="preserve">F:\images\20210310\plaque 1/@02 EE2 33.8/G2_03.tif </t>
  </si>
  <si>
    <t xml:space="preserve"> 7224.3848 </t>
  </si>
  <si>
    <t xml:space="preserve"> 75.5928 </t>
  </si>
  <si>
    <t xml:space="preserve">F:\images\20210310\plaque 1/@02 EE2 33.8/H2_01.tif </t>
  </si>
  <si>
    <t xml:space="preserve"> 324.4484 </t>
  </si>
  <si>
    <t xml:space="preserve"> 62.9333 </t>
  </si>
  <si>
    <t xml:space="preserve">F:\images\20210310\plaque 1/@02 EE2 33.8/H2_02.tif </t>
  </si>
  <si>
    <t xml:space="preserve"> 2790.2564 </t>
  </si>
  <si>
    <t xml:space="preserve"> 66.7597 </t>
  </si>
  <si>
    <t xml:space="preserve">F:\images\20210310\plaque 1/@02 EE2 33.8/H2_03.tif </t>
  </si>
  <si>
    <t xml:space="preserve"> 3006.5554 </t>
  </si>
  <si>
    <t xml:space="preserve"> 65.5755 </t>
  </si>
  <si>
    <t xml:space="preserve">F:\images\20210310\plaque 1/@02 EE2 33.8/ </t>
  </si>
  <si>
    <t xml:space="preserve"> 66.7352 </t>
  </si>
  <si>
    <t xml:space="preserve"> 3.9869 </t>
  </si>
  <si>
    <t xml:space="preserve"> 181760.542 </t>
  </si>
  <si>
    <t xml:space="preserve"> 166318.115 </t>
  </si>
  <si>
    <t xml:space="preserve">F:\images\20210310\plaque 1/@03 EE2 50.6/A3_01.tif </t>
  </si>
  <si>
    <t xml:space="preserve"> 1319.4236 </t>
  </si>
  <si>
    <t xml:space="preserve"> 63.3934 </t>
  </si>
  <si>
    <t xml:space="preserve">F:\images\20210310\plaque 1/@03 EE2 50.6/A3_02.tif </t>
  </si>
  <si>
    <t xml:space="preserve"> 2119.7297 </t>
  </si>
  <si>
    <t xml:space="preserve"> 63.7041 </t>
  </si>
  <si>
    <t>F:\images\20210310\plaque 1/@03 EE2 50.6/A3_03- exclu.tif</t>
  </si>
  <si>
    <t>F:\images\20210310\plaque 1/@03 EE2 50.6/B3_01- exclu.tif</t>
  </si>
  <si>
    <t xml:space="preserve">F:\images\20210310\plaque 1/@03 EE2 50.6/B3_02.tif </t>
  </si>
  <si>
    <t xml:space="preserve"> 6142.8901 </t>
  </si>
  <si>
    <t xml:space="preserve"> 69.3768 </t>
  </si>
  <si>
    <t xml:space="preserve">F:\images\20210310\plaque 1/@03 EE2 50.6/B3_03.tif </t>
  </si>
  <si>
    <t xml:space="preserve"> 3525.6728 </t>
  </si>
  <si>
    <t xml:space="preserve"> 68.3497 </t>
  </si>
  <si>
    <t xml:space="preserve">F:\images\20210310\plaque 1/@03 EE2 50.6/C3_01.tif </t>
  </si>
  <si>
    <t xml:space="preserve"> 1189.6442 </t>
  </si>
  <si>
    <t xml:space="preserve"> 63.7455 </t>
  </si>
  <si>
    <t xml:space="preserve">F:\images\20210310\plaque 1/@03 EE2 50.6/C3_02.tif </t>
  </si>
  <si>
    <t xml:space="preserve"> 1795.2813 </t>
  </si>
  <si>
    <t xml:space="preserve"> 64.4699 </t>
  </si>
  <si>
    <t xml:space="preserve">F:\images\20210310\plaque 1/@03 EE2 50.6/C3_03.tif </t>
  </si>
  <si>
    <t xml:space="preserve"> 2227.8791 </t>
  </si>
  <si>
    <t xml:space="preserve"> 62.835 </t>
  </si>
  <si>
    <t xml:space="preserve">F:\images\20210310\plaque 1/@03 EE2 50.6/D3_01.tif </t>
  </si>
  <si>
    <t xml:space="preserve"> 648.8968 </t>
  </si>
  <si>
    <t xml:space="preserve"> 63.4 </t>
  </si>
  <si>
    <t xml:space="preserve">F:\images\20210310\plaque 1/@03 EE2 50.6/D3_02.tif </t>
  </si>
  <si>
    <t xml:space="preserve"> 216.2989 </t>
  </si>
  <si>
    <t xml:space="preserve"> 63.3 </t>
  </si>
  <si>
    <t xml:space="preserve">F:\images\20210310\plaque 1/@03 EE2 50.6/D3_03.tif </t>
  </si>
  <si>
    <t xml:space="preserve"> 69.7368 </t>
  </si>
  <si>
    <t xml:space="preserve">F:\images\20210310\plaque 1/@03 EE2 50.6/E3_01.tif </t>
  </si>
  <si>
    <t xml:space="preserve"> 77.162 </t>
  </si>
  <si>
    <t xml:space="preserve">F:\images\20210310\plaque 1/@03 EE2 50.6/E3_02.tif </t>
  </si>
  <si>
    <t xml:space="preserve"> 9214.3351 </t>
  </si>
  <si>
    <t xml:space="preserve"> 85.1033 </t>
  </si>
  <si>
    <t xml:space="preserve">F:\images\20210310\plaque 1/@03 EE2 50.6/E3_03.tif </t>
  </si>
  <si>
    <t xml:space="preserve"> 10144.4206 </t>
  </si>
  <si>
    <t xml:space="preserve"> 76.4435 </t>
  </si>
  <si>
    <t xml:space="preserve">F:\images\20210310\plaque 1/@03 EE2 50.6/F3_01.tif </t>
  </si>
  <si>
    <t xml:space="preserve"> 2379.2884 </t>
  </si>
  <si>
    <t xml:space="preserve"> 67.3818 </t>
  </si>
  <si>
    <t xml:space="preserve">F:\images\20210310\plaque 1/@03 EE2 50.6/F3_02.tif </t>
  </si>
  <si>
    <t xml:space="preserve"> 1059.8648 </t>
  </si>
  <si>
    <t xml:space="preserve"> 64.8163 </t>
  </si>
  <si>
    <t xml:space="preserve">F:\images\20210310\plaque 1/@03 EE2 50.6/F3_03.tif </t>
  </si>
  <si>
    <t xml:space="preserve"> 1232.904 </t>
  </si>
  <si>
    <t xml:space="preserve"> 63.9474 </t>
  </si>
  <si>
    <t xml:space="preserve">F:\images\20210310\plaque 1/@03 EE2 50.6/G3_01.tif </t>
  </si>
  <si>
    <t xml:space="preserve"> 7527.2033 </t>
  </si>
  <si>
    <t xml:space="preserve"> 73.5172 </t>
  </si>
  <si>
    <t xml:space="preserve">F:\images\20210310\plaque 1/@03 EE2 50.6/G3_02.tif </t>
  </si>
  <si>
    <t xml:space="preserve"> 3915.0109 </t>
  </si>
  <si>
    <t xml:space="preserve"> 68.1823 </t>
  </si>
  <si>
    <t xml:space="preserve">F:\images\20210310\plaque 1/@03 EE2 50.6/G3_03.tif </t>
  </si>
  <si>
    <t xml:space="preserve"> 6078.0004 </t>
  </si>
  <si>
    <t xml:space="preserve"> 70.0249 </t>
  </si>
  <si>
    <t xml:space="preserve">F:\images\20210310\plaque 1/@03 EE2 50.6/H3_01.tif </t>
  </si>
  <si>
    <t xml:space="preserve"> 2076.4699 </t>
  </si>
  <si>
    <t xml:space="preserve">F:\images\20210310\plaque 1/@03 EE2 50.6/H3_02.tif </t>
  </si>
  <si>
    <t xml:space="preserve"> 973.3453 </t>
  </si>
  <si>
    <t xml:space="preserve"> 63.8444 </t>
  </si>
  <si>
    <t xml:space="preserve">F:\images\20210310\plaque 1/@03 EE2 50.6/H3_03.tif </t>
  </si>
  <si>
    <t xml:space="preserve"> 1730.3916 </t>
  </si>
  <si>
    <t xml:space="preserve"> 62.925 </t>
  </si>
  <si>
    <t xml:space="preserve">F:\images\20210310\plaque 1/@03 EE2 50.6/ </t>
  </si>
  <si>
    <t xml:space="preserve"> 67.8259 </t>
  </si>
  <si>
    <t xml:space="preserve"> 5.9933 </t>
  </si>
  <si>
    <t xml:space="preserve"> 253891.75 </t>
  </si>
  <si>
    <t xml:space="preserve"> 243711.384 </t>
  </si>
  <si>
    <t xml:space="preserve">F:\images\20210310\plaque 1/@04 EE2 76/A4_01.tif </t>
  </si>
  <si>
    <t xml:space="preserve"> 7938.1713 </t>
  </si>
  <si>
    <t xml:space="preserve"> 63.9973 </t>
  </si>
  <si>
    <t xml:space="preserve">F:\images\20210310\plaque 1/@04 EE2 76/A4_02.tif </t>
  </si>
  <si>
    <t xml:space="preserve"> 8003.061 </t>
  </si>
  <si>
    <t xml:space="preserve"> 64.4703 </t>
  </si>
  <si>
    <t xml:space="preserve">F:\images\20210310\plaque 1/@04 EE2 76/A4_03.tif </t>
  </si>
  <si>
    <t xml:space="preserve"> 8392.3991 </t>
  </si>
  <si>
    <t xml:space="preserve"> 63.7268 </t>
  </si>
  <si>
    <t xml:space="preserve">F:\images\20210310\plaque 1/@04 EE2 76/B4_01.tif </t>
  </si>
  <si>
    <t xml:space="preserve"> 5688.6623 </t>
  </si>
  <si>
    <t xml:space="preserve"> 63.2471 </t>
  </si>
  <si>
    <t xml:space="preserve">F:\images\20210310\plaque 1/@04 EE2 76/B4_02.tif </t>
  </si>
  <si>
    <t xml:space="preserve"> 9582.0433 </t>
  </si>
  <si>
    <t xml:space="preserve"> 64.1964 </t>
  </si>
  <si>
    <t xml:space="preserve">F:\images\20210310\plaque 1/@04 EE2 76/B4_03.tif </t>
  </si>
  <si>
    <t xml:space="preserve"> 63.5364 </t>
  </si>
  <si>
    <t xml:space="preserve">F:\images\20210310\plaque 1/@04 EE2 76/C4_01.tif </t>
  </si>
  <si>
    <t xml:space="preserve"> 5018.1356 </t>
  </si>
  <si>
    <t xml:space="preserve"> 64.2543 </t>
  </si>
  <si>
    <t xml:space="preserve">F:\images\20210310\plaque 1/@04 EE2 76/C4_02.tif </t>
  </si>
  <si>
    <t xml:space="preserve"> 4131.3099 </t>
  </si>
  <si>
    <t xml:space="preserve"> 64.199 </t>
  </si>
  <si>
    <t xml:space="preserve">F:\images\20210310\plaque 1/@04 EE2 76/C4_03.tif </t>
  </si>
  <si>
    <t xml:space="preserve"> 2162.9895 </t>
  </si>
  <si>
    <t xml:space="preserve"> 62.96 </t>
  </si>
  <si>
    <t xml:space="preserve">F:\images\20210310\plaque 1/@04 EE2 76/D4_01.tif </t>
  </si>
  <si>
    <t xml:space="preserve"> 15032.7768 </t>
  </si>
  <si>
    <t xml:space="preserve"> 65.7367 </t>
  </si>
  <si>
    <t xml:space="preserve">F:\images\20210310\plaque 1/@04 EE2 76/D4_02.tif </t>
  </si>
  <si>
    <t xml:space="preserve"> 67.6791 </t>
  </si>
  <si>
    <t>F:\images\20210310\plaque 1/@04 EE2 76/D4_03- exclu.tif</t>
  </si>
  <si>
    <t xml:space="preserve">F:\images\20210310\plaque 1/@04 EE2 76/E4_01.tif </t>
  </si>
  <si>
    <t xml:space="preserve"> 8046.3208 </t>
  </si>
  <si>
    <t xml:space="preserve"> 75.5618 </t>
  </si>
  <si>
    <t xml:space="preserve">F:\images\20210310\plaque 1/@04 EE2 76/E4_02.tif </t>
  </si>
  <si>
    <t xml:space="preserve"> 7613.7229 </t>
  </si>
  <si>
    <t xml:space="preserve"> 69.4545 </t>
  </si>
  <si>
    <t xml:space="preserve">F:\images\20210310\plaque 1/@04 EE2 76/E4_03.tif </t>
  </si>
  <si>
    <t xml:space="preserve"> 5840.0715 </t>
  </si>
  <si>
    <t xml:space="preserve"> 68.5963 </t>
  </si>
  <si>
    <t xml:space="preserve">F:\images\20210310\plaque 1/@04 EE2 76/F4_01.tif </t>
  </si>
  <si>
    <t xml:space="preserve"> 2054.84 </t>
  </si>
  <si>
    <t xml:space="preserve"> 63.2632 </t>
  </si>
  <si>
    <t xml:space="preserve">F:\images\20210310\plaque 1/@04 EE2 76/F4_02.tif </t>
  </si>
  <si>
    <t xml:space="preserve"> 1665.5019 </t>
  </si>
  <si>
    <t xml:space="preserve"> 62.3506 </t>
  </si>
  <si>
    <t xml:space="preserve">F:\images\20210310\plaque 1/@04 EE2 76/F4_03.tif </t>
  </si>
  <si>
    <t xml:space="preserve"> 1752.0215 </t>
  </si>
  <si>
    <t xml:space="preserve"> 64.2469 </t>
  </si>
  <si>
    <t xml:space="preserve">F:\images\20210310\plaque 1/@04 EE2 76/G4_01.tif </t>
  </si>
  <si>
    <t xml:space="preserve"> 778.6762 </t>
  </si>
  <si>
    <t xml:space="preserve">F:\images\20210310\plaque 1/@04 EE2 76/G4_02.tif </t>
  </si>
  <si>
    <t xml:space="preserve"> 5904.9612 </t>
  </si>
  <si>
    <t xml:space="preserve"> 74.2784 </t>
  </si>
  <si>
    <t xml:space="preserve">F:\images\20210310\plaque 1/@04 EE2 76/G4_03.tif </t>
  </si>
  <si>
    <t xml:space="preserve"> 8024.6909 </t>
  </si>
  <si>
    <t xml:space="preserve"> 71.752 </t>
  </si>
  <si>
    <t xml:space="preserve">F:\images\20210310\plaque 1/@04 EE2 76/H4_01.tif </t>
  </si>
  <si>
    <t xml:space="preserve"> 10101.1608 </t>
  </si>
  <si>
    <t xml:space="preserve"> 68.9893 </t>
  </si>
  <si>
    <t xml:space="preserve">F:\images\20210310\plaque 1/@04 EE2 76/H4_02.tif </t>
  </si>
  <si>
    <t xml:space="preserve"> 5277.6943 </t>
  </si>
  <si>
    <t xml:space="preserve"> 69.4631 </t>
  </si>
  <si>
    <t xml:space="preserve">F:\images\20210310\plaque 1/@04 EE2 76/H4_03.tif </t>
  </si>
  <si>
    <t xml:space="preserve"> 4434.1284 </t>
  </si>
  <si>
    <t xml:space="preserve"> 63.561 </t>
  </si>
  <si>
    <t xml:space="preserve">F:\images\20210310\plaque 1/@04 EE2 76/ </t>
  </si>
  <si>
    <t xml:space="preserve"> 66.1312 </t>
  </si>
  <si>
    <t xml:space="preserve"> 3.7593 </t>
  </si>
  <si>
    <t xml:space="preserve"> 271959.123 </t>
  </si>
  <si>
    <t xml:space="preserve">F:\images\20210310\plaque 1/@05 EE2 114/A5_01.tif </t>
  </si>
  <si>
    <t xml:space="preserve"> 31125.4184 </t>
  </si>
  <si>
    <t xml:space="preserve"> 68.1703 </t>
  </si>
  <si>
    <t xml:space="preserve">F:\images\20210310\plaque 1/@05 EE2 114/A5_02.tif </t>
  </si>
  <si>
    <t xml:space="preserve"> 28378.4218 </t>
  </si>
  <si>
    <t xml:space="preserve"> 67.4284 </t>
  </si>
  <si>
    <t>F:\images\20210310\plaque 1/@05 EE2 114/A5_03- exclu.tif</t>
  </si>
  <si>
    <t xml:space="preserve">F:\images\20210310\plaque 1/@05 EE2 114/B5_01.tif </t>
  </si>
  <si>
    <t xml:space="preserve"> 18882.898 </t>
  </si>
  <si>
    <t xml:space="preserve"> 65.0939 </t>
  </si>
  <si>
    <t xml:space="preserve">F:\images\20210310\plaque 1/@05 EE2 114/B5_02.tif </t>
  </si>
  <si>
    <t xml:space="preserve"> 18536.8197 </t>
  </si>
  <si>
    <t xml:space="preserve"> 68.727 </t>
  </si>
  <si>
    <t xml:space="preserve">F:\images\20210310\plaque 1/@05 EE2 114/B5_03.tif </t>
  </si>
  <si>
    <t xml:space="preserve"> 14989.517 </t>
  </si>
  <si>
    <t xml:space="preserve"> 65.4834 </t>
  </si>
  <si>
    <t xml:space="preserve">F:\images\20210310\plaque 1/@05 EE2 114/C5_01.tif </t>
  </si>
  <si>
    <t xml:space="preserve"> 1946.6905 </t>
  </si>
  <si>
    <t xml:space="preserve"> 63.3444 </t>
  </si>
  <si>
    <t xml:space="preserve">F:\images\20210310\plaque 1/@05 EE2 114/C5_02.tif </t>
  </si>
  <si>
    <t xml:space="preserve"> 1362.6834 </t>
  </si>
  <si>
    <t xml:space="preserve"> 63.1429 </t>
  </si>
  <si>
    <t xml:space="preserve">F:\images\20210310\plaque 1/@05 EE2 114/C5_03.tif </t>
  </si>
  <si>
    <t xml:space="preserve"> 5169.5448 </t>
  </si>
  <si>
    <t xml:space="preserve"> 69.3598 </t>
  </si>
  <si>
    <t xml:space="preserve">F:\images\20210310\plaque 1/@05 EE2 114/D5_01.tif </t>
  </si>
  <si>
    <t xml:space="preserve"> 34737.6108 </t>
  </si>
  <si>
    <t xml:space="preserve"> 68.7161 </t>
  </si>
  <si>
    <t xml:space="preserve">F:\images\20210310\plaque 1/@05 EE2 114/D5_02.tif </t>
  </si>
  <si>
    <t xml:space="preserve"> 27123.8879 </t>
  </si>
  <si>
    <t xml:space="preserve"> 67.429 </t>
  </si>
  <si>
    <t xml:space="preserve">F:\images\20210310\plaque 1/@05 EE2 114/D5_03.tif </t>
  </si>
  <si>
    <t xml:space="preserve"> 33461.447 </t>
  </si>
  <si>
    <t xml:space="preserve"> 68.9431 </t>
  </si>
  <si>
    <t xml:space="preserve">F:\images\20210310\plaque 1/@05 EE2 114/E5_01.tif </t>
  </si>
  <si>
    <t xml:space="preserve"> 27729.5249 </t>
  </si>
  <si>
    <t xml:space="preserve"> 71.4813 </t>
  </si>
  <si>
    <t xml:space="preserve">F:\images\20210310\plaque 1/@05 EE2 114/E5_02.tif </t>
  </si>
  <si>
    <t xml:space="preserve"> 20851.2184 </t>
  </si>
  <si>
    <t xml:space="preserve"> 67.1494 </t>
  </si>
  <si>
    <t xml:space="preserve">F:\images\20210310\plaque 1/@05 EE2 114/E5_03.tif </t>
  </si>
  <si>
    <t xml:space="preserve"> 18428.6702 </t>
  </si>
  <si>
    <t xml:space="preserve"> 66.1549 </t>
  </si>
  <si>
    <t xml:space="preserve">F:\images\20210310\plaque 1/@05 EE2 114/F5_01.tif </t>
  </si>
  <si>
    <t xml:space="preserve"> 47045.0208 </t>
  </si>
  <si>
    <t xml:space="preserve"> 69.9853 </t>
  </si>
  <si>
    <t>F:\images\20210310\plaque 1/@05 EE2 114/F5_02- exclu.tif</t>
  </si>
  <si>
    <t>F:\images\20210310\plaque 1/@05 EE2 114/F5_03- exclu.tif</t>
  </si>
  <si>
    <t>F:\images\20210310\plaque 1/@05 EE2 114/G5_01- exclu.tif</t>
  </si>
  <si>
    <t xml:space="preserve">F:\images\20210310\plaque 1/@05 EE2 114/G5_02.tif </t>
  </si>
  <si>
    <t xml:space="preserve"> 18580.0795 </t>
  </si>
  <si>
    <t xml:space="preserve"> 68.1641 </t>
  </si>
  <si>
    <t xml:space="preserve">F:\images\20210310\plaque 1/@05 EE2 114/G5_03.tif </t>
  </si>
  <si>
    <t xml:space="preserve"> 21348.706 </t>
  </si>
  <si>
    <t xml:space="preserve"> 69.9291 </t>
  </si>
  <si>
    <t xml:space="preserve">F:\images\20210310\plaque 1/@05 EE2 114/H5_01.tif </t>
  </si>
  <si>
    <t xml:space="preserve"> 54507.3345 </t>
  </si>
  <si>
    <t xml:space="preserve"> 71.923 </t>
  </si>
  <si>
    <t xml:space="preserve">F:\images\20210310\plaque 1/@05 EE2 114/H5_02.tif </t>
  </si>
  <si>
    <t xml:space="preserve"> 65495.3209 </t>
  </si>
  <si>
    <t xml:space="preserve"> 72.7236 </t>
  </si>
  <si>
    <t xml:space="preserve">F:\images\20210310\plaque 1/@05 EE2 114/H5_03.tif </t>
  </si>
  <si>
    <t xml:space="preserve"> 59049.6123 </t>
  </si>
  <si>
    <t xml:space="preserve"> 71.9103 </t>
  </si>
  <si>
    <t xml:space="preserve">F:\images\20210310\plaque 1/@05 EE2 114/ </t>
  </si>
  <si>
    <t xml:space="preserve"> 68.1842 </t>
  </si>
  <si>
    <t xml:space="preserve"> 2.7987 </t>
  </si>
  <si>
    <t xml:space="preserve"> 1835885.92 </t>
  </si>
  <si>
    <t xml:space="preserve">F:\images\20210310\plaque 1/@06 EE2 170.9/A6_01.tif </t>
  </si>
  <si>
    <t xml:space="preserve"> 61645.1997 </t>
  </si>
  <si>
    <t xml:space="preserve"> 70.9575 </t>
  </si>
  <si>
    <t xml:space="preserve">F:\images\20210310\plaque 1/@06 EE2 170.9/A6_02.tif </t>
  </si>
  <si>
    <t xml:space="preserve"> 63375.5913 </t>
  </si>
  <si>
    <t xml:space="preserve"> 72.7621 </t>
  </si>
  <si>
    <t xml:space="preserve">F:\images\20210310\plaque 1/@06 EE2 170.9/A6_03.tif </t>
  </si>
  <si>
    <t xml:space="preserve"> 59092.8721 </t>
  </si>
  <si>
    <t xml:space="preserve"> 72.7028 </t>
  </si>
  <si>
    <t xml:space="preserve">F:\images\20210310\plaque 1/@06 EE2 170.9/B6_01.tif </t>
  </si>
  <si>
    <t xml:space="preserve"> 44557.5829 </t>
  </si>
  <si>
    <t xml:space="preserve"> 70.4301 </t>
  </si>
  <si>
    <t xml:space="preserve">F:\images\20210310\plaque 1/@06 EE2 170.9/B6_02.tif </t>
  </si>
  <si>
    <t xml:space="preserve"> 46482.6436 </t>
  </si>
  <si>
    <t xml:space="preserve"> 71.8218 </t>
  </si>
  <si>
    <t xml:space="preserve">F:\images\20210310\plaque 1/@06 EE2 170.9/B6_03.tif </t>
  </si>
  <si>
    <t xml:space="preserve"> 45574.188 </t>
  </si>
  <si>
    <t xml:space="preserve"> 71.5434 </t>
  </si>
  <si>
    <t xml:space="preserve">F:\images\20210310\plaque 1/@06 EE2 170.9/C6_01.tif </t>
  </si>
  <si>
    <t xml:space="preserve"> 48494.2238 </t>
  </si>
  <si>
    <t xml:space="preserve"> 77.2493 </t>
  </si>
  <si>
    <t xml:space="preserve">F:\images\20210310\plaque 1/@06 EE2 170.9/C6_02.tif </t>
  </si>
  <si>
    <t xml:space="preserve"> 46742.2023 </t>
  </si>
  <si>
    <t xml:space="preserve"> 71.4961 </t>
  </si>
  <si>
    <t xml:space="preserve">F:\images\20210310\plaque 1/@06 EE2 170.9/C6_03.tif </t>
  </si>
  <si>
    <t xml:space="preserve"> 48624.0031 </t>
  </si>
  <si>
    <t xml:space="preserve"> 73.2874 </t>
  </si>
  <si>
    <t xml:space="preserve">F:\images\20210310\plaque 1/@06 EE2 170.9/D6_01.tif </t>
  </si>
  <si>
    <t xml:space="preserve"> 56216.0961 </t>
  </si>
  <si>
    <t xml:space="preserve"> 80.1389 </t>
  </si>
  <si>
    <t xml:space="preserve">F:\images\20210310\plaque 1/@06 EE2 170.9/D6_02.tif </t>
  </si>
  <si>
    <t xml:space="preserve"> 65646.7302 </t>
  </si>
  <si>
    <t xml:space="preserve"> 82.6244 </t>
  </si>
  <si>
    <t xml:space="preserve">F:\images\20210310\plaque 1/@06 EE2 170.9/D6_03.tif </t>
  </si>
  <si>
    <t xml:space="preserve"> 62380.6161 </t>
  </si>
  <si>
    <t xml:space="preserve"> 82.1553 </t>
  </si>
  <si>
    <t>F:\images\20210310\plaque 1/@06 EE2 170.9/E6_01- exclu.tif</t>
  </si>
  <si>
    <t>F:\images\20210310\plaque 1/@06 EE2 170.9/E6_02- exclu.tif</t>
  </si>
  <si>
    <t>F:\images\20210310\plaque 1/@06 EE2 170.9/E6_03- exclu.tif</t>
  </si>
  <si>
    <t xml:space="preserve">F:\images\20210310\plaque 1/@06 EE2 170.9/F6_01.tif </t>
  </si>
  <si>
    <t xml:space="preserve"> 36576.1518 </t>
  </si>
  <si>
    <t xml:space="preserve"> 75.4394 </t>
  </si>
  <si>
    <t>F:\images\20210310\plaque 1/@06 EE2 170.9/F6_02- exclu.tif</t>
  </si>
  <si>
    <t xml:space="preserve">F:\images\20210310\plaque 1/@06 EE2 170.9/F6_03.tif </t>
  </si>
  <si>
    <t xml:space="preserve"> 34499.6819 </t>
  </si>
  <si>
    <t xml:space="preserve"> 75.3129 </t>
  </si>
  <si>
    <t xml:space="preserve">F:\images\20210310\plaque 1/@06 EE2 170.9/G6_01.tif </t>
  </si>
  <si>
    <t xml:space="preserve"> 41183.3194 </t>
  </si>
  <si>
    <t xml:space="preserve"> 69.9097 </t>
  </si>
  <si>
    <t xml:space="preserve">F:\images\20210310\plaque 1/@06 EE2 170.9/G6_02.tif </t>
  </si>
  <si>
    <t xml:space="preserve"> 39041.9598 </t>
  </si>
  <si>
    <t xml:space="preserve"> 68.0765 </t>
  </si>
  <si>
    <t xml:space="preserve">F:\images\20210310\plaque 1/@06 EE2 170.9/G6_03.tif </t>
  </si>
  <si>
    <t xml:space="preserve"> 43238.1594 </t>
  </si>
  <si>
    <t xml:space="preserve"> 69.094 </t>
  </si>
  <si>
    <t xml:space="preserve">F:\images\20210310\plaque 1/@06 EE2 170.9/H6_01.tif </t>
  </si>
  <si>
    <t xml:space="preserve"> 44124.985 </t>
  </si>
  <si>
    <t xml:space="preserve"> 76.4417 </t>
  </si>
  <si>
    <t xml:space="preserve">F:\images\20210310\plaque 1/@06 EE2 170.9/H6_02.tif </t>
  </si>
  <si>
    <t xml:space="preserve"> 46201.4549 </t>
  </si>
  <si>
    <t xml:space="preserve"> 72.221 </t>
  </si>
  <si>
    <t xml:space="preserve">F:\images\20210310\plaque 1/@06 EE2 170.9/H6_03.tif </t>
  </si>
  <si>
    <t xml:space="preserve"> 43735.6469 </t>
  </si>
  <si>
    <t xml:space="preserve"> 70.8798 </t>
  </si>
  <si>
    <t xml:space="preserve">F:\images\20210310\plaque 1/@06 EE2 170.9/ </t>
  </si>
  <si>
    <t xml:space="preserve"> 73.0691 </t>
  </si>
  <si>
    <t xml:space="preserve"> 4.4283 </t>
  </si>
  <si>
    <t xml:space="preserve"> 3197933.92 </t>
  </si>
  <si>
    <t xml:space="preserve"> 1253648.01 </t>
  </si>
  <si>
    <t xml:space="preserve">F:\images\20210310\plaque 1/@07 EE2 488/A7_01.tif </t>
  </si>
  <si>
    <t xml:space="preserve"> 90456.2193 </t>
  </si>
  <si>
    <t xml:space="preserve"> 98.6958 </t>
  </si>
  <si>
    <t xml:space="preserve">F:\images\20210310\plaque 1/@07 EE2 488/A7_02.tif </t>
  </si>
  <si>
    <t xml:space="preserve"> 94847.0879 </t>
  </si>
  <si>
    <t xml:space="preserve"> 95.7193 </t>
  </si>
  <si>
    <t xml:space="preserve">F:\images\20210310\plaque 1/@07 EE2 488/A7_03.tif </t>
  </si>
  <si>
    <t xml:space="preserve"> 82864.1263 </t>
  </si>
  <si>
    <t xml:space="preserve"> 101.4051 </t>
  </si>
  <si>
    <t xml:space="preserve">F:\images\20210310\plaque 1/@07 EE2 488/B7_01.tif </t>
  </si>
  <si>
    <t xml:space="preserve"> 60152.737 </t>
  </si>
  <si>
    <t xml:space="preserve"> 78.393 </t>
  </si>
  <si>
    <t xml:space="preserve">F:\images\20210310\plaque 1/@07 EE2 488/B7_02.tif </t>
  </si>
  <si>
    <t xml:space="preserve"> 54810.153 </t>
  </si>
  <si>
    <t xml:space="preserve"> 78.3228 </t>
  </si>
  <si>
    <t xml:space="preserve">F:\images\20210310\plaque 1/@07 EE2 488/B7_03.tif </t>
  </si>
  <si>
    <t xml:space="preserve"> 59395.6907 </t>
  </si>
  <si>
    <t xml:space="preserve"> 78.6406 </t>
  </si>
  <si>
    <t xml:space="preserve">F:\images\20210310\plaque 1/@07 EE2 488/C7_01.tif </t>
  </si>
  <si>
    <t xml:space="preserve"> 42416.2234 </t>
  </si>
  <si>
    <t xml:space="preserve"> 97.1173 </t>
  </si>
  <si>
    <t>F:\images\20210310\plaque 1/@07 EE2 488/C7_02- exclu.tif</t>
  </si>
  <si>
    <t xml:space="preserve">F:\images\20210310\plaque 1/@07 EE2 488/C7_03.tif </t>
  </si>
  <si>
    <t xml:space="preserve"> 44016.8356 </t>
  </si>
  <si>
    <t xml:space="preserve"> 97.8668 </t>
  </si>
  <si>
    <t xml:space="preserve">F:\images\20210310\plaque 1/@07 EE2 488/D7_01.tif </t>
  </si>
  <si>
    <t xml:space="preserve"> 64759.9045 </t>
  </si>
  <si>
    <t xml:space="preserve"> 93.9352 </t>
  </si>
  <si>
    <t>F:\images\20210310\plaque 1/@07 EE2 488/D7_02- exclu.tif</t>
  </si>
  <si>
    <t xml:space="preserve">F:\images\20210310\plaque 1/@07 EE2 488/D7_03.tif </t>
  </si>
  <si>
    <t xml:space="preserve"> 67204.0826 </t>
  </si>
  <si>
    <t xml:space="preserve"> 92.6714 </t>
  </si>
  <si>
    <t xml:space="preserve">F:\images\20210310\plaque 1/@07 EE2 488/E7_01.tif </t>
  </si>
  <si>
    <t xml:space="preserve"> 39517.8175 </t>
  </si>
  <si>
    <t xml:space="preserve"> 93.3186 </t>
  </si>
  <si>
    <t xml:space="preserve">F:\images\20210310\plaque 1/@07 EE2 488/E7_02.tif </t>
  </si>
  <si>
    <t xml:space="preserve"> 40945.3905 </t>
  </si>
  <si>
    <t xml:space="preserve"> 86.0866 </t>
  </si>
  <si>
    <t xml:space="preserve">F:\images\20210310\plaque 1/@07 EE2 488/E7_03.tif </t>
  </si>
  <si>
    <t xml:space="preserve"> 39150.1093 </t>
  </si>
  <si>
    <t xml:space="preserve"> 86.1923 </t>
  </si>
  <si>
    <t xml:space="preserve">F:\images\20210310\plaque 1/@07 EE2 488/F7_01.tif </t>
  </si>
  <si>
    <t xml:space="preserve"> 64457.086 </t>
  </si>
  <si>
    <t xml:space="preserve"> 96.9144 </t>
  </si>
  <si>
    <t xml:space="preserve">F:\images\20210310\plaque 1/@07 EE2 488/F7_02.tif </t>
  </si>
  <si>
    <t xml:space="preserve"> 69842.9298 </t>
  </si>
  <si>
    <t xml:space="preserve"> 90.9508 </t>
  </si>
  <si>
    <t xml:space="preserve">F:\images\20210310\plaque 1/@07 EE2 488/F7_03.tif </t>
  </si>
  <si>
    <t xml:space="preserve"> 64348.9365 </t>
  </si>
  <si>
    <t xml:space="preserve"> 89.283 </t>
  </si>
  <si>
    <t xml:space="preserve">F:\images\20210310\plaque 1/@07 EE2 488/G7_01.tif </t>
  </si>
  <si>
    <t xml:space="preserve"> 57405.7403 </t>
  </si>
  <si>
    <t xml:space="preserve"> 92.7826 </t>
  </si>
  <si>
    <t xml:space="preserve">F:\images\20210310\plaque 1/@07 EE2 488/G7_02.tif </t>
  </si>
  <si>
    <t xml:space="preserve"> 55329.2705 </t>
  </si>
  <si>
    <t xml:space="preserve"> 90.2858 </t>
  </si>
  <si>
    <t xml:space="preserve">F:\images\20210310\plaque 1/@07 EE2 488/G7_03.tif </t>
  </si>
  <si>
    <t xml:space="preserve"> 59590.3597 </t>
  </si>
  <si>
    <t xml:space="preserve"> 94.6904 </t>
  </si>
  <si>
    <t xml:space="preserve">F:\images\20210310\plaque 1/@07 EE2 488/H7_01.tif </t>
  </si>
  <si>
    <t xml:space="preserve"> 68631.6557 </t>
  </si>
  <si>
    <t xml:space="preserve"> 85.6309 </t>
  </si>
  <si>
    <t xml:space="preserve">F:\images\20210310\plaque 1/@07 EE2 488/H7_02.tif </t>
  </si>
  <si>
    <t xml:space="preserve"> 71530.0615 </t>
  </si>
  <si>
    <t xml:space="preserve"> 83.886 </t>
  </si>
  <si>
    <t xml:space="preserve">F:\images\20210310\plaque 1/@07 EE2 488/H7_03.tif </t>
  </si>
  <si>
    <t xml:space="preserve"> 70859.5348 </t>
  </si>
  <si>
    <t xml:space="preserve"> 87.301 </t>
  </si>
  <si>
    <t xml:space="preserve">F:\images\20210310\plaque 1/@07 EE2 488/ </t>
  </si>
  <si>
    <t xml:space="preserve"> 89.6716 </t>
  </si>
  <si>
    <t xml:space="preserve"> 8.566 </t>
  </si>
  <si>
    <t xml:space="preserve"> 5361848.17 </t>
  </si>
  <si>
    <t xml:space="preserve"> 1911822.8 </t>
  </si>
  <si>
    <t xml:space="preserve">F:\images\20210310\plaque 1/@08 Amantadine 0.001 mg_L/A8_01.tif </t>
  </si>
  <si>
    <t xml:space="preserve"> 7051.3456 </t>
  </si>
  <si>
    <t xml:space="preserve"> 68.4755 </t>
  </si>
  <si>
    <t>F:\images\20210310\plaque 1/@08 Amantadine 0.001 mg_L/A8_02- exclu.tif</t>
  </si>
  <si>
    <t xml:space="preserve">F:\images\20210310\plaque 1/@08 Amantadine 0.001 mg_L/A8_03.tif </t>
  </si>
  <si>
    <t xml:space="preserve"> 70.7704 </t>
  </si>
  <si>
    <t xml:space="preserve">F:\images\20210310\plaque 1/@08 Amantadine 0.001 mg_L/B8_01.tif </t>
  </si>
  <si>
    <t xml:space="preserve"> 757.0463 </t>
  </si>
  <si>
    <t xml:space="preserve"> 63.1714 </t>
  </si>
  <si>
    <t xml:space="preserve">F:\images\20210310\plaque 1/@08 Amantadine 0.001 mg_L/B8_02.tif </t>
  </si>
  <si>
    <t xml:space="preserve"> 3201.2244 </t>
  </si>
  <si>
    <t xml:space="preserve"> 69.3514 </t>
  </si>
  <si>
    <t xml:space="preserve">F:\images\20210310\plaque 1/@08 Amantadine 0.001 mg_L/B8_03.tif </t>
  </si>
  <si>
    <t xml:space="preserve"> 70.5902 </t>
  </si>
  <si>
    <t xml:space="preserve">F:\images\20210310\plaque 1/@08 Amantadine 0.001 mg_L/C8_01.tif </t>
  </si>
  <si>
    <t xml:space="preserve"> 6034.7406 </t>
  </si>
  <si>
    <t xml:space="preserve"> 68.2903 </t>
  </si>
  <si>
    <t xml:space="preserve">F:\images\20210310\plaque 1/@08 Amantadine 0.001 mg_L/C8_02.tif </t>
  </si>
  <si>
    <t xml:space="preserve"> 9344.1145 </t>
  </si>
  <si>
    <t xml:space="preserve"> 79.8171 </t>
  </si>
  <si>
    <t xml:space="preserve">F:\images\20210310\plaque 1/@08 Amantadine 0.001 mg_L/C8_03.tif </t>
  </si>
  <si>
    <t xml:space="preserve"> 7440.6838 </t>
  </si>
  <si>
    <t xml:space="preserve"> 78.1424 </t>
  </si>
  <si>
    <t xml:space="preserve">F:\images\20210310\plaque 1/@08 Amantadine 0.001 mg_L/D8_01.tif </t>
  </si>
  <si>
    <t xml:space="preserve"> 1254.5339 </t>
  </si>
  <si>
    <t xml:space="preserve"> 65.0862 </t>
  </si>
  <si>
    <t xml:space="preserve">F:\images\20210310\plaque 1/@08 Amantadine 0.001 mg_L/D8_02.tif </t>
  </si>
  <si>
    <t xml:space="preserve"> 540.7474 </t>
  </si>
  <si>
    <t xml:space="preserve"> 63.72 </t>
  </si>
  <si>
    <t xml:space="preserve">F:\images\20210310\plaque 1/@08 Amantadine 0.001 mg_L/D8_03.tif </t>
  </si>
  <si>
    <t xml:space="preserve"> 70.6994 </t>
  </si>
  <si>
    <t xml:space="preserve">F:\images\20210310\plaque 1/@08 Amantadine 0.001 mg_L/E8_01.tif </t>
  </si>
  <si>
    <t xml:space="preserve"> 4780.2067 </t>
  </si>
  <si>
    <t xml:space="preserve"> 70.2308 </t>
  </si>
  <si>
    <t xml:space="preserve">F:\images\20210310\plaque 1/@08 Amantadine 0.001 mg_L/E8_02.tif </t>
  </si>
  <si>
    <t xml:space="preserve"> 1968.3204 </t>
  </si>
  <si>
    <t xml:space="preserve"> 66.1538 </t>
  </si>
  <si>
    <t xml:space="preserve">F:\images\20210310\plaque 1/@08 Amantadine 0.001 mg_L/E8_03.tif </t>
  </si>
  <si>
    <t xml:space="preserve"> 3806.8615 </t>
  </si>
  <si>
    <t xml:space="preserve"> 70.9375 </t>
  </si>
  <si>
    <t xml:space="preserve">F:\images\20210310\plaque 1/@08 Amantadine 0.001 mg_L/F8_01.tif </t>
  </si>
  <si>
    <t xml:space="preserve"> 151.4093 </t>
  </si>
  <si>
    <t xml:space="preserve"> 63.2857 </t>
  </si>
  <si>
    <t xml:space="preserve">F:\images\20210310\plaque 1/@08 Amantadine 0.001 mg_L/F8_02.tif </t>
  </si>
  <si>
    <t xml:space="preserve"> 8197.7301 </t>
  </si>
  <si>
    <t xml:space="preserve"> 76.9815 </t>
  </si>
  <si>
    <t xml:space="preserve">F:\images\20210310\plaque 1/@08 Amantadine 0.001 mg_L/F8_03.tif </t>
  </si>
  <si>
    <t xml:space="preserve"> 8089.5806 </t>
  </si>
  <si>
    <t xml:space="preserve"> 75.3663 </t>
  </si>
  <si>
    <t xml:space="preserve">F:\images\20210310\plaque 1/@08 Amantadine 0.001 mg_L/G8_01.tif </t>
  </si>
  <si>
    <t xml:space="preserve"> 72.0235 </t>
  </si>
  <si>
    <t xml:space="preserve">F:\images\20210310\plaque 1/@08 Amantadine 0.001 mg_L/G8_02.tif </t>
  </si>
  <si>
    <t xml:space="preserve"> 6964.8261 </t>
  </si>
  <si>
    <t xml:space="preserve"> 70.764 </t>
  </si>
  <si>
    <t xml:space="preserve">F:\images\20210310\plaque 1/@08 Amantadine 0.001 mg_L/G8_03.tif </t>
  </si>
  <si>
    <t xml:space="preserve"> 6294.2993 </t>
  </si>
  <si>
    <t xml:space="preserve"> 70.0893 </t>
  </si>
  <si>
    <t xml:space="preserve">F:\images\20210310\plaque 1/@08 Amantadine 0.001 mg_L/H8_01.tif </t>
  </si>
  <si>
    <t xml:space="preserve"> 6597.1179 </t>
  </si>
  <si>
    <t xml:space="preserve"> 69.8033 </t>
  </si>
  <si>
    <t xml:space="preserve">F:\images\20210310\plaque 1/@08 Amantadine 0.001 mg_L/H8_02.tif </t>
  </si>
  <si>
    <t xml:space="preserve"> 800.3061 </t>
  </si>
  <si>
    <t xml:space="preserve"> 64.4595 </t>
  </si>
  <si>
    <t xml:space="preserve">F:\images\20210310\plaque 1/@08 Amantadine 0.001 mg_L/H8_03.tif </t>
  </si>
  <si>
    <t xml:space="preserve"> 6510.5983 </t>
  </si>
  <si>
    <t xml:space="preserve"> 67.0399 </t>
  </si>
  <si>
    <t xml:space="preserve">F:\images\20210310\plaque 1/@08 Amantadine 0.001 mg_L/ </t>
  </si>
  <si>
    <t xml:space="preserve"> 69.4919 </t>
  </si>
  <si>
    <t xml:space="preserve"> 4.717 </t>
  </si>
  <si>
    <t xml:space="preserve"> 333965.5 </t>
  </si>
  <si>
    <t xml:space="preserve"> 227083.03 </t>
  </si>
  <si>
    <t xml:space="preserve">F:\images\20210310\plaque 1/@09 Amantadine 0.01 mg_L/A9_01.tif </t>
  </si>
  <si>
    <t xml:space="preserve"> 129.7794 </t>
  </si>
  <si>
    <t xml:space="preserve"> 63.6667 </t>
  </si>
  <si>
    <t xml:space="preserve">F:\images\20210310\plaque 1/@09 Amantadine 0.01 mg_L/A9_02.tif </t>
  </si>
  <si>
    <t xml:space="preserve"> 519.1175 </t>
  </si>
  <si>
    <t xml:space="preserve"> 63.4167 </t>
  </si>
  <si>
    <t xml:space="preserve">F:\images\20210310\plaque 1/@09 Amantadine 0.01 mg_L/A9_03.tif </t>
  </si>
  <si>
    <t xml:space="preserve"> 454.2278 </t>
  </si>
  <si>
    <t xml:space="preserve">F:\images\20210310\plaque 1/@09 Amantadine 0.01 mg_L/B9_01.tif </t>
  </si>
  <si>
    <t xml:space="preserve"> 4217.8295 </t>
  </si>
  <si>
    <t xml:space="preserve"> 69.0256 </t>
  </si>
  <si>
    <t xml:space="preserve">F:\images\20210310\plaque 1/@09 Amantadine 0.01 mg_L/B9_02.tif </t>
  </si>
  <si>
    <t xml:space="preserve"> 2184.6194 </t>
  </si>
  <si>
    <t xml:space="preserve"> 66.8416 </t>
  </si>
  <si>
    <t xml:space="preserve">F:\images\20210310\plaque 1/@09 Amantadine 0.01 mg_L/B9_03.tif </t>
  </si>
  <si>
    <t xml:space="preserve"> 63.0857 </t>
  </si>
  <si>
    <t xml:space="preserve">F:\images\20210310\plaque 1/@09 Amantadine 0.01 mg_L/C9_01.tif </t>
  </si>
  <si>
    <t xml:space="preserve"> 1622.2421 </t>
  </si>
  <si>
    <t xml:space="preserve"> 62.8667 </t>
  </si>
  <si>
    <t>F:\images\20210310\plaque 1/@09 Amantadine 0.01 mg_L/C9_02- exclu.tif</t>
  </si>
  <si>
    <t xml:space="preserve">F:\images\20210310\plaque 1/@09 Amantadine 0.01 mg_L/C9_03.tif </t>
  </si>
  <si>
    <t xml:space="preserve"> 63.5238 </t>
  </si>
  <si>
    <t xml:space="preserve">F:\images\20210310\plaque 1/@09 Amantadine 0.01 mg_L/D9_01.tif </t>
  </si>
  <si>
    <t xml:space="preserve"> 69.0697 </t>
  </si>
  <si>
    <t xml:space="preserve">F:\images\20210310\plaque 1/@09 Amantadine 0.01 mg_L/D9_02.tif </t>
  </si>
  <si>
    <t xml:space="preserve"> 4369.2387 </t>
  </si>
  <si>
    <t xml:space="preserve"> 71.9455 </t>
  </si>
  <si>
    <t xml:space="preserve">F:\images\20210310\plaque 1/@09 Amantadine 0.01 mg_L/D9_03.tif </t>
  </si>
  <si>
    <t xml:space="preserve"> 69.2486 </t>
  </si>
  <si>
    <t xml:space="preserve">F:\images\20210310\plaque 1/@09 Amantadine 0.01 mg_L/E9_01.tif </t>
  </si>
  <si>
    <t xml:space="preserve"> 62.6957 </t>
  </si>
  <si>
    <t xml:space="preserve">F:\images\20210310\plaque 1/@09 Amantadine 0.01 mg_L/E9_02.tif </t>
  </si>
  <si>
    <t xml:space="preserve"> 389.3381 </t>
  </si>
  <si>
    <t xml:space="preserve"> 62.9444 </t>
  </si>
  <si>
    <t xml:space="preserve">F:\images\20210310\plaque 1/@09 Amantadine 0.01 mg_L/E9_03.tif </t>
  </si>
  <si>
    <t xml:space="preserve"> 62.2857 </t>
  </si>
  <si>
    <t xml:space="preserve">F:\images\20210310\plaque 1/@09 Amantadine 0.01 mg_L/F9_01.tif </t>
  </si>
  <si>
    <t xml:space="preserve"> 63.44 </t>
  </si>
  <si>
    <t xml:space="preserve">F:\images\20210310\plaque 1/@09 Amantadine 0.01 mg_L/F9_02.tif </t>
  </si>
  <si>
    <t xml:space="preserve">F:\images\20210310\plaque 1/@09 Amantadine 0.01 mg_L/F9_03.tif </t>
  </si>
  <si>
    <t xml:space="preserve"> 66.7857 </t>
  </si>
  <si>
    <t xml:space="preserve">F:\images\20210310\plaque 1/@09 Amantadine 0.01 mg_L/G9_01.tif </t>
  </si>
  <si>
    <t xml:space="preserve"> 821.936 </t>
  </si>
  <si>
    <t xml:space="preserve"> 62.4737 </t>
  </si>
  <si>
    <t xml:space="preserve">F:\images\20210310\plaque 1/@09 Amantadine 0.01 mg_L/G9_02.tif </t>
  </si>
  <si>
    <t xml:space="preserve"> 68.3556 </t>
  </si>
  <si>
    <t xml:space="preserve">F:\images\20210310\plaque 1/@09 Amantadine 0.01 mg_L/G9_03.tif </t>
  </si>
  <si>
    <t xml:space="preserve"> 62.6667 </t>
  </si>
  <si>
    <t xml:space="preserve">F:\images\20210310\plaque 1/@09 Amantadine 0.01 mg_L/H9_01.tif </t>
  </si>
  <si>
    <t xml:space="preserve"> 3028.1852 </t>
  </si>
  <si>
    <t xml:space="preserve"> 67.5 </t>
  </si>
  <si>
    <t xml:space="preserve">F:\images\20210310\plaque 1/@09 Amantadine 0.01 mg_L/H9_02.tif </t>
  </si>
  <si>
    <t xml:space="preserve"> 5623.7726 </t>
  </si>
  <si>
    <t xml:space="preserve"> 70.9231 </t>
  </si>
  <si>
    <t xml:space="preserve">F:\images\20210310\plaque 1/@09 Amantadine 0.01 mg_L/H9_03.tif </t>
  </si>
  <si>
    <t xml:space="preserve"> 71.7769 </t>
  </si>
  <si>
    <t xml:space="preserve">F:\images\20210310\plaque 1/@09 Amantadine 0.01 mg_L/ </t>
  </si>
  <si>
    <t xml:space="preserve"> 65.576 </t>
  </si>
  <si>
    <t xml:space="preserve"> 3.3296 </t>
  </si>
  <si>
    <t xml:space="preserve"> 128500.542 </t>
  </si>
  <si>
    <t xml:space="preserve"> 133536.179 </t>
  </si>
  <si>
    <t xml:space="preserve">F:\images\20210310\plaque 1/@10 Amantadine 0.1 mg_L/A10_01.tif </t>
  </si>
  <si>
    <t xml:space="preserve"> 63.4929 </t>
  </si>
  <si>
    <t xml:space="preserve">F:\images\20210310\plaque 1/@10 Amantadine 0.1 mg_L/A10_02.tif </t>
  </si>
  <si>
    <t xml:space="preserve"> 64.5878 </t>
  </si>
  <si>
    <t xml:space="preserve">F:\images\20210310\plaque 1/@10 Amantadine 0.1 mg_L/A10_03.tif </t>
  </si>
  <si>
    <t xml:space="preserve"> 2746.9966 </t>
  </si>
  <si>
    <t xml:space="preserve"> 64.0787 </t>
  </si>
  <si>
    <t xml:space="preserve">F:\images\20210310\plaque 1/@10 Amantadine 0.1 mg_L/B10_01.tif </t>
  </si>
  <si>
    <t xml:space="preserve"> 5320.9541 </t>
  </si>
  <si>
    <t xml:space="preserve"> 67.7114 </t>
  </si>
  <si>
    <t xml:space="preserve">F:\images\20210310\plaque 1/@10 Amantadine 0.1 mg_L/B10_02.tif </t>
  </si>
  <si>
    <t xml:space="preserve"> 5147.9149 </t>
  </si>
  <si>
    <t xml:space="preserve"> 65.4286 </t>
  </si>
  <si>
    <t xml:space="preserve">F:\images\20210310\plaque 1/@10 Amantadine 0.1 mg_L/B10_03.tif </t>
  </si>
  <si>
    <t xml:space="preserve"> 4585.5377 </t>
  </si>
  <si>
    <t xml:space="preserve"> 68.0047 </t>
  </si>
  <si>
    <t xml:space="preserve">F:\images\20210310\plaque 1/@10 Amantadine 0.1 mg_L/C10_01.tif </t>
  </si>
  <si>
    <t xml:space="preserve"> 4282.7191 </t>
  </si>
  <si>
    <t xml:space="preserve"> 71.2828 </t>
  </si>
  <si>
    <t xml:space="preserve">F:\images\20210310\plaque 1/@10 Amantadine 0.1 mg_L/C10_02.tif </t>
  </si>
  <si>
    <t xml:space="preserve">F:\images\20210310\plaque 1/@10 Amantadine 0.1 mg_L/C10_03.tif </t>
  </si>
  <si>
    <t xml:space="preserve"> 432.5979 </t>
  </si>
  <si>
    <t xml:space="preserve"> 63.1 </t>
  </si>
  <si>
    <t xml:space="preserve">F:\images\20210310\plaque 1/@10 Amantadine 0.1 mg_L/D10_01.tif </t>
  </si>
  <si>
    <t xml:space="preserve"> 6878.3065 </t>
  </si>
  <si>
    <t xml:space="preserve"> 67.4308 </t>
  </si>
  <si>
    <t xml:space="preserve">F:\images\20210310\plaque 1/@10 Amantadine 0.1 mg_L/D10_02.tif </t>
  </si>
  <si>
    <t xml:space="preserve"> 3374.2636 </t>
  </si>
  <si>
    <t xml:space="preserve"> 68.6282 </t>
  </si>
  <si>
    <t xml:space="preserve">F:\images\20210310\plaque 1/@10 Amantadine 0.1 mg_L/D10_03.tif </t>
  </si>
  <si>
    <t xml:space="preserve"> 62.5833 </t>
  </si>
  <si>
    <t xml:space="preserve">F:\images\20210310\plaque 1/@10 Amantadine 0.1 mg_L/E10_01.tif </t>
  </si>
  <si>
    <t xml:space="preserve"> 63.6154 </t>
  </si>
  <si>
    <t xml:space="preserve">F:\images\20210310\plaque 1/@10 Amantadine 0.1 mg_L/E10_02.tif </t>
  </si>
  <si>
    <t xml:space="preserve">F:\images\20210310\plaque 1/@10 Amantadine 0.1 mg_L/E10_03.tif </t>
  </si>
  <si>
    <t xml:space="preserve"> 63.5 </t>
  </si>
  <si>
    <t xml:space="preserve">F:\images\20210310\plaque 1/@10 Amantadine 0.1 mg_L/F10_01.tif </t>
  </si>
  <si>
    <t xml:space="preserve"> 6013.1107 </t>
  </si>
  <si>
    <t xml:space="preserve"> 81.6403 </t>
  </si>
  <si>
    <t xml:space="preserve">F:\images\20210310\plaque 1/@10 Amantadine 0.1 mg_L/F10_02.tif </t>
  </si>
  <si>
    <t xml:space="preserve"> 82.5444 </t>
  </si>
  <si>
    <t xml:space="preserve">F:\images\20210310\plaque 1/@10 Amantadine 0.1 mg_L/F10_03.tif </t>
  </si>
  <si>
    <t xml:space="preserve"> 1492.4627 </t>
  </si>
  <si>
    <t xml:space="preserve"> 62.4783 </t>
  </si>
  <si>
    <t xml:space="preserve">F:\images\20210310\plaque 1/@10 Amantadine 0.1 mg_L/G10_01.tif </t>
  </si>
  <si>
    <t xml:space="preserve"> 2811.8863 </t>
  </si>
  <si>
    <t xml:space="preserve"> 64.0077 </t>
  </si>
  <si>
    <t xml:space="preserve">F:\images\20210310\plaque 1/@10 Amantadine 0.1 mg_L/G10_02.tif </t>
  </si>
  <si>
    <t xml:space="preserve"> 2336.0286 </t>
  </si>
  <si>
    <t xml:space="preserve"> 63.1944 </t>
  </si>
  <si>
    <t xml:space="preserve">F:\images\20210310\plaque 1/@10 Amantadine 0.1 mg_L/G10_03.tif </t>
  </si>
  <si>
    <t xml:space="preserve"> 1643.872 </t>
  </si>
  <si>
    <t xml:space="preserve"> 63.9211 </t>
  </si>
  <si>
    <t xml:space="preserve">F:\images\20210310\plaque 1/@10 Amantadine 0.1 mg_L/H10_01.tif </t>
  </si>
  <si>
    <t xml:space="preserve"> 4499.0181 </t>
  </si>
  <si>
    <t xml:space="preserve"> 72.6538 </t>
  </si>
  <si>
    <t>F:\images\20210310\plaque 1/@10 Amantadine 0.1 mg_L/H10_02- exclu.tif</t>
  </si>
  <si>
    <t xml:space="preserve">F:\images\20210310\plaque 1/@10 Amantadine 0.1 mg_L/H10_03.tif </t>
  </si>
  <si>
    <t xml:space="preserve"> 562.3773 </t>
  </si>
  <si>
    <t xml:space="preserve"> 65.4615 </t>
  </si>
  <si>
    <t xml:space="preserve">F:\images\20210310\plaque 1/@10 Amantadine 0.1 mg_L/ </t>
  </si>
  <si>
    <t xml:space="preserve"> 66.7808 </t>
  </si>
  <si>
    <t xml:space="preserve"> 5.4207 </t>
  </si>
  <si>
    <t xml:space="preserve"> 197974.75 </t>
  </si>
  <si>
    <t xml:space="preserve"> 170065.572 </t>
  </si>
  <si>
    <t xml:space="preserve">F:\images\20210310\plaque 1/@11 Amantadine 1 mg_L/A11_01.tif </t>
  </si>
  <si>
    <t xml:space="preserve"> 8781.7372 </t>
  </si>
  <si>
    <t xml:space="preserve"> 73.5419 </t>
  </si>
  <si>
    <t xml:space="preserve">F:\images\20210310\plaque 1/@11 Amantadine 1 mg_L/A11_02.tif </t>
  </si>
  <si>
    <t xml:space="preserve"> 75.0614 </t>
  </si>
  <si>
    <t xml:space="preserve">F:\images\20210310\plaque 1/@11 Amantadine 1 mg_L/A11_03.tif </t>
  </si>
  <si>
    <t xml:space="preserve"> 5472.3633 </t>
  </si>
  <si>
    <t xml:space="preserve"> 75.087 </t>
  </si>
  <si>
    <t xml:space="preserve">F:\images\20210310\plaque 1/@11 Amantadine 1 mg_L/B11_01.tif </t>
  </si>
  <si>
    <t xml:space="preserve"> 5948.221 </t>
  </si>
  <si>
    <t xml:space="preserve"> 75.1964 </t>
  </si>
  <si>
    <t xml:space="preserve">F:\images\20210310\plaque 1/@11 Amantadine 1 mg_L/B11_02.tif </t>
  </si>
  <si>
    <t xml:space="preserve"> 63.8261 </t>
  </si>
  <si>
    <t xml:space="preserve">F:\images\20210310\plaque 1/@11 Amantadine 1 mg_L/B11_03.tif </t>
  </si>
  <si>
    <t xml:space="preserve"> 7505.5734 </t>
  </si>
  <si>
    <t xml:space="preserve"> 71.487 </t>
  </si>
  <si>
    <t>F:\images\20210310\plaque 1/@11 Amantadine 1 mg_L/C11_01- exclu.tif</t>
  </si>
  <si>
    <t xml:space="preserve">F:\images\20210310\plaque 1/@11 Amantadine 1 mg_L/C11_02.tif </t>
  </si>
  <si>
    <t xml:space="preserve"> 62.3478 </t>
  </si>
  <si>
    <t xml:space="preserve">F:\images\20210310\plaque 1/@11 Amantadine 1 mg_L/C11_03.tif </t>
  </si>
  <si>
    <t xml:space="preserve"> 64.625 </t>
  </si>
  <si>
    <t xml:space="preserve">F:\images\20210310\plaque 1/@11 Amantadine 1 mg_L/D11_01.tif </t>
  </si>
  <si>
    <t xml:space="preserve"> 1535.7225 </t>
  </si>
  <si>
    <t xml:space="preserve"> 63.0282 </t>
  </si>
  <si>
    <t xml:space="preserve">F:\images\20210310\plaque 1/@11 Amantadine 1 mg_L/D11_02.tif </t>
  </si>
  <si>
    <t xml:space="preserve"> 62.8333 </t>
  </si>
  <si>
    <t xml:space="preserve">F:\images\20210310\plaque 1/@11 Amantadine 1 mg_L/D11_03.tif </t>
  </si>
  <si>
    <t xml:space="preserve"> 63.4203 </t>
  </si>
  <si>
    <t xml:space="preserve">F:\images\20210310\plaque 1/@11 Amantadine 1 mg_L/E11_01.tif </t>
  </si>
  <si>
    <t xml:space="preserve"> 3244.4842 </t>
  </si>
  <si>
    <t xml:space="preserve"> 69.22 </t>
  </si>
  <si>
    <t xml:space="preserve">F:\images\20210310\plaque 1/@11 Amantadine 1 mg_L/E11_02.tif </t>
  </si>
  <si>
    <t xml:space="preserve"> 67.1014 </t>
  </si>
  <si>
    <t xml:space="preserve">F:\images\20210310\plaque 1/@11 Amantadine 1 mg_L/E11_03.tif </t>
  </si>
  <si>
    <t xml:space="preserve"> 1860.1709 </t>
  </si>
  <si>
    <t xml:space="preserve"> 66.7326 </t>
  </si>
  <si>
    <t xml:space="preserve">F:\images\20210310\plaque 1/@11 Amantadine 1 mg_L/F11_01.tif </t>
  </si>
  <si>
    <t xml:space="preserve"> 410.968 </t>
  </si>
  <si>
    <t xml:space="preserve"> 62.5789 </t>
  </si>
  <si>
    <t xml:space="preserve">F:\images\20210310\plaque 1/@11 Amantadine 1 mg_L/F11_02.tif </t>
  </si>
  <si>
    <t xml:space="preserve"> 1297.7937 </t>
  </si>
  <si>
    <t xml:space="preserve"> 64.0167 </t>
  </si>
  <si>
    <t xml:space="preserve">F:\images\20210310\plaque 1/@11 Amantadine 1 mg_L/F11_03.tif </t>
  </si>
  <si>
    <t xml:space="preserve">F:\images\20210310\plaque 1/@11 Amantadine 1 mg_L/G11_01.tif </t>
  </si>
  <si>
    <t xml:space="preserve"> 5515.6231 </t>
  </si>
  <si>
    <t xml:space="preserve"> 70.7529 </t>
  </si>
  <si>
    <t>F:\images\20210310\plaque 1/@11 Amantadine 1 mg_L/G11_02- exclu.tif</t>
  </si>
  <si>
    <t xml:space="preserve">F:\images\20210310\plaque 1/@11 Amantadine 1 mg_L/G11_03.tif </t>
  </si>
  <si>
    <t xml:space="preserve"> 3222.8543 </t>
  </si>
  <si>
    <t xml:space="preserve"> 71.0336 </t>
  </si>
  <si>
    <t xml:space="preserve">F:\images\20210310\plaque 1/@11 Amantadine 1 mg_L/H11_01.tif </t>
  </si>
  <si>
    <t xml:space="preserve"> 69.9257 </t>
  </si>
  <si>
    <t>F:\images\20210310\plaque 1/@11 Amantadine 1 mg_L/H11_02- exclu.tif</t>
  </si>
  <si>
    <t xml:space="preserve">F:\images\20210310\plaque 1/@11 Amantadine 1 mg_L/H11_03.tif </t>
  </si>
  <si>
    <t xml:space="preserve"> 70.2762 </t>
  </si>
  <si>
    <t xml:space="preserve">F:\images\20210310\plaque 1/@11 Amantadine 1 mg_L/ </t>
  </si>
  <si>
    <t xml:space="preserve"> 67.4234 </t>
  </si>
  <si>
    <t xml:space="preserve"> 4.5029 </t>
  </si>
  <si>
    <t xml:space="preserve"> 193060.333 </t>
  </si>
  <si>
    <t xml:space="preserve"> 190211.303 </t>
  </si>
  <si>
    <t>F:\images\20210310\plaque 1/@12 Amantadine 10 mg_L/A12_01- exclu.tif</t>
  </si>
  <si>
    <t xml:space="preserve">F:\images\20210310\plaque 1/@12 Amantadine 10 mg_L/A12_02.tif </t>
  </si>
  <si>
    <t xml:space="preserve"> 11593.6235 </t>
  </si>
  <si>
    <t xml:space="preserve"> 78.6754 </t>
  </si>
  <si>
    <t xml:space="preserve">F:\images\20210310\plaque 1/@12 Amantadine 10 mg_L/A12_03.tif </t>
  </si>
  <si>
    <t xml:space="preserve"> 9084.5557 </t>
  </si>
  <si>
    <t xml:space="preserve"> 76.9476 </t>
  </si>
  <si>
    <t xml:space="preserve">F:\images\20210310\plaque 1/@12 Amantadine 10 mg_L/B12_01.tif </t>
  </si>
  <si>
    <t xml:space="preserve"> 2400.9183 </t>
  </si>
  <si>
    <t xml:space="preserve">F:\images\20210310\plaque 1/@12 Amantadine 10 mg_L/B12_02.tif </t>
  </si>
  <si>
    <t xml:space="preserve"> 66.4184 </t>
  </si>
  <si>
    <t xml:space="preserve">F:\images\20210310\plaque 1/@12 Amantadine 10 mg_L/B12_03.tif </t>
  </si>
  <si>
    <t xml:space="preserve"> 735.4164 </t>
  </si>
  <si>
    <t xml:space="preserve"> 63.2647 </t>
  </si>
  <si>
    <t xml:space="preserve">F:\images\20210310\plaque 1/@12 Amantadine 10 mg_L/C12_01.tif </t>
  </si>
  <si>
    <t xml:space="preserve"> 908.4556 </t>
  </si>
  <si>
    <t xml:space="preserve">F:\images\20210310\plaque 1/@12 Amantadine 10 mg_L/C12_02.tif </t>
  </si>
  <si>
    <t xml:space="preserve"> 3417.5234 </t>
  </si>
  <si>
    <t xml:space="preserve"> 65.0443 </t>
  </si>
  <si>
    <t xml:space="preserve">F:\images\20210310\plaque 1/@12 Amantadine 10 mg_L/C12_03.tif </t>
  </si>
  <si>
    <t xml:space="preserve"> 6424.0787 </t>
  </si>
  <si>
    <t xml:space="preserve"> 68.0774 </t>
  </si>
  <si>
    <t xml:space="preserve">F:\images\20210310\plaque 1/@12 Amantadine 10 mg_L/D12_01.tif </t>
  </si>
  <si>
    <t xml:space="preserve"> 7894.9115 </t>
  </si>
  <si>
    <t xml:space="preserve"> 78.2438 </t>
  </si>
  <si>
    <t xml:space="preserve">F:\images\20210310\plaque 1/@12 Amantadine 10 mg_L/D12_02.tif </t>
  </si>
  <si>
    <t xml:space="preserve"> 5299.3242 </t>
  </si>
  <si>
    <t xml:space="preserve"> 72.1837 </t>
  </si>
  <si>
    <t xml:space="preserve">F:\images\20210310\plaque 1/@12 Amantadine 10 mg_L/D12_03.tif </t>
  </si>
  <si>
    <t xml:space="preserve"> 2314.3987 </t>
  </si>
  <si>
    <t xml:space="preserve"> 68.5047 </t>
  </si>
  <si>
    <t xml:space="preserve">F:\images\20210310\plaque 1/@12 Amantadine 10 mg_L/E12_01.tif </t>
  </si>
  <si>
    <t xml:space="preserve"> 11745.0328 </t>
  </si>
  <si>
    <t xml:space="preserve"> 89.6851 </t>
  </si>
  <si>
    <t>F:\images\20210310\plaque 1/@12 Amantadine 10 mg_L/E12_02- exclu.tif</t>
  </si>
  <si>
    <t xml:space="preserve">F:\images\20210310\plaque 1/@12 Amantadine 10 mg_L/E12_03.tif </t>
  </si>
  <si>
    <t xml:space="preserve"> 4304.349 </t>
  </si>
  <si>
    <t xml:space="preserve"> 72.5075 </t>
  </si>
  <si>
    <t>F:\images\20210310\plaque 1/@12 Amantadine 10 mg_L/F12_01- exclu.tif</t>
  </si>
  <si>
    <t xml:space="preserve">F:\images\20210310\plaque 1/@12 Amantadine 10 mg_L/F12_02.tif </t>
  </si>
  <si>
    <t xml:space="preserve">F:\images\20210310\plaque 1/@12 Amantadine 10 mg_L/F12_03.tif </t>
  </si>
  <si>
    <t xml:space="preserve"> 62.2 </t>
  </si>
  <si>
    <t>F:\images\20210310\plaque 1/@12 Amantadine 10 mg_L/G12_01- exclu.tif</t>
  </si>
  <si>
    <t>F:\images\20210310\plaque 1/@12 Amantadine 10 mg_L/G12_02- exclu.tif</t>
  </si>
  <si>
    <t xml:space="preserve">F:\images\20210310\plaque 1/@12 Amantadine 10 mg_L/G12_03.tif </t>
  </si>
  <si>
    <t xml:space="preserve"> 4023.1604 </t>
  </si>
  <si>
    <t xml:space="preserve"> 66.172 </t>
  </si>
  <si>
    <t xml:space="preserve">F:\images\20210310\plaque 1/@12 Amantadine 10 mg_L/H12_01.tif </t>
  </si>
  <si>
    <t xml:space="preserve"> 67.9744 </t>
  </si>
  <si>
    <t xml:space="preserve">F:\images\20210310\plaque 1/@12 Amantadine 10 mg_L/H12_02.tif </t>
  </si>
  <si>
    <t xml:space="preserve"> 66.6961 </t>
  </si>
  <si>
    <t xml:space="preserve">F:\images\20210310\plaque 1/@12 Amantadine 10 mg_L/H12_03.tif </t>
  </si>
  <si>
    <t xml:space="preserve"> 63.45 </t>
  </si>
  <si>
    <t xml:space="preserve">F:\images\20210310\plaque 1/@12 Amantadine 10 mg_L/ </t>
  </si>
  <si>
    <t xml:space="preserve"> 68.8845 </t>
  </si>
  <si>
    <t xml:space="preserve"> 6.979 </t>
  </si>
  <si>
    <t xml:space="preserve"> 291221.292 </t>
  </si>
  <si>
    <t xml:space="preserve"> 324988.405 </t>
  </si>
  <si>
    <t xml:space="preserve">F:\images\20210310\plaque 2/@01 Testo 30/A1_01.tif </t>
  </si>
  <si>
    <t xml:space="preserve"> 26777.8096 </t>
  </si>
  <si>
    <t xml:space="preserve"> 72.6519 </t>
  </si>
  <si>
    <t xml:space="preserve">F:\images\20210310\plaque 2/@01 Testo 30/A1_02.tif </t>
  </si>
  <si>
    <t xml:space="preserve"> 30930.7493 </t>
  </si>
  <si>
    <t xml:space="preserve"> 72.3902 </t>
  </si>
  <si>
    <t xml:space="preserve">F:\images\20210310\plaque 2/@01 Testo 30/A1_03.tif </t>
  </si>
  <si>
    <t xml:space="preserve"> 25674.6849 </t>
  </si>
  <si>
    <t xml:space="preserve"> 71.7709 </t>
  </si>
  <si>
    <t xml:space="preserve">F:\images\20210310\plaque 2/@01 Testo 30/B1_01.tif </t>
  </si>
  <si>
    <t xml:space="preserve"> 48580.7433 </t>
  </si>
  <si>
    <t xml:space="preserve"> 74.5 </t>
  </si>
  <si>
    <t>F:\images\20210310\plaque 2/@01 Testo 30/B1_02- exclu.tif</t>
  </si>
  <si>
    <t xml:space="preserve">F:\images\20210310\plaque 2/@01 Testo 30/B1_03.tif </t>
  </si>
  <si>
    <t xml:space="preserve"> 42459.4832 </t>
  </si>
  <si>
    <t xml:space="preserve"> 75.9776 </t>
  </si>
  <si>
    <t xml:space="preserve">F:\images\20210310\plaque 2/@01 Testo 30/C1_01.tif </t>
  </si>
  <si>
    <t xml:space="preserve"> 31255.1977 </t>
  </si>
  <si>
    <t xml:space="preserve"> 66.9439 </t>
  </si>
  <si>
    <t xml:space="preserve">F:\images\20210310\plaque 2/@01 Testo 30/C1_02.tif </t>
  </si>
  <si>
    <t xml:space="preserve"> 27296.927 </t>
  </si>
  <si>
    <t xml:space="preserve"> 67.0333 </t>
  </si>
  <si>
    <t xml:space="preserve">F:\images\20210310\plaque 2/@01 Testo 30/C1_03.tif </t>
  </si>
  <si>
    <t xml:space="preserve"> 34175.2335 </t>
  </si>
  <si>
    <t xml:space="preserve"> 67.4114 </t>
  </si>
  <si>
    <t xml:space="preserve">F:\images\20210310\plaque 2/@01 Testo 30/D1_01.tif </t>
  </si>
  <si>
    <t xml:space="preserve"> 20505.1401 </t>
  </si>
  <si>
    <t xml:space="preserve"> 67.0127 </t>
  </si>
  <si>
    <t>F:\images\20210310\plaque 2/@01 Testo 30/D1_02- exclu.tif</t>
  </si>
  <si>
    <t xml:space="preserve">F:\images\20210310\plaque 2/@01 Testo 30/D1_03.tif </t>
  </si>
  <si>
    <t xml:space="preserve"> 17282.2858 </t>
  </si>
  <si>
    <t xml:space="preserve"> 67.5119 </t>
  </si>
  <si>
    <t xml:space="preserve">F:\images\20210310\plaque 2/@01 Testo 30/E1_01.tif </t>
  </si>
  <si>
    <t xml:space="preserve"> 17887.9229 </t>
  </si>
  <si>
    <t xml:space="preserve"> 65.3555 </t>
  </si>
  <si>
    <t>F:\images\20210310\plaque 2/@01 Testo 30/E1_02- exclu.tif</t>
  </si>
  <si>
    <t xml:space="preserve">F:\images\20210310\plaque 2/@01 Testo 30/E1_03.tif </t>
  </si>
  <si>
    <t xml:space="preserve"> 16200.7911 </t>
  </si>
  <si>
    <t xml:space="preserve"> 65.1188 </t>
  </si>
  <si>
    <t xml:space="preserve">F:\images\20210310\plaque 2/@01 Testo 30/F1_01.tif </t>
  </si>
  <si>
    <t xml:space="preserve"> 3352.6337 </t>
  </si>
  <si>
    <t xml:space="preserve"> 67.8258 </t>
  </si>
  <si>
    <t xml:space="preserve">F:\images\20210310\plaque 2/@01 Testo 30/F1_02.tif </t>
  </si>
  <si>
    <t xml:space="preserve">F:\images\20210310\plaque 2/@01 Testo 30/F1_03.tif </t>
  </si>
  <si>
    <t xml:space="preserve"> 65.1047 </t>
  </si>
  <si>
    <t xml:space="preserve">F:\images\20210310\plaque 2/@01 Testo 30/G1_01.tif </t>
  </si>
  <si>
    <t xml:space="preserve"> 62423.8759 </t>
  </si>
  <si>
    <t xml:space="preserve"> 78.0918 </t>
  </si>
  <si>
    <t>F:\images\20210310\plaque 2/@01 Testo 30/G1_02- exclu.tif</t>
  </si>
  <si>
    <t xml:space="preserve">F:\images\20210310\plaque 2/@01 Testo 30/G1_03.tif </t>
  </si>
  <si>
    <t xml:space="preserve"> 58941.4629 </t>
  </si>
  <si>
    <t xml:space="preserve"> 74.9505 </t>
  </si>
  <si>
    <t xml:space="preserve">F:\images\20210310\plaque 2/@01 Testo 30/H1_01.tif </t>
  </si>
  <si>
    <t xml:space="preserve"> 65.0922 </t>
  </si>
  <si>
    <t xml:space="preserve">F:\images\20210310\plaque 2/@01 Testo 30/H1_02.tif </t>
  </si>
  <si>
    <t xml:space="preserve"> 2422.5482 </t>
  </si>
  <si>
    <t xml:space="preserve"> 63.2768 </t>
  </si>
  <si>
    <t xml:space="preserve">F:\images\20210310\plaque 2/@01 Testo 30/H1_03.tif </t>
  </si>
  <si>
    <t xml:space="preserve"> 63.507 </t>
  </si>
  <si>
    <t xml:space="preserve">F:\images\20210310\plaque 2/@01 Testo 30/ </t>
  </si>
  <si>
    <t xml:space="preserve"> 68.328 </t>
  </si>
  <si>
    <t xml:space="preserve"> 4.4152 </t>
  </si>
  <si>
    <t xml:space="preserve"> 1466812.33 </t>
  </si>
  <si>
    <t xml:space="preserve"> 1427346.25 </t>
  </si>
  <si>
    <t xml:space="preserve">F:\images\20210310\plaque 2/@02 Testo 30/A2_01.tif </t>
  </si>
  <si>
    <t xml:space="preserve"> 42135.0347 </t>
  </si>
  <si>
    <t xml:space="preserve"> 71.23 </t>
  </si>
  <si>
    <t xml:space="preserve">F:\images\20210310\plaque 2/@02 Testo 30/A2_02.tif </t>
  </si>
  <si>
    <t xml:space="preserve"> 45595.8179 </t>
  </si>
  <si>
    <t xml:space="preserve"> 69.5963 </t>
  </si>
  <si>
    <t xml:space="preserve">F:\images\20210310\plaque 2/@02 Testo 30/A2_03.tif </t>
  </si>
  <si>
    <t xml:space="preserve"> 19531.7948 </t>
  </si>
  <si>
    <t xml:space="preserve"> 64.3588 </t>
  </si>
  <si>
    <t xml:space="preserve">F:\images\20210310\plaque 2/@02 Testo 30/B2_01.tif </t>
  </si>
  <si>
    <t xml:space="preserve"> 4001.5305 </t>
  </si>
  <si>
    <t xml:space="preserve"> 65.6162 </t>
  </si>
  <si>
    <t xml:space="preserve">F:\images\20210310\plaque 2/@02 Testo 30/B2_02.tif </t>
  </si>
  <si>
    <t xml:space="preserve"> 7159.4951 </t>
  </si>
  <si>
    <t xml:space="preserve"> 70.9819 </t>
  </si>
  <si>
    <t xml:space="preserve">F:\images\20210310\plaque 2/@02 Testo 30/B2_03.tif </t>
  </si>
  <si>
    <t xml:space="preserve"> 29221.9876 </t>
  </si>
  <si>
    <t xml:space="preserve"> 74.379 </t>
  </si>
  <si>
    <t xml:space="preserve">F:\images\20210310\plaque 2/@02 Testo 30/C2_01.tif </t>
  </si>
  <si>
    <t xml:space="preserve"> 57297.5909 </t>
  </si>
  <si>
    <t xml:space="preserve"> 74.3643 </t>
  </si>
  <si>
    <t xml:space="preserve">F:\images\20210310\plaque 2/@02 Testo 30/C2_02.tif </t>
  </si>
  <si>
    <t xml:space="preserve"> 57665.2991 </t>
  </si>
  <si>
    <t xml:space="preserve"> 72.6658 </t>
  </si>
  <si>
    <t xml:space="preserve">F:\images\20210310\plaque 2/@02 Testo 30/C2_03.tif </t>
  </si>
  <si>
    <t xml:space="preserve"> 51630.5585 </t>
  </si>
  <si>
    <t xml:space="preserve"> 73.1353 </t>
  </si>
  <si>
    <t xml:space="preserve">F:\images\20210310\plaque 2/@02 Testo 30/D2_01.tif </t>
  </si>
  <si>
    <t xml:space="preserve"> 13107.7161 </t>
  </si>
  <si>
    <t xml:space="preserve"> 66.6634 </t>
  </si>
  <si>
    <t>F:\images\20210310\plaque 2/@02 Testo 30/D2_02- exclu.tif</t>
  </si>
  <si>
    <t xml:space="preserve">F:\images\20210310\plaque 2/@02 Testo 30/D2_03.tif </t>
  </si>
  <si>
    <t xml:space="preserve"> 8219.36 </t>
  </si>
  <si>
    <t xml:space="preserve"> 64.4079 </t>
  </si>
  <si>
    <t xml:space="preserve">F:\images\20210310\plaque 2/@02 Testo 30/E2_01.tif </t>
  </si>
  <si>
    <t xml:space="preserve"> 48061.6259 </t>
  </si>
  <si>
    <t xml:space="preserve"> 74.9554 </t>
  </si>
  <si>
    <t xml:space="preserve">F:\images\20210310\plaque 2/@02 Testo 30/E2_02.tif </t>
  </si>
  <si>
    <t xml:space="preserve"> 49337.7896 </t>
  </si>
  <si>
    <t xml:space="preserve"> 74.0118 </t>
  </si>
  <si>
    <t xml:space="preserve">F:\images\20210310\plaque 2/@02 Testo 30/E2_03.tif </t>
  </si>
  <si>
    <t xml:space="preserve"> 48429.3341 </t>
  </si>
  <si>
    <t xml:space="preserve"> 73.41 </t>
  </si>
  <si>
    <t xml:space="preserve">F:\images\20210310\plaque 2/@02 Testo 30/F2_01.tif </t>
  </si>
  <si>
    <t xml:space="preserve"> 46331.2343 </t>
  </si>
  <si>
    <t xml:space="preserve"> 72.7801 </t>
  </si>
  <si>
    <t>F:\images\20210310\plaque 2/@02 Testo 30/F2_02- exclu.tif</t>
  </si>
  <si>
    <t xml:space="preserve">F:\images\20210310\plaque 2/@02 Testo 30/F2_03.tif </t>
  </si>
  <si>
    <t xml:space="preserve"> 34586.2015 </t>
  </si>
  <si>
    <t xml:space="preserve"> 68.2414 </t>
  </si>
  <si>
    <t xml:space="preserve">F:\images\20210310\plaque 2/@02 Testo 30/G2_01.tif </t>
  </si>
  <si>
    <t xml:space="preserve"> 32747.6605 </t>
  </si>
  <si>
    <t xml:space="preserve"> 71.7021 </t>
  </si>
  <si>
    <t xml:space="preserve">F:\images\20210310\plaque 2/@02 Testo 30/G2_02.tif </t>
  </si>
  <si>
    <t xml:space="preserve"> 29719.4752 </t>
  </si>
  <si>
    <t xml:space="preserve"> 69.3086 </t>
  </si>
  <si>
    <t xml:space="preserve">F:\images\20210310\plaque 2/@02 Testo 30/G2_03.tif </t>
  </si>
  <si>
    <t xml:space="preserve"> 29416.6567 </t>
  </si>
  <si>
    <t xml:space="preserve"> 68.9162 </t>
  </si>
  <si>
    <t xml:space="preserve">F:\images\20210310\plaque 2/@02 Testo 30/H2_01.tif </t>
  </si>
  <si>
    <t xml:space="preserve"> 58443.9753 </t>
  </si>
  <si>
    <t xml:space="preserve"> 75.1362 </t>
  </si>
  <si>
    <t xml:space="preserve">F:\images\20210310\plaque 2/@02 Testo 30/H2_02.tif </t>
  </si>
  <si>
    <t xml:space="preserve"> 55048.0818 </t>
  </si>
  <si>
    <t xml:space="preserve"> 74.8385 </t>
  </si>
  <si>
    <t xml:space="preserve">F:\images\20210310\plaque 2/@02 Testo 30/H2_03.tif </t>
  </si>
  <si>
    <t xml:space="preserve"> 57124.5517 </t>
  </si>
  <si>
    <t xml:space="preserve"> 73.8095 </t>
  </si>
  <si>
    <t xml:space="preserve">F:\images\20210310\plaque 2/@02 Testo 30/ </t>
  </si>
  <si>
    <t xml:space="preserve"> 70.5356 </t>
  </si>
  <si>
    <t xml:space="preserve"> 3.8841 </t>
  </si>
  <si>
    <t xml:space="preserve"> 2498520.5 </t>
  </si>
  <si>
    <t xml:space="preserve"> 1485525.85 </t>
  </si>
  <si>
    <t xml:space="preserve">F:\images\20210310\plaque 2/@03 Testo+ EE2 64/A3_01.tif </t>
  </si>
  <si>
    <t xml:space="preserve"> 45033.4406 </t>
  </si>
  <si>
    <t xml:space="preserve"> 81.9395 </t>
  </si>
  <si>
    <t xml:space="preserve">F:\images\20210310\plaque 2/@03 Testo+ EE2 64/A3_02.tif </t>
  </si>
  <si>
    <t xml:space="preserve"> 39344.7783 </t>
  </si>
  <si>
    <t xml:space="preserve"> 85.5531 </t>
  </si>
  <si>
    <t xml:space="preserve">F:\images\20210310\plaque 2/@03 Testo+ EE2 64/A3_03.tif </t>
  </si>
  <si>
    <t xml:space="preserve"> 49078.2309 </t>
  </si>
  <si>
    <t xml:space="preserve"> 81.3473 </t>
  </si>
  <si>
    <t xml:space="preserve">F:\images\20210310\plaque 2/@03 Testo+ EE2 64/B3_01.tif </t>
  </si>
  <si>
    <t xml:space="preserve"> 23619.8449 </t>
  </si>
  <si>
    <t xml:space="preserve"> 68.9075 </t>
  </si>
  <si>
    <t xml:space="preserve">F:\images\20210310\plaque 2/@03 Testo+ EE2 64/B3_02.tif </t>
  </si>
  <si>
    <t xml:space="preserve"> 24960.8984 </t>
  </si>
  <si>
    <t xml:space="preserve"> 68.5971 </t>
  </si>
  <si>
    <t xml:space="preserve">F:\images\20210310\plaque 2/@03 Testo+ EE2 64/B3_03.tif </t>
  </si>
  <si>
    <t xml:space="preserve"> 22386.9409 </t>
  </si>
  <si>
    <t xml:space="preserve"> 69.3836 </t>
  </si>
  <si>
    <t xml:space="preserve">F:\images\20210310\plaque 2/@03 Testo+ EE2 64/C3_01.tif </t>
  </si>
  <si>
    <t xml:space="preserve"> 46828.7219 </t>
  </si>
  <si>
    <t xml:space="preserve"> 78.7552 </t>
  </si>
  <si>
    <t xml:space="preserve">F:\images\20210310\plaque 2/@03 Testo+ EE2 64/C3_02.tif </t>
  </si>
  <si>
    <t xml:space="preserve"> 50549.0637 </t>
  </si>
  <si>
    <t xml:space="preserve"> 76.1853 </t>
  </si>
  <si>
    <t xml:space="preserve">F:\images\20210310\plaque 2/@03 Testo+ EE2 64/C3_03.tif </t>
  </si>
  <si>
    <t xml:space="preserve"> 50376.0246 </t>
  </si>
  <si>
    <t xml:space="preserve"> 72.4852 </t>
  </si>
  <si>
    <t xml:space="preserve">F:\images\20210310\plaque 2/@03 Testo+ EE2 64/D3_01.tif </t>
  </si>
  <si>
    <t xml:space="preserve"> 39842.2659 </t>
  </si>
  <si>
    <t xml:space="preserve"> 74.6374 </t>
  </si>
  <si>
    <t xml:space="preserve">F:\images\20210310\plaque 2/@03 Testo+ EE2 64/D3_02.tif </t>
  </si>
  <si>
    <t xml:space="preserve"> 45920.2663 </t>
  </si>
  <si>
    <t xml:space="preserve"> 74.6755 </t>
  </si>
  <si>
    <t xml:space="preserve">F:\images\20210310\plaque 2/@03 Testo+ EE2 64/D3_03.tif </t>
  </si>
  <si>
    <t xml:space="preserve"> 39669.2267 </t>
  </si>
  <si>
    <t xml:space="preserve"> 76.2045 </t>
  </si>
  <si>
    <t xml:space="preserve">F:\images\20210310\plaque 2/@03 Testo+ EE2 64/E3_01.tif </t>
  </si>
  <si>
    <t xml:space="preserve"> 30541.4112 </t>
  </si>
  <si>
    <t xml:space="preserve"> 72.1374 </t>
  </si>
  <si>
    <t xml:space="preserve">F:\images\20210310\plaque 2/@03 Testo+ EE2 64/E3_02.tif </t>
  </si>
  <si>
    <t xml:space="preserve"> 30043.9236 </t>
  </si>
  <si>
    <t xml:space="preserve"> 71.7941 </t>
  </si>
  <si>
    <t xml:space="preserve">F:\images\20210310\plaque 2/@03 Testo+ EE2 64/E3_03.tif </t>
  </si>
  <si>
    <t xml:space="preserve"> 31904.0946 </t>
  </si>
  <si>
    <t xml:space="preserve"> 71.6949 </t>
  </si>
  <si>
    <t xml:space="preserve">F:\images\20210310\plaque 2/@03 Testo+ EE2 64/F3_01.tif </t>
  </si>
  <si>
    <t xml:space="preserve"> 44406.1737 </t>
  </si>
  <si>
    <t xml:space="preserve"> 76.1349 </t>
  </si>
  <si>
    <t xml:space="preserve">F:\images\20210310\plaque 2/@03 Testo+ EE2 64/F3_02.tif </t>
  </si>
  <si>
    <t xml:space="preserve"> 45703.9674 </t>
  </si>
  <si>
    <t xml:space="preserve"> 74.9101 </t>
  </si>
  <si>
    <t xml:space="preserve">F:\images\20210310\plaque 2/@03 Testo+ EE2 64/F3_03.tif </t>
  </si>
  <si>
    <t xml:space="preserve"> 36597.7817 </t>
  </si>
  <si>
    <t xml:space="preserve"> 74.2665 </t>
  </si>
  <si>
    <t xml:space="preserve">F:\images\20210310\plaque 2/@03 Testo+ EE2 64/G3_01.tif </t>
  </si>
  <si>
    <t xml:space="preserve"> 61666.8296 </t>
  </si>
  <si>
    <t xml:space="preserve"> 76.8492 </t>
  </si>
  <si>
    <t xml:space="preserve">F:\images\20210310\plaque 2/@03 Testo+ EE2 64/G3_02.tif </t>
  </si>
  <si>
    <t xml:space="preserve"> 54312.6654 </t>
  </si>
  <si>
    <t xml:space="preserve"> 76.4074 </t>
  </si>
  <si>
    <t xml:space="preserve">F:\images\20210310\plaque 2/@03 Testo+ EE2 64/G3_03.tif </t>
  </si>
  <si>
    <t xml:space="preserve"> 58054.6372 </t>
  </si>
  <si>
    <t xml:space="preserve"> 77.1923 </t>
  </si>
  <si>
    <t xml:space="preserve">F:\images\20210310\plaque 2/@03 Testo+ EE2 64/H3_01.tif </t>
  </si>
  <si>
    <t xml:space="preserve"> 67117.563 </t>
  </si>
  <si>
    <t xml:space="preserve"> 85.2433 </t>
  </si>
  <si>
    <t xml:space="preserve">F:\images\20210310\plaque 2/@03 Testo+ EE2 64/H3_02.tif </t>
  </si>
  <si>
    <t xml:space="preserve"> 67420.3816 </t>
  </si>
  <si>
    <t xml:space="preserve"> 83.6898 </t>
  </si>
  <si>
    <t xml:space="preserve">F:\images\20210310\plaque 2/@03 Testo+ EE2 64/H3_03.tif </t>
  </si>
  <si>
    <t xml:space="preserve"> 69756.4102 </t>
  </si>
  <si>
    <t xml:space="preserve"> 84.6425 </t>
  </si>
  <si>
    <t xml:space="preserve">F:\images\20210310\plaque 2/@03 Testo+ EE2 64/ </t>
  </si>
  <si>
    <t xml:space="preserve"> 76.4014 </t>
  </si>
  <si>
    <t xml:space="preserve"> 5.1106 </t>
  </si>
  <si>
    <t xml:space="preserve"> 3473601.58 </t>
  </si>
  <si>
    <t xml:space="preserve"> 1238439.25 </t>
  </si>
  <si>
    <t xml:space="preserve">F:\images\20210310\plaque 2/@04 Testo+ FAD/A4_01.tif </t>
  </si>
  <si>
    <t xml:space="preserve"> 1427.573 </t>
  </si>
  <si>
    <t xml:space="preserve"> 62.7121 </t>
  </si>
  <si>
    <t xml:space="preserve">F:\images\20210310\plaque 2/@04 Testo+ FAD/A4_02.tif </t>
  </si>
  <si>
    <t xml:space="preserve"> 3395.8935 </t>
  </si>
  <si>
    <t xml:space="preserve"> 69.3439 </t>
  </si>
  <si>
    <t xml:space="preserve">F:\images\20210310\plaque 2/@04 Testo+ FAD/A4_03.tif </t>
  </si>
  <si>
    <t xml:space="preserve"> 5126.285 </t>
  </si>
  <si>
    <t xml:space="preserve"> 72.9409 </t>
  </si>
  <si>
    <t xml:space="preserve">F:\images\20210310\plaque 2/@04 Testo+ FAD/B4_01.tif </t>
  </si>
  <si>
    <t xml:space="preserve"> 7570.4631 </t>
  </si>
  <si>
    <t xml:space="preserve"> 76.1314 </t>
  </si>
  <si>
    <t xml:space="preserve">F:\images\20210310\plaque 2/@04 Testo+ FAD/B4_02.tif </t>
  </si>
  <si>
    <t xml:space="preserve"> 2617.2173 </t>
  </si>
  <si>
    <t xml:space="preserve"> 67.9339 </t>
  </si>
  <si>
    <t xml:space="preserve">F:\images\20210310\plaque 2/@04 Testo+ FAD/B4_03.tif </t>
  </si>
  <si>
    <t xml:space="preserve"> 65.2558 </t>
  </si>
  <si>
    <t xml:space="preserve">F:\images\20210310\plaque 2/@04 Testo+ FAD/C4_01.tif </t>
  </si>
  <si>
    <t xml:space="preserve"> 64.4921 </t>
  </si>
  <si>
    <t xml:space="preserve">F:\images\20210310\plaque 2/@04 Testo+ FAD/C4_02.tif </t>
  </si>
  <si>
    <t xml:space="preserve"> 6207.7798 </t>
  </si>
  <si>
    <t xml:space="preserve"> 72.8571 </t>
  </si>
  <si>
    <t xml:space="preserve">F:\images\20210310\plaque 2/@04 Testo+ FAD/C4_03.tif </t>
  </si>
  <si>
    <t xml:space="preserve"> 7137.8652 </t>
  </si>
  <si>
    <t xml:space="preserve"> 74.1636 </t>
  </si>
  <si>
    <t xml:space="preserve">F:\images\20210310\plaque 2/@04 Testo+ FAD/D4_01.tif </t>
  </si>
  <si>
    <t xml:space="preserve"> 5061.3953 </t>
  </si>
  <si>
    <t xml:space="preserve"> 68.9103 </t>
  </si>
  <si>
    <t xml:space="preserve">F:\images\20210310\plaque 2/@04 Testo+ FAD/D4_02.tif </t>
  </si>
  <si>
    <t xml:space="preserve"> 64.5 </t>
  </si>
  <si>
    <t>F:\images\20210310\plaque 2/@04 Testo+ FAD/D4_03- exclu.tif</t>
  </si>
  <si>
    <t xml:space="preserve">F:\images\20210310\plaque 2/@04 Testo+ FAD/E4_01.tif </t>
  </si>
  <si>
    <t xml:space="preserve"> 68.24 </t>
  </si>
  <si>
    <t xml:space="preserve">F:\images\20210310\plaque 2/@04 Testo+ FAD/E4_02.tif </t>
  </si>
  <si>
    <t xml:space="preserve"> 68.05 </t>
  </si>
  <si>
    <t xml:space="preserve">F:\images\20210310\plaque 2/@04 Testo+ FAD/E4_03.tif </t>
  </si>
  <si>
    <t xml:space="preserve">F:\images\20210310\plaque 2/@04 Testo+ FAD/F4_01.tif </t>
  </si>
  <si>
    <t xml:space="preserve"> 69.4885 </t>
  </si>
  <si>
    <t xml:space="preserve">F:\images\20210310\plaque 2/@04 Testo+ FAD/F4_02.tif </t>
  </si>
  <si>
    <t xml:space="preserve"> 2487.4379 </t>
  </si>
  <si>
    <t xml:space="preserve"> 63.2609 </t>
  </si>
  <si>
    <t xml:space="preserve">F:\images\20210310\plaque 2/@04 Testo+ FAD/F4_03.tif </t>
  </si>
  <si>
    <t xml:space="preserve"> 4520.648 </t>
  </si>
  <si>
    <t xml:space="preserve"> 67.1053 </t>
  </si>
  <si>
    <t xml:space="preserve">F:\images\20210310\plaque 2/@04 Testo+ FAD/G4_01.tif </t>
  </si>
  <si>
    <t xml:space="preserve"> 886.8257 </t>
  </si>
  <si>
    <t xml:space="preserve"> 63.5366 </t>
  </si>
  <si>
    <t xml:space="preserve">F:\images\20210310\plaque 2/@04 Testo+ FAD/G4_02.tif </t>
  </si>
  <si>
    <t xml:space="preserve"> 62.2105 </t>
  </si>
  <si>
    <t xml:space="preserve">F:\images\20210310\plaque 2/@04 Testo+ FAD/G4_03.tif </t>
  </si>
  <si>
    <t xml:space="preserve"> 2682.1069 </t>
  </si>
  <si>
    <t xml:space="preserve"> 69.9839 </t>
  </si>
  <si>
    <t>F:\images\20210310\plaque 2/@04 Testo+ FAD/H4_01- exclu.tif</t>
  </si>
  <si>
    <t xml:space="preserve">F:\images\20210310\plaque 2/@04 Testo+ FAD/H4_02.tif </t>
  </si>
  <si>
    <t xml:space="preserve"> 7116.2353 </t>
  </si>
  <si>
    <t xml:space="preserve"> 71.8237 </t>
  </si>
  <si>
    <t xml:space="preserve">F:\images\20210310\plaque 2/@04 Testo+ FAD/H4_03.tif </t>
  </si>
  <si>
    <t xml:space="preserve"> 5796.8118 </t>
  </si>
  <si>
    <t xml:space="preserve"> 69.0485 </t>
  </si>
  <si>
    <t xml:space="preserve">F:\images\20210310\plaque 2/@04 Testo+ FAD/ </t>
  </si>
  <si>
    <t xml:space="preserve"> 68.296 </t>
  </si>
  <si>
    <t xml:space="preserve"> 4.7473 </t>
  </si>
  <si>
    <t xml:space="preserve"> 191750.146 </t>
  </si>
  <si>
    <t xml:space="preserve">F:\images\20210310\plaque 2/@05 Amantadine 0.001 mg_L dopé/A5_01.tif </t>
  </si>
  <si>
    <t xml:space="preserve"> 7851.6518 </t>
  </si>
  <si>
    <t xml:space="preserve"> 64.4628 </t>
  </si>
  <si>
    <t xml:space="preserve">F:\images\20210310\plaque 2/@05 Amantadine 0.001 mg_L dopé/A5_02.tif </t>
  </si>
  <si>
    <t xml:space="preserve"> 18493.5599 </t>
  </si>
  <si>
    <t xml:space="preserve"> 71.6164 </t>
  </si>
  <si>
    <t xml:space="preserve">F:\images\20210310\plaque 2/@05 Amantadine 0.001 mg_L dopé/A5_03.tif </t>
  </si>
  <si>
    <t xml:space="preserve"> 14513.6593 </t>
  </si>
  <si>
    <t xml:space="preserve"> 73.389 </t>
  </si>
  <si>
    <t xml:space="preserve">F:\images\20210310\plaque 2/@05 Amantadine 0.001 mg_L dopé/B5_01.tif </t>
  </si>
  <si>
    <t xml:space="preserve"> 37181.7889 </t>
  </si>
  <si>
    <t xml:space="preserve"> 68.413 </t>
  </si>
  <si>
    <t xml:space="preserve">F:\images\20210310\plaque 2/@05 Amantadine 0.001 mg_L dopé/B5_02.tif </t>
  </si>
  <si>
    <t xml:space="preserve"> 38977.0701 </t>
  </si>
  <si>
    <t xml:space="preserve"> 72.3324 </t>
  </si>
  <si>
    <t xml:space="preserve">F:\images\20210310\plaque 2/@05 Amantadine 0.001 mg_L dopé/B5_03.tif </t>
  </si>
  <si>
    <t xml:space="preserve"> 32596.2512 </t>
  </si>
  <si>
    <t xml:space="preserve"> 68.347 </t>
  </si>
  <si>
    <t xml:space="preserve">F:\images\20210310\plaque 2/@05 Amantadine 0.001 mg_L dopé/C5_01.tif </t>
  </si>
  <si>
    <t xml:space="preserve"> 50786.9926 </t>
  </si>
  <si>
    <t xml:space="preserve"> 70.6563 </t>
  </si>
  <si>
    <t xml:space="preserve">F:\images\20210310\plaque 2/@05 Amantadine 0.001 mg_L dopé/C5_02.tif </t>
  </si>
  <si>
    <t xml:space="preserve"> 50484.1741 </t>
  </si>
  <si>
    <t xml:space="preserve"> 68.9122 </t>
  </si>
  <si>
    <t>F:\images\20210310\plaque 2/@05 Amantadine 0.001 mg_L dopé/C5_03- exclu.tif</t>
  </si>
  <si>
    <t xml:space="preserve">F:\images\20210310\plaque 2/@05 Amantadine 0.001 mg_L dopé/D5_01.tif </t>
  </si>
  <si>
    <t xml:space="preserve"> 51392.6296 </t>
  </si>
  <si>
    <t xml:space="preserve"> 75.2252 </t>
  </si>
  <si>
    <t xml:space="preserve">F:\images\20210310\plaque 2/@05 Amantadine 0.001 mg_L dopé/D5_02.tif </t>
  </si>
  <si>
    <t xml:space="preserve"> 52301.0852 </t>
  </si>
  <si>
    <t xml:space="preserve"> 73.1369 </t>
  </si>
  <si>
    <t xml:space="preserve">F:\images\20210310\plaque 2/@05 Amantadine 0.001 mg_L dopé/D5_03.tif </t>
  </si>
  <si>
    <t xml:space="preserve"> 47693.9177 </t>
  </si>
  <si>
    <t xml:space="preserve"> 72.8345 </t>
  </si>
  <si>
    <t xml:space="preserve">F:\images\20210310\plaque 2/@05 Amantadine 0.001 mg_L dopé/E5_01.tif </t>
  </si>
  <si>
    <t xml:space="preserve"> 5645.4025 </t>
  </si>
  <si>
    <t xml:space="preserve"> 67.2529 </t>
  </si>
  <si>
    <t xml:space="preserve">F:\images\20210310\plaque 2/@05 Amantadine 0.001 mg_L dopé/E5_02.tif </t>
  </si>
  <si>
    <t xml:space="preserve"> 62.7791 </t>
  </si>
  <si>
    <t xml:space="preserve">F:\images\20210310\plaque 2/@05 Amantadine 0.001 mg_L dopé/E5_03.tif </t>
  </si>
  <si>
    <t xml:space="preserve"> 65.4752 </t>
  </si>
  <si>
    <t xml:space="preserve">F:\images\20210310\plaque 2/@05 Amantadine 0.001 mg_L dopé/F5_01.tif </t>
  </si>
  <si>
    <t xml:space="preserve"> 52690.4233 </t>
  </si>
  <si>
    <t xml:space="preserve"> 72.1108 </t>
  </si>
  <si>
    <t xml:space="preserve">F:\images\20210310\plaque 2/@05 Amantadine 0.001 mg_L dopé/F5_02.tif </t>
  </si>
  <si>
    <t xml:space="preserve"> 51868.4873 </t>
  </si>
  <si>
    <t xml:space="preserve"> 73.0096 </t>
  </si>
  <si>
    <t xml:space="preserve">F:\images\20210310\plaque 2/@05 Amantadine 0.001 mg_L dopé/F5_03.tif </t>
  </si>
  <si>
    <t xml:space="preserve"> 49640.6082 </t>
  </si>
  <si>
    <t xml:space="preserve"> 71.6998 </t>
  </si>
  <si>
    <t xml:space="preserve">F:\images\20210310\plaque 2/@05 Amantadine 0.001 mg_L dopé/G5_01.tif </t>
  </si>
  <si>
    <t xml:space="preserve"> 33374.9274 </t>
  </si>
  <si>
    <t xml:space="preserve"> 67.4504 </t>
  </si>
  <si>
    <t xml:space="preserve">F:\images\20210310\plaque 2/@05 Amantadine 0.001 mg_L dopé/G5_02.tif </t>
  </si>
  <si>
    <t xml:space="preserve"> 31644.5358 </t>
  </si>
  <si>
    <t xml:space="preserve"> 67.7532 </t>
  </si>
  <si>
    <t xml:space="preserve">F:\images\20210310\plaque 2/@05 Amantadine 0.001 mg_L dopé/G5_03.tif </t>
  </si>
  <si>
    <t xml:space="preserve"> 27469.9662 </t>
  </si>
  <si>
    <t xml:space="preserve"> 66.0512 </t>
  </si>
  <si>
    <t xml:space="preserve">F:\images\20210310\plaque 2/@05 Amantadine 0.001 mg_L dopé/H5_01.tif </t>
  </si>
  <si>
    <t xml:space="preserve"> 5104.6551 </t>
  </si>
  <si>
    <t xml:space="preserve"> 64.4449 </t>
  </si>
  <si>
    <t xml:space="preserve">F:\images\20210310\plaque 2/@05 Amantadine 0.001 mg_L dopé/H5_02.tif </t>
  </si>
  <si>
    <t xml:space="preserve"> 5753.552 </t>
  </si>
  <si>
    <t xml:space="preserve"> 65.3459 </t>
  </si>
  <si>
    <t xml:space="preserve">F:\images\20210310\plaque 2/@05 Amantadine 0.001 mg_L dopé/H5_03.tif </t>
  </si>
  <si>
    <t xml:space="preserve"> 1600.6122 </t>
  </si>
  <si>
    <t xml:space="preserve"> 63.2838 </t>
  </si>
  <si>
    <t xml:space="preserve">F:\images\20210310\plaque 2/@05 Amantadine 0.001 mg_L dopé/ </t>
  </si>
  <si>
    <t xml:space="preserve"> 68.6868 </t>
  </si>
  <si>
    <t xml:space="preserve"> 3.8359 </t>
  </si>
  <si>
    <t xml:space="preserve"> 1987533.29 </t>
  </si>
  <si>
    <t xml:space="preserve"> 1463287.99 </t>
  </si>
  <si>
    <t xml:space="preserve">F:\images\20210310\plaque 2/@06  Amantadine 0.01 mg_LLdopé/A6_01.tif </t>
  </si>
  <si>
    <t xml:space="preserve"> 55004.822 </t>
  </si>
  <si>
    <t xml:space="preserve"> 71.6929 </t>
  </si>
  <si>
    <t xml:space="preserve">F:\images\20210310\plaque 2/@06  Amantadine 0.01 mg_LLdopé/A6_02.tif </t>
  </si>
  <si>
    <t xml:space="preserve"> 53187.9109 </t>
  </si>
  <si>
    <t xml:space="preserve"> 70.5059 </t>
  </si>
  <si>
    <t xml:space="preserve">F:\images\20210310\plaque 2/@06  Amantadine 0.01 mg_LLdopé/A6_03.tif </t>
  </si>
  <si>
    <t xml:space="preserve"> 52149.676 </t>
  </si>
  <si>
    <t xml:space="preserve"> 71.4927 </t>
  </si>
  <si>
    <t xml:space="preserve">F:\images\20210310\plaque 2/@06  Amantadine 0.01 mg_LLdopé/B6_01.tif </t>
  </si>
  <si>
    <t xml:space="preserve"> 78.2528 </t>
  </si>
  <si>
    <t xml:space="preserve">F:\images\20210310\plaque 2/@06  Amantadine 0.01 mg_LLdopé/B6_02.tif </t>
  </si>
  <si>
    <t xml:space="preserve"> 73.2878 </t>
  </si>
  <si>
    <t xml:space="preserve">F:\images\20210310\plaque 2/@06  Amantadine 0.01 mg_LLdopé/B6_03.tif </t>
  </si>
  <si>
    <t xml:space="preserve"> 70.2742 </t>
  </si>
  <si>
    <t xml:space="preserve">F:\images\20210310\plaque 2/@06  Amantadine 0.01 mg_LLdopé/C6_01.tif </t>
  </si>
  <si>
    <t xml:space="preserve"> 63.5785 </t>
  </si>
  <si>
    <t xml:space="preserve">F:\images\20210310\plaque 2/@06  Amantadine 0.01 mg_LLdopé/C6_02.tif </t>
  </si>
  <si>
    <t xml:space="preserve"> 3114.7048 </t>
  </si>
  <si>
    <t xml:space="preserve"> 63.7917 </t>
  </si>
  <si>
    <t xml:space="preserve">F:\images\20210310\plaque 2/@06  Amantadine 0.01 mg_LLdopé/C6_03.tif </t>
  </si>
  <si>
    <t xml:space="preserve"> 3936.6408 </t>
  </si>
  <si>
    <t xml:space="preserve"> 64.1484 </t>
  </si>
  <si>
    <t>F:\images\20210310\plaque 2/@06  Amantadine 0.01 mg_LLdopé/D6_01- exclu.tif</t>
  </si>
  <si>
    <t>F:\images\20210310\plaque 2/@06  Amantadine 0.01 mg_LLdopé/D6_02- exclu.tif</t>
  </si>
  <si>
    <t>F:\images\20210310\plaque 2/@06  Amantadine 0.01 mg_LLdopé/D6_03- exclu.tif</t>
  </si>
  <si>
    <t xml:space="preserve">F:\images\20210310\plaque 2/@06  Amantadine 0.01 mg_LLdopé/E6_01.tif </t>
  </si>
  <si>
    <t xml:space="preserve"> 48905.1918 </t>
  </si>
  <si>
    <t xml:space="preserve"> 75.912 </t>
  </si>
  <si>
    <t xml:space="preserve">F:\images\20210310\plaque 2/@06  Amantadine 0.01 mg_LLdopé/E6_02.tif </t>
  </si>
  <si>
    <t xml:space="preserve"> 47218.06 </t>
  </si>
  <si>
    <t xml:space="preserve"> 73.8965 </t>
  </si>
  <si>
    <t xml:space="preserve">F:\images\20210310\plaque 2/@06  Amantadine 0.01 mg_LLdopé/E6_03.tif </t>
  </si>
  <si>
    <t xml:space="preserve"> 48688.8928 </t>
  </si>
  <si>
    <t xml:space="preserve"> 73.3985 </t>
  </si>
  <si>
    <t xml:space="preserve">F:\images\20210310\plaque 2/@06  Amantadine 0.01 mg_LLdopé/F6_01.tif </t>
  </si>
  <si>
    <t xml:space="preserve"> 47088.2806 </t>
  </si>
  <si>
    <t xml:space="preserve"> 68.5595 </t>
  </si>
  <si>
    <t>F:\images\20210310\plaque 2/@06  Amantadine 0.01 mg_LLdopé/F6_02- exclu.tif</t>
  </si>
  <si>
    <t xml:space="preserve">F:\images\20210310\plaque 2/@06  Amantadine 0.01 mg_LLdopé/F6_03.tif </t>
  </si>
  <si>
    <t xml:space="preserve"> 42286.444 </t>
  </si>
  <si>
    <t xml:space="preserve"> 68.8276 </t>
  </si>
  <si>
    <t xml:space="preserve">F:\images\20210310\plaque 2/@06  Amantadine 0.01 mg_LLdopé/G6_01.tif </t>
  </si>
  <si>
    <t xml:space="preserve"> 33158.6285 </t>
  </si>
  <si>
    <t xml:space="preserve"> 67.9185 </t>
  </si>
  <si>
    <t xml:space="preserve">F:\images\20210310\plaque 2/@06  Amantadine 0.01 mg_LLdopé/G6_02.tif </t>
  </si>
  <si>
    <t xml:space="preserve"> 34023.8243 </t>
  </si>
  <si>
    <t xml:space="preserve"> 67.644 </t>
  </si>
  <si>
    <t xml:space="preserve">F:\images\20210310\plaque 2/@06  Amantadine 0.01 mg_LLdopé/G6_03.tif </t>
  </si>
  <si>
    <t xml:space="preserve"> 26020.7632 </t>
  </si>
  <si>
    <t xml:space="preserve"> 66.9094 </t>
  </si>
  <si>
    <t xml:space="preserve">F:\images\20210310\plaque 2/@06  Amantadine 0.01 mg_LLdopé/H6_01.tif </t>
  </si>
  <si>
    <t xml:space="preserve"> 64630.1252 </t>
  </si>
  <si>
    <t xml:space="preserve"> 73.3772 </t>
  </si>
  <si>
    <t xml:space="preserve">F:\images\20210310\plaque 2/@06  Amantadine 0.01 mg_LLdopé/H6_02.tif </t>
  </si>
  <si>
    <t xml:space="preserve"> 56497.2848 </t>
  </si>
  <si>
    <t xml:space="preserve"> 72.4334 </t>
  </si>
  <si>
    <t xml:space="preserve">F:\images\20210310\plaque 2/@06  Amantadine 0.01 mg_LLdopé/H6_03.tif </t>
  </si>
  <si>
    <t xml:space="preserve"> 59287.5412 </t>
  </si>
  <si>
    <t xml:space="preserve"> 74.0551 </t>
  </si>
  <si>
    <t xml:space="preserve">F:\images\20210310\plaque 2/@06  Amantadine 0.01 mg_LLdopé/ </t>
  </si>
  <si>
    <t xml:space="preserve"> 70.1041 </t>
  </si>
  <si>
    <t xml:space="preserve"> 4.2079 </t>
  </si>
  <si>
    <t xml:space="preserve"> 2200239.62 </t>
  </si>
  <si>
    <t xml:space="preserve"> 1649738.14 </t>
  </si>
  <si>
    <t xml:space="preserve">F:\images\20210310\plaque 2/@07  Amantadine 0.1 mg_Ldopé/A7_01.tif </t>
  </si>
  <si>
    <t xml:space="preserve"> 23641.4748 </t>
  </si>
  <si>
    <t xml:space="preserve"> 66.1436 </t>
  </si>
  <si>
    <t xml:space="preserve">F:\images\20210310\plaque 2/@07  Amantadine 0.1 mg_Ldopé/A7_02.tif </t>
  </si>
  <si>
    <t xml:space="preserve"> 25566.5355 </t>
  </si>
  <si>
    <t xml:space="preserve"> 67.1717 </t>
  </si>
  <si>
    <t xml:space="preserve">F:\images\20210310\plaque 2/@07  Amantadine 0.1 mg_Ldopé/A7_03.tif </t>
  </si>
  <si>
    <t xml:space="preserve"> 24052.4428 </t>
  </si>
  <si>
    <t xml:space="preserve"> 66.5998 </t>
  </si>
  <si>
    <t xml:space="preserve">F:\images\20210310\plaque 2/@07  Amantadine 0.1 mg_Ldopé/B7_01.tif </t>
  </si>
  <si>
    <t xml:space="preserve"> 60282.5163 </t>
  </si>
  <si>
    <t xml:space="preserve"> 75.409 </t>
  </si>
  <si>
    <t xml:space="preserve">F:\images\20210310\plaque 2/@07  Amantadine 0.1 mg_Ldopé/B7_02.tif </t>
  </si>
  <si>
    <t xml:space="preserve"> 36727.5611 </t>
  </si>
  <si>
    <t xml:space="preserve"> 72.9682 </t>
  </si>
  <si>
    <t xml:space="preserve">F:\images\20210310\plaque 2/@07  Amantadine 0.1 mg_Ldopé/B7_03.tif </t>
  </si>
  <si>
    <t xml:space="preserve"> 41421.2482 </t>
  </si>
  <si>
    <t xml:space="preserve"> 76.0538 </t>
  </si>
  <si>
    <t xml:space="preserve">F:\images\20210310\plaque 2/@07  Amantadine 0.1 mg_Ldopé/C7_01.tif </t>
  </si>
  <si>
    <t xml:space="preserve"> 51197.9606 </t>
  </si>
  <si>
    <t xml:space="preserve"> 72.1931 </t>
  </si>
  <si>
    <t xml:space="preserve">F:\images\20210310\plaque 2/@07  Amantadine 0.1 mg_Ldopé/C7_02.tif </t>
  </si>
  <si>
    <t xml:space="preserve"> 38912.1804 </t>
  </si>
  <si>
    <t xml:space="preserve"> 67.861 </t>
  </si>
  <si>
    <t xml:space="preserve">F:\images\20210310\plaque 2/@07  Amantadine 0.1 mg_Ldopé/C7_03.tif </t>
  </si>
  <si>
    <t xml:space="preserve"> 28832.6495 </t>
  </si>
  <si>
    <t xml:space="preserve"> 67.3008 </t>
  </si>
  <si>
    <t xml:space="preserve">F:\images\20210310\plaque 2/@07  Amantadine 0.1 mg_Ldopé/D7_01.tif </t>
  </si>
  <si>
    <t xml:space="preserve"> 45228.1097 </t>
  </si>
  <si>
    <t xml:space="preserve"> 70.2903 </t>
  </si>
  <si>
    <t xml:space="preserve">F:\images\20210310\plaque 2/@07  Amantadine 0.1 mg_Ldopé/D7_02.tif </t>
  </si>
  <si>
    <t xml:space="preserve"> 48645.633 </t>
  </si>
  <si>
    <t xml:space="preserve"> 72.8377 </t>
  </si>
  <si>
    <t xml:space="preserve">F:\images\20210310\plaque 2/@07  Amantadine 0.1 mg_Ldopé/D7_03.tif </t>
  </si>
  <si>
    <t xml:space="preserve"> 72.7483 </t>
  </si>
  <si>
    <t xml:space="preserve">F:\images\20210310\plaque 2/@07  Amantadine 0.1 mg_Ldopé/E7_01.tif </t>
  </si>
  <si>
    <t xml:space="preserve"> 21867.8235 </t>
  </si>
  <si>
    <t xml:space="preserve"> 66.7784 </t>
  </si>
  <si>
    <t xml:space="preserve">F:\images\20210310\plaque 2/@07  Amantadine 0.1 mg_Ldopé/E7_02.tif </t>
  </si>
  <si>
    <t xml:space="preserve"> 22170.642 </t>
  </si>
  <si>
    <t xml:space="preserve"> 65.2195 </t>
  </si>
  <si>
    <t xml:space="preserve">F:\images\20210310\plaque 2/@07  Amantadine 0.1 mg_Ldopé/E7_03.tif </t>
  </si>
  <si>
    <t xml:space="preserve"> 23079.0976 </t>
  </si>
  <si>
    <t xml:space="preserve"> 65.6504 </t>
  </si>
  <si>
    <t xml:space="preserve">F:\images\20210310\plaque 2/@07  Amantadine 0.1 mg_Ldopé/F7_01.tif </t>
  </si>
  <si>
    <t xml:space="preserve"> 44471.0634 </t>
  </si>
  <si>
    <t xml:space="preserve"> 76.9557 </t>
  </si>
  <si>
    <t xml:space="preserve">F:\images\20210310\plaque 2/@07  Amantadine 0.1 mg_Ldopé/F7_02.tif </t>
  </si>
  <si>
    <t xml:space="preserve"> 36878.9703 </t>
  </si>
  <si>
    <t xml:space="preserve"> 80.6399 </t>
  </si>
  <si>
    <t xml:space="preserve">F:\images\20210310\plaque 2/@07  Amantadine 0.1 mg_Ldopé/F7_03.tif </t>
  </si>
  <si>
    <t xml:space="preserve"> 33050.479 </t>
  </si>
  <si>
    <t xml:space="preserve"> 78.3416 </t>
  </si>
  <si>
    <t xml:space="preserve">F:\images\20210310\plaque 2/@07  Amantadine 0.1 mg_Ldopé/G7_01.tif </t>
  </si>
  <si>
    <t xml:space="preserve"> 24225.482 </t>
  </si>
  <si>
    <t xml:space="preserve"> 67.4161 </t>
  </si>
  <si>
    <t xml:space="preserve">F:\images\20210310\plaque 2/@07  Amantadine 0.1 mg_Ldopé/G7_02.tif </t>
  </si>
  <si>
    <t xml:space="preserve"> 23857.7738 </t>
  </si>
  <si>
    <t xml:space="preserve"> 67.913 </t>
  </si>
  <si>
    <t xml:space="preserve">F:\images\20210310\plaque 2/@07  Amantadine 0.1 mg_Ldopé/G7_03.tif </t>
  </si>
  <si>
    <t xml:space="preserve"> 29676.2154 </t>
  </si>
  <si>
    <t xml:space="preserve"> 67.7638 </t>
  </si>
  <si>
    <t xml:space="preserve">F:\images\20210310\plaque 2/@07  Amantadine 0.1 mg_Ldopé/H7_01.tif </t>
  </si>
  <si>
    <t xml:space="preserve"> 41399.6183 </t>
  </si>
  <si>
    <t xml:space="preserve"> 69.1761 </t>
  </si>
  <si>
    <t xml:space="preserve">F:\images\20210310\plaque 2/@07  Amantadine 0.1 mg_Ldopé/H7_02.tif </t>
  </si>
  <si>
    <t xml:space="preserve"> 41659.1771 </t>
  </si>
  <si>
    <t xml:space="preserve"> 69.4258 </t>
  </si>
  <si>
    <t xml:space="preserve">F:\images\20210310\plaque 2/@07  Amantadine 0.1 mg_Ldopé/H7_03.tif </t>
  </si>
  <si>
    <t xml:space="preserve"> 42719.0419 </t>
  </si>
  <si>
    <t xml:space="preserve"> 70.4197 </t>
  </si>
  <si>
    <t xml:space="preserve">F:\images\20210310\plaque 2/@07  Amantadine 0.1 mg_Ldopé/ </t>
  </si>
  <si>
    <t xml:space="preserve"> 70.5532 </t>
  </si>
  <si>
    <t xml:space="preserve"> 4.3474 </t>
  </si>
  <si>
    <t xml:space="preserve"> 2544821.08 </t>
  </si>
  <si>
    <t xml:space="preserve"> 873089.796 </t>
  </si>
  <si>
    <t xml:space="preserve">F:\images\20210310\plaque 2/@08  TAmantadine 1 mg_Ldopé/A8_01.tif </t>
  </si>
  <si>
    <t xml:space="preserve"> 41724.0667 </t>
  </si>
  <si>
    <t xml:space="preserve"> 73.5671 </t>
  </si>
  <si>
    <t xml:space="preserve">F:\images\20210310\plaque 2/@08  TAmantadine 1 mg_Ldopé/A8_02.tif </t>
  </si>
  <si>
    <t xml:space="preserve"> 27924.194 </t>
  </si>
  <si>
    <t xml:space="preserve"> 73.3633 </t>
  </si>
  <si>
    <t xml:space="preserve">F:\images\20210310\plaque 2/@08  TAmantadine 1 mg_Ldopé/A8_03.tif </t>
  </si>
  <si>
    <t xml:space="preserve"> 30584.671 </t>
  </si>
  <si>
    <t xml:space="preserve"> 74.0078 </t>
  </si>
  <si>
    <t xml:space="preserve">F:\images\20210310\plaque 2/@08  TAmantadine 1 mg_Ldopé/B8_01.tif </t>
  </si>
  <si>
    <t xml:space="preserve"> 42394.5935 </t>
  </si>
  <si>
    <t xml:space="preserve"> 72.1551 </t>
  </si>
  <si>
    <t xml:space="preserve">F:\images\20210310\plaque 2/@08  TAmantadine 1 mg_Ldopé/B8_02.tif </t>
  </si>
  <si>
    <t xml:space="preserve"> 40339.7535 </t>
  </si>
  <si>
    <t xml:space="preserve"> 69.7099 </t>
  </si>
  <si>
    <t xml:space="preserve">F:\images\20210310\plaque 2/@08  TAmantadine 1 mg_Ldopé/B8_03.tif </t>
  </si>
  <si>
    <t xml:space="preserve"> 40880.5008 </t>
  </si>
  <si>
    <t xml:space="preserve"> 71.0915 </t>
  </si>
  <si>
    <t xml:space="preserve">F:\images\20210310\plaque 2/@08  TAmantadine 1 mg_Ldopé/C8_01.tif </t>
  </si>
  <si>
    <t xml:space="preserve"> 56670.3239 </t>
  </si>
  <si>
    <t xml:space="preserve"> 76.0637 </t>
  </si>
  <si>
    <t xml:space="preserve">F:\images\20210310\plaque 2/@08  TAmantadine 1 mg_Ldopé/C8_02.tif </t>
  </si>
  <si>
    <t xml:space="preserve"> 51479.1492 </t>
  </si>
  <si>
    <t xml:space="preserve"> 70.9378 </t>
  </si>
  <si>
    <t xml:space="preserve">F:\images\20210310\plaque 2/@08  TAmantadine 1 mg_Ldopé/C8_03.tif </t>
  </si>
  <si>
    <t xml:space="preserve"> 57081.2919 </t>
  </si>
  <si>
    <t xml:space="preserve"> 72.0845 </t>
  </si>
  <si>
    <t xml:space="preserve">F:\images\20210310\plaque 2/@08  TAmantadine 1 mg_Ldopé/D8_01.tif </t>
  </si>
  <si>
    <t xml:space="preserve"> 53923.3273 </t>
  </si>
  <si>
    <t xml:space="preserve"> 73.4156 </t>
  </si>
  <si>
    <t xml:space="preserve">F:\images\20210310\plaque 2/@08  TAmantadine 1 mg_Ldopé/D8_02.tif </t>
  </si>
  <si>
    <t xml:space="preserve"> 50570.6936 </t>
  </si>
  <si>
    <t xml:space="preserve"> 73.7733 </t>
  </si>
  <si>
    <t xml:space="preserve">F:\images\20210310\plaque 2/@08  TAmantadine 1 mg_Ldopé/D8_03.tif </t>
  </si>
  <si>
    <t xml:space="preserve"> 72.0358 </t>
  </si>
  <si>
    <t xml:space="preserve">F:\images\20210310\plaque 2/@08  TAmantadine 1 mg_Ldopé/E8_01.tif </t>
  </si>
  <si>
    <t xml:space="preserve"> 61126.0822 </t>
  </si>
  <si>
    <t xml:space="preserve"> 74.7332 </t>
  </si>
  <si>
    <t xml:space="preserve">F:\images\20210310\plaque 2/@08  TAmantadine 1 mg_Ldopé/E8_02.tif </t>
  </si>
  <si>
    <t xml:space="preserve"> 59157.7618 </t>
  </si>
  <si>
    <t xml:space="preserve"> 74.6384 </t>
  </si>
  <si>
    <t xml:space="preserve">F:\images\20210310\plaque 2/@08  TAmantadine 1 mg_Ldopé/E8_03.tif </t>
  </si>
  <si>
    <t xml:space="preserve"> 67290.6022 </t>
  </si>
  <si>
    <t xml:space="preserve"> 74.5365 </t>
  </si>
  <si>
    <t xml:space="preserve">F:\images\20210310\plaque 2/@08  TAmantadine 1 mg_Ldopé/F8_01.tif </t>
  </si>
  <si>
    <t xml:space="preserve"> 59568.7298 </t>
  </si>
  <si>
    <t xml:space="preserve"> 72.6412 </t>
  </si>
  <si>
    <t xml:space="preserve">F:\images\20210310\plaque 2/@08  TAmantadine 1 mg_Ldopé/F8_02.tif </t>
  </si>
  <si>
    <t xml:space="preserve"> 56259.3559 </t>
  </si>
  <si>
    <t xml:space="preserve"> 72.1123 </t>
  </si>
  <si>
    <t xml:space="preserve">F:\images\20210310\plaque 2/@08  TAmantadine 1 mg_Ldopé/F8_03.tif </t>
  </si>
  <si>
    <t xml:space="preserve"> 53382.5799 </t>
  </si>
  <si>
    <t xml:space="preserve"> 71.9015 </t>
  </si>
  <si>
    <t xml:space="preserve">F:\images\20210310\plaque 2/@08  TAmantadine 1 mg_Ldopé/G8_01.tif </t>
  </si>
  <si>
    <t xml:space="preserve"> 5450.7334 </t>
  </si>
  <si>
    <t xml:space="preserve"> 66.5238 </t>
  </si>
  <si>
    <t xml:space="preserve">F:\images\20210310\plaque 2/@08  TAmantadine 1 mg_Ldopé/G8_02.tif </t>
  </si>
  <si>
    <t xml:space="preserve"> 64.0833 </t>
  </si>
  <si>
    <t xml:space="preserve">F:\images\20210310\plaque 2/@08  TAmantadine 1 mg_Ldopé/G8_03.tif </t>
  </si>
  <si>
    <t xml:space="preserve"> 2509.0678 </t>
  </si>
  <si>
    <t xml:space="preserve"> 63.6552 </t>
  </si>
  <si>
    <t xml:space="preserve">F:\images\20210310\plaque 2/@08  TAmantadine 1 mg_Ldopé/H8_01.tif </t>
  </si>
  <si>
    <t xml:space="preserve"> 36294.9632 </t>
  </si>
  <si>
    <t xml:space="preserve"> 69.6478 </t>
  </si>
  <si>
    <t xml:space="preserve">F:\images\20210310\plaque 2/@08  TAmantadine 1 mg_Ldopé/H8_02.tif </t>
  </si>
  <si>
    <t xml:space="preserve"> 44946.921 </t>
  </si>
  <si>
    <t xml:space="preserve"> 69.5053 </t>
  </si>
  <si>
    <t xml:space="preserve">F:\images\20210310\plaque 2/@08  TAmantadine 1 mg_Ldopé/H8_03.tif </t>
  </si>
  <si>
    <t xml:space="preserve"> 41983.6255 </t>
  </si>
  <si>
    <t xml:space="preserve"> 70.2561 </t>
  </si>
  <si>
    <t xml:space="preserve">F:\images\20210310\plaque 2/@08  TAmantadine 1 mg_Ldopé/ </t>
  </si>
  <si>
    <t xml:space="preserve"> 71.5183 </t>
  </si>
  <si>
    <t xml:space="preserve"> 3.1627 </t>
  </si>
  <si>
    <t xml:space="preserve"> 3122652.96 </t>
  </si>
  <si>
    <t xml:space="preserve"> 1347223.68 </t>
  </si>
  <si>
    <t xml:space="preserve">F:\images\20210310\plaque 2/@09  Amantadine 10 mg_L dopé/A9_01.tif </t>
  </si>
  <si>
    <t xml:space="preserve"> 11355.6947 </t>
  </si>
  <si>
    <t xml:space="preserve"> 65.7619 </t>
  </si>
  <si>
    <t xml:space="preserve">F:\images\20210310\plaque 2/@09  Amantadine 10 mg_L dopé/A9_02.tif </t>
  </si>
  <si>
    <t xml:space="preserve"> 16611.7591 </t>
  </si>
  <si>
    <t xml:space="preserve"> 68.1732 </t>
  </si>
  <si>
    <t>F:\images\20210310\plaque 2/@09  Amantadine 10 mg_L dopé/A9_03- exclu.tif</t>
  </si>
  <si>
    <t>F:\images\20210310\plaque 2/@09  Amantadine 10 mg_L dopé/B9_01- exclu.tif</t>
  </si>
  <si>
    <t>F:\images\20210310\plaque 2/@09  Amantadine 10 mg_L dopé/B9_02- exclu.tif</t>
  </si>
  <si>
    <t>F:\images\20210310\plaque 2/@09  Amantadine 10 mg_L dopé/B9_03- exclu.tif</t>
  </si>
  <si>
    <t xml:space="preserve">F:\images\20210310\plaque 2/@09  Amantadine 10 mg_L dopé/C9_01.tif </t>
  </si>
  <si>
    <t xml:space="preserve"> 13021.1966 </t>
  </si>
  <si>
    <t xml:space="preserve"> 68.4983 </t>
  </si>
  <si>
    <t xml:space="preserve">F:\images\20210310\plaque 2/@09  Amantadine 10 mg_L dopé/C9_02.tif </t>
  </si>
  <si>
    <t xml:space="preserve"> 11853.1823 </t>
  </si>
  <si>
    <t xml:space="preserve"> 66.9672 </t>
  </si>
  <si>
    <t xml:space="preserve">F:\images\20210310\plaque 2/@09  Amantadine 10 mg_L dopé/C9_03.tif </t>
  </si>
  <si>
    <t xml:space="preserve"> 13129.346 </t>
  </si>
  <si>
    <t xml:space="preserve"> 70.0049 </t>
  </si>
  <si>
    <t xml:space="preserve">F:\images\20210310\plaque 2/@09  Amantadine 10 mg_L dopé/D9_01.tif </t>
  </si>
  <si>
    <t xml:space="preserve"> 23576.5851 </t>
  </si>
  <si>
    <t xml:space="preserve"> 68.9835 </t>
  </si>
  <si>
    <t xml:space="preserve">F:\images\20210310\plaque 2/@09  Amantadine 10 mg_L dopé/D9_02.tif </t>
  </si>
  <si>
    <t xml:space="preserve"> 23252.1367 </t>
  </si>
  <si>
    <t xml:space="preserve"> 67.9349 </t>
  </si>
  <si>
    <t xml:space="preserve">F:\images\20210310\plaque 2/@09  Amantadine 10 mg_L dopé/D9_03.tif </t>
  </si>
  <si>
    <t xml:space="preserve"> 23836.1439 </t>
  </si>
  <si>
    <t xml:space="preserve"> 69.5862 </t>
  </si>
  <si>
    <t xml:space="preserve">F:\images\20210310\plaque 2/@09  Amantadine 10 mg_L dopé/E9_01.tif </t>
  </si>
  <si>
    <t xml:space="preserve"> 3612.1924 </t>
  </si>
  <si>
    <t xml:space="preserve"> 64.7964 </t>
  </si>
  <si>
    <t xml:space="preserve">F:\images\20210310\plaque 2/@09  Amantadine 10 mg_L dopé/E9_02.tif </t>
  </si>
  <si>
    <t xml:space="preserve"> 5342.584 </t>
  </si>
  <si>
    <t xml:space="preserve"> 64.3158 </t>
  </si>
  <si>
    <t xml:space="preserve">F:\images\20210310\plaque 2/@09  Amantadine 10 mg_L dopé/E9_03.tif </t>
  </si>
  <si>
    <t xml:space="preserve"> 63.6774 </t>
  </si>
  <si>
    <t xml:space="preserve">F:\images\20210310\plaque 2/@09  Amantadine 10 mg_L dopé/F9_01.tif </t>
  </si>
  <si>
    <t xml:space="preserve"> 19337.1258 </t>
  </si>
  <si>
    <t xml:space="preserve"> 67.3658 </t>
  </si>
  <si>
    <t xml:space="preserve">F:\images\20210310\plaque 2/@09  Amantadine 10 mg_L dopé/F9_02.tif </t>
  </si>
  <si>
    <t xml:space="preserve"> 19618.3144 </t>
  </si>
  <si>
    <t xml:space="preserve"> 66.6185 </t>
  </si>
  <si>
    <t xml:space="preserve">F:\images\20210310\plaque 2/@09  Amantadine 10 mg_L dopé/F9_03.tif </t>
  </si>
  <si>
    <t xml:space="preserve"> 14794.8479 </t>
  </si>
  <si>
    <t xml:space="preserve"> 65.8377 </t>
  </si>
  <si>
    <t xml:space="preserve">F:\images\20210310\plaque 2/@09  Amantadine 10 mg_L dopé/G9_01.tif </t>
  </si>
  <si>
    <t xml:space="preserve"> 50138.0957 </t>
  </si>
  <si>
    <t xml:space="preserve"> 75.9103 </t>
  </si>
  <si>
    <t xml:space="preserve">F:\images\20210310\plaque 2/@09  Amantadine 10 mg_L dopé/G9_02.tif </t>
  </si>
  <si>
    <t xml:space="preserve"> 45747.2271 </t>
  </si>
  <si>
    <t xml:space="preserve"> 78.9248 </t>
  </si>
  <si>
    <t xml:space="preserve">F:\images\20210310\plaque 2/@09  Amantadine 10 mg_L dopé/G9_03.tif </t>
  </si>
  <si>
    <t xml:space="preserve"> 48818.6722 </t>
  </si>
  <si>
    <t xml:space="preserve"> 76.4603 </t>
  </si>
  <si>
    <t>F:\images\20210310\plaque 2/@09  Amantadine 10 mg_L dopé/H9_01- exclu.tif</t>
  </si>
  <si>
    <t xml:space="preserve">F:\images\20210310\plaque 2/@09  Amantadine 10 mg_L dopé/H9_02.tif </t>
  </si>
  <si>
    <t xml:space="preserve"> 32423.212 </t>
  </si>
  <si>
    <t xml:space="preserve"> 72.1167 </t>
  </si>
  <si>
    <t xml:space="preserve">F:\images\20210310\plaque 2/@09  Amantadine 10 mg_L dopé/H9_03.tif </t>
  </si>
  <si>
    <t xml:space="preserve"> 30022.2937 </t>
  </si>
  <si>
    <t xml:space="preserve"> 70.5576 </t>
  </si>
  <si>
    <t xml:space="preserve">F:\images\20210310\plaque 2/@09  Amantadine 10 mg_L dopé/ </t>
  </si>
  <si>
    <t xml:space="preserve"> 69.4027 </t>
  </si>
  <si>
    <t xml:space="preserve"> 4.3927 </t>
  </si>
  <si>
    <t xml:space="preserve"> 1345632.62 </t>
  </si>
  <si>
    <t xml:space="preserve"> 1077470.87 </t>
  </si>
  <si>
    <t>Colonne1</t>
  </si>
  <si>
    <t>01 Evian + 0.2% DMSO</t>
  </si>
  <si>
    <t>02 EE2 33.8</t>
  </si>
  <si>
    <t>03 EE2 50.6</t>
  </si>
  <si>
    <t>04 EE2 76</t>
  </si>
  <si>
    <t>05 EE2 114</t>
  </si>
  <si>
    <t>06 EE2 170.9</t>
  </si>
  <si>
    <t>07 EE2 488</t>
  </si>
  <si>
    <t>08 Amantadine 0.001 mg_L</t>
  </si>
  <si>
    <t>09 Amantadine 0.01 mg_L</t>
  </si>
  <si>
    <t>10 Amantadine 0.1 mg_L</t>
  </si>
  <si>
    <t>11 Amantadine 1 mg_L</t>
  </si>
  <si>
    <t>12 Amantadine 10 mg_L</t>
  </si>
  <si>
    <t>01 Testo 30</t>
  </si>
  <si>
    <t>02 Testo 30</t>
  </si>
  <si>
    <t>03 Testo+ EE2 64</t>
  </si>
  <si>
    <t>04 Testo+ FAD</t>
  </si>
  <si>
    <t>05 Amantadine 0.001 mg_L dopé</t>
  </si>
  <si>
    <t>06  Amantadine 0.01 mg_LLdopé</t>
  </si>
  <si>
    <t>07  Amantadine 0.1 mg_Ldopé</t>
  </si>
  <si>
    <t>08  TAmantadine 1 mg_Ldopé</t>
  </si>
  <si>
    <t>09  Amantadine 10 mg_L dopé</t>
  </si>
  <si>
    <t>B</t>
  </si>
  <si>
    <t>C</t>
  </si>
  <si>
    <t>D</t>
  </si>
  <si>
    <t>E</t>
  </si>
  <si>
    <t>F</t>
  </si>
  <si>
    <t>G</t>
  </si>
  <si>
    <t>H</t>
  </si>
  <si>
    <t>Krustal-wallis</t>
  </si>
  <si>
    <t>Anova</t>
  </si>
  <si>
    <t xml:space="preserve">F:\images\20210311\plaque 1/@01 Evian + 0.2% DMSO/A1_01.tif </t>
  </si>
  <si>
    <t xml:space="preserve"> 62.9245 </t>
  </si>
  <si>
    <t xml:space="preserve">F:\images\20210311\plaque 1/@01 Evian + 0.2% DMSO/A1_02.tif </t>
  </si>
  <si>
    <t xml:space="preserve"> 4888.3562 </t>
  </si>
  <si>
    <t xml:space="preserve"> 67.4248 </t>
  </si>
  <si>
    <t xml:space="preserve">F:\images\20210311\plaque 1/@01 Evian + 0.2% DMSO/A1_03.tif </t>
  </si>
  <si>
    <t xml:space="preserve"> 7462.3136 </t>
  </si>
  <si>
    <t xml:space="preserve"> 72.6667 </t>
  </si>
  <si>
    <t xml:space="preserve">F:\images\20210311\plaque 1/@01 Evian + 0.2% DMSO/B1_01.tif </t>
  </si>
  <si>
    <t xml:space="preserve"> 66.3806 </t>
  </si>
  <si>
    <t xml:space="preserve">F:\images\20210311\plaque 1/@01 Evian + 0.2% DMSO/B1_02.tif </t>
  </si>
  <si>
    <t xml:space="preserve"> 64.25 </t>
  </si>
  <si>
    <t xml:space="preserve">F:\images\20210311\plaque 1/@01 Evian + 0.2% DMSO/B1_03.tif </t>
  </si>
  <si>
    <t xml:space="preserve"> 65.6522 </t>
  </si>
  <si>
    <t xml:space="preserve">F:\images\20210311\plaque 1/@01 Evian + 0.2% DMSO/C1_01.tif </t>
  </si>
  <si>
    <t xml:space="preserve"> 64.4 </t>
  </si>
  <si>
    <t xml:space="preserve">F:\images\20210311\plaque 1/@01 Evian + 0.2% DMSO/C1_02.tif </t>
  </si>
  <si>
    <t xml:space="preserve"> 63.8333 </t>
  </si>
  <si>
    <t xml:space="preserve">F:\images\20210311\plaque 1/@01 Evian + 0.2% DMSO/C1_03.tif </t>
  </si>
  <si>
    <t xml:space="preserve"> 63.25 </t>
  </si>
  <si>
    <t xml:space="preserve">F:\images\20210311\plaque 1/@01 Evian + 0.2% DMSO/D1_01.tif </t>
  </si>
  <si>
    <t xml:space="preserve"> 1016.605 </t>
  </si>
  <si>
    <t xml:space="preserve"> 66.7447 </t>
  </si>
  <si>
    <t xml:space="preserve">F:\images\20210311\plaque 1/@01 Evian + 0.2% DMSO/D1_02.tif </t>
  </si>
  <si>
    <t xml:space="preserve">F:\images\20210311\plaque 1/@01 Evian + 0.2% DMSO/D1_03.tif </t>
  </si>
  <si>
    <t xml:space="preserve"> 63.5102 </t>
  </si>
  <si>
    <t xml:space="preserve">F:\images\20210311\plaque 1/@01 Evian + 0.2% DMSO/E1_01.tif </t>
  </si>
  <si>
    <t xml:space="preserve"> 11269.1751 </t>
  </si>
  <si>
    <t xml:space="preserve"> 75.7658 </t>
  </si>
  <si>
    <t xml:space="preserve">F:\images\20210311\plaque 1/@01 Evian + 0.2% DMSO/E1_02.tif </t>
  </si>
  <si>
    <t xml:space="preserve"> 11982.9616 </t>
  </si>
  <si>
    <t xml:space="preserve"> 78.3484 </t>
  </si>
  <si>
    <t xml:space="preserve">F:\images\20210311\plaque 1/@01 Evian + 0.2% DMSO/E1_03.tif </t>
  </si>
  <si>
    <t xml:space="preserve"> 5212.8046 </t>
  </si>
  <si>
    <t xml:space="preserve"> 71.4315 </t>
  </si>
  <si>
    <t xml:space="preserve">F:\images\20210311\plaque 1/@01 Evian + 0.2% DMSO/F1_01.tif </t>
  </si>
  <si>
    <t xml:space="preserve"> 66.0172 </t>
  </si>
  <si>
    <t xml:space="preserve">F:\images\20210311\plaque 1/@01 Evian + 0.2% DMSO/F1_02.tif </t>
  </si>
  <si>
    <t xml:space="preserve"> 2552.3276 </t>
  </si>
  <si>
    <t xml:space="preserve"> 66.1102 </t>
  </si>
  <si>
    <t xml:space="preserve">F:\images\20210311\plaque 1/@01 Evian + 0.2% DMSO/F1_03.tif </t>
  </si>
  <si>
    <t xml:space="preserve"> 1168.0143 </t>
  </si>
  <si>
    <t xml:space="preserve"> 65.4074 </t>
  </si>
  <si>
    <t xml:space="preserve">F:\images\20210311\plaque 1/@01 Evian + 0.2% DMSO/G1_01.tif </t>
  </si>
  <si>
    <t xml:space="preserve"> 1903.4307 </t>
  </si>
  <si>
    <t xml:space="preserve"> 63.7841 </t>
  </si>
  <si>
    <t xml:space="preserve">F:\images\20210311\plaque 1/@01 Evian + 0.2% DMSO/G1_02.tif </t>
  </si>
  <si>
    <t xml:space="preserve"> 63.16 </t>
  </si>
  <si>
    <t xml:space="preserve">F:\images\20210311\plaque 1/@01 Evian + 0.2% DMSO/G1_03.tif </t>
  </si>
  <si>
    <t xml:space="preserve"> 951.7154 </t>
  </si>
  <si>
    <t xml:space="preserve">F:\images\20210311\plaque 1/@01 Evian + 0.2% DMSO/H1_01.tif </t>
  </si>
  <si>
    <t xml:space="preserve"> 62.95 </t>
  </si>
  <si>
    <t xml:space="preserve">F:\images\20210311\plaque 1/@01 Evian + 0.2% DMSO/H1_02.tif </t>
  </si>
  <si>
    <t xml:space="preserve"> 5191.1747 </t>
  </si>
  <si>
    <t xml:space="preserve"> 68.95 </t>
  </si>
  <si>
    <t xml:space="preserve">F:\images\20210311\plaque 1/@01 Evian + 0.2% DMSO/H1_03.tif </t>
  </si>
  <si>
    <t xml:space="preserve">F:\images\20210311\plaque 1/@01 Evian + 0.2% DMSO/ </t>
  </si>
  <si>
    <t xml:space="preserve"> 66.354 </t>
  </si>
  <si>
    <t xml:space="preserve"> 4.2328 </t>
  </si>
  <si>
    <t xml:space="preserve"> 208756.417 </t>
  </si>
  <si>
    <t xml:space="preserve"> 256067.569 </t>
  </si>
  <si>
    <t xml:space="preserve">F:\images\20210311\plaque 1/@02 EE2 33.8/A2_01.tif </t>
  </si>
  <si>
    <t xml:space="preserve"> 5558.8829 </t>
  </si>
  <si>
    <t xml:space="preserve"> 69.7665 </t>
  </si>
  <si>
    <t xml:space="preserve">F:\images\20210311\plaque 1/@02 EE2 33.8/A2_02.tif </t>
  </si>
  <si>
    <t xml:space="preserve"> 3633.8223 </t>
  </si>
  <si>
    <t xml:space="preserve"> 64.0595 </t>
  </si>
  <si>
    <t xml:space="preserve">F:\images\20210311\plaque 1/@02 EE2 33.8/A2_03.tif </t>
  </si>
  <si>
    <t xml:space="preserve"> 67.2258 </t>
  </si>
  <si>
    <t xml:space="preserve">F:\images\20210311\plaque 1/@02 EE2 33.8/B2_01.tif </t>
  </si>
  <si>
    <t xml:space="preserve"> 1341.0535 </t>
  </si>
  <si>
    <t xml:space="preserve"> 64.8387 </t>
  </si>
  <si>
    <t>F:\images\20210311\plaque 1/@02 EE2 33.8/B2_02- exclu.tif</t>
  </si>
  <si>
    <t xml:space="preserve">F:\images\20210311\plaque 1/@02 EE2 33.8/B2_03.tif </t>
  </si>
  <si>
    <t xml:space="preserve"> 2292.7688 </t>
  </si>
  <si>
    <t xml:space="preserve"> 63.7547 </t>
  </si>
  <si>
    <t xml:space="preserve">F:\images\20210311\plaque 1/@02 EE2 33.8/C2_01.tif </t>
  </si>
  <si>
    <t xml:space="preserve"> 8911.5166 </t>
  </si>
  <si>
    <t xml:space="preserve"> 68.8617 </t>
  </si>
  <si>
    <t xml:space="preserve">F:\images\20210311\plaque 1/@02 EE2 33.8/C2_02.tif </t>
  </si>
  <si>
    <t xml:space="preserve"> 65.1806 </t>
  </si>
  <si>
    <t xml:space="preserve">F:\images\20210311\plaque 1/@02 EE2 33.8/C2_03.tif </t>
  </si>
  <si>
    <t xml:space="preserve"> 62.1905 </t>
  </si>
  <si>
    <t xml:space="preserve">F:\images\20210311\plaque 1/@02 EE2 33.8/D2_01.tif </t>
  </si>
  <si>
    <t xml:space="preserve"> 194.6691 </t>
  </si>
  <si>
    <t xml:space="preserve"> 64.4444 </t>
  </si>
  <si>
    <t>F:\images\20210311\plaque 1/@02 EE2 33.8/D2_02- exclu.tif</t>
  </si>
  <si>
    <t xml:space="preserve">F:\images\20210311\plaque 1/@02 EE2 33.8/D2_03.tif </t>
  </si>
  <si>
    <t xml:space="preserve">F:\images\20210311\plaque 1/@02 EE2 33.8/E2_01.tif </t>
  </si>
  <si>
    <t xml:space="preserve"> 68.2517 </t>
  </si>
  <si>
    <t>F:\images\20210311\plaque 1/@02 EE2 33.8/E2_02- exclu.tif</t>
  </si>
  <si>
    <t xml:space="preserve">F:\images\20210311\plaque 1/@02 EE2 33.8/E2_03.tif </t>
  </si>
  <si>
    <t xml:space="preserve">F:\images\20210311\plaque 1/@02 EE2 33.8/F2_01.tif </t>
  </si>
  <si>
    <t xml:space="preserve"> 62.8529 </t>
  </si>
  <si>
    <t xml:space="preserve">F:\images\20210311\plaque 1/@02 EE2 33.8/F2_02.tif </t>
  </si>
  <si>
    <t xml:space="preserve"> 63.0833 </t>
  </si>
  <si>
    <t xml:space="preserve">F:\images\20210311\plaque 1/@02 EE2 33.8/F2_03.tif </t>
  </si>
  <si>
    <t xml:space="preserve"> 70.0472 </t>
  </si>
  <si>
    <t xml:space="preserve">F:\images\20210311\plaque 1/@02 EE2 33.8/G2_01.tif </t>
  </si>
  <si>
    <t xml:space="preserve"> 69.7385 </t>
  </si>
  <si>
    <t xml:space="preserve">F:\images\20210311\plaque 1/@02 EE2 33.8/G2_02.tif </t>
  </si>
  <si>
    <t xml:space="preserve"> 63.3514 </t>
  </si>
  <si>
    <t xml:space="preserve">F:\images\20210311\plaque 1/@02 EE2 33.8/G2_03.tif </t>
  </si>
  <si>
    <t xml:space="preserve"> 62.4706 </t>
  </si>
  <si>
    <t xml:space="preserve">F:\images\20210311\plaque 1/@02 EE2 33.8/H2_01.tif </t>
  </si>
  <si>
    <t xml:space="preserve"> 76.1673 </t>
  </si>
  <si>
    <t xml:space="preserve">F:\images\20210311\plaque 1/@02 EE2 33.8/H2_02.tif </t>
  </si>
  <si>
    <t xml:space="preserve"> 75.3489 </t>
  </si>
  <si>
    <t xml:space="preserve">F:\images\20210311\plaque 1/@02 EE2 33.8/H2_03.tif </t>
  </si>
  <si>
    <t xml:space="preserve"> 6056.3705 </t>
  </si>
  <si>
    <t xml:space="preserve"> 74.1286 </t>
  </si>
  <si>
    <t xml:space="preserve">F:\images\20210311\plaque 1/@02 EE2 33.8/ </t>
  </si>
  <si>
    <t xml:space="preserve"> 66.5664 </t>
  </si>
  <si>
    <t xml:space="preserve"> 4.1645 </t>
  </si>
  <si>
    <t xml:space="preserve"> 184220.875 </t>
  </si>
  <si>
    <t xml:space="preserve"> 186263.178 </t>
  </si>
  <si>
    <t xml:space="preserve">F:\images\20210311\plaque 1/@03 EE2 50.6/A3_01.tif </t>
  </si>
  <si>
    <t xml:space="preserve"> 66.8208 </t>
  </si>
  <si>
    <t xml:space="preserve">F:\images\20210311\plaque 1/@03 EE2 50.6/A3_02.tif </t>
  </si>
  <si>
    <t xml:space="preserve"> 66.7929 </t>
  </si>
  <si>
    <t xml:space="preserve">F:\images\20210311\plaque 1/@03 EE2 50.6/A3_03.tif </t>
  </si>
  <si>
    <t xml:space="preserve"> 2963.2956 </t>
  </si>
  <si>
    <t xml:space="preserve"> 65.708 </t>
  </si>
  <si>
    <t xml:space="preserve">F:\images\20210311\plaque 1/@03 EE2 50.6/B3_01.tif </t>
  </si>
  <si>
    <t xml:space="preserve"> 71.4223 </t>
  </si>
  <si>
    <t xml:space="preserve">F:\images\20210311\plaque 1/@03 EE2 50.6/B3_02.tif </t>
  </si>
  <si>
    <t xml:space="preserve"> 6467.3385 </t>
  </si>
  <si>
    <t xml:space="preserve"> 70.8361 </t>
  </si>
  <si>
    <t xml:space="preserve">F:\images\20210311\plaque 1/@03 EE2 50.6/B3_03.tif </t>
  </si>
  <si>
    <t xml:space="preserve"> 6164.52 </t>
  </si>
  <si>
    <t xml:space="preserve"> 71.1193 </t>
  </si>
  <si>
    <t xml:space="preserve">F:\images\20210311\plaque 1/@03 EE2 50.6/C3_01.tif </t>
  </si>
  <si>
    <t xml:space="preserve"> 62.0588 </t>
  </si>
  <si>
    <t xml:space="preserve">F:\images\20210311\plaque 1/@03 EE2 50.6/C3_02.tif </t>
  </si>
  <si>
    <t xml:space="preserve"> 65.6184 </t>
  </si>
  <si>
    <t xml:space="preserve">F:\images\20210311\plaque 1/@03 EE2 50.6/C3_03.tif </t>
  </si>
  <si>
    <t xml:space="preserve"> 65.1667 </t>
  </si>
  <si>
    <t xml:space="preserve">F:\images\20210311\plaque 1/@03 EE2 50.6/D3_01.tif </t>
  </si>
  <si>
    <t xml:space="preserve"> 3828.4913 </t>
  </si>
  <si>
    <t xml:space="preserve"> 67.5367 </t>
  </si>
  <si>
    <t>F:\images\20210311\plaque 1/@03 EE2 50.6/D3_02- exclu.tif</t>
  </si>
  <si>
    <t xml:space="preserve">F:\images\20210311\plaque 1/@03 EE2 50.6/D3_03.tif </t>
  </si>
  <si>
    <t xml:space="preserve"> 2660.477 </t>
  </si>
  <si>
    <t xml:space="preserve"> 65.4309 </t>
  </si>
  <si>
    <t xml:space="preserve">F:\images\20210311\plaque 1/@03 EE2 50.6/E3_01.tif </t>
  </si>
  <si>
    <t xml:space="preserve"> 9690.1928 </t>
  </si>
  <si>
    <t xml:space="preserve"> 73.5692 </t>
  </si>
  <si>
    <t xml:space="preserve">F:\images\20210311\plaque 1/@03 EE2 50.6/E3_02.tif </t>
  </si>
  <si>
    <t xml:space="preserve"> 4736.9469 </t>
  </si>
  <si>
    <t xml:space="preserve"> 66.1416 </t>
  </si>
  <si>
    <t xml:space="preserve">F:\images\20210311\plaque 1/@03 EE2 50.6/E3_03.tif </t>
  </si>
  <si>
    <t xml:space="preserve"> 8327.5094 </t>
  </si>
  <si>
    <t xml:space="preserve"> 71.8234 </t>
  </si>
  <si>
    <t>F:\images\20210311\plaque 1/@03 EE2 50.6/F3_01- exclu.tif</t>
  </si>
  <si>
    <t>F:\images\20210311\plaque 1/@03 EE2 50.6/F3_02- exclu.tif</t>
  </si>
  <si>
    <t>F:\images\20210311\plaque 1/@03 EE2 50.6/F3_03- exclu.tif</t>
  </si>
  <si>
    <t xml:space="preserve">F:\images\20210311\plaque 1/@03 EE2 50.6/G3_01.tif </t>
  </si>
  <si>
    <t xml:space="preserve"> 63.3538 </t>
  </si>
  <si>
    <t xml:space="preserve">F:\images\20210311\plaque 1/@03 EE2 50.6/G3_02.tif </t>
  </si>
  <si>
    <t xml:space="preserve">F:\images\20210311\plaque 1/@03 EE2 50.6/G3_03.tif </t>
  </si>
  <si>
    <t xml:space="preserve"> 65.5 </t>
  </si>
  <si>
    <t xml:space="preserve">F:\images\20210311\plaque 1/@03 EE2 50.6/H3_01.tif </t>
  </si>
  <si>
    <t xml:space="preserve"> 68.3684 </t>
  </si>
  <si>
    <t xml:space="preserve">F:\images\20210311\plaque 1/@03 EE2 50.6/H3_02.tif </t>
  </si>
  <si>
    <t xml:space="preserve"> 64.7 </t>
  </si>
  <si>
    <t xml:space="preserve">F:\images\20210311\plaque 1/@03 EE2 50.6/H3_03.tif </t>
  </si>
  <si>
    <t xml:space="preserve"> 63.537 </t>
  </si>
  <si>
    <t xml:space="preserve">F:\images\20210311\plaque 1/@03 EE2 50.6/ </t>
  </si>
  <si>
    <t xml:space="preserve"> 67.2497 </t>
  </si>
  <si>
    <t xml:space="preserve"> 3.4789 </t>
  </si>
  <si>
    <t xml:space="preserve"> 258234.75 </t>
  </si>
  <si>
    <t xml:space="preserve"> 227678.901 </t>
  </si>
  <si>
    <t xml:space="preserve">F:\images\20210311\plaque 1/@04 EE2 76/A4_01.tif </t>
  </si>
  <si>
    <t xml:space="preserve"> 11939.7018 </t>
  </si>
  <si>
    <t xml:space="preserve"> 68.7754 </t>
  </si>
  <si>
    <t xml:space="preserve">F:\images\20210311\plaque 1/@04 EE2 76/A4_02.tif </t>
  </si>
  <si>
    <t xml:space="preserve"> 10447.2391 </t>
  </si>
  <si>
    <t xml:space="preserve"> 65.7474 </t>
  </si>
  <si>
    <t xml:space="preserve">F:\images\20210311\plaque 1/@04 EE2 76/A4_03.tif </t>
  </si>
  <si>
    <t xml:space="preserve"> 11377.3246 </t>
  </si>
  <si>
    <t xml:space="preserve"> 64.5989 </t>
  </si>
  <si>
    <t xml:space="preserve">F:\images\20210311\plaque 1/@04 EE2 76/B4_01.tif </t>
  </si>
  <si>
    <t xml:space="preserve"> 34153.6036 </t>
  </si>
  <si>
    <t xml:space="preserve"> 68.3521 </t>
  </si>
  <si>
    <t xml:space="preserve">F:\images\20210311\plaque 1/@04 EE2 76/B4_02.tif </t>
  </si>
  <si>
    <t xml:space="preserve"> 35883.9952 </t>
  </si>
  <si>
    <t xml:space="preserve"> 68.4394 </t>
  </si>
  <si>
    <t xml:space="preserve">F:\images\20210311\plaque 1/@04 EE2 76/B4_03.tif </t>
  </si>
  <si>
    <t xml:space="preserve"> 34196.8634 </t>
  </si>
  <si>
    <t xml:space="preserve"> 68.2663 </t>
  </si>
  <si>
    <t xml:space="preserve">F:\images\20210311\plaque 1/@04 EE2 76/C4_01.tif </t>
  </si>
  <si>
    <t xml:space="preserve"> 21543.3751 </t>
  </si>
  <si>
    <t xml:space="preserve"> 68.9227 </t>
  </si>
  <si>
    <t>F:\images\20210311\plaque 1/@04 EE2 76/C4_02- exclu.tif</t>
  </si>
  <si>
    <t xml:space="preserve">F:\images\20210311\plaque 1/@04 EE2 76/C4_03.tif </t>
  </si>
  <si>
    <t xml:space="preserve"> 19120.8269 </t>
  </si>
  <si>
    <t xml:space="preserve"> 67.6663 </t>
  </si>
  <si>
    <t xml:space="preserve">F:\images\20210311\plaque 1/@04 EE2 76/D4_01.tif </t>
  </si>
  <si>
    <t xml:space="preserve"> 63.5747 </t>
  </si>
  <si>
    <t xml:space="preserve">F:\images\20210311\plaque 1/@04 EE2 76/D4_02.tif </t>
  </si>
  <si>
    <t xml:space="preserve"> 63.3821 </t>
  </si>
  <si>
    <t xml:space="preserve">F:\images\20210311\plaque 1/@04 EE2 76/D4_03.tif </t>
  </si>
  <si>
    <t xml:space="preserve"> 64.4254 </t>
  </si>
  <si>
    <t xml:space="preserve">F:\images\20210311\plaque 1/@04 EE2 76/E4_01.tif </t>
  </si>
  <si>
    <t xml:space="preserve"> 3763.6017 </t>
  </si>
  <si>
    <t xml:space="preserve"> 63.4195 </t>
  </si>
  <si>
    <t xml:space="preserve">F:\images\20210311\plaque 1/@04 EE2 76/E4_02.tif </t>
  </si>
  <si>
    <t xml:space="preserve"> 6272.6694 </t>
  </si>
  <si>
    <t xml:space="preserve"> 70.4 </t>
  </si>
  <si>
    <t xml:space="preserve">F:\images\20210311\plaque 1/@04 EE2 76/E4_03.tif </t>
  </si>
  <si>
    <t xml:space="preserve"> 3893.381 </t>
  </si>
  <si>
    <t xml:space="preserve"> 65.3222 </t>
  </si>
  <si>
    <t xml:space="preserve">F:\images\20210311\plaque 1/@04 EE2 76/F4_01.tif </t>
  </si>
  <si>
    <t xml:space="preserve"> 7981.4311 </t>
  </si>
  <si>
    <t xml:space="preserve"> 68.9377 </t>
  </si>
  <si>
    <t xml:space="preserve">F:\images\20210311\plaque 1/@04 EE2 76/F4_02.tif </t>
  </si>
  <si>
    <t xml:space="preserve"> 3071.445 </t>
  </si>
  <si>
    <t xml:space="preserve"> 63.4577 </t>
  </si>
  <si>
    <t xml:space="preserve">F:\images\20210311\plaque 1/@04 EE2 76/F4_03.tif </t>
  </si>
  <si>
    <t xml:space="preserve"> 63.3644 </t>
  </si>
  <si>
    <t xml:space="preserve">F:\images\20210311\plaque 1/@04 EE2 76/G4_01.tif </t>
  </si>
  <si>
    <t xml:space="preserve"> 15335.5953 </t>
  </si>
  <si>
    <t xml:space="preserve"> 66.0085 </t>
  </si>
  <si>
    <t xml:space="preserve">F:\images\20210311\plaque 1/@04 EE2 76/G4_02.tif </t>
  </si>
  <si>
    <t xml:space="preserve"> 16979.4673 </t>
  </si>
  <si>
    <t xml:space="preserve"> 65.6153 </t>
  </si>
  <si>
    <t xml:space="preserve">F:\images\20210311\plaque 1/@04 EE2 76/G4_03.tif </t>
  </si>
  <si>
    <t xml:space="preserve"> 16438.7199 </t>
  </si>
  <si>
    <t xml:space="preserve"> 66.1539 </t>
  </si>
  <si>
    <t xml:space="preserve">F:\images\20210311\plaque 1/@04 EE2 76/H4_01.tif </t>
  </si>
  <si>
    <t xml:space="preserve"> 68.8008 </t>
  </si>
  <si>
    <t>F:\images\20210311\plaque 1/@04 EE2 76/H4_02- exclu.tif</t>
  </si>
  <si>
    <t xml:space="preserve">F:\images\20210311\plaque 1/@04 EE2 76/H4_03.tif </t>
  </si>
  <si>
    <t xml:space="preserve"> 68.8353 </t>
  </si>
  <si>
    <t xml:space="preserve">F:\images\20210311\plaque 1/@04 EE2 76/ </t>
  </si>
  <si>
    <t xml:space="preserve"> 66.6333 </t>
  </si>
  <si>
    <t xml:space="preserve"> 2.638 </t>
  </si>
  <si>
    <t xml:space="preserve"> 803157.625 </t>
  </si>
  <si>
    <t xml:space="preserve"> 716989.142 </t>
  </si>
  <si>
    <t xml:space="preserve">F:\images\20210311\plaque 1/@05 EE2 114/A5_01.tif </t>
  </si>
  <si>
    <t xml:space="preserve"> 27556.4858 </t>
  </si>
  <si>
    <t xml:space="preserve"> 67.9137 </t>
  </si>
  <si>
    <t xml:space="preserve">F:\images\20210311\plaque 1/@05 EE2 114/A5_02.tif </t>
  </si>
  <si>
    <t xml:space="preserve"> 29113.8382 </t>
  </si>
  <si>
    <t xml:space="preserve"> 70.7689 </t>
  </si>
  <si>
    <t xml:space="preserve">F:\images\20210311\plaque 1/@05 EE2 114/A5_03.tif </t>
  </si>
  <si>
    <t xml:space="preserve"> 26712.9199 </t>
  </si>
  <si>
    <t xml:space="preserve"> 70.4907 </t>
  </si>
  <si>
    <t xml:space="preserve">F:\images\20210311\plaque 1/@05 EE2 114/B5_01.tif </t>
  </si>
  <si>
    <t xml:space="preserve"> 30779.3401 </t>
  </si>
  <si>
    <t xml:space="preserve"> 66.7723 </t>
  </si>
  <si>
    <t xml:space="preserve">F:\images\20210311\plaque 1/@05 EE2 114/B5_02.tif </t>
  </si>
  <si>
    <t xml:space="preserve"> 27426.7064 </t>
  </si>
  <si>
    <t xml:space="preserve"> 67.1767 </t>
  </si>
  <si>
    <t xml:space="preserve">F:\images\20210311\plaque 1/@05 EE2 114/B5_03.tif </t>
  </si>
  <si>
    <t xml:space="preserve"> 28724.5001 </t>
  </si>
  <si>
    <t xml:space="preserve"> 66.7297 </t>
  </si>
  <si>
    <t xml:space="preserve">F:\images\20210311\plaque 1/@05 EE2 114/C5_01.tif </t>
  </si>
  <si>
    <t xml:space="preserve"> 31320.0874 </t>
  </si>
  <si>
    <t xml:space="preserve"> 67.4738 </t>
  </si>
  <si>
    <t xml:space="preserve">F:\images\20210311\plaque 1/@05 EE2 114/C5_02.tif </t>
  </si>
  <si>
    <t xml:space="preserve"> 19402.0155 </t>
  </si>
  <si>
    <t xml:space="preserve"> 66.4036 </t>
  </si>
  <si>
    <t xml:space="preserve">F:\images\20210311\plaque 1/@05 EE2 114/C5_03.tif </t>
  </si>
  <si>
    <t xml:space="preserve"> 28183.7527 </t>
  </si>
  <si>
    <t xml:space="preserve"> 68.5533 </t>
  </si>
  <si>
    <t xml:space="preserve">F:\images\20210311\plaque 1/@05 EE2 114/D5_01.tif </t>
  </si>
  <si>
    <t xml:space="preserve"> 47672.2878 </t>
  </si>
  <si>
    <t xml:space="preserve"> 72.2564 </t>
  </si>
  <si>
    <t xml:space="preserve">F:\images\20210311\plaque 1/@05 EE2 114/D5_02.tif </t>
  </si>
  <si>
    <t xml:space="preserve"> 50311.1349 </t>
  </si>
  <si>
    <t xml:space="preserve"> 73.2687 </t>
  </si>
  <si>
    <t xml:space="preserve">F:\images\20210311\plaque 1/@05 EE2 114/D5_03.tif </t>
  </si>
  <si>
    <t xml:space="preserve"> 47931.8465 </t>
  </si>
  <si>
    <t xml:space="preserve"> 72.5952 </t>
  </si>
  <si>
    <t xml:space="preserve">F:\images\20210311\plaque 1/@05 EE2 114/E5_01.tif </t>
  </si>
  <si>
    <t xml:space="preserve"> 63.7961 </t>
  </si>
  <si>
    <t xml:space="preserve">F:\images\20210311\plaque 1/@05 EE2 114/E5_02.tif </t>
  </si>
  <si>
    <t xml:space="preserve"> 1449.2029 </t>
  </si>
  <si>
    <t xml:space="preserve"> 63.6567 </t>
  </si>
  <si>
    <t xml:space="preserve">F:\images\20210311\plaque 1/@05 EE2 114/E5_03.tif </t>
  </si>
  <si>
    <t xml:space="preserve"> 64.3643 </t>
  </si>
  <si>
    <t xml:space="preserve">F:\images\20210311\plaque 1/@05 EE2 114/F5_01.tif </t>
  </si>
  <si>
    <t xml:space="preserve"> 14383.8799 </t>
  </si>
  <si>
    <t xml:space="preserve"> 64.4962 </t>
  </si>
  <si>
    <t xml:space="preserve">F:\images\20210311\plaque 1/@05 EE2 114/F5_02.tif </t>
  </si>
  <si>
    <t xml:space="preserve"> 15724.9334 </t>
  </si>
  <si>
    <t xml:space="preserve"> 65.7744 </t>
  </si>
  <si>
    <t xml:space="preserve">F:\images\20210311\plaque 1/@05 EE2 114/F5_03.tif </t>
  </si>
  <si>
    <t xml:space="preserve"> 14902.9974 </t>
  </si>
  <si>
    <t xml:space="preserve">F:\images\20210311\plaque 1/@05 EE2 114/G5_01.tif </t>
  </si>
  <si>
    <t xml:space="preserve"> 14470.3995 </t>
  </si>
  <si>
    <t xml:space="preserve"> 67.0882 </t>
  </si>
  <si>
    <t xml:space="preserve">F:\images\20210311\plaque 1/@05 EE2 114/G5_02.tif </t>
  </si>
  <si>
    <t xml:space="preserve"> 20764.6988 </t>
  </si>
  <si>
    <t xml:space="preserve"> 68.1292 </t>
  </si>
  <si>
    <t xml:space="preserve">F:\images\20210311\plaque 1/@05 EE2 114/G5_03.tif </t>
  </si>
  <si>
    <t xml:space="preserve"> 16633.389 </t>
  </si>
  <si>
    <t xml:space="preserve"> 66.9246 </t>
  </si>
  <si>
    <t xml:space="preserve">F:\images\20210311\plaque 1/@05 EE2 114/H5_01.tif </t>
  </si>
  <si>
    <t xml:space="preserve"> 32531.3615 </t>
  </si>
  <si>
    <t xml:space="preserve"> 69.4062 </t>
  </si>
  <si>
    <t xml:space="preserve">F:\images\20210311\plaque 1/@05 EE2 114/H5_02.tif </t>
  </si>
  <si>
    <t xml:space="preserve"> 33785.8954 </t>
  </si>
  <si>
    <t xml:space="preserve"> 70.2183 </t>
  </si>
  <si>
    <t xml:space="preserve">F:\images\20210311\plaque 1/@05 EE2 114/H5_03.tif </t>
  </si>
  <si>
    <t xml:space="preserve"> 29459.9165 </t>
  </si>
  <si>
    <t xml:space="preserve"> 68.4508 </t>
  </si>
  <si>
    <t xml:space="preserve">F:\images\20210311\plaque 1/@05 EE2 114/ </t>
  </si>
  <si>
    <t xml:space="preserve"> 67.8628 </t>
  </si>
  <si>
    <t xml:space="preserve"> 2.6981 </t>
  </si>
  <si>
    <t xml:space="preserve"> 1711605.17 </t>
  </si>
  <si>
    <t xml:space="preserve"> 969766.979 </t>
  </si>
  <si>
    <t xml:space="preserve">F:\images\20210311\plaque 1/@06 EE2 170.9/A6_01.tif </t>
  </si>
  <si>
    <t xml:space="preserve"> 41204.9493 </t>
  </si>
  <si>
    <t xml:space="preserve"> 77.6761 </t>
  </si>
  <si>
    <t xml:space="preserve">F:\images\20210311\plaque 1/@06 EE2 170.9/A6_02.tif </t>
  </si>
  <si>
    <t xml:space="preserve"> 40685.8318 </t>
  </si>
  <si>
    <t xml:space="preserve"> 77.243 </t>
  </si>
  <si>
    <t xml:space="preserve">F:\images\20210311\plaque 1/@06 EE2 170.9/A6_03.tif </t>
  </si>
  <si>
    <t xml:space="preserve"> 45163.22 </t>
  </si>
  <si>
    <t xml:space="preserve"> 75.8721 </t>
  </si>
  <si>
    <t xml:space="preserve">F:\images\20210311\plaque 1/@06 EE2 170.9/B6_01.tif </t>
  </si>
  <si>
    <t xml:space="preserve"> 45617.4478 </t>
  </si>
  <si>
    <t xml:space="preserve"> 71.4135 </t>
  </si>
  <si>
    <t>F:\images\20210311\plaque 1/@06 EE2 170.9/B6_02- exclu.tif</t>
  </si>
  <si>
    <t xml:space="preserve">F:\images\20210311\plaque 1/@06 EE2 170.9/B6_03.tif </t>
  </si>
  <si>
    <t xml:space="preserve"> 38306.5434 </t>
  </si>
  <si>
    <t xml:space="preserve"> 71.7719 </t>
  </si>
  <si>
    <t xml:space="preserve">F:\images\20210311\plaque 1/@06 EE2 170.9/C6_01.tif </t>
  </si>
  <si>
    <t xml:space="preserve"> 59201.0216 </t>
  </si>
  <si>
    <t xml:space="preserve"> 72.7881 </t>
  </si>
  <si>
    <t xml:space="preserve">F:\images\20210311\plaque 1/@06 EE2 170.9/C6_02.tif </t>
  </si>
  <si>
    <t xml:space="preserve"> 49121.4907 </t>
  </si>
  <si>
    <t xml:space="preserve"> 73.0238 </t>
  </si>
  <si>
    <t xml:space="preserve">F:\images\20210311\plaque 1/@06 EE2 170.9/C6_03.tif </t>
  </si>
  <si>
    <t xml:space="preserve"> 50181.3555 </t>
  </si>
  <si>
    <t xml:space="preserve"> 73.1 </t>
  </si>
  <si>
    <t xml:space="preserve">F:\images\20210311\plaque 1/@06 EE2 170.9/D6_01.tif </t>
  </si>
  <si>
    <t xml:space="preserve"> 42481.1131 </t>
  </si>
  <si>
    <t xml:space="preserve"> 70.362 </t>
  </si>
  <si>
    <t xml:space="preserve">F:\images\20210311\plaque 1/@06 EE2 170.9/D6_02.tif </t>
  </si>
  <si>
    <t xml:space="preserve"> 44341.284 </t>
  </si>
  <si>
    <t xml:space="preserve"> 71.9166 </t>
  </si>
  <si>
    <t xml:space="preserve">F:\images\20210311\plaque 1/@06 EE2 170.9/D6_03.tif </t>
  </si>
  <si>
    <t xml:space="preserve"> 38760.7712 </t>
  </si>
  <si>
    <t xml:space="preserve"> 69.9554 </t>
  </si>
  <si>
    <t xml:space="preserve">F:\images\20210311\plaque 1/@06 EE2 170.9/E6_01.tif </t>
  </si>
  <si>
    <t xml:space="preserve"> 55459.0498 </t>
  </si>
  <si>
    <t xml:space="preserve"> 77.4243 </t>
  </si>
  <si>
    <t xml:space="preserve">F:\images\20210311\plaque 1/@06 EE2 170.9/E6_02.tif </t>
  </si>
  <si>
    <t xml:space="preserve"> 60022.9576 </t>
  </si>
  <si>
    <t xml:space="preserve"> 78.1391 </t>
  </si>
  <si>
    <t xml:space="preserve">F:\images\20210311\plaque 1/@06 EE2 170.9/E6_03.tif </t>
  </si>
  <si>
    <t xml:space="preserve"> 53404.2098 </t>
  </si>
  <si>
    <t xml:space="preserve"> 76.503 </t>
  </si>
  <si>
    <t xml:space="preserve">F:\images\20210311\plaque 1/@06 EE2 170.9/F6_01.tif </t>
  </si>
  <si>
    <t xml:space="preserve"> 33028.8491 </t>
  </si>
  <si>
    <t xml:space="preserve"> 67.1264 </t>
  </si>
  <si>
    <t xml:space="preserve">F:\images\20210311\plaque 1/@06 EE2 170.9/F6_02.tif </t>
  </si>
  <si>
    <t xml:space="preserve"> 32812.5502 </t>
  </si>
  <si>
    <t xml:space="preserve"> 67.3019 </t>
  </si>
  <si>
    <t xml:space="preserve">F:\images\20210311\plaque 1/@06 EE2 170.9/F6_03.tif </t>
  </si>
  <si>
    <t xml:space="preserve"> 35408.1375 </t>
  </si>
  <si>
    <t xml:space="preserve"> 67.5192 </t>
  </si>
  <si>
    <t xml:space="preserve">F:\images\20210311\plaque 1/@06 EE2 170.9/G6_01.tif </t>
  </si>
  <si>
    <t xml:space="preserve"> 48039.996 </t>
  </si>
  <si>
    <t xml:space="preserve"> 73.4241 </t>
  </si>
  <si>
    <t xml:space="preserve">F:\images\20210311\plaque 1/@06 EE2 170.9/G6_02.tif </t>
  </si>
  <si>
    <t xml:space="preserve"> 47542.5084 </t>
  </si>
  <si>
    <t xml:space="preserve"> 71.7848 </t>
  </si>
  <si>
    <t xml:space="preserve">F:\images\20210311\plaque 1/@06 EE2 170.9/G6_03.tif </t>
  </si>
  <si>
    <t xml:space="preserve"> 69.9662 </t>
  </si>
  <si>
    <t xml:space="preserve">F:\images\20210311\plaque 1/@06 EE2 170.9/H6_01.tif </t>
  </si>
  <si>
    <t xml:space="preserve"> 41810.5863 </t>
  </si>
  <si>
    <t xml:space="preserve"> 75.7455 </t>
  </si>
  <si>
    <t xml:space="preserve">F:\images\20210311\plaque 1/@06 EE2 170.9/H6_02.tif </t>
  </si>
  <si>
    <t xml:space="preserve"> 42740.6718 </t>
  </si>
  <si>
    <t xml:space="preserve"> 77.0314 </t>
  </si>
  <si>
    <t xml:space="preserve">F:\images\20210311\plaque 1/@06 EE2 170.9/H6_03.tif </t>
  </si>
  <si>
    <t xml:space="preserve"> 44665.7324 </t>
  </si>
  <si>
    <t xml:space="preserve"> 74.3099 </t>
  </si>
  <si>
    <t xml:space="preserve">F:\images\20210311\plaque 1/@06 EE2 170.9/ </t>
  </si>
  <si>
    <t xml:space="preserve"> 73.0074 </t>
  </si>
  <si>
    <t xml:space="preserve"> 3.4018 </t>
  </si>
  <si>
    <t xml:space="preserve"> 3267456.08 </t>
  </si>
  <si>
    <t xml:space="preserve"> 637934.069 </t>
  </si>
  <si>
    <t xml:space="preserve">F:\images\20210311\plaque 1/@07 EE2 488/A7_01.tif </t>
  </si>
  <si>
    <t xml:space="preserve"> 67031.0435 </t>
  </si>
  <si>
    <t xml:space="preserve"> 94.374 </t>
  </si>
  <si>
    <t>F:\images\20210311\plaque 1/@07 EE2 488/A7_02- exclu.tif</t>
  </si>
  <si>
    <t xml:space="preserve">F:\images\20210311\plaque 1/@07 EE2 488/A7_03.tif </t>
  </si>
  <si>
    <t xml:space="preserve"> 60001.3277 </t>
  </si>
  <si>
    <t xml:space="preserve"> 99.2073 </t>
  </si>
  <si>
    <t xml:space="preserve">F:\images\20210311\plaque 1/@07 EE2 488/B7_01.tif </t>
  </si>
  <si>
    <t xml:space="preserve"> 63137.6624 </t>
  </si>
  <si>
    <t xml:space="preserve"> 95.9222 </t>
  </si>
  <si>
    <t xml:space="preserve">F:\images\20210311\plaque 1/@07 EE2 488/B7_02.tif </t>
  </si>
  <si>
    <t xml:space="preserve"> 66858.0043 </t>
  </si>
  <si>
    <t xml:space="preserve"> 94.3743 </t>
  </si>
  <si>
    <t xml:space="preserve">F:\images\20210311\plaque 1/@07 EE2 488/B7_03.tif </t>
  </si>
  <si>
    <t xml:space="preserve"> 62986.2532 </t>
  </si>
  <si>
    <t xml:space="preserve"> 94.3252 </t>
  </si>
  <si>
    <t xml:space="preserve">F:\images\20210311\plaque 1/@07 EE2 488/C7_01.tif </t>
  </si>
  <si>
    <t xml:space="preserve"> 72157.3285 </t>
  </si>
  <si>
    <t xml:space="preserve"> 97.5426 </t>
  </si>
  <si>
    <t>F:\images\20210311\plaque 1/@07 EE2 488/C7_02- exclu.tif</t>
  </si>
  <si>
    <t xml:space="preserve">F:\images\20210311\plaque 1/@07 EE2 488/C7_03.tif </t>
  </si>
  <si>
    <t xml:space="preserve"> 70556.7163 </t>
  </si>
  <si>
    <t xml:space="preserve"> 95.1101 </t>
  </si>
  <si>
    <t xml:space="preserve">F:\images\20210311\plaque 1/@07 EE2 488/D7_01.tif </t>
  </si>
  <si>
    <t xml:space="preserve"> 67333.862 </t>
  </si>
  <si>
    <t xml:space="preserve"> 91.4925 </t>
  </si>
  <si>
    <t xml:space="preserve">F:\images\20210311\plaque 1/@07 EE2 488/D7_02.tif </t>
  </si>
  <si>
    <t xml:space="preserve"> 60693.4843 </t>
  </si>
  <si>
    <t xml:space="preserve"> 92.7505 </t>
  </si>
  <si>
    <t xml:space="preserve">F:\images\20210311\plaque 1/@07 EE2 488/D7_03.tif </t>
  </si>
  <si>
    <t xml:space="preserve"> 60433.9256 </t>
  </si>
  <si>
    <t xml:space="preserve"> 92.3275 </t>
  </si>
  <si>
    <t xml:space="preserve">F:\images\20210311\plaque 1/@07 EE2 488/E7_01.tif </t>
  </si>
  <si>
    <t xml:space="preserve"> 57795.0784 </t>
  </si>
  <si>
    <t xml:space="preserve"> 79.1437 </t>
  </si>
  <si>
    <t xml:space="preserve">F:\images\20210311\plaque 1/@07 EE2 488/E7_02.tif </t>
  </si>
  <si>
    <t xml:space="preserve"> 51414.2595 </t>
  </si>
  <si>
    <t xml:space="preserve"> 82.0374 </t>
  </si>
  <si>
    <t xml:space="preserve">F:\images\20210311\plaque 1/@07 EE2 488/E7_03.tif </t>
  </si>
  <si>
    <t xml:space="preserve"> 78.5349 </t>
  </si>
  <si>
    <t xml:space="preserve">F:\images\20210311\plaque 1/@07 EE2 488/F7_01.tif </t>
  </si>
  <si>
    <t xml:space="preserve"> 70037.5988 </t>
  </si>
  <si>
    <t xml:space="preserve"> 91.8406 </t>
  </si>
  <si>
    <t xml:space="preserve">F:\images\20210311\plaque 1/@07 EE2 488/F7_02.tif </t>
  </si>
  <si>
    <t xml:space="preserve"> 62358.9862 </t>
  </si>
  <si>
    <t xml:space="preserve"> 91.8741 </t>
  </si>
  <si>
    <t xml:space="preserve">F:\images\20210311\plaque 1/@07 EE2 488/F7_03.tif </t>
  </si>
  <si>
    <t xml:space="preserve"> 88.4343 </t>
  </si>
  <si>
    <t xml:space="preserve">F:\images\20210311\plaque 1/@07 EE2 488/G7_01.tif </t>
  </si>
  <si>
    <t xml:space="preserve"> 60477.1854 </t>
  </si>
  <si>
    <t xml:space="preserve"> 90.8326 </t>
  </si>
  <si>
    <t xml:space="preserve">F:\images\20210311\plaque 1/@07 EE2 488/G7_02.tif </t>
  </si>
  <si>
    <t xml:space="preserve"> 53555.6191 </t>
  </si>
  <si>
    <t xml:space="preserve"> 94.6971 </t>
  </si>
  <si>
    <t xml:space="preserve">F:\images\20210311\plaque 1/@07 EE2 488/G7_03.tif </t>
  </si>
  <si>
    <t xml:space="preserve"> 49510.8288 </t>
  </si>
  <si>
    <t xml:space="preserve"> 99.7501 </t>
  </si>
  <si>
    <t xml:space="preserve">F:\images\20210311\plaque 1/@07 EE2 488/H7_01.tif </t>
  </si>
  <si>
    <t xml:space="preserve"> 54831.7829 </t>
  </si>
  <si>
    <t xml:space="preserve"> 88.1215 </t>
  </si>
  <si>
    <t xml:space="preserve">F:\images\20210311\plaque 1/@07 EE2 488/H7_02.tif </t>
  </si>
  <si>
    <t xml:space="preserve"> 86.2435 </t>
  </si>
  <si>
    <t>F:\images\20210311\plaque 1/@07 EE2 488/H7_03- exclu.tif</t>
  </si>
  <si>
    <t xml:space="preserve">F:\images\20210311\plaque 1/@07 EE2 488/ </t>
  </si>
  <si>
    <t xml:space="preserve"> 91.0958 </t>
  </si>
  <si>
    <t xml:space="preserve"> 6.339 </t>
  </si>
  <si>
    <t xml:space="preserve"> 5397023.71 </t>
  </si>
  <si>
    <t xml:space="preserve"> 951288.531 </t>
  </si>
  <si>
    <t xml:space="preserve">F:\images\20210311\plaque 1/@08 Amantadine 0.001 mg_L/A8_01.tif </t>
  </si>
  <si>
    <t xml:space="preserve"> 63.3636 </t>
  </si>
  <si>
    <t xml:space="preserve">F:\images\20210311\plaque 1/@08 Amantadine 0.001 mg_L/A8_02.tif </t>
  </si>
  <si>
    <t xml:space="preserve"> 62.5 </t>
  </si>
  <si>
    <t>F:\images\20210311\plaque 1/@08 Amantadine 0.001 mg_L/A8_03- exclu.tif</t>
  </si>
  <si>
    <t xml:space="preserve">F:\images\20210311\plaque 1/@08 Amantadine 0.001 mg_L/B8_01.tif </t>
  </si>
  <si>
    <t xml:space="preserve"> 63.1194 </t>
  </si>
  <si>
    <t xml:space="preserve">F:\images\20210311\plaque 1/@08 Amantadine 0.001 mg_L/B8_02.tif </t>
  </si>
  <si>
    <t xml:space="preserve"> 63.7347 </t>
  </si>
  <si>
    <t xml:space="preserve">F:\images\20210311\plaque 1/@08 Amantadine 0.001 mg_L/B8_03.tif </t>
  </si>
  <si>
    <t xml:space="preserve"> 65.2338 </t>
  </si>
  <si>
    <t xml:space="preserve">F:\images\20210311\plaque 1/@08 Amantadine 0.001 mg_L/C8_01.tif </t>
  </si>
  <si>
    <t xml:space="preserve"> 63.5714 </t>
  </si>
  <si>
    <t xml:space="preserve">F:\images\20210311\plaque 1/@08 Amantadine 0.001 mg_L/C8_02.tif </t>
  </si>
  <si>
    <t xml:space="preserve">F:\images\20210311\plaque 1/@08 Amantadine 0.001 mg_L/C8_03.tif </t>
  </si>
  <si>
    <t xml:space="preserve">F:\images\20210311\plaque 1/@08 Amantadine 0.001 mg_L/D8_01.tif </t>
  </si>
  <si>
    <t xml:space="preserve"> 63.8378 </t>
  </si>
  <si>
    <t xml:space="preserve">F:\images\20210311\plaque 1/@08 Amantadine 0.001 mg_L/D8_02.tif </t>
  </si>
  <si>
    <t xml:space="preserve"> 66.0385 </t>
  </si>
  <si>
    <t xml:space="preserve">F:\images\20210311\plaque 1/@08 Amantadine 0.001 mg_L/D8_03.tif </t>
  </si>
  <si>
    <t xml:space="preserve"> 1081.4947 </t>
  </si>
  <si>
    <t xml:space="preserve"> 66.96 </t>
  </si>
  <si>
    <t xml:space="preserve">F:\images\20210311\plaque 1/@08 Amantadine 0.001 mg_L/E8_01.tif </t>
  </si>
  <si>
    <t xml:space="preserve"> 64.569 </t>
  </si>
  <si>
    <t xml:space="preserve">F:\images\20210311\plaque 1/@08 Amantadine 0.001 mg_L/E8_02.tif </t>
  </si>
  <si>
    <t xml:space="preserve"> 605.637 </t>
  </si>
  <si>
    <t xml:space="preserve"> 64.8571 </t>
  </si>
  <si>
    <t xml:space="preserve">F:\images\20210311\plaque 1/@08 Amantadine 0.001 mg_L/E8_03.tif </t>
  </si>
  <si>
    <t xml:space="preserve">F:\images\20210311\plaque 1/@08 Amantadine 0.001 mg_L/F8_01.tif </t>
  </si>
  <si>
    <t xml:space="preserve"> 64.2857 </t>
  </si>
  <si>
    <t xml:space="preserve">F:\images\20210311\plaque 1/@08 Amantadine 0.001 mg_L/F8_02.tif </t>
  </si>
  <si>
    <t xml:space="preserve"> 60.5 </t>
  </si>
  <si>
    <t xml:space="preserve">F:\images\20210311\plaque 1/@08 Amantadine 0.001 mg_L/F8_03.tif </t>
  </si>
  <si>
    <t xml:space="preserve"> 64.3333 </t>
  </si>
  <si>
    <t xml:space="preserve">F:\images\20210311\plaque 1/@08 Amantadine 0.001 mg_L/G8_01.tif </t>
  </si>
  <si>
    <t xml:space="preserve"> 7721.8724 </t>
  </si>
  <si>
    <t xml:space="preserve"> 72.1933 </t>
  </si>
  <si>
    <t xml:space="preserve">F:\images\20210311\plaque 1/@08 Amantadine 0.001 mg_L/G8_02.tif </t>
  </si>
  <si>
    <t xml:space="preserve">F:\images\20210311\plaque 1/@08 Amantadine 0.001 mg_L/G8_03.tif </t>
  </si>
  <si>
    <t xml:space="preserve"> 69.7241 </t>
  </si>
  <si>
    <t xml:space="preserve">F:\images\20210311\plaque 1/@08 Amantadine 0.001 mg_L/H8_01.tif </t>
  </si>
  <si>
    <t xml:space="preserve"> 62.7647 </t>
  </si>
  <si>
    <t xml:space="preserve">F:\images\20210311\plaque 1/@08 Amantadine 0.001 mg_L/H8_02.tif </t>
  </si>
  <si>
    <t xml:space="preserve"> 62.82 </t>
  </si>
  <si>
    <t xml:space="preserve">F:\images\20210311\plaque 1/@08 Amantadine 0.001 mg_L/H8_03.tif </t>
  </si>
  <si>
    <t xml:space="preserve"> 63.0625 </t>
  </si>
  <si>
    <t xml:space="preserve">F:\images\20210311\plaque 1/@08 Amantadine 0.001 mg_L/ </t>
  </si>
  <si>
    <t xml:space="preserve"> 64.406 </t>
  </si>
  <si>
    <t xml:space="preserve"> 2.4322 </t>
  </si>
  <si>
    <t xml:space="preserve"> 72352.9167 </t>
  </si>
  <si>
    <t xml:space="preserve"> 116062.759 </t>
  </si>
  <si>
    <t xml:space="preserve">F:\images\20210311\plaque 1/@09 Amantadine 0.01 mg_L/A9_01.tif </t>
  </si>
  <si>
    <t xml:space="preserve"> 7181.125 </t>
  </si>
  <si>
    <t xml:space="preserve"> 71.4006 </t>
  </si>
  <si>
    <t>F:\images\20210311\plaque 1/@09 Amantadine 0.01 mg_L/A9_02- exclu.tif</t>
  </si>
  <si>
    <t>F:\images\20210311\plaque 1/@09 Amantadine 0.01 mg_L/A9_03- exclu.tif</t>
  </si>
  <si>
    <t xml:space="preserve">F:\images\20210311\plaque 1/@09 Amantadine 0.01 mg_L/B9_01.tif </t>
  </si>
  <si>
    <t xml:space="preserve"> 68.0428 </t>
  </si>
  <si>
    <t xml:space="preserve">F:\images\20210311\plaque 1/@09 Amantadine 0.01 mg_L/B9_02.tif </t>
  </si>
  <si>
    <t xml:space="preserve"> 64.0769 </t>
  </si>
  <si>
    <t xml:space="preserve">F:\images\20210311\plaque 1/@09 Amantadine 0.01 mg_L/B9_03.tif </t>
  </si>
  <si>
    <t xml:space="preserve"> 68.6418 </t>
  </si>
  <si>
    <t xml:space="preserve">F:\images\20210311\plaque 1/@09 Amantadine 0.01 mg_L/C9_01.tif </t>
  </si>
  <si>
    <t xml:space="preserve"> 63.4769 </t>
  </si>
  <si>
    <t xml:space="preserve">F:\images\20210311\plaque 1/@09 Amantadine 0.01 mg_L/C9_02.tif </t>
  </si>
  <si>
    <t xml:space="preserve"> 63.5417 </t>
  </si>
  <si>
    <t xml:space="preserve">F:\images\20210311\plaque 1/@09 Amantadine 0.01 mg_L/C9_03.tif </t>
  </si>
  <si>
    <t xml:space="preserve"> 4563.9078 </t>
  </si>
  <si>
    <t xml:space="preserve"> 68.2085 </t>
  </si>
  <si>
    <t xml:space="preserve">F:\images\20210311\plaque 1/@09 Amantadine 0.01 mg_L/D9_01.tif </t>
  </si>
  <si>
    <t xml:space="preserve"> 63.1818 </t>
  </si>
  <si>
    <t xml:space="preserve">F:\images\20210311\plaque 1/@09 Amantadine 0.01 mg_L/D9_02.tif </t>
  </si>
  <si>
    <t xml:space="preserve">F:\images\20210311\plaque 1/@09 Amantadine 0.01 mg_L/D9_03.tif </t>
  </si>
  <si>
    <t xml:space="preserve">F:\images\20210311\plaque 1/@09 Amantadine 0.01 mg_L/E9_01.tif </t>
  </si>
  <si>
    <t xml:space="preserve"> 2573.9575 </t>
  </si>
  <si>
    <t xml:space="preserve"> 64.5042 </t>
  </si>
  <si>
    <t xml:space="preserve">F:\images\20210311\plaque 1/@09 Amantadine 0.01 mg_L/E9_02.tif </t>
  </si>
  <si>
    <t xml:space="preserve"> 63.3714 </t>
  </si>
  <si>
    <t xml:space="preserve">F:\images\20210311\plaque 1/@09 Amantadine 0.01 mg_L/E9_03.tif </t>
  </si>
  <si>
    <t xml:space="preserve"> 68.4027 </t>
  </si>
  <si>
    <t xml:space="preserve">F:\images\20210311\plaque 1/@09 Amantadine 0.01 mg_L/F9_01.tif </t>
  </si>
  <si>
    <t xml:space="preserve"> 1557.3524 </t>
  </si>
  <si>
    <t xml:space="preserve">F:\images\20210311\plaque 1/@09 Amantadine 0.01 mg_L/F9_02.tif </t>
  </si>
  <si>
    <t xml:space="preserve"> 713.7865 </t>
  </si>
  <si>
    <t xml:space="preserve"> 62.3636 </t>
  </si>
  <si>
    <t xml:space="preserve">F:\images\20210311\plaque 1/@09 Amantadine 0.01 mg_L/F9_03.tif </t>
  </si>
  <si>
    <t xml:space="preserve"> 63.7391 </t>
  </si>
  <si>
    <t xml:space="preserve">F:\images\20210311\plaque 1/@09 Amantadine 0.01 mg_L/G9_01.tif </t>
  </si>
  <si>
    <t xml:space="preserve"> 6640.3777 </t>
  </si>
  <si>
    <t xml:space="preserve"> 67.1107 </t>
  </si>
  <si>
    <t>F:\images\20210311\plaque 1/@09 Amantadine 0.01 mg_L/G9_02- exclu.tif</t>
  </si>
  <si>
    <t xml:space="preserve">F:\images\20210311\plaque 1/@09 Amantadine 0.01 mg_L/G9_03.tif </t>
  </si>
  <si>
    <t xml:space="preserve"> 72.873 </t>
  </si>
  <si>
    <t xml:space="preserve">F:\images\20210311\plaque 1/@09 Amantadine 0.01 mg_L/H9_01.tif </t>
  </si>
  <si>
    <t xml:space="preserve"> 108.1495 </t>
  </si>
  <si>
    <t xml:space="preserve"> 61.4 </t>
  </si>
  <si>
    <t xml:space="preserve">F:\images\20210311\plaque 1/@09 Amantadine 0.01 mg_L/H9_02.tif </t>
  </si>
  <si>
    <t xml:space="preserve">F:\images\20210311\plaque 1/@09 Amantadine 0.01 mg_L/H9_03.tif </t>
  </si>
  <si>
    <t xml:space="preserve"> 62.1429 </t>
  </si>
  <si>
    <t xml:space="preserve">F:\images\20210311\plaque 1/@09 Amantadine 0.01 mg_L/ </t>
  </si>
  <si>
    <t xml:space="preserve"> 65.0591 </t>
  </si>
  <si>
    <t xml:space="preserve"> 3.0233 </t>
  </si>
  <si>
    <t xml:space="preserve"> 127932.708 </t>
  </si>
  <si>
    <t xml:space="preserve"> 153730.129 </t>
  </si>
  <si>
    <t xml:space="preserve">F:\images\20210311\plaque 1/@10 Amantadine 0.1 mg_L/A10_01.tif </t>
  </si>
  <si>
    <t xml:space="preserve"> 2206.2493 </t>
  </si>
  <si>
    <t xml:space="preserve"> 65.5784 </t>
  </si>
  <si>
    <t xml:space="preserve">F:\images\20210311\plaque 1/@10 Amantadine 0.1 mg_L/A10_02.tif </t>
  </si>
  <si>
    <t xml:space="preserve"> 63.8605 </t>
  </si>
  <si>
    <t xml:space="preserve">F:\images\20210311\plaque 1/@10 Amantadine 0.1 mg_L/A10_03.tif </t>
  </si>
  <si>
    <t xml:space="preserve"> 65.125 </t>
  </si>
  <si>
    <t xml:space="preserve">F:\images\20210311\plaque 1/@10 Amantadine 0.1 mg_L/B10_01.tif </t>
  </si>
  <si>
    <t xml:space="preserve"> 66.916 </t>
  </si>
  <si>
    <t xml:space="preserve">F:\images\20210311\plaque 1/@10 Amantadine 0.1 mg_L/B10_02.tif </t>
  </si>
  <si>
    <t xml:space="preserve"> 63.2045 </t>
  </si>
  <si>
    <t xml:space="preserve">F:\images\20210311\plaque 1/@10 Amantadine 0.1 mg_L/B10_03.tif </t>
  </si>
  <si>
    <t xml:space="preserve"> 65.5842 </t>
  </si>
  <si>
    <t xml:space="preserve">F:\images\20210311\plaque 1/@10 Amantadine 0.1 mg_L/C10_01.tif </t>
  </si>
  <si>
    <t xml:space="preserve"> 1925.0606 </t>
  </si>
  <si>
    <t xml:space="preserve"> 65.5506 </t>
  </si>
  <si>
    <t xml:space="preserve">F:\images\20210311\plaque 1/@10 Amantadine 0.1 mg_L/C10_02.tif </t>
  </si>
  <si>
    <t xml:space="preserve"> 63.0571 </t>
  </si>
  <si>
    <t xml:space="preserve">F:\images\20210311\plaque 1/@10 Amantadine 0.1 mg_L/C10_03.tif </t>
  </si>
  <si>
    <t xml:space="preserve"> 66.4856 </t>
  </si>
  <si>
    <t xml:space="preserve">F:\images\20210311\plaque 1/@10 Amantadine 0.1 mg_L/D10_01.tif </t>
  </si>
  <si>
    <t xml:space="preserve"> 64.989 </t>
  </si>
  <si>
    <t xml:space="preserve">F:\images\20210311\plaque 1/@10 Amantadine 0.1 mg_L/D10_02.tif </t>
  </si>
  <si>
    <t xml:space="preserve"> 64.1875 </t>
  </si>
  <si>
    <t xml:space="preserve">F:\images\20210311\plaque 1/@10 Amantadine 0.1 mg_L/D10_03.tif </t>
  </si>
  <si>
    <t xml:space="preserve"> 64.0333 </t>
  </si>
  <si>
    <t xml:space="preserve">F:\images\20210311\plaque 1/@10 Amantadine 0.1 mg_L/E10_01.tif </t>
  </si>
  <si>
    <t xml:space="preserve"> 62.7193 </t>
  </si>
  <si>
    <t xml:space="preserve">F:\images\20210311\plaque 1/@10 Amantadine 0.1 mg_L/E10_02.tif </t>
  </si>
  <si>
    <t xml:space="preserve"> 65.5537 </t>
  </si>
  <si>
    <t xml:space="preserve">F:\images\20210311\plaque 1/@10 Amantadine 0.1 mg_L/E10_03.tif </t>
  </si>
  <si>
    <t xml:space="preserve"> 63.2727 </t>
  </si>
  <si>
    <t xml:space="preserve">F:\images\20210311\plaque 1/@10 Amantadine 0.1 mg_L/F10_01.tif </t>
  </si>
  <si>
    <t xml:space="preserve"> 65.6159 </t>
  </si>
  <si>
    <t xml:space="preserve">F:\images\20210311\plaque 1/@10 Amantadine 0.1 mg_L/F10_02.tif </t>
  </si>
  <si>
    <t xml:space="preserve"> 2033.2101 </t>
  </si>
  <si>
    <t xml:space="preserve"> 65.2447 </t>
  </si>
  <si>
    <t xml:space="preserve">F:\images\20210311\plaque 1/@10 Amantadine 0.1 mg_L/F10_03.tif </t>
  </si>
  <si>
    <t xml:space="preserve"> 65.5785 </t>
  </si>
  <si>
    <t xml:space="preserve">F:\images\20210311\plaque 1/@10 Amantadine 0.1 mg_L/G10_01.tif </t>
  </si>
  <si>
    <t xml:space="preserve"> 64.9583 </t>
  </si>
  <si>
    <t xml:space="preserve">F:\images\20210311\plaque 1/@10 Amantadine 0.1 mg_L/G10_02.tif </t>
  </si>
  <si>
    <t xml:space="preserve">F:\images\20210311\plaque 1/@10 Amantadine 0.1 mg_L/G10_03.tif </t>
  </si>
  <si>
    <t xml:space="preserve"> 64.9692 </t>
  </si>
  <si>
    <t xml:space="preserve">F:\images\20210311\plaque 1/@10 Amantadine 0.1 mg_L/H10_01.tif </t>
  </si>
  <si>
    <t xml:space="preserve"> 69.8489 </t>
  </si>
  <si>
    <t xml:space="preserve">F:\images\20210311\plaque 1/@10 Amantadine 0.1 mg_L/H10_02.tif </t>
  </si>
  <si>
    <t xml:space="preserve"> 63.8824 </t>
  </si>
  <si>
    <t xml:space="preserve">F:\images\20210311\plaque 1/@10 Amantadine 0.1 mg_L/H10_03.tif </t>
  </si>
  <si>
    <t xml:space="preserve"> 3568.9326 </t>
  </si>
  <si>
    <t xml:space="preserve"> 66.3455 </t>
  </si>
  <si>
    <t xml:space="preserve">F:\images\20210311\plaque 1/@10 Amantadine 0.1 mg_L/ </t>
  </si>
  <si>
    <t xml:space="preserve"> 65.0144 </t>
  </si>
  <si>
    <t xml:space="preserve"> 1.5333 </t>
  </si>
  <si>
    <t xml:space="preserve"> 134695.542 </t>
  </si>
  <si>
    <t xml:space="preserve"> 85879.2077 </t>
  </si>
  <si>
    <t xml:space="preserve">F:\images\20210311\plaque 1/@11 Amantadine 1 mg_L/A11_01.tif </t>
  </si>
  <si>
    <t xml:space="preserve"> 4672.0572 </t>
  </si>
  <si>
    <t xml:space="preserve"> 67.5972 </t>
  </si>
  <si>
    <t xml:space="preserve">F:\images\20210311\plaque 1/@11 Amantadine 1 mg_L/A11_02.tif </t>
  </si>
  <si>
    <t xml:space="preserve"> 5364.2139 </t>
  </si>
  <si>
    <t xml:space="preserve"> 71.3226 </t>
  </si>
  <si>
    <t xml:space="preserve">F:\images\20210311\plaque 1/@11 Amantadine 1 mg_L/A11_03.tif </t>
  </si>
  <si>
    <t xml:space="preserve"> 64.8699 </t>
  </si>
  <si>
    <t xml:space="preserve">F:\images\20210311\plaque 1/@11 Amantadine 1 mg_L/B11_01.tif </t>
  </si>
  <si>
    <t xml:space="preserve"> 14297.3603 </t>
  </si>
  <si>
    <t xml:space="preserve"> 69.4085 </t>
  </si>
  <si>
    <t xml:space="preserve">F:\images\20210311\plaque 1/@11 Amantadine 1 mg_L/B11_02.tif </t>
  </si>
  <si>
    <t xml:space="preserve"> 7008.0859 </t>
  </si>
  <si>
    <t xml:space="preserve"> 69.8333 </t>
  </si>
  <si>
    <t xml:space="preserve">F:\images\20210311\plaque 1/@11 Amantadine 1 mg_L/B11_03.tif </t>
  </si>
  <si>
    <t xml:space="preserve"> 7289.2745 </t>
  </si>
  <si>
    <t xml:space="preserve"> 69.2315 </t>
  </si>
  <si>
    <t xml:space="preserve">F:\images\20210311\plaque 1/@11 Amantadine 1 mg_L/C11_01.tif </t>
  </si>
  <si>
    <t xml:space="preserve"> 1989.9503 </t>
  </si>
  <si>
    <t xml:space="preserve"> 65.4674 </t>
  </si>
  <si>
    <t xml:space="preserve">F:\images\20210311\plaque 1/@11 Amantadine 1 mg_L/C11_02.tif </t>
  </si>
  <si>
    <t xml:space="preserve"> 66.52 </t>
  </si>
  <si>
    <t xml:space="preserve">F:\images\20210311\plaque 1/@11 Amantadine 1 mg_L/C11_03.tif </t>
  </si>
  <si>
    <t xml:space="preserve">F:\images\20210311\plaque 1/@11 Amantadine 1 mg_L/D11_01.tif </t>
  </si>
  <si>
    <t xml:space="preserve"> 63.4474 </t>
  </si>
  <si>
    <t xml:space="preserve">F:\images\20210311\plaque 1/@11 Amantadine 1 mg_L/D11_02.tif </t>
  </si>
  <si>
    <t xml:space="preserve"> 63.1667 </t>
  </si>
  <si>
    <t xml:space="preserve">F:\images\20210311\plaque 1/@11 Amantadine 1 mg_L/D11_03.tif </t>
  </si>
  <si>
    <t xml:space="preserve"> 65.0426 </t>
  </si>
  <si>
    <t xml:space="preserve">F:\images\20210311\plaque 1/@11 Amantadine 1 mg_L/E11_01.tif </t>
  </si>
  <si>
    <t xml:space="preserve"> 65.1163 </t>
  </si>
  <si>
    <t xml:space="preserve">F:\images\20210311\plaque 1/@11 Amantadine 1 mg_L/E11_02.tif </t>
  </si>
  <si>
    <t xml:space="preserve"> 2725.3667 </t>
  </si>
  <si>
    <t xml:space="preserve"> 65.2381 </t>
  </si>
  <si>
    <t xml:space="preserve">F:\images\20210311\plaque 1/@11 Amantadine 1 mg_L/E11_03.tif </t>
  </si>
  <si>
    <t xml:space="preserve"> 1103.1246 </t>
  </si>
  <si>
    <t xml:space="preserve"> 62.6275 </t>
  </si>
  <si>
    <t>F:\images\20210311\plaque 1/@11 Amantadine 1 mg_L/F11_01- exclu.tif</t>
  </si>
  <si>
    <t xml:space="preserve">F:\images\20210311\plaque 1/@11 Amantadine 1 mg_L/F11_02.tif </t>
  </si>
  <si>
    <t xml:space="preserve"> 8976.4063 </t>
  </si>
  <si>
    <t xml:space="preserve"> 71.6217 </t>
  </si>
  <si>
    <t xml:space="preserve">F:\images\20210311\plaque 1/@11 Amantadine 1 mg_L/F11_03.tif </t>
  </si>
  <si>
    <t xml:space="preserve"> 70.9346 </t>
  </si>
  <si>
    <t xml:space="preserve">F:\images\20210311\plaque 1/@11 Amantadine 1 mg_L/G11_01.tif </t>
  </si>
  <si>
    <t xml:space="preserve"> 4909.9861 </t>
  </si>
  <si>
    <t xml:space="preserve"> 69.5154 </t>
  </si>
  <si>
    <t xml:space="preserve">F:\images\20210311\plaque 1/@11 Amantadine 1 mg_L/G11_02.tif </t>
  </si>
  <si>
    <t xml:space="preserve"> 64.5462 </t>
  </si>
  <si>
    <t xml:space="preserve">F:\images\20210311\plaque 1/@11 Amantadine 1 mg_L/G11_03.tif </t>
  </si>
  <si>
    <t xml:space="preserve"> 930.0855 </t>
  </si>
  <si>
    <t xml:space="preserve"> 64.8605 </t>
  </si>
  <si>
    <t xml:space="preserve">F:\images\20210311\plaque 1/@11 Amantadine 1 mg_L/H11_01.tif </t>
  </si>
  <si>
    <t xml:space="preserve">F:\images\20210311\plaque 1/@11 Amantadine 1 mg_L/H11_02.tif </t>
  </si>
  <si>
    <t xml:space="preserve"> 65.3529 </t>
  </si>
  <si>
    <t xml:space="preserve">F:\images\20210311\plaque 1/@11 Amantadine 1 mg_L/H11_03.tif </t>
  </si>
  <si>
    <t xml:space="preserve"> 62.2941 </t>
  </si>
  <si>
    <t xml:space="preserve">F:\images\20210311\plaque 1/@11 Amantadine 1 mg_L/ </t>
  </si>
  <si>
    <t xml:space="preserve"> 66.6983 </t>
  </si>
  <si>
    <t xml:space="preserve"> 3.5268 </t>
  </si>
  <si>
    <t xml:space="preserve"> 302054.333 </t>
  </si>
  <si>
    <t xml:space="preserve"> 412691.657 </t>
  </si>
  <si>
    <t xml:space="preserve">F:\images\20210311\plaque 1/@12 Amantadine 10 mg_L/A12_01.tif </t>
  </si>
  <si>
    <t xml:space="preserve"> 62.9615 </t>
  </si>
  <si>
    <t xml:space="preserve">F:\images\20210311\plaque 1/@12 Amantadine 10 mg_L/A12_02.tif </t>
  </si>
  <si>
    <t xml:space="preserve"> 69.1265 </t>
  </si>
  <si>
    <t xml:space="preserve">F:\images\20210311\plaque 1/@12 Amantadine 10 mg_L/A12_03.tif </t>
  </si>
  <si>
    <t xml:space="preserve"> 70.3025 </t>
  </si>
  <si>
    <t xml:space="preserve">F:\images\20210311\plaque 1/@12 Amantadine 10 mg_L/B12_01.tif </t>
  </si>
  <si>
    <t xml:space="preserve"> 64.9326 </t>
  </si>
  <si>
    <t xml:space="preserve">F:\images\20210311\plaque 1/@12 Amantadine 10 mg_L/B12_02.tif </t>
  </si>
  <si>
    <t xml:space="preserve"> 1038.2349 </t>
  </si>
  <si>
    <t xml:space="preserve"> 64.6667 </t>
  </si>
  <si>
    <t xml:space="preserve">F:\images\20210311\plaque 1/@12 Amantadine 10 mg_L/B12_03.tif </t>
  </si>
  <si>
    <t xml:space="preserve"> 67.8571 </t>
  </si>
  <si>
    <t xml:space="preserve">F:\images\20210311\plaque 1/@12 Amantadine 10 mg_L/C12_01.tif </t>
  </si>
  <si>
    <t xml:space="preserve"> 70.4859 </t>
  </si>
  <si>
    <t>F:\images\20210311\plaque 1/@12 Amantadine 10 mg_L/C12_02- exclu.tif</t>
  </si>
  <si>
    <t xml:space="preserve">F:\images\20210311\plaque 1/@12 Amantadine 10 mg_L/C12_03.tif </t>
  </si>
  <si>
    <t xml:space="preserve"> 67.5909 </t>
  </si>
  <si>
    <t xml:space="preserve">F:\images\20210311\plaque 1/@12 Amantadine 10 mg_L/D12_01.tif </t>
  </si>
  <si>
    <t xml:space="preserve">F:\images\20210311\plaque 1/@12 Amantadine 10 mg_L/D12_02.tif </t>
  </si>
  <si>
    <t xml:space="preserve"> 73.2175 </t>
  </si>
  <si>
    <t xml:space="preserve">F:\images\20210311\plaque 1/@12 Amantadine 10 mg_L/D12_03.tif </t>
  </si>
  <si>
    <t>F:\images\20210311\plaque 1/@12 Amantadine 10 mg_L/E12_01- exclu.tif</t>
  </si>
  <si>
    <t>F:\images\20210311\plaque 1/@12 Amantadine 10 mg_L/E12_02- exclu.tif</t>
  </si>
  <si>
    <t>F:\images\20210311\plaque 1/@12 Amantadine 10 mg_L/E12_03- exclu.tif</t>
  </si>
  <si>
    <t xml:space="preserve">F:\images\20210311\plaque 1/@12 Amantadine 10 mg_L/F12_01.tif </t>
  </si>
  <si>
    <t xml:space="preserve"> 63.5455 </t>
  </si>
  <si>
    <t>F:\images\20210311\plaque 1/@12 Amantadine 10 mg_L/F12_02- exclu.tif</t>
  </si>
  <si>
    <t xml:space="preserve">F:\images\20210311\plaque 1/@12 Amantadine 10 mg_L/F12_03.tif </t>
  </si>
  <si>
    <t xml:space="preserve"> 65.2727 </t>
  </si>
  <si>
    <t>F:\images\20210311\plaque 1/@12 Amantadine 10 mg_L/G12_01- exclu.tif</t>
  </si>
  <si>
    <t>F:\images\20210311\plaque 1/@12 Amantadine 10 mg_L/G12_02- exclu.tif</t>
  </si>
  <si>
    <t>F:\images\20210311\plaque 1/@12 Amantadine 10 mg_L/G12_03- exclu.tif</t>
  </si>
  <si>
    <t>F:\images\20210311\plaque 1/@12 Amantadine 10 mg_L/H12_01- exclu.tif</t>
  </si>
  <si>
    <t xml:space="preserve">F:\images\20210311\plaque 1/@12 Amantadine 10 mg_L/H12_02.tif </t>
  </si>
  <si>
    <t xml:space="preserve"> 62.75 </t>
  </si>
  <si>
    <t xml:space="preserve">F:\images\20210311\plaque 1/@12 Amantadine 10 mg_L/H12_03.tif </t>
  </si>
  <si>
    <t xml:space="preserve"> 61.8095 </t>
  </si>
  <si>
    <t xml:space="preserve">F:\images\20210311\plaque 1/@12 Amantadine 10 mg_L/ </t>
  </si>
  <si>
    <t xml:space="preserve"> 65.5472 </t>
  </si>
  <si>
    <t xml:space="preserve"> 2.87 </t>
  </si>
  <si>
    <t xml:space="preserve"> 100747.583 </t>
  </si>
  <si>
    <t xml:space="preserve"> 136150.195 </t>
  </si>
  <si>
    <t xml:space="preserve">F:\images\20210311\plaque 2/@01 Testo 30/A1_01.tif </t>
  </si>
  <si>
    <t xml:space="preserve"> 29957.4041 </t>
  </si>
  <si>
    <t xml:space="preserve"> 69.2014 </t>
  </si>
  <si>
    <t xml:space="preserve">F:\images\20210311\plaque 2/@01 Testo 30/A1_02.tif </t>
  </si>
  <si>
    <t xml:space="preserve"> 29135.4681 </t>
  </si>
  <si>
    <t xml:space="preserve"> 67.8077 </t>
  </si>
  <si>
    <t xml:space="preserve">F:\images\20210311\plaque 2/@01 Testo 30/A1_03.tif </t>
  </si>
  <si>
    <t xml:space="preserve"> 26691.29 </t>
  </si>
  <si>
    <t xml:space="preserve"> 67.0357 </t>
  </si>
  <si>
    <t xml:space="preserve">F:\images\20210311\plaque 2/@01 Testo 30/B1_01.tif </t>
  </si>
  <si>
    <t xml:space="preserve"> 20980.9978 </t>
  </si>
  <si>
    <t xml:space="preserve"> 66.7381 </t>
  </si>
  <si>
    <t xml:space="preserve">F:\images\20210311\plaque 2/@01 Testo 30/B1_02.tif </t>
  </si>
  <si>
    <t xml:space="preserve"> 22213.9018 </t>
  </si>
  <si>
    <t xml:space="preserve"> 66.0078 </t>
  </si>
  <si>
    <t xml:space="preserve">F:\images\20210311\plaque 2/@01 Testo 30/B1_03.tif </t>
  </si>
  <si>
    <t xml:space="preserve"> 21521.7452 </t>
  </si>
  <si>
    <t xml:space="preserve"> 66.8513 </t>
  </si>
  <si>
    <t xml:space="preserve">F:\images\20210311\plaque 2/@01 Testo 30/C1_01.tif </t>
  </si>
  <si>
    <t xml:space="preserve"> 11052.8762 </t>
  </si>
  <si>
    <t xml:space="preserve"> 68.9804 </t>
  </si>
  <si>
    <t xml:space="preserve">F:\images\20210311\plaque 2/@01 Testo 30/C1_02.tif </t>
  </si>
  <si>
    <t xml:space="preserve"> 66.2524 </t>
  </si>
  <si>
    <t xml:space="preserve">F:\images\20210311\plaque 2/@01 Testo 30/C1_03.tif </t>
  </si>
  <si>
    <t xml:space="preserve"> 68.6667 </t>
  </si>
  <si>
    <t xml:space="preserve">F:\images\20210311\plaque 2/@01 Testo 30/D1_01.tif </t>
  </si>
  <si>
    <t xml:space="preserve"> 28897.5392 </t>
  </si>
  <si>
    <t xml:space="preserve"> 69.4394 </t>
  </si>
  <si>
    <t xml:space="preserve">F:\images\20210311\plaque 2/@01 Testo 30/D1_02.tif </t>
  </si>
  <si>
    <t xml:space="preserve"> 22451.8306 </t>
  </si>
  <si>
    <t xml:space="preserve"> 68.7909 </t>
  </si>
  <si>
    <t xml:space="preserve">F:\images\20210311\plaque 2/@01 Testo 30/D1_03.tif </t>
  </si>
  <si>
    <t xml:space="preserve"> 25220.4571 </t>
  </si>
  <si>
    <t xml:space="preserve"> 68.958 </t>
  </si>
  <si>
    <t xml:space="preserve">F:\images\20210311\plaque 2/@01 Testo 30/E1_01.tif </t>
  </si>
  <si>
    <t xml:space="preserve"> 6229.4097 </t>
  </si>
  <si>
    <t xml:space="preserve"> 66.8611 </t>
  </si>
  <si>
    <t xml:space="preserve">F:\images\20210311\plaque 2/@01 Testo 30/E1_02.tif </t>
  </si>
  <si>
    <t xml:space="preserve"> 9149.4454 </t>
  </si>
  <si>
    <t xml:space="preserve"> 68.3215 </t>
  </si>
  <si>
    <t xml:space="preserve">F:\images\20210311\plaque 2/@01 Testo 30/E1_03.tif </t>
  </si>
  <si>
    <t xml:space="preserve"> 8240.9899 </t>
  </si>
  <si>
    <t xml:space="preserve"> 66.4252 </t>
  </si>
  <si>
    <t xml:space="preserve">F:\images\20210311\plaque 2/@01 Testo 30/F1_01.tif </t>
  </si>
  <si>
    <t xml:space="preserve"> 72.5729 </t>
  </si>
  <si>
    <t xml:space="preserve">F:\images\20210311\plaque 2/@01 Testo 30/F1_02.tif </t>
  </si>
  <si>
    <t xml:space="preserve"> 68.796 </t>
  </si>
  <si>
    <t xml:space="preserve">F:\images\20210311\plaque 2/@01 Testo 30/F1_03.tif </t>
  </si>
  <si>
    <t xml:space="preserve"> 19185.7165 </t>
  </si>
  <si>
    <t xml:space="preserve"> 69.8681 </t>
  </si>
  <si>
    <t xml:space="preserve">F:\images\20210311\plaque 2/@01 Testo 30/G1_01.tif </t>
  </si>
  <si>
    <t xml:space="preserve"> 36316.5931 </t>
  </si>
  <si>
    <t xml:space="preserve"> 69.0917 </t>
  </si>
  <si>
    <t xml:space="preserve">F:\images\20210311\plaque 2/@01 Testo 30/G1_02.tif </t>
  </si>
  <si>
    <t xml:space="preserve"> 25523.2757 </t>
  </si>
  <si>
    <t xml:space="preserve"> 67.7415 </t>
  </si>
  <si>
    <t xml:space="preserve">F:\images\20210311\plaque 2/@01 Testo 30/G1_03.tif </t>
  </si>
  <si>
    <t xml:space="preserve"> 36987.1198 </t>
  </si>
  <si>
    <t xml:space="preserve"> 69.3012 </t>
  </si>
  <si>
    <t xml:space="preserve">F:\images\20210311\plaque 2/@01 Testo 30/H1_01.tif </t>
  </si>
  <si>
    <t xml:space="preserve"> 23187.247 </t>
  </si>
  <si>
    <t xml:space="preserve"> 66.4599 </t>
  </si>
  <si>
    <t xml:space="preserve">F:\images\20210311\plaque 2/@01 Testo 30/H1_02.tif </t>
  </si>
  <si>
    <t xml:space="preserve"> 25328.6066 </t>
  </si>
  <si>
    <t xml:space="preserve"> 67.3629 </t>
  </si>
  <si>
    <t xml:space="preserve">F:\images\20210311\plaque 2/@01 Testo 30/H1_03.tif </t>
  </si>
  <si>
    <t xml:space="preserve"> 19358.7557 </t>
  </si>
  <si>
    <t xml:space="preserve"> 65.762 </t>
  </si>
  <si>
    <t xml:space="preserve">F:\images\20210311\plaque 2/@01 Testo 30/ </t>
  </si>
  <si>
    <t xml:space="preserve"> 68.0539 </t>
  </si>
  <si>
    <t xml:space="preserve"> 1.5736 </t>
  </si>
  <si>
    <t xml:space="preserve"> 1438733.25 </t>
  </si>
  <si>
    <t xml:space="preserve"> 657397.435 </t>
  </si>
  <si>
    <t xml:space="preserve">F:\images\20210311\plaque 2/@02 Testo 30/A2_01.tif </t>
  </si>
  <si>
    <t xml:space="preserve"> 38241.6537 </t>
  </si>
  <si>
    <t xml:space="preserve"> 74.3654 </t>
  </si>
  <si>
    <t xml:space="preserve">F:\images\20210311\plaque 2/@02 Testo 30/A2_02.tif </t>
  </si>
  <si>
    <t xml:space="preserve"> 37095.2693 </t>
  </si>
  <si>
    <t xml:space="preserve"> 71.7802 </t>
  </si>
  <si>
    <t xml:space="preserve">F:\images\20210311\plaque 2/@02 Testo 30/A2_03.tif </t>
  </si>
  <si>
    <t xml:space="preserve"> 38933.8103 </t>
  </si>
  <si>
    <t xml:space="preserve"> 72.2272 </t>
  </si>
  <si>
    <t xml:space="preserve">F:\images\20210311\plaque 2/@02 Testo 30/B2_01.tif </t>
  </si>
  <si>
    <t xml:space="preserve"> 25458.386 </t>
  </si>
  <si>
    <t xml:space="preserve"> 67.0068 </t>
  </si>
  <si>
    <t xml:space="preserve">F:\images\20210311\plaque 2/@02 Testo 30/B2_02.tif </t>
  </si>
  <si>
    <t xml:space="preserve"> 25177.1973 </t>
  </si>
  <si>
    <t xml:space="preserve"> 66.6778 </t>
  </si>
  <si>
    <t xml:space="preserve">F:\images\20210311\plaque 2/@02 Testo 30/B2_03.tif </t>
  </si>
  <si>
    <t xml:space="preserve"> 22430.2007 </t>
  </si>
  <si>
    <t xml:space="preserve"> 68.0096 </t>
  </si>
  <si>
    <t xml:space="preserve">F:\images\20210311\plaque 2/@02 Testo 30/C2_01.tif </t>
  </si>
  <si>
    <t xml:space="preserve"> 26150.5426 </t>
  </si>
  <si>
    <t xml:space="preserve"> 69.3797 </t>
  </si>
  <si>
    <t xml:space="preserve">F:\images\20210311\plaque 2/@02 Testo 30/C2_02.tif </t>
  </si>
  <si>
    <t xml:space="preserve"> 71.3647 </t>
  </si>
  <si>
    <t xml:space="preserve">F:\images\20210311\plaque 2/@02 Testo 30/C2_03.tif </t>
  </si>
  <si>
    <t xml:space="preserve"> 25350.2365 </t>
  </si>
  <si>
    <t xml:space="preserve"> 67.7594 </t>
  </si>
  <si>
    <t xml:space="preserve">F:\images\20210311\plaque 2/@02 Testo 30/D2_01.tif </t>
  </si>
  <si>
    <t xml:space="preserve"> 34694.351 </t>
  </si>
  <si>
    <t xml:space="preserve"> 70.8541 </t>
  </si>
  <si>
    <t xml:space="preserve">F:\images\20210311\plaque 2/@02 Testo 30/D2_02.tif </t>
  </si>
  <si>
    <t xml:space="preserve"> 67.9808 </t>
  </si>
  <si>
    <t xml:space="preserve">F:\images\20210311\plaque 2/@02 Testo 30/D2_03.tif </t>
  </si>
  <si>
    <t xml:space="preserve"> 26972.4786 </t>
  </si>
  <si>
    <t xml:space="preserve"> 68.0465 </t>
  </si>
  <si>
    <t xml:space="preserve">F:\images\20210311\plaque 2/@02 Testo 30/E2_01.tif </t>
  </si>
  <si>
    <t xml:space="preserve"> 22797.9089 </t>
  </si>
  <si>
    <t xml:space="preserve"> 70.722 </t>
  </si>
  <si>
    <t>F:\images\20210311\plaque 2/@02 Testo 30/E2_02- exclu.tif</t>
  </si>
  <si>
    <t xml:space="preserve">F:\images\20210311\plaque 2/@02 Testo 30/E2_03.tif </t>
  </si>
  <si>
    <t xml:space="preserve"> 18212.3713 </t>
  </si>
  <si>
    <t xml:space="preserve"> 70.7268 </t>
  </si>
  <si>
    <t xml:space="preserve">F:\images\20210311\plaque 2/@02 Testo 30/F2_01.tif </t>
  </si>
  <si>
    <t xml:space="preserve"> 65.6954 </t>
  </si>
  <si>
    <t xml:space="preserve">F:\images\20210311\plaque 2/@02 Testo 30/F2_02.tif </t>
  </si>
  <si>
    <t xml:space="preserve"> 67.8097 </t>
  </si>
  <si>
    <t xml:space="preserve">F:\images\20210311\plaque 2/@02 Testo 30/F2_03.tif </t>
  </si>
  <si>
    <t xml:space="preserve"> 4650.4273 </t>
  </si>
  <si>
    <t xml:space="preserve"> 66.907 </t>
  </si>
  <si>
    <t xml:space="preserve">F:\images\20210311\plaque 2/@02 Testo 30/G2_01.tif </t>
  </si>
  <si>
    <t xml:space="preserve"> 54139.6263 </t>
  </si>
  <si>
    <t xml:space="preserve"> 74.4718 </t>
  </si>
  <si>
    <t xml:space="preserve">F:\images\20210311\plaque 2/@02 Testo 30/G2_02.tif </t>
  </si>
  <si>
    <t xml:space="preserve"> 58206.0464 </t>
  </si>
  <si>
    <t xml:space="preserve"> 74.1289 </t>
  </si>
  <si>
    <t xml:space="preserve">F:\images\20210311\plaque 2/@02 Testo 30/G2_03.tif </t>
  </si>
  <si>
    <t xml:space="preserve"> 56562.1745 </t>
  </si>
  <si>
    <t xml:space="preserve"> 74.5373 </t>
  </si>
  <si>
    <t xml:space="preserve">F:\images\20210311\plaque 2/@02 Testo 30/H2_01.tif </t>
  </si>
  <si>
    <t xml:space="preserve"> 65.4777 </t>
  </si>
  <si>
    <t xml:space="preserve">F:\images\20210311\plaque 2/@02 Testo 30/H2_02.tif </t>
  </si>
  <si>
    <t xml:space="preserve"> 12112.741 </t>
  </si>
  <si>
    <t xml:space="preserve"> 65.4143 </t>
  </si>
  <si>
    <t xml:space="preserve">F:\images\20210311\plaque 2/@02 Testo 30/H2_03.tif </t>
  </si>
  <si>
    <t xml:space="preserve"> 12372.2997 </t>
  </si>
  <si>
    <t xml:space="preserve">F:\images\20210311\plaque 2/@02 Testo 30/ </t>
  </si>
  <si>
    <t xml:space="preserve"> 69.4308 </t>
  </si>
  <si>
    <t xml:space="preserve"> 3.0109 </t>
  </si>
  <si>
    <t xml:space="preserve"> 1809705.67 </t>
  </si>
  <si>
    <t xml:space="preserve"> 1180053.1 </t>
  </si>
  <si>
    <t xml:space="preserve">F:\images\20210311\plaque 2/@03 Testo+ EE2 64/A3_01.tif </t>
  </si>
  <si>
    <t xml:space="preserve"> 39820.636 </t>
  </si>
  <si>
    <t xml:space="preserve"> 72.5432 </t>
  </si>
  <si>
    <t xml:space="preserve">F:\images\20210311\plaque 2/@03 Testo+ EE2 64/A3_02.tif </t>
  </si>
  <si>
    <t xml:space="preserve"> 35018.7994 </t>
  </si>
  <si>
    <t xml:space="preserve"> 72.1248 </t>
  </si>
  <si>
    <t xml:space="preserve">F:\images\20210311\plaque 2/@03 Testo+ EE2 64/A3_03.tif </t>
  </si>
  <si>
    <t xml:space="preserve"> 40166.7143 </t>
  </si>
  <si>
    <t xml:space="preserve"> 74.6548 </t>
  </si>
  <si>
    <t xml:space="preserve">F:\images\20210311\plaque 2/@03 Testo+ EE2 64/B3_01.tif </t>
  </si>
  <si>
    <t xml:space="preserve"> 45055.0705 </t>
  </si>
  <si>
    <t xml:space="preserve"> 75.5602 </t>
  </si>
  <si>
    <t>F:\images\20210311\plaque 2/@03 Testo+ EE2 64/B3_02- exclu.tif</t>
  </si>
  <si>
    <t xml:space="preserve">F:\images\20210311\plaque 2/@03 Testo+ EE2 64/B3_03.tif </t>
  </si>
  <si>
    <t xml:space="preserve"> 40967.0204 </t>
  </si>
  <si>
    <t xml:space="preserve"> 75.7022 </t>
  </si>
  <si>
    <t xml:space="preserve">F:\images\20210311\plaque 2/@03 Testo+ EE2 64/C3_01.tif </t>
  </si>
  <si>
    <t xml:space="preserve"> 52755.313 </t>
  </si>
  <si>
    <t xml:space="preserve"> 81.1648 </t>
  </si>
  <si>
    <t xml:space="preserve">F:\images\20210311\plaque 2/@03 Testo+ EE2 64/C3_02.tif </t>
  </si>
  <si>
    <t xml:space="preserve"> 57189.4414 </t>
  </si>
  <si>
    <t xml:space="preserve"> 77.4807 </t>
  </si>
  <si>
    <t xml:space="preserve">F:\images\20210311\plaque 2/@03 Testo+ EE2 64/C3_03.tif </t>
  </si>
  <si>
    <t xml:space="preserve"> 63613.5201 </t>
  </si>
  <si>
    <t xml:space="preserve"> 77.8188 </t>
  </si>
  <si>
    <t xml:space="preserve">F:\images\20210311\plaque 2/@03 Testo+ EE2 64/D3_01.tif </t>
  </si>
  <si>
    <t xml:space="preserve"> 76.5268 </t>
  </si>
  <si>
    <t xml:space="preserve">F:\images\20210311\plaque 2/@03 Testo+ EE2 64/D3_02.tif </t>
  </si>
  <si>
    <t xml:space="preserve"> 42610.8924 </t>
  </si>
  <si>
    <t xml:space="preserve"> 78.6858 </t>
  </si>
  <si>
    <t xml:space="preserve">F:\images\20210311\plaque 2/@03 Testo+ EE2 64/D3_03.tif </t>
  </si>
  <si>
    <t xml:space="preserve"> 48386.0743 </t>
  </si>
  <si>
    <t xml:space="preserve"> 77.2499 </t>
  </si>
  <si>
    <t>F:\images\20210311\plaque 2/@03 Testo+ EE2 64/E3_01- exclu.tif</t>
  </si>
  <si>
    <t>F:\images\20210311\plaque 2/@03 Testo+ EE2 64/E3_02- exclu.tif</t>
  </si>
  <si>
    <t>F:\images\20210311\plaque 2/@03 Testo+ EE2 64/E3_03- exclu.tif</t>
  </si>
  <si>
    <t xml:space="preserve">F:\images\20210311\plaque 2/@03 Testo+ EE2 64/F3_01.tif </t>
  </si>
  <si>
    <t xml:space="preserve"> 40080.1947 </t>
  </si>
  <si>
    <t xml:space="preserve"> 70.3643 </t>
  </si>
  <si>
    <t xml:space="preserve">F:\images\20210311\plaque 2/@03 Testo+ EE2 64/F3_02.tif </t>
  </si>
  <si>
    <t xml:space="preserve"> 42762.3017 </t>
  </si>
  <si>
    <t xml:space="preserve"> 70.8715 </t>
  </si>
  <si>
    <t xml:space="preserve">F:\images\20210311\plaque 2/@03 Testo+ EE2 64/F3_03.tif </t>
  </si>
  <si>
    <t xml:space="preserve"> 39020.3299 </t>
  </si>
  <si>
    <t xml:space="preserve"> 69.2938 </t>
  </si>
  <si>
    <t xml:space="preserve">F:\images\20210311\plaque 2/@03 Testo+ EE2 64/G3_01.tif </t>
  </si>
  <si>
    <t xml:space="preserve"> 51522.409 </t>
  </si>
  <si>
    <t xml:space="preserve"> 72.6134 </t>
  </si>
  <si>
    <t xml:space="preserve">F:\images\20210311\plaque 2/@03 Testo+ EE2 64/G3_02.tif </t>
  </si>
  <si>
    <t xml:space="preserve"> 46915.2415 </t>
  </si>
  <si>
    <t xml:space="preserve"> 73.7303 </t>
  </si>
  <si>
    <t xml:space="preserve">F:\images\20210311\plaque 2/@03 Testo+ EE2 64/G3_03.tif </t>
  </si>
  <si>
    <t xml:space="preserve"> 43584.2377 </t>
  </si>
  <si>
    <t xml:space="preserve"> 71.1578 </t>
  </si>
  <si>
    <t xml:space="preserve">F:\images\20210311\plaque 2/@03 Testo+ EE2 64/H3_01.tif </t>
  </si>
  <si>
    <t xml:space="preserve"> 60390.6658 </t>
  </si>
  <si>
    <t xml:space="preserve"> 73.6941 </t>
  </si>
  <si>
    <t xml:space="preserve">F:\images\20210311\plaque 2/@03 Testo+ EE2 64/H3_02.tif </t>
  </si>
  <si>
    <t xml:space="preserve"> 58011.3774 </t>
  </si>
  <si>
    <t xml:space="preserve"> 72.3013 </t>
  </si>
  <si>
    <t xml:space="preserve">F:\images\20210311\plaque 2/@03 Testo+ EE2 64/H3_03.tif </t>
  </si>
  <si>
    <t xml:space="preserve"> 56475.6549 </t>
  </si>
  <si>
    <t xml:space="preserve"> 73.7985 </t>
  </si>
  <si>
    <t xml:space="preserve">F:\images\20210311\plaque 2/@03 Testo+ EE2 64/ </t>
  </si>
  <si>
    <t xml:space="preserve"> 73.1168 </t>
  </si>
  <si>
    <t xml:space="preserve"> 4.4031 </t>
  </si>
  <si>
    <t xml:space="preserve"> 3073015.96 </t>
  </si>
  <si>
    <t xml:space="preserve"> 1296543.33 </t>
  </si>
  <si>
    <t xml:space="preserve">F:\images\20210311\plaque 2/@04 Testo+ FAD/A4_01.tif </t>
  </si>
  <si>
    <t xml:space="preserve"> 4174.5697 </t>
  </si>
  <si>
    <t xml:space="preserve"> 69.4093 </t>
  </si>
  <si>
    <t xml:space="preserve">F:\images\20210311\plaque 2/@04 Testo+ FAD/A4_02.tif </t>
  </si>
  <si>
    <t xml:space="preserve"> 63.3095 </t>
  </si>
  <si>
    <t xml:space="preserve">F:\images\20210311\plaque 2/@04 Testo+ FAD/A4_03.tif </t>
  </si>
  <si>
    <t xml:space="preserve"> 3309.3739 </t>
  </si>
  <si>
    <t xml:space="preserve"> 68.4837 </t>
  </si>
  <si>
    <t xml:space="preserve">F:\images\20210311\plaque 2/@04 Testo+ FAD/B4_01.tif </t>
  </si>
  <si>
    <t xml:space="preserve"> 62.8636 </t>
  </si>
  <si>
    <t>F:\images\20210311\plaque 2/@04 Testo+ FAD/B4_02- exclu.tif</t>
  </si>
  <si>
    <t xml:space="preserve">F:\images\20210311\plaque 2/@04 Testo+ FAD/B4_03.tif </t>
  </si>
  <si>
    <t xml:space="preserve"> 62.8889 </t>
  </si>
  <si>
    <t xml:space="preserve">F:\images\20210311\plaque 2/@04 Testo+ FAD/C4_01.tif </t>
  </si>
  <si>
    <t xml:space="preserve"> 67.3482 </t>
  </si>
  <si>
    <t>F:\images\20210311\plaque 2/@04 Testo+ FAD/C4_02- exclu.tif</t>
  </si>
  <si>
    <t xml:space="preserve">F:\images\20210311\plaque 2/@04 Testo+ FAD/C4_03.tif </t>
  </si>
  <si>
    <t xml:space="preserve"> 70.6583 </t>
  </si>
  <si>
    <t xml:space="preserve">F:\images\20210311\plaque 2/@04 Testo+ FAD/D4_01.tif </t>
  </si>
  <si>
    <t xml:space="preserve"> 75.9845 </t>
  </si>
  <si>
    <t xml:space="preserve">F:\images\20210311\plaque 2/@04 Testo+ FAD/D4_02.tif </t>
  </si>
  <si>
    <t xml:space="preserve">F:\images\20210311\plaque 2/@04 Testo+ FAD/D4_03.tif </t>
  </si>
  <si>
    <t xml:space="preserve"> 63.8571 </t>
  </si>
  <si>
    <t xml:space="preserve">F:\images\20210311\plaque 2/@04 Testo+ FAD/E4_01.tif </t>
  </si>
  <si>
    <t xml:space="preserve"> 63.825 </t>
  </si>
  <si>
    <t xml:space="preserve">F:\images\20210311\plaque 2/@04 Testo+ FAD/E4_02.tif </t>
  </si>
  <si>
    <t xml:space="preserve"> 65.0435 </t>
  </si>
  <si>
    <t xml:space="preserve">F:\images\20210311\plaque 2/@04 Testo+ FAD/E4_03.tif </t>
  </si>
  <si>
    <t xml:space="preserve"> 66.7799 </t>
  </si>
  <si>
    <t xml:space="preserve">F:\images\20210311\plaque 2/@04 Testo+ FAD/F4_01.tif </t>
  </si>
  <si>
    <t xml:space="preserve"> 1687.1318 </t>
  </si>
  <si>
    <t xml:space="preserve"> 65.0513 </t>
  </si>
  <si>
    <t xml:space="preserve">F:\images\20210311\plaque 2/@04 Testo+ FAD/F4_02.tif </t>
  </si>
  <si>
    <t xml:space="preserve"> 68.1307 </t>
  </si>
  <si>
    <t xml:space="preserve">F:\images\20210311\plaque 2/@04 Testo+ FAD/F4_03.tif </t>
  </si>
  <si>
    <t xml:space="preserve"> 69.4188 </t>
  </si>
  <si>
    <t xml:space="preserve">F:\images\20210311\plaque 2/@04 Testo+ FAD/G4_01.tif </t>
  </si>
  <si>
    <t xml:space="preserve"> 64.22 </t>
  </si>
  <si>
    <t xml:space="preserve">F:\images\20210311\plaque 2/@04 Testo+ FAD/G4_02.tif </t>
  </si>
  <si>
    <t xml:space="preserve"> 66.0411 </t>
  </si>
  <si>
    <t xml:space="preserve">F:\images\20210311\plaque 2/@04 Testo+ FAD/G4_03.tif </t>
  </si>
  <si>
    <t xml:space="preserve"> 66.0845 </t>
  </si>
  <si>
    <t xml:space="preserve">F:\images\20210311\plaque 2/@04 Testo+ FAD/H4_01.tif </t>
  </si>
  <si>
    <t xml:space="preserve"> 6121.2602 </t>
  </si>
  <si>
    <t xml:space="preserve"> 75.9788 </t>
  </si>
  <si>
    <t xml:space="preserve">F:\images\20210311\plaque 2/@04 Testo+ FAD/H4_02.tif </t>
  </si>
  <si>
    <t xml:space="preserve"> 5667.0324 </t>
  </si>
  <si>
    <t xml:space="preserve"> 67.4275 </t>
  </si>
  <si>
    <t xml:space="preserve">F:\images\20210311\plaque 2/@04 Testo+ FAD/H4_03.tif </t>
  </si>
  <si>
    <t xml:space="preserve"> 64.42 </t>
  </si>
  <si>
    <t xml:space="preserve">F:\images\20210311\plaque 2/@04 Testo+ FAD/ </t>
  </si>
  <si>
    <t xml:space="preserve"> 66.8121 </t>
  </si>
  <si>
    <t xml:space="preserve"> 3.6685 </t>
  </si>
  <si>
    <t xml:space="preserve"> 180112.083 </t>
  </si>
  <si>
    <t xml:space="preserve"> 155724.668 </t>
  </si>
  <si>
    <t xml:space="preserve">F:\images\20210311\plaque 2/@05 Amantadine 0.001 mg_L dopé/A5_01.tif </t>
  </si>
  <si>
    <t xml:space="preserve"> 26561.5106 </t>
  </si>
  <si>
    <t xml:space="preserve"> 69.2704 </t>
  </si>
  <si>
    <t xml:space="preserve">F:\images\20210311\plaque 2/@05 Amantadine 0.001 mg_L dopé/A5_02.tif </t>
  </si>
  <si>
    <t xml:space="preserve"> 24506.6706 </t>
  </si>
  <si>
    <t xml:space="preserve"> 69.6372 </t>
  </si>
  <si>
    <t xml:space="preserve">F:\images\20210311\plaque 2/@05 Amantadine 0.001 mg_L dopé/A5_03.tif </t>
  </si>
  <si>
    <t xml:space="preserve"> 25393.4963 </t>
  </si>
  <si>
    <t xml:space="preserve"> 71.7002 </t>
  </si>
  <si>
    <t xml:space="preserve">F:\images\20210311\plaque 2/@05 Amantadine 0.001 mg_L dopé/B5_01.tif </t>
  </si>
  <si>
    <t xml:space="preserve"> 72.82 </t>
  </si>
  <si>
    <t xml:space="preserve">F:\images\20210311\plaque 2/@05 Amantadine 0.001 mg_L dopé/B5_02.tif </t>
  </si>
  <si>
    <t xml:space="preserve"> 36468.0023 </t>
  </si>
  <si>
    <t xml:space="preserve"> 73.1246 </t>
  </si>
  <si>
    <t xml:space="preserve">F:\images\20210311\plaque 2/@05 Amantadine 0.001 mg_L dopé/B5_03.tif </t>
  </si>
  <si>
    <t xml:space="preserve"> 35754.2158 </t>
  </si>
  <si>
    <t xml:space="preserve"> 73.2184 </t>
  </si>
  <si>
    <t xml:space="preserve">F:\images\20210311\plaque 2/@05 Amantadine 0.001 mg_L dopé/C5_01.tif </t>
  </si>
  <si>
    <t xml:space="preserve"> 70.0552 </t>
  </si>
  <si>
    <t xml:space="preserve">F:\images\20210311\plaque 2/@05 Amantadine 0.001 mg_L dopé/C5_02.tif </t>
  </si>
  <si>
    <t xml:space="preserve"> 23749.6243 </t>
  </si>
  <si>
    <t xml:space="preserve"> 71.0911 </t>
  </si>
  <si>
    <t xml:space="preserve">F:\images\20210311\plaque 2/@05 Amantadine 0.001 mg_L dopé/C5_03.tif </t>
  </si>
  <si>
    <t xml:space="preserve"> 21824.5637 </t>
  </si>
  <si>
    <t xml:space="preserve"> 69.7334 </t>
  </si>
  <si>
    <t xml:space="preserve">F:\images\20210311\plaque 2/@05 Amantadine 0.001 mg_L dopé/D5_01.tif </t>
  </si>
  <si>
    <t xml:space="preserve"> 35343.2478 </t>
  </si>
  <si>
    <t xml:space="preserve"> 73.694 </t>
  </si>
  <si>
    <t>F:\images\20210311\plaque 2/@05 Amantadine 0.001 mg_L dopé/D5_02- exclu.tif</t>
  </si>
  <si>
    <t xml:space="preserve">F:\images\20210311\plaque 2/@05 Amantadine 0.001 mg_L dopé/D5_03.tif </t>
  </si>
  <si>
    <t xml:space="preserve"> 35689.3261 </t>
  </si>
  <si>
    <t xml:space="preserve"> 73.9012 </t>
  </si>
  <si>
    <t xml:space="preserve">F:\images\20210311\plaque 2/@05 Amantadine 0.001 mg_L dopé/E5_01.tif </t>
  </si>
  <si>
    <t xml:space="preserve"> 59676.8793 </t>
  </si>
  <si>
    <t xml:space="preserve"> 75.6829 </t>
  </si>
  <si>
    <t xml:space="preserve">F:\images\20210311\plaque 2/@05 Amantadine 0.001 mg_L dopé/E5_02.tif </t>
  </si>
  <si>
    <t xml:space="preserve"> 60931.4132 </t>
  </si>
  <si>
    <t xml:space="preserve"> 76.0323 </t>
  </si>
  <si>
    <t xml:space="preserve">F:\images\20210311\plaque 2/@05 Amantadine 0.001 mg_L dopé/E5_03.tif </t>
  </si>
  <si>
    <t xml:space="preserve"> 60131.1071 </t>
  </si>
  <si>
    <t xml:space="preserve"> 75.4928 </t>
  </si>
  <si>
    <t xml:space="preserve">F:\images\20210311\plaque 2/@05 Amantadine 0.001 mg_L dopé/F5_01.tif </t>
  </si>
  <si>
    <t xml:space="preserve"> 30152.0731 </t>
  </si>
  <si>
    <t xml:space="preserve"> 67.0158 </t>
  </si>
  <si>
    <t xml:space="preserve">F:\images\20210311\plaque 2/@05 Amantadine 0.001 mg_L dopé/F5_02.tif </t>
  </si>
  <si>
    <t xml:space="preserve"> 66.5626 </t>
  </si>
  <si>
    <t xml:space="preserve">F:\images\20210311\plaque 2/@05 Amantadine 0.001 mg_L dopé/F5_03.tif </t>
  </si>
  <si>
    <t xml:space="preserve"> 25371.8664 </t>
  </si>
  <si>
    <t xml:space="preserve"> 66.9616 </t>
  </si>
  <si>
    <t xml:space="preserve">F:\images\20210311\plaque 2/@05 Amantadine 0.001 mg_L dopé/G5_01.tif </t>
  </si>
  <si>
    <t xml:space="preserve"> 44622.4726 </t>
  </si>
  <si>
    <t xml:space="preserve"> 72.557 </t>
  </si>
  <si>
    <t xml:space="preserve">F:\images\20210311\plaque 2/@05 Amantadine 0.001 mg_L dopé/G5_02.tif </t>
  </si>
  <si>
    <t xml:space="preserve"> 44600.8427 </t>
  </si>
  <si>
    <t xml:space="preserve"> 73.2105 </t>
  </si>
  <si>
    <t xml:space="preserve">F:\images\20210311\plaque 2/@05 Amantadine 0.001 mg_L dopé/G5_03.tif </t>
  </si>
  <si>
    <t xml:space="preserve"> 46871.9817 </t>
  </si>
  <si>
    <t xml:space="preserve"> 72.0849 </t>
  </si>
  <si>
    <t xml:space="preserve">F:\images\20210311\plaque 2/@05 Amantadine 0.001 mg_L dopé/H5_01.tif </t>
  </si>
  <si>
    <t xml:space="preserve"> 25934.2437 </t>
  </si>
  <si>
    <t xml:space="preserve"> 66.5555 </t>
  </si>
  <si>
    <t xml:space="preserve">F:\images\20210311\plaque 2/@05 Amantadine 0.001 mg_L dopé/H5_02.tif </t>
  </si>
  <si>
    <t xml:space="preserve"> 26345.2117 </t>
  </si>
  <si>
    <t xml:space="preserve"> 66.3202 </t>
  </si>
  <si>
    <t xml:space="preserve">F:\images\20210311\plaque 2/@05 Amantadine 0.001 mg_L dopé/H5_03.tif </t>
  </si>
  <si>
    <t xml:space="preserve"> 66.497 </t>
  </si>
  <si>
    <t xml:space="preserve">F:\images\20210311\plaque 2/@05 Amantadine 0.001 mg_L dopé/ </t>
  </si>
  <si>
    <t xml:space="preserve"> 71.1651 </t>
  </si>
  <si>
    <t xml:space="preserve"> 3.2259 </t>
  </si>
  <si>
    <t xml:space="preserve"> 2469669.88 </t>
  </si>
  <si>
    <t xml:space="preserve"> 995482.264 </t>
  </si>
  <si>
    <t>F:\images\20210311\plaque 2/@06  Amantadine 0.01 mg_LLdopé/A6_01- exclu.tif</t>
  </si>
  <si>
    <t xml:space="preserve">F:\images\20210311\plaque 2/@06  Amantadine 0.01 mg_LLdopé/A6_02.tif </t>
  </si>
  <si>
    <t xml:space="preserve"> 63.6364 </t>
  </si>
  <si>
    <t xml:space="preserve">F:\images\20210311\plaque 2/@06  Amantadine 0.01 mg_LLdopé/A6_03.tif </t>
  </si>
  <si>
    <t xml:space="preserve"> 66.28 </t>
  </si>
  <si>
    <t xml:space="preserve">F:\images\20210311\plaque 2/@06  Amantadine 0.01 mg_LLdopé/B6_01.tif </t>
  </si>
  <si>
    <t xml:space="preserve"> 43670.7573 </t>
  </si>
  <si>
    <t xml:space="preserve"> 72.6592 </t>
  </si>
  <si>
    <t xml:space="preserve">F:\images\20210311\plaque 2/@06  Amantadine 0.01 mg_LLdopé/B6_02.tif </t>
  </si>
  <si>
    <t xml:space="preserve"> 71.9801 </t>
  </si>
  <si>
    <t xml:space="preserve">F:\images\20210311\plaque 2/@06  Amantadine 0.01 mg_LLdopé/B6_03.tif </t>
  </si>
  <si>
    <t xml:space="preserve"> 33201.8883 </t>
  </si>
  <si>
    <t xml:space="preserve"> 70.9805 </t>
  </si>
  <si>
    <t xml:space="preserve">F:\images\20210311\plaque 2/@06  Amantadine 0.01 mg_LLdopé/C6_01.tif </t>
  </si>
  <si>
    <t xml:space="preserve"> 36749.191 </t>
  </si>
  <si>
    <t xml:space="preserve"> 70.1254 </t>
  </si>
  <si>
    <t xml:space="preserve">F:\images\20210311\plaque 2/@06  Amantadine 0.01 mg_LLdopé/C6_02.tif </t>
  </si>
  <si>
    <t xml:space="preserve"> 44514.3231 </t>
  </si>
  <si>
    <t xml:space="preserve"> 72.7303 </t>
  </si>
  <si>
    <t xml:space="preserve">F:\images\20210311\plaque 2/@06  Amantadine 0.01 mg_LLdopé/C6_03.tif </t>
  </si>
  <si>
    <t xml:space="preserve"> 42351.3337 </t>
  </si>
  <si>
    <t xml:space="preserve"> 71.1558 </t>
  </si>
  <si>
    <t xml:space="preserve">F:\images\20210311\plaque 2/@06  Amantadine 0.01 mg_LLdopé/D6_01.tif </t>
  </si>
  <si>
    <t xml:space="preserve"> 25804.4643 </t>
  </si>
  <si>
    <t xml:space="preserve"> 80.0956 </t>
  </si>
  <si>
    <t xml:space="preserve">F:\images\20210311\plaque 2/@06  Amantadine 0.01 mg_LLdopé/D6_02.tif </t>
  </si>
  <si>
    <t xml:space="preserve"> 25501.6458 </t>
  </si>
  <si>
    <t xml:space="preserve"> 69.7142 </t>
  </si>
  <si>
    <t xml:space="preserve">F:\images\20210311\plaque 2/@06  Amantadine 0.01 mg_LLdopé/D6_03.tif </t>
  </si>
  <si>
    <t xml:space="preserve"> 76.7476 </t>
  </si>
  <si>
    <t xml:space="preserve">F:\images\20210311\plaque 2/@06  Amantadine 0.01 mg_LLdopé/E6_01.tif </t>
  </si>
  <si>
    <t xml:space="preserve"> 32077.1337 </t>
  </si>
  <si>
    <t xml:space="preserve"> 69.9063 </t>
  </si>
  <si>
    <t xml:space="preserve">F:\images\20210311\plaque 2/@06  Amantadine 0.01 mg_LLdopé/E6_02.tif </t>
  </si>
  <si>
    <t xml:space="preserve"> 32661.1409 </t>
  </si>
  <si>
    <t xml:space="preserve"> 69.3159 </t>
  </si>
  <si>
    <t xml:space="preserve">F:\images\20210311\plaque 2/@06  Amantadine 0.01 mg_LLdopé/E6_03.tif </t>
  </si>
  <si>
    <t xml:space="preserve"> 34997.1695 </t>
  </si>
  <si>
    <t xml:space="preserve"> 70.3294 </t>
  </si>
  <si>
    <t xml:space="preserve">F:\images\20210311\plaque 2/@06  Amantadine 0.01 mg_LLdopé/F6_01.tif </t>
  </si>
  <si>
    <t xml:space="preserve"> 52171.3058 </t>
  </si>
  <si>
    <t xml:space="preserve"> 79.7056 </t>
  </si>
  <si>
    <t xml:space="preserve">F:\images\20210311\plaque 2/@06  Amantadine 0.01 mg_LLdopé/F6_02.tif </t>
  </si>
  <si>
    <t xml:space="preserve"> 57881.598 </t>
  </si>
  <si>
    <t xml:space="preserve"> 81.6173 </t>
  </si>
  <si>
    <t xml:space="preserve">F:\images\20210311\plaque 2/@06  Amantadine 0.01 mg_LLdopé/F6_03.tif </t>
  </si>
  <si>
    <t xml:space="preserve"> 54442.4448 </t>
  </si>
  <si>
    <t xml:space="preserve"> 81.7044 </t>
  </si>
  <si>
    <t xml:space="preserve">F:\images\20210311\plaque 2/@06  Amantadine 0.01 mg_LLdopé/G6_01.tif </t>
  </si>
  <si>
    <t xml:space="preserve"> 14340.6201 </t>
  </si>
  <si>
    <t xml:space="preserve"> 67.5732 </t>
  </si>
  <si>
    <t xml:space="preserve">F:\images\20210311\plaque 2/@06  Amantadine 0.01 mg_LLdopé/G6_02.tif </t>
  </si>
  <si>
    <t xml:space="preserve"> 9192.7052 </t>
  </si>
  <si>
    <t xml:space="preserve"> 66.4024 </t>
  </si>
  <si>
    <t xml:space="preserve">F:\images\20210311\plaque 2/@06  Amantadine 0.01 mg_LLdopé/G6_03.tif </t>
  </si>
  <si>
    <t xml:space="preserve"> 12653.4884 </t>
  </si>
  <si>
    <t xml:space="preserve"> 67.5385 </t>
  </si>
  <si>
    <t xml:space="preserve">F:\images\20210311\plaque 2/@06  Amantadine 0.01 mg_LLdopé/H6_01.tif </t>
  </si>
  <si>
    <t xml:space="preserve"> 28637.9805 </t>
  </si>
  <si>
    <t xml:space="preserve"> 68.0929 </t>
  </si>
  <si>
    <t xml:space="preserve">F:\images\20210311\plaque 2/@06  Amantadine 0.01 mg_LLdopé/H6_02.tif </t>
  </si>
  <si>
    <t xml:space="preserve"> 27794.4146 </t>
  </si>
  <si>
    <t xml:space="preserve"> 68.6615 </t>
  </si>
  <si>
    <t xml:space="preserve">F:\images\20210311\plaque 2/@06  Amantadine 0.01 mg_LLdopé/H6_03.tif </t>
  </si>
  <si>
    <t xml:space="preserve"> 27945.8239 </t>
  </si>
  <si>
    <t xml:space="preserve"> 67.6587 </t>
  </si>
  <si>
    <t xml:space="preserve">F:\images\20210311\plaque 2/@06  Amantadine 0.01 mg_LLdopé/ </t>
  </si>
  <si>
    <t xml:space="preserve"> 71.1921 </t>
  </si>
  <si>
    <t xml:space="preserve"> 5.2214 </t>
  </si>
  <si>
    <t xml:space="preserve"> 2139792.33 </t>
  </si>
  <si>
    <t xml:space="preserve"> 1308320.61 </t>
  </si>
  <si>
    <t xml:space="preserve">F:\images\20210311\plaque 2/@07  Amantadine 0.1 mg_Ldopé/A7_01.tif </t>
  </si>
  <si>
    <t xml:space="preserve"> 23295.3965 </t>
  </si>
  <si>
    <t xml:space="preserve"> 68.6416 </t>
  </si>
  <si>
    <t xml:space="preserve">F:\images\20210311\plaque 2/@07  Amantadine 0.1 mg_Ldopé/A7_02.tif </t>
  </si>
  <si>
    <t xml:space="preserve"> 22841.1687 </t>
  </si>
  <si>
    <t xml:space="preserve"> 69.1222 </t>
  </si>
  <si>
    <t xml:space="preserve">F:\images\20210311\plaque 2/@07  Amantadine 0.1 mg_Ldopé/A7_03.tif </t>
  </si>
  <si>
    <t xml:space="preserve"> 26821.0693 </t>
  </si>
  <si>
    <t xml:space="preserve"> 68.5081 </t>
  </si>
  <si>
    <t xml:space="preserve">F:\images\20210311\plaque 2/@07  Amantadine 0.1 mg_Ldopé/B7_01.tif </t>
  </si>
  <si>
    <t xml:space="preserve"> 28205.3826 </t>
  </si>
  <si>
    <t xml:space="preserve"> 67.5936 </t>
  </si>
  <si>
    <t xml:space="preserve">F:\images\20210311\plaque 2/@07  Amantadine 0.1 mg_Ldopé/B7_02.tif </t>
  </si>
  <si>
    <t xml:space="preserve"> 27707.895 </t>
  </si>
  <si>
    <t xml:space="preserve"> 67.0812 </t>
  </si>
  <si>
    <t xml:space="preserve">F:\images\20210311\plaque 2/@07  Amantadine 0.1 mg_Ldopé/B7_03.tif </t>
  </si>
  <si>
    <t xml:space="preserve"> 25977.5034 </t>
  </si>
  <si>
    <t xml:space="preserve"> 66.8152 </t>
  </si>
  <si>
    <t xml:space="preserve">F:\images\20210311\plaque 2/@07  Amantadine 0.1 mg_Ldopé/C7_01.tif </t>
  </si>
  <si>
    <t xml:space="preserve"> 28270.2723 </t>
  </si>
  <si>
    <t xml:space="preserve"> 69.2181 </t>
  </si>
  <si>
    <t xml:space="preserve">F:\images\20210311\plaque 2/@07  Amantadine 0.1 mg_Ldopé/C7_02.tif </t>
  </si>
  <si>
    <t xml:space="preserve"> 69.1152 </t>
  </si>
  <si>
    <t xml:space="preserve">F:\images\20210311\plaque 2/@07  Amantadine 0.1 mg_Ldopé/C7_03.tif </t>
  </si>
  <si>
    <t xml:space="preserve"> 24701.3397 </t>
  </si>
  <si>
    <t xml:space="preserve"> 67.6629 </t>
  </si>
  <si>
    <t xml:space="preserve">F:\images\20210311\plaque 2/@07  Amantadine 0.1 mg_Ldopé/D7_01.tif </t>
  </si>
  <si>
    <t xml:space="preserve"> 46893.6116 </t>
  </si>
  <si>
    <t xml:space="preserve"> 71.0235 </t>
  </si>
  <si>
    <t xml:space="preserve">F:\images\20210311\plaque 2/@07  Amantadine 0.1 mg_Ldopé/D7_02.tif </t>
  </si>
  <si>
    <t xml:space="preserve"> 44535.953 </t>
  </si>
  <si>
    <t xml:space="preserve"> 71.2472 </t>
  </si>
  <si>
    <t xml:space="preserve">F:\images\20210311\plaque 2/@07  Amantadine 0.1 mg_Ldopé/D7_03.tif </t>
  </si>
  <si>
    <t xml:space="preserve"> 49683.868 </t>
  </si>
  <si>
    <t xml:space="preserve"> 72.2769 </t>
  </si>
  <si>
    <t xml:space="preserve">F:\images\20210311\plaque 2/@07  Amantadine 0.1 mg_Ldopé/E7_01.tif </t>
  </si>
  <si>
    <t xml:space="preserve"> 41572.6575 </t>
  </si>
  <si>
    <t xml:space="preserve"> 71.5219 </t>
  </si>
  <si>
    <t xml:space="preserve">F:\images\20210311\plaque 2/@07  Amantadine 0.1 mg_Ldopé/E7_02.tif </t>
  </si>
  <si>
    <t xml:space="preserve"> 42675.7821 </t>
  </si>
  <si>
    <t xml:space="preserve"> 70.8925 </t>
  </si>
  <si>
    <t xml:space="preserve">F:\images\20210311\plaque 2/@07  Amantadine 0.1 mg_Ldopé/E7_03.tif </t>
  </si>
  <si>
    <t xml:space="preserve"> 38046.9847 </t>
  </si>
  <si>
    <t xml:space="preserve"> 70.4696 </t>
  </si>
  <si>
    <t xml:space="preserve">F:\images\20210311\plaque 2/@07  Amantadine 0.1 mg_Ldopé/F7_01.tif </t>
  </si>
  <si>
    <t xml:space="preserve"> 34045.4541 </t>
  </si>
  <si>
    <t xml:space="preserve"> 72.4524 </t>
  </si>
  <si>
    <t xml:space="preserve">F:\images\20210311\plaque 2/@07  Amantadine 0.1 mg_Ldopé/F7_02.tif </t>
  </si>
  <si>
    <t xml:space="preserve"> 31298.4575 </t>
  </si>
  <si>
    <t xml:space="preserve"> 69.443 </t>
  </si>
  <si>
    <t xml:space="preserve">F:\images\20210311\plaque 2/@07  Amantadine 0.1 mg_Ldopé/F7_03.tif </t>
  </si>
  <si>
    <t xml:space="preserve"> 29762.735 </t>
  </si>
  <si>
    <t xml:space="preserve"> 70.8343 </t>
  </si>
  <si>
    <t xml:space="preserve">F:\images\20210311\plaque 2/@07  Amantadine 0.1 mg_Ldopé/G7_01.tif </t>
  </si>
  <si>
    <t xml:space="preserve"> 66.9272 </t>
  </si>
  <si>
    <t xml:space="preserve">F:\images\20210311\plaque 2/@07  Amantadine 0.1 mg_Ldopé/G7_02.tif </t>
  </si>
  <si>
    <t xml:space="preserve"> 27621.3754 </t>
  </si>
  <si>
    <t xml:space="preserve"> 66.6366 </t>
  </si>
  <si>
    <t xml:space="preserve">F:\images\20210311\plaque 2/@07  Amantadine 0.1 mg_Ldopé/G7_03.tif </t>
  </si>
  <si>
    <t xml:space="preserve"> 24312.0016 </t>
  </si>
  <si>
    <t xml:space="preserve"> 66.0881 </t>
  </si>
  <si>
    <t xml:space="preserve">F:\images\20210311\plaque 2/@07  Amantadine 0.1 mg_Ldopé/H7_01.tif </t>
  </si>
  <si>
    <t xml:space="preserve"> 45076.7004 </t>
  </si>
  <si>
    <t xml:space="preserve"> 71.0432 </t>
  </si>
  <si>
    <t xml:space="preserve">F:\images\20210311\plaque 2/@07  Amantadine 0.1 mg_Ldopé/H7_02.tif </t>
  </si>
  <si>
    <t xml:space="preserve"> 40209.9741 </t>
  </si>
  <si>
    <t xml:space="preserve"> 71.7929 </t>
  </si>
  <si>
    <t xml:space="preserve">F:\images\20210311\plaque 2/@07  Amantadine 0.1 mg_Ldopé/H7_03.tif </t>
  </si>
  <si>
    <t xml:space="preserve"> 44860.4015 </t>
  </si>
  <si>
    <t xml:space="preserve"> 70.9151 </t>
  </si>
  <si>
    <t xml:space="preserve">F:\images\20210311\plaque 2/@07  Amantadine 0.1 mg_Ldopé/ </t>
  </si>
  <si>
    <t xml:space="preserve"> 69.4718 </t>
  </si>
  <si>
    <t xml:space="preserve"> 1.9648 </t>
  </si>
  <si>
    <t xml:space="preserve"> 2344421.88 </t>
  </si>
  <si>
    <t xml:space="preserve"> 657765.388 </t>
  </si>
  <si>
    <t xml:space="preserve">F:\images\20210311\plaque 2/@08  TAmantadine 1 mg_Ldopé/A8_01.tif </t>
  </si>
  <si>
    <t xml:space="preserve"> 34413.1624 </t>
  </si>
  <si>
    <t xml:space="preserve"> 70.2206 </t>
  </si>
  <si>
    <t xml:space="preserve">F:\images\20210311\plaque 2/@08  TAmantadine 1 mg_Ldopé/A8_02.tif </t>
  </si>
  <si>
    <t xml:space="preserve"> 70.5519 </t>
  </si>
  <si>
    <t xml:space="preserve">F:\images\20210311\plaque 2/@08  TAmantadine 1 mg_Ldopé/A8_03.tif </t>
  </si>
  <si>
    <t xml:space="preserve"> 37700.9063 </t>
  </si>
  <si>
    <t xml:space="preserve"> 69.7177 </t>
  </si>
  <si>
    <t xml:space="preserve">F:\images\20210311\plaque 2/@08  TAmantadine 1 mg_Ldopé/B8_01.tif </t>
  </si>
  <si>
    <t xml:space="preserve"> 40318.1236 </t>
  </si>
  <si>
    <t xml:space="preserve"> 72.2403 </t>
  </si>
  <si>
    <t>F:\images\20210311\plaque 2/@08  TAmantadine 1 mg_Ldopé/B8_02- exclu.tif</t>
  </si>
  <si>
    <t xml:space="preserve">F:\images\20210311\plaque 2/@08  TAmantadine 1 mg_Ldopé/B8_03.tif </t>
  </si>
  <si>
    <t xml:space="preserve"> 43086.7501 </t>
  </si>
  <si>
    <t xml:space="preserve"> 70.6009 </t>
  </si>
  <si>
    <t xml:space="preserve">F:\images\20210311\plaque 2/@08  TAmantadine 1 mg_Ldopé/C8_01.tif </t>
  </si>
  <si>
    <t xml:space="preserve"> 73.9699 </t>
  </si>
  <si>
    <t xml:space="preserve">F:\images\20210311\plaque 2/@08  TAmantadine 1 mg_Ldopé/C8_02.tif </t>
  </si>
  <si>
    <t xml:space="preserve"> 73.9381 </t>
  </si>
  <si>
    <t xml:space="preserve">F:\images\20210311\plaque 2/@08  TAmantadine 1 mg_Ldopé/C8_03.tif </t>
  </si>
  <si>
    <t xml:space="preserve"> 39690.8566 </t>
  </si>
  <si>
    <t xml:space="preserve"> 71.8332 </t>
  </si>
  <si>
    <t xml:space="preserve">F:\images\20210311\plaque 2/@08  TAmantadine 1 mg_Ldopé/D8_01.tif </t>
  </si>
  <si>
    <t xml:space="preserve"> 52322.7151 </t>
  </si>
  <si>
    <t xml:space="preserve"> 74.5953 </t>
  </si>
  <si>
    <t xml:space="preserve">F:\images\20210311\plaque 2/@08  TAmantadine 1 mg_Ldopé/D8_02.tif </t>
  </si>
  <si>
    <t xml:space="preserve"> 49921.7968 </t>
  </si>
  <si>
    <t xml:space="preserve"> 73.0741 </t>
  </si>
  <si>
    <t xml:space="preserve">F:\images\20210311\plaque 2/@08  TAmantadine 1 mg_Ldopé/D8_03.tif </t>
  </si>
  <si>
    <t xml:space="preserve"> 56994.7723 </t>
  </si>
  <si>
    <t xml:space="preserve"> 75.0425 </t>
  </si>
  <si>
    <t xml:space="preserve">F:\images\20210311\plaque 2/@08  TAmantadine 1 mg_Ldopé/E8_01.tif </t>
  </si>
  <si>
    <t xml:space="preserve"> 38955.4402 </t>
  </si>
  <si>
    <t xml:space="preserve"> 69.0911 </t>
  </si>
  <si>
    <t xml:space="preserve">F:\images\20210311\plaque 2/@08  TAmantadine 1 mg_Ldopé/E8_02.tif </t>
  </si>
  <si>
    <t xml:space="preserve"> 41832.2162 </t>
  </si>
  <si>
    <t xml:space="preserve"> 69.803 </t>
  </si>
  <si>
    <t xml:space="preserve">F:\images\20210311\plaque 2/@08  TAmantadine 1 mg_Ldopé/E8_03.tif </t>
  </si>
  <si>
    <t xml:space="preserve"> 34845.7602 </t>
  </si>
  <si>
    <t xml:space="preserve"> 68.4066 </t>
  </si>
  <si>
    <t xml:space="preserve">F:\images\20210311\plaque 2/@08  TAmantadine 1 mg_Ldopé/F8_01.tif </t>
  </si>
  <si>
    <t xml:space="preserve"> 64.4861 </t>
  </si>
  <si>
    <t>F:\images\20210311\plaque 2/@08  TAmantadine 1 mg_Ldopé/F8_02- exclu.tif</t>
  </si>
  <si>
    <t>F:\images\20210311\plaque 2/@08  TAmantadine 1 mg_Ldopé/F8_03- exclu.tif</t>
  </si>
  <si>
    <t xml:space="preserve">F:\images\20210311\plaque 2/@08  TAmantadine 1 mg_Ldopé/G8_01.tif </t>
  </si>
  <si>
    <t xml:space="preserve"> 52798.5728 </t>
  </si>
  <si>
    <t xml:space="preserve"> 78.476 </t>
  </si>
  <si>
    <t xml:space="preserve">F:\images\20210311\plaque 2/@08  TAmantadine 1 mg_Ldopé/G8_02.tif </t>
  </si>
  <si>
    <t xml:space="preserve"> 79.3489 </t>
  </si>
  <si>
    <t xml:space="preserve">F:\images\20210311\plaque 2/@08  TAmantadine 1 mg_Ldopé/G8_03.tif </t>
  </si>
  <si>
    <t xml:space="preserve"> 54291.0355 </t>
  </si>
  <si>
    <t xml:space="preserve"> 79.9996 </t>
  </si>
  <si>
    <t xml:space="preserve">F:\images\20210311\plaque 2/@08  TAmantadine 1 mg_Ldopé/H8_01.tif </t>
  </si>
  <si>
    <t xml:space="preserve"> 35819.1055 </t>
  </si>
  <si>
    <t xml:space="preserve"> 68.8514 </t>
  </si>
  <si>
    <t xml:space="preserve">F:\images\20210311\plaque 2/@08  TAmantadine 1 mg_Ldopé/H8_02.tif </t>
  </si>
  <si>
    <t xml:space="preserve"> 29243.6175 </t>
  </si>
  <si>
    <t xml:space="preserve"> 67.5607 </t>
  </si>
  <si>
    <t xml:space="preserve">F:\images\20210311\plaque 2/@08  TAmantadine 1 mg_Ldopé/H8_03.tif </t>
  </si>
  <si>
    <t xml:space="preserve"> 67.24 </t>
  </si>
  <si>
    <t xml:space="preserve">F:\images\20210311\plaque 2/@08  TAmantadine 1 mg_Ldopé/ </t>
  </si>
  <si>
    <t xml:space="preserve"> 70.939 </t>
  </si>
  <si>
    <t xml:space="preserve"> 4.6212 </t>
  </si>
  <si>
    <t xml:space="preserve"> 1221663.08 </t>
  </si>
  <si>
    <t xml:space="preserve">F:\images\20210311\plaque 2/@09  Amantadine 10 mg_L dopé/A9_01.tif </t>
  </si>
  <si>
    <t xml:space="preserve"> 56410.7652 </t>
  </si>
  <si>
    <t xml:space="preserve"> 73.9417 </t>
  </si>
  <si>
    <t xml:space="preserve">F:\images\20210311\plaque 2/@09  Amantadine 10 mg_L dopé/A9_02.tif </t>
  </si>
  <si>
    <t xml:space="preserve"> 53815.1778 </t>
  </si>
  <si>
    <t xml:space="preserve"> 72.8268 </t>
  </si>
  <si>
    <t xml:space="preserve">F:\images\20210311\plaque 2/@09  Amantadine 10 mg_L dopé/A9_03.tif </t>
  </si>
  <si>
    <t xml:space="preserve"> 53339.3202 </t>
  </si>
  <si>
    <t xml:space="preserve"> 73.3861 </t>
  </si>
  <si>
    <t xml:space="preserve">F:\images\20210311\plaque 2/@09  Amantadine 10 mg_L dopé/B9_01.tif </t>
  </si>
  <si>
    <t xml:space="preserve"> 43562.6078 </t>
  </si>
  <si>
    <t xml:space="preserve"> 76.859 </t>
  </si>
  <si>
    <t xml:space="preserve">F:\images\20210311\plaque 2/@09  Amantadine 10 mg_L dopé/B9_02.tif </t>
  </si>
  <si>
    <t xml:space="preserve"> 76.1628 </t>
  </si>
  <si>
    <t xml:space="preserve">F:\images\20210311\plaque 2/@09  Amantadine 10 mg_L dopé/B9_03.tif </t>
  </si>
  <si>
    <t xml:space="preserve"> 44103.3551 </t>
  </si>
  <si>
    <t xml:space="preserve"> 76.7366 </t>
  </si>
  <si>
    <t xml:space="preserve">F:\images\20210311\plaque 2/@09  Amantadine 10 mg_L dopé/C9_01.tif </t>
  </si>
  <si>
    <t xml:space="preserve"> 18861.2681 </t>
  </si>
  <si>
    <t xml:space="preserve"> 67.0149 </t>
  </si>
  <si>
    <t xml:space="preserve">F:\images\20210311\plaque 2/@09  Amantadine 10 mg_L dopé/C9_02.tif </t>
  </si>
  <si>
    <t xml:space="preserve"> 20526.77 </t>
  </si>
  <si>
    <t xml:space="preserve"> 69.157 </t>
  </si>
  <si>
    <t xml:space="preserve">F:\images\20210311\plaque 2/@09  Amantadine 10 mg_L dopé/C9_03.tif </t>
  </si>
  <si>
    <t xml:space="preserve"> 17952.8125 </t>
  </si>
  <si>
    <t xml:space="preserve"> 69.3205 </t>
  </si>
  <si>
    <t xml:space="preserve">F:\images\20210311\plaque 2/@09  Amantadine 10 mg_L dopé/D9_01.tif </t>
  </si>
  <si>
    <t xml:space="preserve"> 29892.5144 </t>
  </si>
  <si>
    <t xml:space="preserve"> 70.7547 </t>
  </si>
  <si>
    <t xml:space="preserve">F:\images\20210311\plaque 2/@09  Amantadine 10 mg_L dopé/D9_02.tif </t>
  </si>
  <si>
    <t xml:space="preserve"> 42070.1451 </t>
  </si>
  <si>
    <t xml:space="preserve"> 74.5481 </t>
  </si>
  <si>
    <t xml:space="preserve">F:\images\20210311\plaque 2/@09  Amantadine 10 mg_L dopé/D9_03.tif </t>
  </si>
  <si>
    <t xml:space="preserve"> 70.6773 </t>
  </si>
  <si>
    <t xml:space="preserve">F:\images\20210311\plaque 2/@09  Amantadine 10 mg_L dopé/E9_01.tif </t>
  </si>
  <si>
    <t xml:space="preserve"> 44990.1808 </t>
  </si>
  <si>
    <t xml:space="preserve"> 80.8947 </t>
  </si>
  <si>
    <t xml:space="preserve">F:\images\20210311\plaque 2/@09  Amantadine 10 mg_L dopé/E9_02.tif </t>
  </si>
  <si>
    <t xml:space="preserve"> 44968.5509 </t>
  </si>
  <si>
    <t xml:space="preserve"> 76.6123 </t>
  </si>
  <si>
    <t xml:space="preserve">F:\images\20210311\plaque 2/@09  Amantadine 10 mg_L dopé/E9_03.tif </t>
  </si>
  <si>
    <t xml:space="preserve"> 79.1256 </t>
  </si>
  <si>
    <t>F:\images\20210311\plaque 2/@09  Amantadine 10 mg_L dopé/F9_01- exclu.tif</t>
  </si>
  <si>
    <t xml:space="preserve">F:\images\20210311\plaque 2/@09  Amantadine 10 mg_L dopé/F9_02.tif </t>
  </si>
  <si>
    <t xml:space="preserve"> 47326.2094 </t>
  </si>
  <si>
    <t xml:space="preserve"> 71.5818 </t>
  </si>
  <si>
    <t xml:space="preserve">F:\images\20210311\plaque 2/@09  Amantadine 10 mg_L dopé/F9_03.tif </t>
  </si>
  <si>
    <t xml:space="preserve"> 51284.4802 </t>
  </si>
  <si>
    <t xml:space="preserve"> 73.6504 </t>
  </si>
  <si>
    <t xml:space="preserve">F:\images\20210311\plaque 2/@09  Amantadine 10 mg_L dopé/G9_01.tif </t>
  </si>
  <si>
    <t xml:space="preserve"> 38501.2124 </t>
  </si>
  <si>
    <t xml:space="preserve"> 70.809 </t>
  </si>
  <si>
    <t xml:space="preserve">F:\images\20210311\plaque 2/@09  Amantadine 10 mg_L dopé/G9_02.tif </t>
  </si>
  <si>
    <t xml:space="preserve"> 37225.0487 </t>
  </si>
  <si>
    <t xml:space="preserve"> 71.5793 </t>
  </si>
  <si>
    <t xml:space="preserve">F:\images\20210311\plaque 2/@09  Amantadine 10 mg_L dopé/G9_03.tif </t>
  </si>
  <si>
    <t xml:space="preserve"> 35299.988 </t>
  </si>
  <si>
    <t xml:space="preserve"> 74.0392 </t>
  </si>
  <si>
    <t xml:space="preserve">F:\images\20210311\plaque 2/@09  Amantadine 10 mg_L dopé/H9_01.tif </t>
  </si>
  <si>
    <t xml:space="preserve"> 40469.5329 </t>
  </si>
  <si>
    <t xml:space="preserve"> 70.349 </t>
  </si>
  <si>
    <t xml:space="preserve">F:\images\20210311\plaque 2/@09  Amantadine 10 mg_L dopé/H9_02.tif </t>
  </si>
  <si>
    <t xml:space="preserve"> 46136.5652 </t>
  </si>
  <si>
    <t xml:space="preserve"> 71.3408 </t>
  </si>
  <si>
    <t xml:space="preserve">F:\images\20210311\plaque 2/@09  Amantadine 10 mg_L dopé/H9_03.tif </t>
  </si>
  <si>
    <t xml:space="preserve"> 71.1006 </t>
  </si>
  <si>
    <t xml:space="preserve">F:\images\20210311\plaque 2/@09  Amantadine 10 mg_L dopé/ </t>
  </si>
  <si>
    <t xml:space="preserve"> 73.0466 </t>
  </si>
  <si>
    <t xml:space="preserve"> 3.3556 </t>
  </si>
  <si>
    <t xml:space="preserve"> 2948785.46 </t>
  </si>
  <si>
    <t xml:space="preserve"> 841889.428 </t>
  </si>
  <si>
    <t>Krustall-wallis</t>
  </si>
  <si>
    <t xml:space="preserve">F:\images\20210312\plaque 1/@01 Evian + 0.2% DMSO/A1_01.tif </t>
  </si>
  <si>
    <t xml:space="preserve"> 65.1658 </t>
  </si>
  <si>
    <t xml:space="preserve">F:\images\20210312\plaque 1/@01 Evian + 0.2% DMSO/A1_02.tif </t>
  </si>
  <si>
    <t xml:space="preserve"> 64.952 </t>
  </si>
  <si>
    <t xml:space="preserve">F:\images\20210312\plaque 1/@01 Evian + 0.2% DMSO/A1_03.tif </t>
  </si>
  <si>
    <t xml:space="preserve"> 63.2292 </t>
  </si>
  <si>
    <t xml:space="preserve">F:\images\20210312\plaque 1/@01 Evian + 0.2% DMSO/B1_01.tif </t>
  </si>
  <si>
    <t xml:space="preserve"> 5991.4808 </t>
  </si>
  <si>
    <t xml:space="preserve"> 74.574 </t>
  </si>
  <si>
    <t xml:space="preserve">F:\images\20210312\plaque 1/@01 Evian + 0.2% DMSO/B1_02.tif </t>
  </si>
  <si>
    <t xml:space="preserve"> 67.4037 </t>
  </si>
  <si>
    <t xml:space="preserve">F:\images\20210312\plaque 1/@01 Evian + 0.2% DMSO/B1_03.tif </t>
  </si>
  <si>
    <t xml:space="preserve"> 7397.424 </t>
  </si>
  <si>
    <t xml:space="preserve"> 71.6257 </t>
  </si>
  <si>
    <t xml:space="preserve">F:\images\20210312\plaque 1/@01 Evian + 0.2% DMSO/C1_01.tif </t>
  </si>
  <si>
    <t xml:space="preserve"> 2984.9255 </t>
  </si>
  <si>
    <t xml:space="preserve"> 66.8478 </t>
  </si>
  <si>
    <t>F:\images\20210312\plaque 1/@01 Evian + 0.2% DMSO/C1_02- exclu.tif</t>
  </si>
  <si>
    <t xml:space="preserve">F:\images\20210312\plaque 1/@01 Evian + 0.2% DMSO/C1_03.tif </t>
  </si>
  <si>
    <t xml:space="preserve"> 60.6 </t>
  </si>
  <si>
    <t xml:space="preserve">F:\images\20210312\plaque 1/@01 Evian + 0.2% DMSO/D1_01.tif </t>
  </si>
  <si>
    <t xml:space="preserve"> 66.0098 </t>
  </si>
  <si>
    <t>F:\images\20210312\plaque 1/@01 Evian + 0.2% DMSO/D1_02- exclu.tif</t>
  </si>
  <si>
    <t xml:space="preserve">F:\images\20210312\plaque 1/@01 Evian + 0.2% DMSO/D1_03.tif </t>
  </si>
  <si>
    <t xml:space="preserve"> 62.5641 </t>
  </si>
  <si>
    <t xml:space="preserve">F:\images\20210312\plaque 1/@01 Evian + 0.2% DMSO/E1_01.tif </t>
  </si>
  <si>
    <t xml:space="preserve"> 65.1273 </t>
  </si>
  <si>
    <t xml:space="preserve">F:\images\20210312\plaque 1/@01 Evian + 0.2% DMSO/E1_02.tif </t>
  </si>
  <si>
    <t xml:space="preserve"> 63.6857 </t>
  </si>
  <si>
    <t xml:space="preserve">F:\images\20210312\plaque 1/@01 Evian + 0.2% DMSO/E1_03.tif </t>
  </si>
  <si>
    <t xml:space="preserve"> 67.3478 </t>
  </si>
  <si>
    <t xml:space="preserve">F:\images\20210312\plaque 1/@01 Evian + 0.2% DMSO/F1_01.tif </t>
  </si>
  <si>
    <t xml:space="preserve"> 66.8905 </t>
  </si>
  <si>
    <t xml:space="preserve">F:\images\20210312\plaque 1/@01 Evian + 0.2% DMSO/F1_02.tif </t>
  </si>
  <si>
    <t xml:space="preserve"> 61.8889 </t>
  </si>
  <si>
    <t xml:space="preserve">F:\images\20210312\plaque 1/@01 Evian + 0.2% DMSO/F1_03.tif </t>
  </si>
  <si>
    <t xml:space="preserve"> 68.9772 </t>
  </si>
  <si>
    <t xml:space="preserve">F:\images\20210312\plaque 1/@01 Evian + 0.2% DMSO/G1_01.tif </t>
  </si>
  <si>
    <t xml:space="preserve"> 65.2059 </t>
  </si>
  <si>
    <t xml:space="preserve">F:\images\20210312\plaque 1/@01 Evian + 0.2% DMSO/G1_02.tif </t>
  </si>
  <si>
    <t xml:space="preserve"> 65.0777 </t>
  </si>
  <si>
    <t xml:space="preserve">F:\images\20210312\plaque 1/@01 Evian + 0.2% DMSO/G1_03.tif </t>
  </si>
  <si>
    <t xml:space="preserve"> 63.15 </t>
  </si>
  <si>
    <t xml:space="preserve">F:\images\20210312\plaque 1/@01 Evian + 0.2% DMSO/H1_01.tif </t>
  </si>
  <si>
    <t xml:space="preserve"> 3871.7511 </t>
  </si>
  <si>
    <t xml:space="preserve"> 67.9441 </t>
  </si>
  <si>
    <t xml:space="preserve">F:\images\20210312\plaque 1/@01 Evian + 0.2% DMSO/H1_02.tif </t>
  </si>
  <si>
    <t xml:space="preserve"> 64.2308 </t>
  </si>
  <si>
    <t xml:space="preserve">F:\images\20210312\plaque 1/@01 Evian + 0.2% DMSO/H1_03.tif </t>
  </si>
  <si>
    <t xml:space="preserve">F:\images\20210312\plaque 1/@01 Evian + 0.2% DMSO/ </t>
  </si>
  <si>
    <t xml:space="preserve"> 65.6028 </t>
  </si>
  <si>
    <t xml:space="preserve"> 3.0827 </t>
  </si>
  <si>
    <t xml:space="preserve"> 167301.875 </t>
  </si>
  <si>
    <t xml:space="preserve"> 153735.673 </t>
  </si>
  <si>
    <t xml:space="preserve">F:\images\20210312\plaque 1/@02 EE2 33.8/A2_01.tif </t>
  </si>
  <si>
    <t xml:space="preserve"> 9257.5949 </t>
  </si>
  <si>
    <t xml:space="preserve"> 68.8715 </t>
  </si>
  <si>
    <t xml:space="preserve">F:\images\20210312\plaque 1/@02 EE2 33.8/A2_02.tif </t>
  </si>
  <si>
    <t xml:space="preserve"> 11961.3317 </t>
  </si>
  <si>
    <t xml:space="preserve"> 77.9801 </t>
  </si>
  <si>
    <t xml:space="preserve">F:\images\20210312\plaque 1/@02 EE2 33.8/A2_03.tif </t>
  </si>
  <si>
    <t xml:space="preserve"> 6943.1962 </t>
  </si>
  <si>
    <t xml:space="preserve"> 75.1121 </t>
  </si>
  <si>
    <t xml:space="preserve">F:\images\20210312\plaque 1/@02 EE2 33.8/B2_01.tif </t>
  </si>
  <si>
    <t xml:space="preserve"> 65.8919 </t>
  </si>
  <si>
    <t xml:space="preserve">F:\images\20210312\plaque 1/@02 EE2 33.8/B2_02.tif </t>
  </si>
  <si>
    <t xml:space="preserve"> 64.7407 </t>
  </si>
  <si>
    <t xml:space="preserve">F:\images\20210312\plaque 1/@02 EE2 33.8/B2_03.tif </t>
  </si>
  <si>
    <t xml:space="preserve"> 2271.1389 </t>
  </si>
  <si>
    <t xml:space="preserve"> 66.6286 </t>
  </si>
  <si>
    <t xml:space="preserve">F:\images\20210312\plaque 1/@02 EE2 33.8/C2_01.tif </t>
  </si>
  <si>
    <t xml:space="preserve"> 64.0714 </t>
  </si>
  <si>
    <t xml:space="preserve">F:\images\20210312\plaque 1/@02 EE2 33.8/C2_02.tif </t>
  </si>
  <si>
    <t xml:space="preserve"> 63.9608 </t>
  </si>
  <si>
    <t xml:space="preserve">F:\images\20210312\plaque 1/@02 EE2 33.8/C2_03.tif </t>
  </si>
  <si>
    <t xml:space="preserve"> 62.5429 </t>
  </si>
  <si>
    <t xml:space="preserve">F:\images\20210312\plaque 1/@02 EE2 33.8/D2_01.tif </t>
  </si>
  <si>
    <t xml:space="preserve"> 67.5042 </t>
  </si>
  <si>
    <t xml:space="preserve">F:\images\20210312\plaque 1/@02 EE2 33.8/D2_02.tif </t>
  </si>
  <si>
    <t xml:space="preserve">F:\images\20210312\plaque 1/@02 EE2 33.8/D2_03.tif </t>
  </si>
  <si>
    <t xml:space="preserve">F:\images\20210312\plaque 1/@02 EE2 33.8/E2_01.tif </t>
  </si>
  <si>
    <t xml:space="preserve"> 2141.3596 </t>
  </si>
  <si>
    <t xml:space="preserve"> 64.4242 </t>
  </si>
  <si>
    <t xml:space="preserve">F:\images\20210312\plaque 1/@02 EE2 33.8/E2_02.tif </t>
  </si>
  <si>
    <t xml:space="preserve"> 627.2669 </t>
  </si>
  <si>
    <t xml:space="preserve"> 62.7241 </t>
  </si>
  <si>
    <t xml:space="preserve">F:\images\20210312\plaque 1/@02 EE2 33.8/E2_03.tif </t>
  </si>
  <si>
    <t xml:space="preserve"> 64.4245 </t>
  </si>
  <si>
    <t xml:space="preserve">F:\images\20210312\plaque 1/@02 EE2 33.8/F2_01.tif </t>
  </si>
  <si>
    <t xml:space="preserve"> 67.4417 </t>
  </si>
  <si>
    <t xml:space="preserve">F:\images\20210312\plaque 1/@02 EE2 33.8/F2_02.tif </t>
  </si>
  <si>
    <t xml:space="preserve"> 66.1618 </t>
  </si>
  <si>
    <t xml:space="preserve">F:\images\20210312\plaque 1/@02 EE2 33.8/F2_03.tif </t>
  </si>
  <si>
    <t xml:space="preserve"> 67.3141 </t>
  </si>
  <si>
    <t xml:space="preserve">F:\images\20210312\plaque 1/@02 EE2 33.8/G2_01.tif </t>
  </si>
  <si>
    <t xml:space="preserve"> 64.1905 </t>
  </si>
  <si>
    <t xml:space="preserve">F:\images\20210312\plaque 1/@02 EE2 33.8/G2_02.tif </t>
  </si>
  <si>
    <t xml:space="preserve"> 62.4118 </t>
  </si>
  <si>
    <t xml:space="preserve">F:\images\20210312\plaque 1/@02 EE2 33.8/G2_03.tif </t>
  </si>
  <si>
    <t xml:space="preserve"> 63.4545 </t>
  </si>
  <si>
    <t xml:space="preserve">F:\images\20210312\plaque 1/@02 EE2 33.8/H2_01.tif </t>
  </si>
  <si>
    <t xml:space="preserve"> 8370.7692 </t>
  </si>
  <si>
    <t xml:space="preserve"> 77.3256 </t>
  </si>
  <si>
    <t xml:space="preserve">F:\images\20210312\plaque 1/@02 EE2 33.8/H2_02.tif </t>
  </si>
  <si>
    <t xml:space="preserve"> 78.8575 </t>
  </si>
  <si>
    <t xml:space="preserve">F:\images\20210312\plaque 1/@02 EE2 33.8/H2_03.tif </t>
  </si>
  <si>
    <t xml:space="preserve"> 76.6348 </t>
  </si>
  <si>
    <t xml:space="preserve">F:\images\20210312\plaque 1/@02 EE2 33.8/ </t>
  </si>
  <si>
    <t xml:space="preserve"> 67.5685 </t>
  </si>
  <si>
    <t xml:space="preserve"> 5.3349 </t>
  </si>
  <si>
    <t xml:space="preserve"> 240173.875 </t>
  </si>
  <si>
    <t xml:space="preserve"> 254212.799 </t>
  </si>
  <si>
    <t xml:space="preserve">F:\images\20210312\plaque 1/@03 EE2 50.6/A3_01.tif </t>
  </si>
  <si>
    <t xml:space="preserve"> 71.1698 </t>
  </si>
  <si>
    <t xml:space="preserve">F:\images\20210312\plaque 1/@03 EE2 50.6/A3_02.tif </t>
  </si>
  <si>
    <t xml:space="preserve"> 5580.5128 </t>
  </si>
  <si>
    <t xml:space="preserve"> 68.7752 </t>
  </si>
  <si>
    <t xml:space="preserve">F:\images\20210312\plaque 1/@03 EE2 50.6/A3_03.tif </t>
  </si>
  <si>
    <t xml:space="preserve"> 69.518 </t>
  </si>
  <si>
    <t>F:\images\20210312\plaque 1/@03 EE2 50.6/B3_01- exclu.tif</t>
  </si>
  <si>
    <t>F:\images\20210312\plaque 1/@03 EE2 50.6/B3_02- exclu.tif</t>
  </si>
  <si>
    <t xml:space="preserve">F:\images\20210312\plaque 1/@03 EE2 50.6/B3_03.tif </t>
  </si>
  <si>
    <t xml:space="preserve"> 72.6022 </t>
  </si>
  <si>
    <t xml:space="preserve">F:\images\20210312\plaque 1/@03 EE2 50.6/C3_01.tif </t>
  </si>
  <si>
    <t xml:space="preserve">F:\images\20210312\plaque 1/@03 EE2 50.6/C3_02.tif </t>
  </si>
  <si>
    <t xml:space="preserve">F:\images\20210312\plaque 1/@03 EE2 50.6/C3_03.tif </t>
  </si>
  <si>
    <t xml:space="preserve">F:\images\20210312\plaque 1/@03 EE2 50.6/D3_01.tif </t>
  </si>
  <si>
    <t xml:space="preserve"> 64.1333 </t>
  </si>
  <si>
    <t xml:space="preserve">F:\images\20210312\plaque 1/@03 EE2 50.6/D3_02.tif </t>
  </si>
  <si>
    <t xml:space="preserve"> 1881.8008 </t>
  </si>
  <si>
    <t xml:space="preserve"> 64.5862 </t>
  </si>
  <si>
    <t xml:space="preserve">F:\images\20210312\plaque 1/@03 EE2 50.6/D3_03.tif </t>
  </si>
  <si>
    <t xml:space="preserve"> 4455.7583 </t>
  </si>
  <si>
    <t xml:space="preserve"> 65.6214 </t>
  </si>
  <si>
    <t xml:space="preserve">F:\images\20210312\plaque 1/@03 EE2 50.6/E3_01.tif </t>
  </si>
  <si>
    <t xml:space="preserve"> 4477.3882 </t>
  </si>
  <si>
    <t xml:space="preserve"> 66.0918 </t>
  </si>
  <si>
    <t xml:space="preserve">F:\images\20210312\plaque 1/@03 EE2 50.6/E3_02.tif </t>
  </si>
  <si>
    <t xml:space="preserve"> 63.8953 </t>
  </si>
  <si>
    <t xml:space="preserve">F:\images\20210312\plaque 1/@03 EE2 50.6/E3_03.tif </t>
  </si>
  <si>
    <t xml:space="preserve"> 62.8421 </t>
  </si>
  <si>
    <t xml:space="preserve">F:\images\20210312\plaque 1/@03 EE2 50.6/F3_01.tif </t>
  </si>
  <si>
    <t xml:space="preserve"> 66.3913 </t>
  </si>
  <si>
    <t xml:space="preserve">F:\images\20210312\plaque 1/@03 EE2 50.6/F3_02.tif </t>
  </si>
  <si>
    <t xml:space="preserve"> 64.2537 </t>
  </si>
  <si>
    <t xml:space="preserve">F:\images\20210312\plaque 1/@03 EE2 50.6/F3_03.tif </t>
  </si>
  <si>
    <t xml:space="preserve">F:\images\20210312\plaque 1/@03 EE2 50.6/G3_01.tif </t>
  </si>
  <si>
    <t xml:space="preserve"> 66.2364 </t>
  </si>
  <si>
    <t xml:space="preserve">F:\images\20210312\plaque 1/@03 EE2 50.6/G3_02.tif </t>
  </si>
  <si>
    <t xml:space="preserve"> 73.4853 </t>
  </si>
  <si>
    <t xml:space="preserve">F:\images\20210312\plaque 1/@03 EE2 50.6/G3_03.tif </t>
  </si>
  <si>
    <t xml:space="preserve"> 72.9542 </t>
  </si>
  <si>
    <t xml:space="preserve">F:\images\20210312\plaque 1/@03 EE2 50.6/H3_01.tif </t>
  </si>
  <si>
    <t xml:space="preserve"> 69.9747 </t>
  </si>
  <si>
    <t xml:space="preserve">F:\images\20210312\plaque 1/@03 EE2 50.6/H3_02.tif </t>
  </si>
  <si>
    <t xml:space="preserve"> 69.0365 </t>
  </si>
  <si>
    <t xml:space="preserve">F:\images\20210312\plaque 1/@03 EE2 50.6/H3_03.tif </t>
  </si>
  <si>
    <t xml:space="preserve"> 64.3514 </t>
  </si>
  <si>
    <t xml:space="preserve">F:\images\20210312\plaque 1/@03 EE2 50.6/ </t>
  </si>
  <si>
    <t xml:space="preserve"> 66.5372 </t>
  </si>
  <si>
    <t xml:space="preserve"> 3.4938 </t>
  </si>
  <si>
    <t xml:space="preserve"> 228659.542 </t>
  </si>
  <si>
    <t xml:space="preserve"> 181595.895 </t>
  </si>
  <si>
    <t xml:space="preserve">F:\images\20210312\plaque 1/@04 EE2 76/A4_01.tif </t>
  </si>
  <si>
    <t xml:space="preserve"> 4801.8366 </t>
  </si>
  <si>
    <t xml:space="preserve"> 63.9099 </t>
  </si>
  <si>
    <t xml:space="preserve">F:\images\20210312\plaque 1/@04 EE2 76/A4_02.tif </t>
  </si>
  <si>
    <t xml:space="preserve"> 63.9604 </t>
  </si>
  <si>
    <t xml:space="preserve">F:\images\20210312\plaque 1/@04 EE2 76/A4_03.tif </t>
  </si>
  <si>
    <t xml:space="preserve"> 64.147 </t>
  </si>
  <si>
    <t xml:space="preserve">F:\images\20210312\plaque 1/@04 EE2 76/B4_01.tif </t>
  </si>
  <si>
    <t xml:space="preserve"> 5775.1819 </t>
  </si>
  <si>
    <t xml:space="preserve"> 64.2135 </t>
  </si>
  <si>
    <t xml:space="preserve">F:\images\20210312\plaque 1/@04 EE2 76/B4_02.tif </t>
  </si>
  <si>
    <t xml:space="preserve"> 67.9328 </t>
  </si>
  <si>
    <t xml:space="preserve">F:\images\20210312\plaque 1/@04 EE2 76/B4_03.tif </t>
  </si>
  <si>
    <t xml:space="preserve"> 62.9899 </t>
  </si>
  <si>
    <t xml:space="preserve">F:\images\20210312\plaque 1/@04 EE2 76/C4_01.tif </t>
  </si>
  <si>
    <t xml:space="preserve"> 69.1125 </t>
  </si>
  <si>
    <t xml:space="preserve">F:\images\20210312\plaque 1/@04 EE2 76/C4_02.tif </t>
  </si>
  <si>
    <t xml:space="preserve"> 65.8009 </t>
  </si>
  <si>
    <t xml:space="preserve">F:\images\20210312\plaque 1/@04 EE2 76/C4_03.tif </t>
  </si>
  <si>
    <t xml:space="preserve"> 66.7958 </t>
  </si>
  <si>
    <t xml:space="preserve">F:\images\20210312\plaque 1/@04 EE2 76/D4_01.tif </t>
  </si>
  <si>
    <t xml:space="preserve"> 5407.4737 </t>
  </si>
  <si>
    <t xml:space="preserve"> 69.628 </t>
  </si>
  <si>
    <t xml:space="preserve">F:\images\20210312\plaque 1/@04 EE2 76/D4_02.tif </t>
  </si>
  <si>
    <t xml:space="preserve"> 70.2916 </t>
  </si>
  <si>
    <t xml:space="preserve">F:\images\20210312\plaque 1/@04 EE2 76/D4_03.tif </t>
  </si>
  <si>
    <t xml:space="preserve"> 62.88 </t>
  </si>
  <si>
    <t xml:space="preserve">F:\images\20210312\plaque 1/@04 EE2 76/E4_01.tif </t>
  </si>
  <si>
    <t xml:space="preserve"> 8543.8084 </t>
  </si>
  <si>
    <t xml:space="preserve"> 63.8633 </t>
  </si>
  <si>
    <t xml:space="preserve">F:\images\20210312\plaque 1/@04 EE2 76/E4_02.tif </t>
  </si>
  <si>
    <t xml:space="preserve"> 11117.7658 </t>
  </si>
  <si>
    <t xml:space="preserve"> 67.4553 </t>
  </si>
  <si>
    <t xml:space="preserve">F:\images\20210312\plaque 1/@04 EE2 76/E4_03.tif </t>
  </si>
  <si>
    <t xml:space="preserve"> 13042.8265 </t>
  </si>
  <si>
    <t xml:space="preserve"> 70.2438 </t>
  </si>
  <si>
    <t xml:space="preserve">F:\images\20210312\plaque 1/@04 EE2 76/F4_01.tif </t>
  </si>
  <si>
    <t xml:space="preserve"> 66.6626 </t>
  </si>
  <si>
    <t xml:space="preserve">F:\images\20210312\plaque 1/@04 EE2 76/F4_02.tif </t>
  </si>
  <si>
    <t xml:space="preserve"> 63.7659 </t>
  </si>
  <si>
    <t xml:space="preserve">F:\images\20210312\plaque 1/@04 EE2 76/F4_03.tif </t>
  </si>
  <si>
    <t xml:space="preserve"> 66.0345 </t>
  </si>
  <si>
    <t xml:space="preserve">F:\images\20210312\plaque 1/@04 EE2 76/G4_01.tif </t>
  </si>
  <si>
    <t xml:space="preserve"> 65.9848 </t>
  </si>
  <si>
    <t xml:space="preserve">F:\images\20210312\plaque 1/@04 EE2 76/G4_02.tif </t>
  </si>
  <si>
    <t xml:space="preserve"> 2249.509 </t>
  </si>
  <si>
    <t xml:space="preserve"> 63.5769 </t>
  </si>
  <si>
    <t xml:space="preserve">F:\images\20210312\plaque 1/@04 EE2 76/G4_03.tif </t>
  </si>
  <si>
    <t xml:space="preserve"> 64.6082 </t>
  </si>
  <si>
    <t xml:space="preserve">F:\images\20210312\plaque 1/@04 EE2 76/H4_01.tif </t>
  </si>
  <si>
    <t xml:space="preserve"> 69.0517 </t>
  </si>
  <si>
    <t xml:space="preserve">F:\images\20210312\plaque 1/@04 EE2 76/H4_02.tif </t>
  </si>
  <si>
    <t xml:space="preserve"> 68.7233 </t>
  </si>
  <si>
    <t xml:space="preserve">F:\images\20210312\plaque 1/@04 EE2 76/H4_03.tif </t>
  </si>
  <si>
    <t xml:space="preserve"> 6532.2282 </t>
  </si>
  <si>
    <t xml:space="preserve"> 69.7517 </t>
  </si>
  <si>
    <t xml:space="preserve">F:\images\20210312\plaque 1/@04 EE2 76/ </t>
  </si>
  <si>
    <t xml:space="preserve"> 66.3077 </t>
  </si>
  <si>
    <t xml:space="preserve"> 2.5203 </t>
  </si>
  <si>
    <t xml:space="preserve"> 396246.125 </t>
  </si>
  <si>
    <t xml:space="preserve"> 185749.317 </t>
  </si>
  <si>
    <t xml:space="preserve">F:\images\20210312\plaque 1/@05 EE2 114/A5_01.tif </t>
  </si>
  <si>
    <t xml:space="preserve"> 66.2179 </t>
  </si>
  <si>
    <t xml:space="preserve">F:\images\20210312\plaque 1/@05 EE2 114/A5_02.tif </t>
  </si>
  <si>
    <t xml:space="preserve"> 4412.4985 </t>
  </si>
  <si>
    <t xml:space="preserve"> 64.9167 </t>
  </si>
  <si>
    <t xml:space="preserve">F:\images\20210312\plaque 1/@05 EE2 114/A5_03.tif </t>
  </si>
  <si>
    <t xml:space="preserve"> 2357.6585 </t>
  </si>
  <si>
    <t xml:space="preserve"> 64.0183 </t>
  </si>
  <si>
    <t xml:space="preserve">F:\images\20210312\plaque 1/@05 EE2 114/B5_01.tif </t>
  </si>
  <si>
    <t xml:space="preserve"> 14081.0614 </t>
  </si>
  <si>
    <t xml:space="preserve"> 65.1582 </t>
  </si>
  <si>
    <t xml:space="preserve">F:\images\20210312\plaque 1/@05 EE2 114/B5_02.tif </t>
  </si>
  <si>
    <t xml:space="preserve"> 13475.4244 </t>
  </si>
  <si>
    <t xml:space="preserve"> 64.923 </t>
  </si>
  <si>
    <t xml:space="preserve">F:\images\20210312\plaque 1/@05 EE2 114/B5_03.tif </t>
  </si>
  <si>
    <t xml:space="preserve"> 7332.5343 </t>
  </si>
  <si>
    <t xml:space="preserve"> 64.705 </t>
  </si>
  <si>
    <t>F:\images\20210312\plaque 1/@05 EE2 114/C5_01- exclu.tif</t>
  </si>
  <si>
    <t xml:space="preserve">F:\images\20210312\plaque 1/@05 EE2 114/C5_02.tif </t>
  </si>
  <si>
    <t xml:space="preserve"> 84.0899 </t>
  </si>
  <si>
    <t xml:space="preserve">F:\images\20210312\plaque 1/@05 EE2 114/C5_03.tif </t>
  </si>
  <si>
    <t xml:space="preserve"> 43216.5295 </t>
  </si>
  <si>
    <t xml:space="preserve"> 89.5626 </t>
  </si>
  <si>
    <t xml:space="preserve">F:\images\20210312\plaque 1/@05 EE2 114/D5_01.tif </t>
  </si>
  <si>
    <t xml:space="preserve"> 72.4823 </t>
  </si>
  <si>
    <t xml:space="preserve">F:\images\20210312\plaque 1/@05 EE2 114/D5_02.tif </t>
  </si>
  <si>
    <t xml:space="preserve"> 37938.8352 </t>
  </si>
  <si>
    <t xml:space="preserve"> 75.1625 </t>
  </si>
  <si>
    <t xml:space="preserve">F:\images\20210312\plaque 1/@05 EE2 114/D5_03.tif </t>
  </si>
  <si>
    <t xml:space="preserve"> 73.9731 </t>
  </si>
  <si>
    <t xml:space="preserve">F:\images\20210312\plaque 1/@05 EE2 114/E5_01.tif </t>
  </si>
  <si>
    <t xml:space="preserve"> 26258.6921 </t>
  </si>
  <si>
    <t xml:space="preserve"> 68.9423 </t>
  </si>
  <si>
    <t xml:space="preserve">F:\images\20210312\plaque 1/@05 EE2 114/E5_02.tif </t>
  </si>
  <si>
    <t xml:space="preserve"> 27772.7847 </t>
  </si>
  <si>
    <t xml:space="preserve"> 68.4712 </t>
  </si>
  <si>
    <t xml:space="preserve">F:\images\20210312\plaque 1/@05 EE2 114/E5_03.tif </t>
  </si>
  <si>
    <t xml:space="preserve"> 27859.3043 </t>
  </si>
  <si>
    <t xml:space="preserve"> 69.4488 </t>
  </si>
  <si>
    <t xml:space="preserve">F:\images\20210312\plaque 1/@05 EE2 114/F5_01.tif </t>
  </si>
  <si>
    <t xml:space="preserve"> 18688.229 </t>
  </si>
  <si>
    <t xml:space="preserve"> 68.0694 </t>
  </si>
  <si>
    <t xml:space="preserve">F:\images\20210312\plaque 1/@05 EE2 114/F5_02.tif </t>
  </si>
  <si>
    <t xml:space="preserve"> 19921.133 </t>
  </si>
  <si>
    <t xml:space="preserve"> 68.0163 </t>
  </si>
  <si>
    <t xml:space="preserve">F:\images\20210312\plaque 1/@05 EE2 114/F5_03.tif </t>
  </si>
  <si>
    <t xml:space="preserve"> 22906.0584 </t>
  </si>
  <si>
    <t xml:space="preserve"> 68.4004 </t>
  </si>
  <si>
    <t xml:space="preserve">F:\images\20210312\plaque 1/@05 EE2 114/G5_01.tif </t>
  </si>
  <si>
    <t xml:space="preserve"> 22776.279 </t>
  </si>
  <si>
    <t xml:space="preserve"> 67.094 </t>
  </si>
  <si>
    <t xml:space="preserve">F:\images\20210312\plaque 1/@05 EE2 114/G5_02.tif </t>
  </si>
  <si>
    <t xml:space="preserve"> 25306.9767 </t>
  </si>
  <si>
    <t xml:space="preserve"> 67.3205 </t>
  </si>
  <si>
    <t>F:\images\20210312\plaque 1/@05 EE2 114/G5_03- exclu.tif</t>
  </si>
  <si>
    <t xml:space="preserve">F:\images\20210312\plaque 1/@05 EE2 114/H5_01.tif </t>
  </si>
  <si>
    <t xml:space="preserve"> 7072.9755 </t>
  </si>
  <si>
    <t xml:space="preserve"> 64.4373 </t>
  </si>
  <si>
    <t xml:space="preserve">F:\images\20210312\plaque 1/@05 EE2 114/H5_02.tif </t>
  </si>
  <si>
    <t xml:space="preserve"> 6618.7478 </t>
  </si>
  <si>
    <t xml:space="preserve"> 64.866 </t>
  </si>
  <si>
    <t xml:space="preserve">F:\images\20210312\plaque 1/@05 EE2 114/H5_03.tif </t>
  </si>
  <si>
    <t xml:space="preserve"> 64.9431 </t>
  </si>
  <si>
    <t xml:space="preserve">F:\images\20210312\plaque 1/@05 EE2 114/ </t>
  </si>
  <si>
    <t xml:space="preserve"> 69.3163 </t>
  </si>
  <si>
    <t xml:space="preserve"> 6.2783 </t>
  </si>
  <si>
    <t xml:space="preserve"> 1577592.5 </t>
  </si>
  <si>
    <t xml:space="preserve"> 1201046.89 </t>
  </si>
  <si>
    <t xml:space="preserve">F:\images\20210312\plaque 1/@06 EE2 170.9/A6_01.tif </t>
  </si>
  <si>
    <t xml:space="preserve"> 80.0612 </t>
  </si>
  <si>
    <t xml:space="preserve">F:\images\20210312\plaque 1/@06 EE2 170.9/A6_02.tif </t>
  </si>
  <si>
    <t xml:space="preserve"> 25544.9056 </t>
  </si>
  <si>
    <t xml:space="preserve"> 78.1973 </t>
  </si>
  <si>
    <t xml:space="preserve">F:\images\20210312\plaque 1/@06 EE2 170.9/A6_03.tif </t>
  </si>
  <si>
    <t xml:space="preserve"> 24722.9696 </t>
  </si>
  <si>
    <t xml:space="preserve"> 76.8058 </t>
  </si>
  <si>
    <t xml:space="preserve">F:\images\20210312\plaque 1/@06 EE2 170.9/B6_01.tif </t>
  </si>
  <si>
    <t xml:space="preserve"> 45898.6364 </t>
  </si>
  <si>
    <t xml:space="preserve"> 71.6107 </t>
  </si>
  <si>
    <t xml:space="preserve">F:\images\20210312\plaque 1/@06 EE2 170.9/B6_02.tif </t>
  </si>
  <si>
    <t xml:space="preserve"> 38717.5114 </t>
  </si>
  <si>
    <t xml:space="preserve"> 67.9844 </t>
  </si>
  <si>
    <t xml:space="preserve">F:\images\20210312\plaque 1/@06 EE2 170.9/B6_03.tif </t>
  </si>
  <si>
    <t xml:space="preserve"> 41334.7286 </t>
  </si>
  <si>
    <t xml:space="preserve"> 72.314 </t>
  </si>
  <si>
    <t xml:space="preserve">F:\images\20210312\plaque 1/@06 EE2 170.9/C6_01.tif </t>
  </si>
  <si>
    <t xml:space="preserve"> 20245.5814 </t>
  </si>
  <si>
    <t xml:space="preserve"> 71.7447 </t>
  </si>
  <si>
    <t xml:space="preserve">F:\images\20210312\plaque 1/@06 EE2 170.9/C6_02.tif </t>
  </si>
  <si>
    <t xml:space="preserve"> 18558.4496 </t>
  </si>
  <si>
    <t xml:space="preserve"> 73.7075 </t>
  </si>
  <si>
    <t xml:space="preserve">F:\images\20210312\plaque 1/@06 EE2 170.9/C6_03.tif </t>
  </si>
  <si>
    <t xml:space="preserve"> 74.473 </t>
  </si>
  <si>
    <t xml:space="preserve">F:\images\20210312\plaque 1/@06 EE2 170.9/D6_01.tif </t>
  </si>
  <si>
    <t xml:space="preserve"> 14751.5881 </t>
  </si>
  <si>
    <t xml:space="preserve"> 70.5293 </t>
  </si>
  <si>
    <t xml:space="preserve">F:\images\20210312\plaque 1/@06 EE2 170.9/D6_02.tif </t>
  </si>
  <si>
    <t xml:space="preserve"> 15962.8622 </t>
  </si>
  <si>
    <t xml:space="preserve"> 68.6992 </t>
  </si>
  <si>
    <t xml:space="preserve">F:\images\20210312\plaque 1/@06 EE2 170.9/D6_03.tif </t>
  </si>
  <si>
    <t xml:space="preserve"> 65.9351 </t>
  </si>
  <si>
    <t xml:space="preserve">F:\images\20210312\plaque 1/@06 EE2 170.9/E6_01.tif </t>
  </si>
  <si>
    <t xml:space="preserve"> 75.0568 </t>
  </si>
  <si>
    <t xml:space="preserve">F:\images\20210312\plaque 1/@06 EE2 170.9/E6_02.tif </t>
  </si>
  <si>
    <t xml:space="preserve"> 29611.3257 </t>
  </si>
  <si>
    <t xml:space="preserve"> 76.179 </t>
  </si>
  <si>
    <t xml:space="preserve">F:\images\20210312\plaque 1/@06 EE2 170.9/E6_03.tif </t>
  </si>
  <si>
    <t xml:space="preserve"> 28486.5712 </t>
  </si>
  <si>
    <t xml:space="preserve"> 79.6553 </t>
  </si>
  <si>
    <t xml:space="preserve">F:\images\20210312\plaque 1/@06 EE2 170.9/F6_01.tif </t>
  </si>
  <si>
    <t xml:space="preserve"> 46763.8322 </t>
  </si>
  <si>
    <t xml:space="preserve"> 76.1674 </t>
  </si>
  <si>
    <t xml:space="preserve">F:\images\20210312\plaque 1/@06 EE2 170.9/F6_02.tif </t>
  </si>
  <si>
    <t xml:space="preserve"> 57254.3311 </t>
  </si>
  <si>
    <t xml:space="preserve"> 76.7386 </t>
  </si>
  <si>
    <t xml:space="preserve">F:\images\20210312\plaque 1/@06 EE2 170.9/F6_03.tif </t>
  </si>
  <si>
    <t xml:space="preserve"> 76.9205 </t>
  </si>
  <si>
    <t xml:space="preserve">F:\images\20210312\plaque 1/@06 EE2 170.9/G6_01.tif </t>
  </si>
  <si>
    <t xml:space="preserve"> 38068.6145 </t>
  </si>
  <si>
    <t xml:space="preserve"> 74.0028 </t>
  </si>
  <si>
    <t xml:space="preserve">F:\images\20210312\plaque 1/@06 EE2 170.9/G6_02.tif </t>
  </si>
  <si>
    <t xml:space="preserve"> 75.8153 </t>
  </si>
  <si>
    <t xml:space="preserve">F:\images\20210312\plaque 1/@06 EE2 170.9/G6_03.tif </t>
  </si>
  <si>
    <t xml:space="preserve"> 40188.3442 </t>
  </si>
  <si>
    <t xml:space="preserve"> 74.7088 </t>
  </si>
  <si>
    <t xml:space="preserve">F:\images\20210312\plaque 1/@06 EE2 170.9/H6_01.tif </t>
  </si>
  <si>
    <t xml:space="preserve"> 61061.1925 </t>
  </si>
  <si>
    <t xml:space="preserve"> 80.327 </t>
  </si>
  <si>
    <t xml:space="preserve">F:\images\20210312\plaque 1/@06 EE2 170.9/H6_02.tif </t>
  </si>
  <si>
    <t xml:space="preserve"> 55242.7509 </t>
  </si>
  <si>
    <t xml:space="preserve"> 78.6629 </t>
  </si>
  <si>
    <t xml:space="preserve">F:\images\20210312\plaque 1/@06 EE2 170.9/H6_03.tif </t>
  </si>
  <si>
    <t xml:space="preserve"> 56821.7332 </t>
  </si>
  <si>
    <t xml:space="preserve"> 79.4191 </t>
  </si>
  <si>
    <t xml:space="preserve">F:\images\20210312\plaque 1/@06 EE2 170.9/ </t>
  </si>
  <si>
    <t xml:space="preserve"> 74.8215 </t>
  </si>
  <si>
    <t xml:space="preserve"> 3.928 </t>
  </si>
  <si>
    <t xml:space="preserve"> 2650966.17 </t>
  </si>
  <si>
    <t xml:space="preserve"> 1210355.5 </t>
  </si>
  <si>
    <t xml:space="preserve">F:\images\20210312\plaque 1/@07 EE2 488/A7_01.tif </t>
  </si>
  <si>
    <t xml:space="preserve"> 83.4005 </t>
  </si>
  <si>
    <t xml:space="preserve">F:\images\20210312\plaque 1/@07 EE2 488/A7_02.tif </t>
  </si>
  <si>
    <t xml:space="preserve"> 44384.5438 </t>
  </si>
  <si>
    <t xml:space="preserve"> 82.1569 </t>
  </si>
  <si>
    <t xml:space="preserve">F:\images\20210312\plaque 1/@07 EE2 488/A7_03.tif </t>
  </si>
  <si>
    <t xml:space="preserve"> 83.3414 </t>
  </si>
  <si>
    <t xml:space="preserve">F:\images\20210312\plaque 1/@07 EE2 488/B7_01.tif </t>
  </si>
  <si>
    <t xml:space="preserve"> 59958.0679 </t>
  </si>
  <si>
    <t xml:space="preserve"> 88.0404 </t>
  </si>
  <si>
    <t xml:space="preserve">F:\images\20210312\plaque 1/@07 EE2 488/B7_02.tif </t>
  </si>
  <si>
    <t xml:space="preserve"> 61082.8224 </t>
  </si>
  <si>
    <t xml:space="preserve"> 84.1601 </t>
  </si>
  <si>
    <t xml:space="preserve">F:\images\20210312\plaque 1/@07 EE2 488/B7_03.tif </t>
  </si>
  <si>
    <t xml:space="preserve"> 60953.0431 </t>
  </si>
  <si>
    <t xml:space="preserve"> 84.9468 </t>
  </si>
  <si>
    <t xml:space="preserve">F:\images\20210312\plaque 1/@07 EE2 488/C7_01.tif </t>
  </si>
  <si>
    <t xml:space="preserve"> 51089.8111 </t>
  </si>
  <si>
    <t xml:space="preserve"> 96.7519 </t>
  </si>
  <si>
    <t xml:space="preserve">F:\images\20210312\plaque 1/@07 EE2 488/C7_02.tif </t>
  </si>
  <si>
    <t xml:space="preserve"> 49272.9 </t>
  </si>
  <si>
    <t xml:space="preserve"> 99.2608 </t>
  </si>
  <si>
    <t xml:space="preserve">F:\images\20210312\plaque 1/@07 EE2 488/C7_03.tif </t>
  </si>
  <si>
    <t xml:space="preserve"> 47823.697 </t>
  </si>
  <si>
    <t xml:space="preserve"> 98.6413 </t>
  </si>
  <si>
    <t xml:space="preserve">F:\images\20210312\plaque 1/@07 EE2 488/D7_01.tif </t>
  </si>
  <si>
    <t xml:space="preserve"> 65473.691 </t>
  </si>
  <si>
    <t xml:space="preserve"> 99.0714 </t>
  </si>
  <si>
    <t xml:space="preserve">F:\images\20210312\plaque 1/@07 EE2 488/D7_02.tif </t>
  </si>
  <si>
    <t xml:space="preserve"> 68847.9546 </t>
  </si>
  <si>
    <t xml:space="preserve"> 98.2083 </t>
  </si>
  <si>
    <t>F:\images\20210312\plaque 1/@07 EE2 488/D7_03- exclu.tif</t>
  </si>
  <si>
    <t xml:space="preserve">F:\images\20210312\plaque 1/@07 EE2 488/E7_01.tif </t>
  </si>
  <si>
    <t xml:space="preserve"> 59071.2422 </t>
  </si>
  <si>
    <t xml:space="preserve"> 81.305 </t>
  </si>
  <si>
    <t xml:space="preserve">F:\images\20210312\plaque 1/@07 EE2 488/E7_02.tif </t>
  </si>
  <si>
    <t xml:space="preserve"> 56951.5126 </t>
  </si>
  <si>
    <t xml:space="preserve"> 80.3035 </t>
  </si>
  <si>
    <t xml:space="preserve">F:\images\20210312\plaque 1/@07 EE2 488/E7_03.tif </t>
  </si>
  <si>
    <t xml:space="preserve"> 58854.9433 </t>
  </si>
  <si>
    <t xml:space="preserve"> 83.3381 </t>
  </si>
  <si>
    <t xml:space="preserve">F:\images\20210312\plaque 1/@07 EE2 488/F7_01.tif </t>
  </si>
  <si>
    <t xml:space="preserve"> 59871.5483 </t>
  </si>
  <si>
    <t xml:space="preserve"> 93.5614 </t>
  </si>
  <si>
    <t xml:space="preserve">F:\images\20210312\plaque 1/@07 EE2 488/F7_02.tif </t>
  </si>
  <si>
    <t xml:space="preserve"> 98.2264 </t>
  </si>
  <si>
    <t xml:space="preserve">F:\images\20210312\plaque 1/@07 EE2 488/F7_03.tif </t>
  </si>
  <si>
    <t xml:space="preserve"> 57557.1496 </t>
  </si>
  <si>
    <t xml:space="preserve"> 96.519 </t>
  </si>
  <si>
    <t xml:space="preserve">F:\images\20210312\plaque 1/@07 EE2 488/G7_01.tif </t>
  </si>
  <si>
    <t xml:space="preserve"> 61883.1285 </t>
  </si>
  <si>
    <t xml:space="preserve"> 89.9944 </t>
  </si>
  <si>
    <t xml:space="preserve">F:\images\20210312\plaque 1/@07 EE2 488/G7_02.tif </t>
  </si>
  <si>
    <t xml:space="preserve"> 56843.3631 </t>
  </si>
  <si>
    <t xml:space="preserve"> 91.7972 </t>
  </si>
  <si>
    <t xml:space="preserve">F:\images\20210312\plaque 1/@07 EE2 488/G7_03.tif </t>
  </si>
  <si>
    <t xml:space="preserve"> 63873.0788 </t>
  </si>
  <si>
    <t xml:space="preserve"> 91.2767 </t>
  </si>
  <si>
    <t xml:space="preserve">F:\images\20210312\plaque 1/@07 EE2 488/H7_01.tif </t>
  </si>
  <si>
    <t xml:space="preserve"> 99.4471 </t>
  </si>
  <si>
    <t xml:space="preserve">F:\images\20210312\plaque 1/@07 EE2 488/H7_02.tif </t>
  </si>
  <si>
    <t xml:space="preserve"> 57319.2208 </t>
  </si>
  <si>
    <t xml:space="preserve"> 100.3845 </t>
  </si>
  <si>
    <t xml:space="preserve">F:\images\20210312\plaque 1/@07 EE2 488/H7_03.tif </t>
  </si>
  <si>
    <t xml:space="preserve"> 49445.9391 </t>
  </si>
  <si>
    <t xml:space="preserve"> 109.255 </t>
  </si>
  <si>
    <t xml:space="preserve">F:\images\20210312\plaque 1/@07 EE2 488/ </t>
  </si>
  <si>
    <t xml:space="preserve"> 92.0402 </t>
  </si>
  <si>
    <t xml:space="preserve"> 7.8279 </t>
  </si>
  <si>
    <t xml:space="preserve"> 5139120.54 </t>
  </si>
  <si>
    <t xml:space="preserve"> 820300.269 </t>
  </si>
  <si>
    <t xml:space="preserve">F:\images\20210312\plaque 1/@08 Amantadine 0.001 mg_L/A8_01.tif </t>
  </si>
  <si>
    <t xml:space="preserve"> 2768.6265 </t>
  </si>
  <si>
    <t xml:space="preserve"> 64.2734 </t>
  </si>
  <si>
    <t xml:space="preserve">F:\images\20210312\plaque 1/@08 Amantadine 0.001 mg_L/A8_02.tif </t>
  </si>
  <si>
    <t xml:space="preserve"> 63.7564 </t>
  </si>
  <si>
    <t xml:space="preserve">F:\images\20210312\plaque 1/@08 Amantadine 0.001 mg_L/A8_03.tif </t>
  </si>
  <si>
    <t xml:space="preserve"> 6856.6766 </t>
  </si>
  <si>
    <t xml:space="preserve"> 67.347 </t>
  </si>
  <si>
    <t xml:space="preserve">F:\images\20210312\plaque 1/@08 Amantadine 0.001 mg_L/B8_01.tif </t>
  </si>
  <si>
    <t xml:space="preserve"> 3504.0429 </t>
  </si>
  <si>
    <t xml:space="preserve"> 64.7284 </t>
  </si>
  <si>
    <t xml:space="preserve">F:\images\20210312\plaque 1/@08 Amantadine 0.001 mg_L/B8_02.tif </t>
  </si>
  <si>
    <t xml:space="preserve"> 66.5708 </t>
  </si>
  <si>
    <t xml:space="preserve">F:\images\20210312\plaque 1/@08 Amantadine 0.001 mg_L/B8_03.tif </t>
  </si>
  <si>
    <t xml:space="preserve">F:\images\20210312\plaque 1/@08 Amantadine 0.001 mg_L/C8_01.tif </t>
  </si>
  <si>
    <t xml:space="preserve"> 8414.029 </t>
  </si>
  <si>
    <t xml:space="preserve"> 68.9332 </t>
  </si>
  <si>
    <t xml:space="preserve">F:\images\20210312\plaque 1/@08 Amantadine 0.001 mg_L/C8_02.tif </t>
  </si>
  <si>
    <t xml:space="preserve"> 65.129 </t>
  </si>
  <si>
    <t xml:space="preserve">F:\images\20210312\plaque 1/@08 Amantadine 0.001 mg_L/C8_03.tif </t>
  </si>
  <si>
    <t xml:space="preserve"> 68.1186 </t>
  </si>
  <si>
    <t xml:space="preserve">F:\images\20210312\plaque 1/@08 Amantadine 0.001 mg_L/D8_01.tif </t>
  </si>
  <si>
    <t xml:space="preserve"> 76.9329 </t>
  </si>
  <si>
    <t xml:space="preserve">F:\images\20210312\plaque 1/@08 Amantadine 0.001 mg_L/D8_02.tif </t>
  </si>
  <si>
    <t xml:space="preserve"> 6445.7086 </t>
  </si>
  <si>
    <t xml:space="preserve"> 75.0134 </t>
  </si>
  <si>
    <t xml:space="preserve">F:\images\20210312\plaque 1/@08 Amantadine 0.001 mg_L/D8_03.tif </t>
  </si>
  <si>
    <t xml:space="preserve"> 6986.456 </t>
  </si>
  <si>
    <t xml:space="preserve"> 76.1827 </t>
  </si>
  <si>
    <t xml:space="preserve">F:\images\20210312\plaque 1/@08 Amantadine 0.001 mg_L/E8_01.tif </t>
  </si>
  <si>
    <t xml:space="preserve"> 66.4766 </t>
  </si>
  <si>
    <t xml:space="preserve">F:\images\20210312\plaque 1/@08 Amantadine 0.001 mg_L/E8_02.tif </t>
  </si>
  <si>
    <t xml:space="preserve"> 65.664 </t>
  </si>
  <si>
    <t xml:space="preserve">F:\images\20210312\plaque 1/@08 Amantadine 0.001 mg_L/E8_03.tif </t>
  </si>
  <si>
    <t>F:\images\20210312\plaque 1/@08 Amantadine 0.001 mg_L/F8_01- exclu.tif</t>
  </si>
  <si>
    <t>F:\images\20210312\plaque 1/@08 Amantadine 0.001 mg_L/F8_02- exclu.tif</t>
  </si>
  <si>
    <t>F:\images\20210312\plaque 1/@08 Amantadine 0.001 mg_L/F8_03- exclu.tif</t>
  </si>
  <si>
    <t xml:space="preserve">F:\images\20210312\plaque 1/@08 Amantadine 0.001 mg_L/G8_01.tif </t>
  </si>
  <si>
    <t xml:space="preserve"> 67.2359 </t>
  </si>
  <si>
    <t xml:space="preserve">F:\images\20210312\plaque 1/@08 Amantadine 0.001 mg_L/G8_02.tif </t>
  </si>
  <si>
    <t xml:space="preserve"> 8111.2105 </t>
  </si>
  <si>
    <t xml:space="preserve"> 71.32 </t>
  </si>
  <si>
    <t>F:\images\20210312\plaque 1/@08 Amantadine 0.001 mg_L/G8_03- exclu.tif</t>
  </si>
  <si>
    <t xml:space="preserve">F:\images\20210312\plaque 1/@08 Amantadine 0.001 mg_L/H8_01.tif </t>
  </si>
  <si>
    <t xml:space="preserve"> 71.548 </t>
  </si>
  <si>
    <t xml:space="preserve">F:\images\20210312\plaque 1/@08 Amantadine 0.001 mg_L/H8_02.tif </t>
  </si>
  <si>
    <t xml:space="preserve"> 7786.7621 </t>
  </si>
  <si>
    <t xml:space="preserve"> 70.7667 </t>
  </si>
  <si>
    <t xml:space="preserve">F:\images\20210312\plaque 1/@08 Amantadine 0.001 mg_L/H8_03.tif </t>
  </si>
  <si>
    <t xml:space="preserve"> 62.8182 </t>
  </si>
  <si>
    <t xml:space="preserve">F:\images\20210312\plaque 1/@08 Amantadine 0.001 mg_L/ </t>
  </si>
  <si>
    <t xml:space="preserve"> 68.4145 </t>
  </si>
  <si>
    <t xml:space="preserve"> 4.7444 </t>
  </si>
  <si>
    <t xml:space="preserve"> 329116.042 </t>
  </si>
  <si>
    <t xml:space="preserve"> 250866.761 </t>
  </si>
  <si>
    <t xml:space="preserve">F:\images\20210312\plaque 1/@09 Amantadine 0.01 mg_L/A9_01.tif </t>
  </si>
  <si>
    <t xml:space="preserve"> 65.7941 </t>
  </si>
  <si>
    <t xml:space="preserve">F:\images\20210312\plaque 1/@09 Amantadine 0.01 mg_L/A9_02.tif </t>
  </si>
  <si>
    <t xml:space="preserve"> 65.3387 </t>
  </si>
  <si>
    <t xml:space="preserve">F:\images\20210312\plaque 1/@09 Amantadine 0.01 mg_L/A9_03.tif </t>
  </si>
  <si>
    <t xml:space="preserve"> 65.6755 </t>
  </si>
  <si>
    <t xml:space="preserve">F:\images\20210312\plaque 1/@09 Amantadine 0.01 mg_L/B9_01.tif </t>
  </si>
  <si>
    <t xml:space="preserve"> 62.1842 </t>
  </si>
  <si>
    <t xml:space="preserve">F:\images\20210312\plaque 1/@09 Amantadine 0.01 mg_L/B9_02.tif </t>
  </si>
  <si>
    <t xml:space="preserve">F:\images\20210312\plaque 1/@09 Amantadine 0.01 mg_L/B9_03.tif </t>
  </si>
  <si>
    <t xml:space="preserve"> 67.6484 </t>
  </si>
  <si>
    <t xml:space="preserve">F:\images\20210312\plaque 1/@09 Amantadine 0.01 mg_L/C9_01.tif </t>
  </si>
  <si>
    <t xml:space="preserve"> 67.2971 </t>
  </si>
  <si>
    <t xml:space="preserve">F:\images\20210312\plaque 1/@09 Amantadine 0.01 mg_L/C9_02.tif </t>
  </si>
  <si>
    <t xml:space="preserve"> 63.2414 </t>
  </si>
  <si>
    <t xml:space="preserve">F:\images\20210312\plaque 1/@09 Amantadine 0.01 mg_L/C9_03.tif </t>
  </si>
  <si>
    <t xml:space="preserve"> 63.325 </t>
  </si>
  <si>
    <t xml:space="preserve">F:\images\20210312\plaque 1/@09 Amantadine 0.01 mg_L/D9_01.tif </t>
  </si>
  <si>
    <t xml:space="preserve"> 6337.5591 </t>
  </si>
  <si>
    <t xml:space="preserve"> 68.6689 </t>
  </si>
  <si>
    <t xml:space="preserve">F:\images\20210312\plaque 1/@09 Amantadine 0.01 mg_L/D9_02.tif </t>
  </si>
  <si>
    <t xml:space="preserve"> 63.4848 </t>
  </si>
  <si>
    <t xml:space="preserve">F:\images\20210312\plaque 1/@09 Amantadine 0.01 mg_L/D9_03.tif </t>
  </si>
  <si>
    <t xml:space="preserve"> 64.4545 </t>
  </si>
  <si>
    <t xml:space="preserve">F:\images\20210312\plaque 1/@09 Amantadine 0.01 mg_L/E9_01.tif </t>
  </si>
  <si>
    <t xml:space="preserve"> 61.6957 </t>
  </si>
  <si>
    <t xml:space="preserve">F:\images\20210312\plaque 1/@09 Amantadine 0.01 mg_L/E9_02.tif </t>
  </si>
  <si>
    <t xml:space="preserve"> 62.9855 </t>
  </si>
  <si>
    <t xml:space="preserve">F:\images\20210312\plaque 1/@09 Amantadine 0.01 mg_L/E9_03.tif </t>
  </si>
  <si>
    <t xml:space="preserve"> 64.5882 </t>
  </si>
  <si>
    <t xml:space="preserve">F:\images\20210312\plaque 1/@09 Amantadine 0.01 mg_L/F9_01.tif </t>
  </si>
  <si>
    <t xml:space="preserve"> 65.2609 </t>
  </si>
  <si>
    <t xml:space="preserve">F:\images\20210312\plaque 1/@09 Amantadine 0.01 mg_L/F9_02.tif </t>
  </si>
  <si>
    <t xml:space="preserve"> 6251.0395 </t>
  </si>
  <si>
    <t xml:space="preserve"> 73.2491 </t>
  </si>
  <si>
    <t xml:space="preserve">F:\images\20210312\plaque 1/@09 Amantadine 0.01 mg_L/F9_03.tif </t>
  </si>
  <si>
    <t xml:space="preserve"> 65.6423 </t>
  </si>
  <si>
    <t xml:space="preserve">F:\images\20210312\plaque 1/@09 Amantadine 0.01 mg_L/G9_01.tif </t>
  </si>
  <si>
    <t xml:space="preserve">F:\images\20210312\plaque 1/@09 Amantadine 0.01 mg_L/G9_02.tif </t>
  </si>
  <si>
    <t xml:space="preserve">F:\images\20210312\plaque 1/@09 Amantadine 0.01 mg_L/G9_03.tif </t>
  </si>
  <si>
    <t xml:space="preserve"> 61.7778 </t>
  </si>
  <si>
    <t xml:space="preserve">F:\images\20210312\plaque 1/@09 Amantadine 0.01 mg_L/H9_01.tif </t>
  </si>
  <si>
    <t xml:space="preserve"> 65.4667 </t>
  </si>
  <si>
    <t xml:space="preserve">F:\images\20210312\plaque 1/@09 Amantadine 0.01 mg_L/H9_02.tif </t>
  </si>
  <si>
    <t xml:space="preserve"> 67.463 </t>
  </si>
  <si>
    <t xml:space="preserve">F:\images\20210312\plaque 1/@09 Amantadine 0.01 mg_L/H9_03.tif </t>
  </si>
  <si>
    <t xml:space="preserve"> 4390.8686 </t>
  </si>
  <si>
    <t xml:space="preserve"> 70.5862 </t>
  </si>
  <si>
    <t xml:space="preserve">F:\images\20210312\plaque 1/@09 Amantadine 0.01 mg_L/ </t>
  </si>
  <si>
    <t xml:space="preserve"> 65.3153 </t>
  </si>
  <si>
    <t xml:space="preserve"> 2.7671 </t>
  </si>
  <si>
    <t xml:space="preserve"> 126586.292 </t>
  </si>
  <si>
    <t xml:space="preserve"> 125051.558 </t>
  </si>
  <si>
    <t>F:\images\20210312\plaque 1/@10 Amantadine 0.1 mg_L/A10_01- exclu.tif</t>
  </si>
  <si>
    <t>F:\images\20210312\plaque 1/@10 Amantadine 0.1 mg_L/A10_02- exclu.tif</t>
  </si>
  <si>
    <t>F:\images\20210312\plaque 1/@10 Amantadine 0.1 mg_L/A10_03- exclu.tif</t>
  </si>
  <si>
    <t xml:space="preserve">F:\images\20210312\plaque 1/@10 Amantadine 0.1 mg_L/B10_01.tif </t>
  </si>
  <si>
    <t xml:space="preserve"> 64.5538 </t>
  </si>
  <si>
    <t xml:space="preserve">F:\images\20210312\plaque 1/@10 Amantadine 0.1 mg_L/B10_02.tif </t>
  </si>
  <si>
    <t xml:space="preserve"> 1211.2741 </t>
  </si>
  <si>
    <t xml:space="preserve"> 63.0357 </t>
  </si>
  <si>
    <t xml:space="preserve">F:\images\20210312\plaque 1/@10 Amantadine 0.1 mg_L/B10_03.tif </t>
  </si>
  <si>
    <t xml:space="preserve"> 62.641 </t>
  </si>
  <si>
    <t>F:\images\20210312\plaque 1/@10 Amantadine 0.1 mg_L/C10_01- exclu.tif</t>
  </si>
  <si>
    <t>F:\images\20210312\plaque 1/@10 Amantadine 0.1 mg_L/C10_02- exclu.tif</t>
  </si>
  <si>
    <t>F:\images\20210312\plaque 1/@10 Amantadine 0.1 mg_L/C10_03- exclu.tif</t>
  </si>
  <si>
    <t xml:space="preserve">F:\images\20210312\plaque 1/@10 Amantadine 0.1 mg_L/D10_01.tif </t>
  </si>
  <si>
    <t xml:space="preserve">F:\images\20210312\plaque 1/@10 Amantadine 0.1 mg_L/D10_02.tif </t>
  </si>
  <si>
    <t xml:space="preserve"> 65.1875 </t>
  </si>
  <si>
    <t xml:space="preserve">F:\images\20210312\plaque 1/@10 Amantadine 0.1 mg_L/D10_03.tif </t>
  </si>
  <si>
    <t xml:space="preserve"> 63.6316 </t>
  </si>
  <si>
    <t xml:space="preserve">F:\images\20210312\plaque 1/@10 Amantadine 0.1 mg_L/E10_01.tif </t>
  </si>
  <si>
    <t xml:space="preserve"> 9409.0042 </t>
  </si>
  <si>
    <t xml:space="preserve"> 74.3172 </t>
  </si>
  <si>
    <t xml:space="preserve">F:\images\20210312\plaque 1/@10 Amantadine 0.1 mg_L/E10_02.tif </t>
  </si>
  <si>
    <t xml:space="preserve"> 63.3542 </t>
  </si>
  <si>
    <t xml:space="preserve">F:\images\20210312\plaque 1/@10 Amantadine 0.1 mg_L/E10_03.tif </t>
  </si>
  <si>
    <t xml:space="preserve"> 62.3448 </t>
  </si>
  <si>
    <t xml:space="preserve">F:\images\20210312\plaque 1/@10 Amantadine 0.1 mg_L/F10_01.tif </t>
  </si>
  <si>
    <t xml:space="preserve"> 72.0853 </t>
  </si>
  <si>
    <t xml:space="preserve">F:\images\20210312\plaque 1/@10 Amantadine 0.1 mg_L/F10_02.tif </t>
  </si>
  <si>
    <t xml:space="preserve"> 68.102 </t>
  </si>
  <si>
    <t xml:space="preserve">F:\images\20210312\plaque 1/@10 Amantadine 0.1 mg_L/F10_03.tif </t>
  </si>
  <si>
    <t xml:space="preserve"> 70.6598 </t>
  </si>
  <si>
    <t xml:space="preserve">F:\images\20210312\plaque 1/@10 Amantadine 0.1 mg_L/G10_01.tif </t>
  </si>
  <si>
    <t xml:space="preserve"> 670.5267 </t>
  </si>
  <si>
    <t xml:space="preserve"> 66.1935 </t>
  </si>
  <si>
    <t xml:space="preserve">F:\images\20210312\plaque 1/@10 Amantadine 0.1 mg_L/G10_02.tif </t>
  </si>
  <si>
    <t xml:space="preserve"> 1384.3133 </t>
  </si>
  <si>
    <t xml:space="preserve"> 62.5469 </t>
  </si>
  <si>
    <t xml:space="preserve">F:\images\20210312\plaque 1/@10 Amantadine 0.1 mg_L/G10_03.tif </t>
  </si>
  <si>
    <t xml:space="preserve"> 584.0072 </t>
  </si>
  <si>
    <t xml:space="preserve">F:\images\20210312\plaque 1/@10 Amantadine 0.1 mg_L/H10_01.tif </t>
  </si>
  <si>
    <t xml:space="preserve"> 66.6429 </t>
  </si>
  <si>
    <t>F:\images\20210312\plaque 1/@10 Amantadine 0.1 mg_L/H10_02- exclu.tif</t>
  </si>
  <si>
    <t>F:\images\20210312\plaque 1/@10 Amantadine 0.1 mg_L/H10_03- exclu.tif</t>
  </si>
  <si>
    <t xml:space="preserve">F:\images\20210312\plaque 1/@10 Amantadine 0.1 mg_L/ </t>
  </si>
  <si>
    <t xml:space="preserve"> 67.5573 </t>
  </si>
  <si>
    <t xml:space="preserve"> 5.5348 </t>
  </si>
  <si>
    <t xml:space="preserve"> 284134.833 </t>
  </si>
  <si>
    <t xml:space="preserve"> 403528.5 </t>
  </si>
  <si>
    <t xml:space="preserve">F:\images\20210312\plaque 1/@11 Amantadine 1 mg_L/A11_01.tif </t>
  </si>
  <si>
    <t xml:space="preserve"> 63.2941 </t>
  </si>
  <si>
    <t xml:space="preserve">F:\images\20210312\plaque 1/@11 Amantadine 1 mg_L/A11_02.tif </t>
  </si>
  <si>
    <t xml:space="preserve"> 63.4348 </t>
  </si>
  <si>
    <t>F:\images\20210312\plaque 1/@11 Amantadine 1 mg_L/A11_03- exclu.tif</t>
  </si>
  <si>
    <t xml:space="preserve">F:\images\20210312\plaque 1/@11 Amantadine 1 mg_L/B11_01.tif </t>
  </si>
  <si>
    <t xml:space="preserve"> 66.5055 </t>
  </si>
  <si>
    <t xml:space="preserve">F:\images\20210312\plaque 1/@11 Amantadine 1 mg_L/B11_02.tif </t>
  </si>
  <si>
    <t xml:space="preserve"> 66.4557 </t>
  </si>
  <si>
    <t xml:space="preserve">F:\images\20210312\plaque 1/@11 Amantadine 1 mg_L/B11_03.tif </t>
  </si>
  <si>
    <t xml:space="preserve"> 64.6923 </t>
  </si>
  <si>
    <t xml:space="preserve">F:\images\20210312\plaque 1/@11 Amantadine 1 mg_L/C11_01.tif </t>
  </si>
  <si>
    <t xml:space="preserve"> 6899.9364 </t>
  </si>
  <si>
    <t xml:space="preserve"> 70.0815 </t>
  </si>
  <si>
    <t xml:space="preserve">F:\images\20210312\plaque 1/@11 Amantadine 1 mg_L/C11_02.tif </t>
  </si>
  <si>
    <t xml:space="preserve"> 64.913 </t>
  </si>
  <si>
    <t xml:space="preserve">F:\images\20210312\plaque 1/@11 Amantadine 1 mg_L/C11_03.tif </t>
  </si>
  <si>
    <t xml:space="preserve"> 69.1136 </t>
  </si>
  <si>
    <t xml:space="preserve">F:\images\20210312\plaque 1/@11 Amantadine 1 mg_L/D11_01.tif </t>
  </si>
  <si>
    <t xml:space="preserve">F:\images\20210312\plaque 1/@11 Amantadine 1 mg_L/D11_02.tif </t>
  </si>
  <si>
    <t xml:space="preserve"> 65.08 </t>
  </si>
  <si>
    <t xml:space="preserve">F:\images\20210312\plaque 1/@11 Amantadine 1 mg_L/D11_03.tif </t>
  </si>
  <si>
    <t xml:space="preserve"> 66.1707 </t>
  </si>
  <si>
    <t xml:space="preserve">F:\images\20210312\plaque 1/@11 Amantadine 1 mg_L/E11_01.tif </t>
  </si>
  <si>
    <t xml:space="preserve"> 62.0909 </t>
  </si>
  <si>
    <t xml:space="preserve">F:\images\20210312\plaque 1/@11 Amantadine 1 mg_L/E11_02.tif </t>
  </si>
  <si>
    <t xml:space="preserve"> 62.5714 </t>
  </si>
  <si>
    <t xml:space="preserve">F:\images\20210312\plaque 1/@11 Amantadine 1 mg_L/E11_03.tif </t>
  </si>
  <si>
    <t xml:space="preserve">F:\images\20210312\plaque 1/@11 Amantadine 1 mg_L/F11_01.tif </t>
  </si>
  <si>
    <t xml:space="preserve"> 7094.6054 </t>
  </si>
  <si>
    <t xml:space="preserve"> 67.7713 </t>
  </si>
  <si>
    <t xml:space="preserve">F:\images\20210312\plaque 1/@11 Amantadine 1 mg_L/F11_02.tif </t>
  </si>
  <si>
    <t xml:space="preserve"> 1124.7545 </t>
  </si>
  <si>
    <t xml:space="preserve"> 64.3654 </t>
  </si>
  <si>
    <t xml:space="preserve">F:\images\20210312\plaque 1/@11 Amantadine 1 mg_L/F11_03.tif </t>
  </si>
  <si>
    <t xml:space="preserve"> 67.7915 </t>
  </si>
  <si>
    <t xml:space="preserve">F:\images\20210312\plaque 1/@11 Amantadine 1 mg_L/G11_01.tif </t>
  </si>
  <si>
    <t xml:space="preserve"> 5883.3313 </t>
  </si>
  <si>
    <t xml:space="preserve"> 64.7022 </t>
  </si>
  <si>
    <t xml:space="preserve">F:\images\20210312\plaque 1/@11 Amantadine 1 mg_L/G11_02.tif </t>
  </si>
  <si>
    <t xml:space="preserve"> 65.186 </t>
  </si>
  <si>
    <t xml:space="preserve">F:\images\20210312\plaque 1/@11 Amantadine 1 mg_L/G11_03.tif </t>
  </si>
  <si>
    <t xml:space="preserve"> 66.2556 </t>
  </si>
  <si>
    <t xml:space="preserve">F:\images\20210312\plaque 1/@11 Amantadine 1 mg_L/H11_01.tif </t>
  </si>
  <si>
    <t xml:space="preserve"> 5602.1427 </t>
  </si>
  <si>
    <t xml:space="preserve"> 68.0077 </t>
  </si>
  <si>
    <t xml:space="preserve">F:\images\20210312\plaque 1/@11 Amantadine 1 mg_L/H11_02.tif </t>
  </si>
  <si>
    <t xml:space="preserve"> 63.6809 </t>
  </si>
  <si>
    <t xml:space="preserve">F:\images\20210312\plaque 1/@11 Amantadine 1 mg_L/H11_03.tif </t>
  </si>
  <si>
    <t xml:space="preserve"> 64.1099 </t>
  </si>
  <si>
    <t xml:space="preserve">F:\images\20210312\plaque 1/@11 Amantadine 1 mg_L/ </t>
  </si>
  <si>
    <t xml:space="preserve"> 65.3038 </t>
  </si>
  <si>
    <t xml:space="preserve"> 2.1687 </t>
  </si>
  <si>
    <t xml:space="preserve"> 180564.625 </t>
  </si>
  <si>
    <t xml:space="preserve"> 170818.861 </t>
  </si>
  <si>
    <t xml:space="preserve">F:\images\20210312\plaque 1/@12 Amantadine 10 mg_L/A12_01.tif </t>
  </si>
  <si>
    <t xml:space="preserve"> 68.5829 </t>
  </si>
  <si>
    <t xml:space="preserve">F:\images\20210312\plaque 1/@12 Amantadine 10 mg_L/A12_02.tif </t>
  </si>
  <si>
    <t xml:space="preserve"> 67.8326 </t>
  </si>
  <si>
    <t xml:space="preserve">F:\images\20210312\plaque 1/@12 Amantadine 10 mg_L/A12_03.tif </t>
  </si>
  <si>
    <t xml:space="preserve"> 70.7675 </t>
  </si>
  <si>
    <t xml:space="preserve">F:\images\20210312\plaque 1/@12 Amantadine 10 mg_L/B12_01.tif </t>
  </si>
  <si>
    <t xml:space="preserve"> 64.9553 </t>
  </si>
  <si>
    <t xml:space="preserve">F:\images\20210312\plaque 1/@12 Amantadine 10 mg_L/B12_02.tif </t>
  </si>
  <si>
    <t xml:space="preserve"> 65.0201 </t>
  </si>
  <si>
    <t xml:space="preserve">F:\images\20210312\plaque 1/@12 Amantadine 10 mg_L/B12_03.tif </t>
  </si>
  <si>
    <t xml:space="preserve"> 64.3 </t>
  </si>
  <si>
    <t xml:space="preserve">F:\images\20210312\plaque 1/@12 Amantadine 10 mg_L/C12_01.tif </t>
  </si>
  <si>
    <t xml:space="preserve"> 86.5196 </t>
  </si>
  <si>
    <t xml:space="preserve"> 66.75 </t>
  </si>
  <si>
    <t xml:space="preserve">F:\images\20210312\plaque 1/@12 Amantadine 10 mg_L/C12_02.tif </t>
  </si>
  <si>
    <t xml:space="preserve"> 62.8 </t>
  </si>
  <si>
    <t xml:space="preserve">F:\images\20210312\plaque 1/@12 Amantadine 10 mg_L/C12_03.tif </t>
  </si>
  <si>
    <t xml:space="preserve"> 62.6 </t>
  </si>
  <si>
    <t xml:space="preserve">F:\images\20210312\plaque 1/@12 Amantadine 10 mg_L/D12_01.tif </t>
  </si>
  <si>
    <t xml:space="preserve"> 8760.1073 </t>
  </si>
  <si>
    <t xml:space="preserve"> 66.7679 </t>
  </si>
  <si>
    <t xml:space="preserve">F:\images\20210312\plaque 1/@12 Amantadine 10 mg_L/D12_02.tif </t>
  </si>
  <si>
    <t xml:space="preserve"> 63.0556 </t>
  </si>
  <si>
    <t>F:\images\20210312\plaque 1/@12 Amantadine 10 mg_L/D12_03- exclu.tif</t>
  </si>
  <si>
    <t xml:space="preserve">F:\images\20210312\plaque 1/@12 Amantadine 10 mg_L/E12_01.tif </t>
  </si>
  <si>
    <t xml:space="preserve"> 5039.7654 </t>
  </si>
  <si>
    <t xml:space="preserve"> 67.3476 </t>
  </si>
  <si>
    <t xml:space="preserve">F:\images\20210312\plaque 1/@12 Amantadine 10 mg_L/E12_02.tif </t>
  </si>
  <si>
    <t xml:space="preserve"> 65.7143 </t>
  </si>
  <si>
    <t xml:space="preserve">F:\images\20210312\plaque 1/@12 Amantadine 10 mg_L/E12_03.tif </t>
  </si>
  <si>
    <t xml:space="preserve"> 63.4531 </t>
  </si>
  <si>
    <t xml:space="preserve">F:\images\20210312\plaque 1/@12 Amantadine 10 mg_L/F12_01.tif </t>
  </si>
  <si>
    <t xml:space="preserve">F:\images\20210312\plaque 1/@12 Amantadine 10 mg_L/F12_02.tif </t>
  </si>
  <si>
    <t xml:space="preserve">F:\images\20210312\plaque 1/@12 Amantadine 10 mg_L/F12_03.tif </t>
  </si>
  <si>
    <t>F:\images\20210312\plaque 1/@12 Amantadine 10 mg_L/G12_01- exclu.tif</t>
  </si>
  <si>
    <t xml:space="preserve">F:\images\20210312\plaque 1/@12 Amantadine 10 mg_L/G12_02.tif </t>
  </si>
  <si>
    <t xml:space="preserve"> 64.4158 </t>
  </si>
  <si>
    <t xml:space="preserve">F:\images\20210312\plaque 1/@12 Amantadine 10 mg_L/G12_03.tif </t>
  </si>
  <si>
    <t xml:space="preserve">F:\images\20210312\plaque 1/@12 Amantadine 10 mg_L/H12_01.tif </t>
  </si>
  <si>
    <t xml:space="preserve"> 61.9722 </t>
  </si>
  <si>
    <t xml:space="preserve">F:\images\20210312\plaque 1/@12 Amantadine 10 mg_L/H12_02.tif </t>
  </si>
  <si>
    <t xml:space="preserve">F:\images\20210312\plaque 1/@12 Amantadine 10 mg_L/H12_03.tif </t>
  </si>
  <si>
    <t xml:space="preserve"> 63.56 </t>
  </si>
  <si>
    <t xml:space="preserve">F:\images\20210312\plaque 1/@12 Amantadine 10 mg_L/ </t>
  </si>
  <si>
    <t xml:space="preserve"> 64.8719 </t>
  </si>
  <si>
    <t xml:space="preserve"> 2.1648 </t>
  </si>
  <si>
    <t xml:space="preserve"> 134701.042 </t>
  </si>
  <si>
    <t xml:space="preserve"> 159404.842 </t>
  </si>
  <si>
    <t xml:space="preserve">F:\images\20210312\plaque 2/@01 Testo 30/A1_01.tif </t>
  </si>
  <si>
    <t xml:space="preserve"> 63.8054 </t>
  </si>
  <si>
    <t xml:space="preserve">F:\images\20210312\plaque 2/@01 Testo 30/A1_02.tif </t>
  </si>
  <si>
    <t xml:space="preserve"> 4996.5057 </t>
  </si>
  <si>
    <t xml:space="preserve"> 64.0909 </t>
  </si>
  <si>
    <t xml:space="preserve">F:\images\20210312\plaque 2/@01 Testo 30/A1_03.tif </t>
  </si>
  <si>
    <t xml:space="preserve"> 4196.1996 </t>
  </si>
  <si>
    <t xml:space="preserve"> 65.1753 </t>
  </si>
  <si>
    <t xml:space="preserve">F:\images\20210312\plaque 2/@01 Testo 30/B1_01.tif </t>
  </si>
  <si>
    <t xml:space="preserve"> 18471.93 </t>
  </si>
  <si>
    <t xml:space="preserve"> 70.8478 </t>
  </si>
  <si>
    <t xml:space="preserve">F:\images\20210312\plaque 2/@01 Testo 30/B1_02.tif </t>
  </si>
  <si>
    <t xml:space="preserve"> 20418.6205 </t>
  </si>
  <si>
    <t xml:space="preserve"> 70.8655 </t>
  </si>
  <si>
    <t xml:space="preserve">F:\images\20210312\plaque 2/@01 Testo 30/B1_03.tif </t>
  </si>
  <si>
    <t xml:space="preserve"> 72.0691 </t>
  </si>
  <si>
    <t xml:space="preserve">F:\images\20210312\plaque 2/@01 Testo 30/C1_01.tif </t>
  </si>
  <si>
    <t xml:space="preserve"> 35429.7674 </t>
  </si>
  <si>
    <t xml:space="preserve"> 77.0574 </t>
  </si>
  <si>
    <t xml:space="preserve">F:\images\20210312\plaque 2/@01 Testo 30/C1_02.tif </t>
  </si>
  <si>
    <t xml:space="preserve"> 38804.031 </t>
  </si>
  <si>
    <t xml:space="preserve"> 75.7191 </t>
  </si>
  <si>
    <t xml:space="preserve">F:\images\20210312\plaque 2/@01 Testo 30/C1_03.tif </t>
  </si>
  <si>
    <t xml:space="preserve"> 36684.3013 </t>
  </si>
  <si>
    <t xml:space="preserve"> 74.4233 </t>
  </si>
  <si>
    <t xml:space="preserve">F:\images\20210312\plaque 2/@01 Testo 30/D1_01.tif </t>
  </si>
  <si>
    <t xml:space="preserve"> 9322.4846 </t>
  </si>
  <si>
    <t xml:space="preserve"> 68.3643 </t>
  </si>
  <si>
    <t xml:space="preserve">F:\images\20210312\plaque 2/@01 Testo 30/D1_02.tif </t>
  </si>
  <si>
    <t xml:space="preserve"> 66.0675 </t>
  </si>
  <si>
    <t xml:space="preserve">F:\images\20210312\plaque 2/@01 Testo 30/D1_03.tif </t>
  </si>
  <si>
    <t xml:space="preserve"> 8349.1393 </t>
  </si>
  <si>
    <t xml:space="preserve"> 67.6244 </t>
  </si>
  <si>
    <t xml:space="preserve">F:\images\20210312\plaque 2/@01 Testo 30/E1_01.tif </t>
  </si>
  <si>
    <t xml:space="preserve"> 3850.1212 </t>
  </si>
  <si>
    <t xml:space="preserve"> 64.809 </t>
  </si>
  <si>
    <t xml:space="preserve">F:\images\20210312\plaque 2/@01 Testo 30/E1_02.tif </t>
  </si>
  <si>
    <t xml:space="preserve"> 1514.0926 </t>
  </si>
  <si>
    <t xml:space="preserve"> 64.5571 </t>
  </si>
  <si>
    <t xml:space="preserve">F:\images\20210312\plaque 2/@01 Testo 30/E1_03.tif </t>
  </si>
  <si>
    <t xml:space="preserve">F:\images\20210312\plaque 2/@01 Testo 30/F1_01.tif </t>
  </si>
  <si>
    <t xml:space="preserve"> 18277.261 </t>
  </si>
  <si>
    <t xml:space="preserve"> 69.1751 </t>
  </si>
  <si>
    <t xml:space="preserve">F:\images\20210312\plaque 2/@01 Testo 30/F1_02.tif </t>
  </si>
  <si>
    <t xml:space="preserve"> 12285.7801 </t>
  </si>
  <si>
    <t xml:space="preserve"> 68.875 </t>
  </si>
  <si>
    <t xml:space="preserve">F:\images\20210312\plaque 2/@01 Testo 30/F1_03.tif </t>
  </si>
  <si>
    <t xml:space="preserve"> 15703.3035 </t>
  </si>
  <si>
    <t xml:space="preserve"> 68.5992 </t>
  </si>
  <si>
    <t xml:space="preserve">F:\images\20210312\plaque 2/@01 Testo 30/G1_01.tif </t>
  </si>
  <si>
    <t xml:space="preserve"> 26064.023 </t>
  </si>
  <si>
    <t xml:space="preserve"> 83.4382 </t>
  </si>
  <si>
    <t xml:space="preserve">F:\images\20210312\plaque 2/@01 Testo 30/G1_02.tif </t>
  </si>
  <si>
    <t xml:space="preserve"> 82.0249 </t>
  </si>
  <si>
    <t xml:space="preserve">F:\images\20210312\plaque 2/@01 Testo 30/G1_03.tif </t>
  </si>
  <si>
    <t xml:space="preserve"> 28919.1691 </t>
  </si>
  <si>
    <t xml:space="preserve"> 83.4338 </t>
  </si>
  <si>
    <t>F:\images\20210312\plaque 2/@01 Testo 30/H1_01- exclu.tif</t>
  </si>
  <si>
    <t>F:\images\20210312\plaque 2/@01 Testo 30/H1_02- exclu.tif</t>
  </si>
  <si>
    <t>F:\images\20210312\plaque 2/@01 Testo 30/H1_03- exclu.tif</t>
  </si>
  <si>
    <t xml:space="preserve">F:\images\20210312\plaque 2/@01 Testo 30/ </t>
  </si>
  <si>
    <t xml:space="preserve"> 69.7705 </t>
  </si>
  <si>
    <t xml:space="preserve"> 6.5083 </t>
  </si>
  <si>
    <t xml:space="preserve"> 1078800.83 </t>
  </si>
  <si>
    <t xml:space="preserve"> 989915.783 </t>
  </si>
  <si>
    <t xml:space="preserve">F:\images\20210312\plaque 2/@02 Testo 30/A2_01.tif </t>
  </si>
  <si>
    <t xml:space="preserve"> 68.3906 </t>
  </si>
  <si>
    <t xml:space="preserve">F:\images\20210312\plaque 2/@02 Testo 30/A2_02.tif </t>
  </si>
  <si>
    <t xml:space="preserve"> 23381.9161 </t>
  </si>
  <si>
    <t xml:space="preserve"> 66.8807 </t>
  </si>
  <si>
    <t xml:space="preserve">F:\images\20210312\plaque 2/@02 Testo 30/A2_03.tif </t>
  </si>
  <si>
    <t xml:space="preserve"> 68.6716 </t>
  </si>
  <si>
    <t xml:space="preserve">F:\images\20210312\plaque 2/@02 Testo 30/B2_01.tif </t>
  </si>
  <si>
    <t xml:space="preserve"> 36662.6714 </t>
  </si>
  <si>
    <t xml:space="preserve"> 71.0985 </t>
  </si>
  <si>
    <t xml:space="preserve">F:\images\20210312\plaque 2/@02 Testo 30/B2_02.tif </t>
  </si>
  <si>
    <t xml:space="preserve"> 72.3186 </t>
  </si>
  <si>
    <t xml:space="preserve">F:\images\20210312\plaque 2/@02 Testo 30/B2_03.tif </t>
  </si>
  <si>
    <t xml:space="preserve"> 30411.6318 </t>
  </si>
  <si>
    <t xml:space="preserve"> 73.0313 </t>
  </si>
  <si>
    <t>F:\images\20210312\plaque 2/@02 Testo 30/C2_01- exclu.tif</t>
  </si>
  <si>
    <t xml:space="preserve">F:\images\20210312\plaque 2/@02 Testo 30/C2_02.tif </t>
  </si>
  <si>
    <t xml:space="preserve"> 42221.5543 </t>
  </si>
  <si>
    <t xml:space="preserve"> 74.9693 </t>
  </si>
  <si>
    <t xml:space="preserve">F:\images\20210312\plaque 2/@02 Testo 30/C2_03.tif </t>
  </si>
  <si>
    <t xml:space="preserve"> 75.1008 </t>
  </si>
  <si>
    <t xml:space="preserve">F:\images\20210312\plaque 2/@02 Testo 30/D2_01.tif </t>
  </si>
  <si>
    <t xml:space="preserve"> 69.0596 </t>
  </si>
  <si>
    <t xml:space="preserve">F:\images\20210312\plaque 2/@02 Testo 30/D2_02.tif </t>
  </si>
  <si>
    <t xml:space="preserve"> 64.4851 </t>
  </si>
  <si>
    <t xml:space="preserve">F:\images\20210312\plaque 2/@02 Testo 30/D2_03.tif </t>
  </si>
  <si>
    <t xml:space="preserve"> 1816.9111 </t>
  </si>
  <si>
    <t xml:space="preserve"> 63.381 </t>
  </si>
  <si>
    <t xml:space="preserve">F:\images\20210312\plaque 2/@02 Testo 30/E2_01.tif </t>
  </si>
  <si>
    <t xml:space="preserve"> 79.1668 </t>
  </si>
  <si>
    <t xml:space="preserve">F:\images\20210312\plaque 2/@02 Testo 30/E2_02.tif </t>
  </si>
  <si>
    <t xml:space="preserve"> 28443.3114 </t>
  </si>
  <si>
    <t xml:space="preserve"> 76.984 </t>
  </si>
  <si>
    <t xml:space="preserve">F:\images\20210312\plaque 2/@02 Testo 30/E2_03.tif </t>
  </si>
  <si>
    <t xml:space="preserve"> 32336.6925 </t>
  </si>
  <si>
    <t xml:space="preserve"> 76.0448 </t>
  </si>
  <si>
    <t xml:space="preserve">F:\images\20210312\plaque 2/@02 Testo 30/F2_01.tif </t>
  </si>
  <si>
    <t xml:space="preserve"> 16027.7519 </t>
  </si>
  <si>
    <t xml:space="preserve"> 71.1525 </t>
  </si>
  <si>
    <t xml:space="preserve">F:\images\20210312\plaque 2/@02 Testo 30/F2_02.tif </t>
  </si>
  <si>
    <t xml:space="preserve"> 14924.6273 </t>
  </si>
  <si>
    <t xml:space="preserve"> 70.613 </t>
  </si>
  <si>
    <t xml:space="preserve">F:\images\20210312\plaque 2/@02 Testo 30/F2_03.tif </t>
  </si>
  <si>
    <t xml:space="preserve"> 14448.7696 </t>
  </si>
  <si>
    <t xml:space="preserve"> 68.524 </t>
  </si>
  <si>
    <t xml:space="preserve">F:\images\20210312\plaque 2/@02 Testo 30/G2_01.tif </t>
  </si>
  <si>
    <t xml:space="preserve"> 19877.8732 </t>
  </si>
  <si>
    <t xml:space="preserve"> 69.8966 </t>
  </si>
  <si>
    <t xml:space="preserve">F:\images\20210312\plaque 2/@02 Testo 30/G2_02.tif </t>
  </si>
  <si>
    <t xml:space="preserve"> 19250.6062 </t>
  </si>
  <si>
    <t xml:space="preserve"> 73.7989 </t>
  </si>
  <si>
    <t xml:space="preserve">F:\images\20210312\plaque 2/@02 Testo 30/G2_03.tif </t>
  </si>
  <si>
    <t xml:space="preserve"> 11463.8442 </t>
  </si>
  <si>
    <t xml:space="preserve"> 71.9849 </t>
  </si>
  <si>
    <t xml:space="preserve">F:\images\20210312\plaque 2/@02 Testo 30/H2_01.tif </t>
  </si>
  <si>
    <t xml:space="preserve"> 42935.3408 </t>
  </si>
  <si>
    <t xml:space="preserve"> 71.6161 </t>
  </si>
  <si>
    <t xml:space="preserve">F:\images\20210312\plaque 2/@02 Testo 30/H2_02.tif </t>
  </si>
  <si>
    <t xml:space="preserve"> 70.6559 </t>
  </si>
  <si>
    <t xml:space="preserve">F:\images\20210312\plaque 2/@02 Testo 30/H2_03.tif </t>
  </si>
  <si>
    <t xml:space="preserve"> 70.7202 </t>
  </si>
  <si>
    <t xml:space="preserve">F:\images\20210312\plaque 2/@02 Testo 30/ </t>
  </si>
  <si>
    <t xml:space="preserve"> 71.4331 </t>
  </si>
  <si>
    <t xml:space="preserve"> 3.8209 </t>
  </si>
  <si>
    <t xml:space="preserve"> 1926694.67 </t>
  </si>
  <si>
    <t xml:space="preserve"> 998991.375 </t>
  </si>
  <si>
    <t xml:space="preserve">F:\images\20210312\plaque 2/@03 Testo+ EE2 64/A3_01.tif </t>
  </si>
  <si>
    <t xml:space="preserve"> 35624.4365 </t>
  </si>
  <si>
    <t xml:space="preserve"> 83.119 </t>
  </si>
  <si>
    <t xml:space="preserve">F:\images\20210312\plaque 2/@03 Testo+ EE2 64/A3_02.tif </t>
  </si>
  <si>
    <t xml:space="preserve"> 39799.0061 </t>
  </si>
  <si>
    <t xml:space="preserve"> 79.3054 </t>
  </si>
  <si>
    <t xml:space="preserve">F:\images\20210312\plaque 2/@03 Testo+ EE2 64/A3_03.tif </t>
  </si>
  <si>
    <t xml:space="preserve"> 39366.4082 </t>
  </si>
  <si>
    <t xml:space="preserve"> 77.1841 </t>
  </si>
  <si>
    <t xml:space="preserve">F:\images\20210312\plaque 2/@03 Testo+ EE2 64/B3_01.tif </t>
  </si>
  <si>
    <t xml:space="preserve"> 15184.186 </t>
  </si>
  <si>
    <t xml:space="preserve"> 68.3789 </t>
  </si>
  <si>
    <t xml:space="preserve">F:\images\20210312\plaque 2/@03 Testo+ EE2 64/B3_02.tif </t>
  </si>
  <si>
    <t xml:space="preserve"> 14643.4387 </t>
  </si>
  <si>
    <t xml:space="preserve">F:\images\20210312\plaque 2/@03 Testo+ EE2 64/B3_03.tif </t>
  </si>
  <si>
    <t xml:space="preserve"> 11766.6627 </t>
  </si>
  <si>
    <t xml:space="preserve"> 68.3566 </t>
  </si>
  <si>
    <t xml:space="preserve">F:\images\20210312\plaque 2/@03 Testo+ EE2 64/C3_01.tif </t>
  </si>
  <si>
    <t xml:space="preserve"> 17931.1826 </t>
  </si>
  <si>
    <t xml:space="preserve"> 67.8878 </t>
  </si>
  <si>
    <t xml:space="preserve">F:\images\20210312\plaque 2/@03 Testo+ EE2 64/C3_02.tif </t>
  </si>
  <si>
    <t xml:space="preserve"> 67.3721 </t>
  </si>
  <si>
    <t xml:space="preserve">F:\images\20210312\plaque 2/@03 Testo+ EE2 64/C3_03.tif </t>
  </si>
  <si>
    <t xml:space="preserve"> 13453.7945 </t>
  </si>
  <si>
    <t xml:space="preserve"> 69.5932 </t>
  </si>
  <si>
    <t xml:space="preserve">F:\images\20210312\plaque 2/@03 Testo+ EE2 64/D3_01.tif </t>
  </si>
  <si>
    <t xml:space="preserve"> 23879.4037 </t>
  </si>
  <si>
    <t xml:space="preserve"> 82.2219 </t>
  </si>
  <si>
    <t xml:space="preserve">F:\images\20210312\plaque 2/@03 Testo+ EE2 64/D3_02.tif </t>
  </si>
  <si>
    <t xml:space="preserve"> 23360.2862 </t>
  </si>
  <si>
    <t xml:space="preserve"> 82.5574 </t>
  </si>
  <si>
    <t xml:space="preserve">F:\images\20210312\plaque 2/@03 Testo+ EE2 64/D3_03.tif </t>
  </si>
  <si>
    <t xml:space="preserve"> 24463.4108 </t>
  </si>
  <si>
    <t xml:space="preserve"> 83.2785 </t>
  </si>
  <si>
    <t xml:space="preserve">F:\images\20210312\plaque 2/@03 Testo+ EE2 64/E3_01.tif </t>
  </si>
  <si>
    <t xml:space="preserve"> 68869.5845 </t>
  </si>
  <si>
    <t xml:space="preserve"> 77.8153 </t>
  </si>
  <si>
    <t xml:space="preserve">F:\images\20210312\plaque 2/@03 Testo+ EE2 64/E3_02.tif </t>
  </si>
  <si>
    <t xml:space="preserve"> 57600.4094 </t>
  </si>
  <si>
    <t xml:space="preserve"> 76.7597 </t>
  </si>
  <si>
    <t xml:space="preserve">F:\images\20210312\plaque 2/@03 Testo+ EE2 64/E3_03.tif </t>
  </si>
  <si>
    <t xml:space="preserve"> 78.0428 </t>
  </si>
  <si>
    <t xml:space="preserve">F:\images\20210312\plaque 2/@03 Testo+ EE2 64/F3_01.tif </t>
  </si>
  <si>
    <t xml:space="preserve"> 54528.9644 </t>
  </si>
  <si>
    <t xml:space="preserve"> 74.002 </t>
  </si>
  <si>
    <t xml:space="preserve">F:\images\20210312\plaque 2/@03 Testo+ EE2 64/F3_02.tif </t>
  </si>
  <si>
    <t xml:space="preserve"> 50657.2132 </t>
  </si>
  <si>
    <t xml:space="preserve"> 73.4415 </t>
  </si>
  <si>
    <t xml:space="preserve">F:\images\20210312\plaque 2/@03 Testo+ EE2 64/F3_03.tif </t>
  </si>
  <si>
    <t xml:space="preserve"> 59914.8081 </t>
  </si>
  <si>
    <t xml:space="preserve"> 79.5859 </t>
  </si>
  <si>
    <t xml:space="preserve">F:\images\20210312\plaque 2/@03 Testo+ EE2 64/G3_01.tif </t>
  </si>
  <si>
    <t xml:space="preserve"> 79.3113 </t>
  </si>
  <si>
    <t xml:space="preserve">F:\images\20210312\plaque 2/@03 Testo+ EE2 64/G3_02.tif </t>
  </si>
  <si>
    <t xml:space="preserve"> 43843.7964 </t>
  </si>
  <si>
    <t xml:space="preserve"> 79.779 </t>
  </si>
  <si>
    <t xml:space="preserve">F:\images\20210312\plaque 2/@03 Testo+ EE2 64/G3_03.tif </t>
  </si>
  <si>
    <t xml:space="preserve"> 42589.2625 </t>
  </si>
  <si>
    <t xml:space="preserve"> 78.4474 </t>
  </si>
  <si>
    <t xml:space="preserve">F:\images\20210312\plaque 2/@03 Testo+ EE2 64/H3_01.tif </t>
  </si>
  <si>
    <t xml:space="preserve"> 21283.8163 </t>
  </si>
  <si>
    <t xml:space="preserve"> 75.9614 </t>
  </si>
  <si>
    <t xml:space="preserve">F:\images\20210312\plaque 2/@03 Testo+ EE2 64/H3_02.tif </t>
  </si>
  <si>
    <t xml:space="preserve"> 23014.2079 </t>
  </si>
  <si>
    <t xml:space="preserve"> 73.11 </t>
  </si>
  <si>
    <t xml:space="preserve">F:\images\20210312\plaque 2/@03 Testo+ EE2 64/H3_03.tif </t>
  </si>
  <si>
    <t xml:space="preserve"> 75.1523 </t>
  </si>
  <si>
    <t xml:space="preserve">F:\images\20210312\plaque 2/@03 Testo+ EE2 64/ </t>
  </si>
  <si>
    <t xml:space="preserve"> 75.7493 </t>
  </si>
  <si>
    <t xml:space="preserve"> 5.2794 </t>
  </si>
  <si>
    <t xml:space="preserve"> 2629141.58 </t>
  </si>
  <si>
    <t xml:space="preserve"> 1394512.43 </t>
  </si>
  <si>
    <t xml:space="preserve">F:\images\20210312\plaque 2/@04 Testo+ FAD/A4_01.tif </t>
  </si>
  <si>
    <t xml:space="preserve"> 69.8398 </t>
  </si>
  <si>
    <t>F:\images\20210312\plaque 2/@04 Testo+ FAD/A4_02- exclu.tif</t>
  </si>
  <si>
    <t xml:space="preserve">F:\images\20210312\plaque 2/@04 Testo+ FAD/A4_03.tif </t>
  </si>
  <si>
    <t xml:space="preserve"> 65.4082 </t>
  </si>
  <si>
    <t xml:space="preserve">F:\images\20210312\plaque 2/@04 Testo+ FAD/B4_01.tif </t>
  </si>
  <si>
    <t xml:space="preserve"> 72.0684 </t>
  </si>
  <si>
    <t xml:space="preserve">F:\images\20210312\plaque 2/@04 Testo+ FAD/B4_02.tif </t>
  </si>
  <si>
    <t xml:space="preserve">F:\images\20210312\plaque 2/@04 Testo+ FAD/B4_03.tif </t>
  </si>
  <si>
    <t xml:space="preserve"> 68.6822 </t>
  </si>
  <si>
    <t xml:space="preserve">F:\images\20210312\plaque 2/@04 Testo+ FAD/C4_01.tif </t>
  </si>
  <si>
    <t xml:space="preserve"> 62.9697 </t>
  </si>
  <si>
    <t xml:space="preserve">F:\images\20210312\plaque 2/@04 Testo+ FAD/C4_02.tif </t>
  </si>
  <si>
    <t xml:space="preserve"> 63.05 </t>
  </si>
  <si>
    <t xml:space="preserve">F:\images\20210312\plaque 2/@04 Testo+ FAD/C4_03.tif </t>
  </si>
  <si>
    <t xml:space="preserve"> 62.9412 </t>
  </si>
  <si>
    <t xml:space="preserve">F:\images\20210312\plaque 2/@04 Testo+ FAD/D4_01.tif </t>
  </si>
  <si>
    <t xml:space="preserve"> 2833.5162 </t>
  </si>
  <si>
    <t xml:space="preserve"> 64.4656 </t>
  </si>
  <si>
    <t xml:space="preserve">F:\images\20210312\plaque 2/@04 Testo+ FAD/D4_02.tif </t>
  </si>
  <si>
    <t xml:space="preserve"> 70.4323 </t>
  </si>
  <si>
    <t xml:space="preserve">F:\images\20210312\plaque 2/@04 Testo+ FAD/D4_03.tif </t>
  </si>
  <si>
    <t>F:\images\20210312\plaque 2/@04 Testo+ FAD/E4_01- exclu.tif</t>
  </si>
  <si>
    <t xml:space="preserve">F:\images\20210312\plaque 2/@04 Testo+ FAD/E4_02.tif </t>
  </si>
  <si>
    <t xml:space="preserve"> 1773.6514 </t>
  </si>
  <si>
    <t xml:space="preserve"> 63.4878 </t>
  </si>
  <si>
    <t xml:space="preserve">F:\images\20210312\plaque 2/@04 Testo+ FAD/E4_03.tif </t>
  </si>
  <si>
    <t xml:space="preserve"> 68.4363 </t>
  </si>
  <si>
    <t>F:\images\20210312\plaque 2/@04 Testo+ FAD/F4_01- exclu.tif</t>
  </si>
  <si>
    <t xml:space="preserve">F:\images\20210312\plaque 2/@04 Testo+ FAD/F4_02.tif </t>
  </si>
  <si>
    <t xml:space="preserve"> 67.1628 </t>
  </si>
  <si>
    <t xml:space="preserve">F:\images\20210312\plaque 2/@04 Testo+ FAD/F4_03.tif </t>
  </si>
  <si>
    <t xml:space="preserve"> 65.0202 </t>
  </si>
  <si>
    <t xml:space="preserve">F:\images\20210312\plaque 2/@04 Testo+ FAD/G4_01.tif </t>
  </si>
  <si>
    <t xml:space="preserve"> 65.5859 </t>
  </si>
  <si>
    <t xml:space="preserve">F:\images\20210312\plaque 2/@04 Testo+ FAD/G4_02.tif </t>
  </si>
  <si>
    <t xml:space="preserve"> 66.9048 </t>
  </si>
  <si>
    <t xml:space="preserve">F:\images\20210312\plaque 2/@04 Testo+ FAD/G4_03.tif </t>
  </si>
  <si>
    <t xml:space="preserve"> 64.5556 </t>
  </si>
  <si>
    <t xml:space="preserve">F:\images\20210312\plaque 2/@04 Testo+ FAD/H4_01.tif </t>
  </si>
  <si>
    <t xml:space="preserve"> 66.7706 </t>
  </si>
  <si>
    <t xml:space="preserve">F:\images\20210312\plaque 2/@04 Testo+ FAD/H4_02.tif </t>
  </si>
  <si>
    <t xml:space="preserve"> 68.25 </t>
  </si>
  <si>
    <t xml:space="preserve">F:\images\20210312\plaque 2/@04 Testo+ FAD/H4_03.tif </t>
  </si>
  <si>
    <t xml:space="preserve"> 70.2176 </t>
  </si>
  <si>
    <t xml:space="preserve">F:\images\20210312\plaque 2/@04 Testo+ FAD/ </t>
  </si>
  <si>
    <t xml:space="preserve"> 66.5133 </t>
  </si>
  <si>
    <t xml:space="preserve"> 3.1952 </t>
  </si>
  <si>
    <t xml:space="preserve"> 189132.626 </t>
  </si>
  <si>
    <t xml:space="preserve">F:\images\20210312\plaque 2/@05 Amantadine 0.001 mg_L dopé/A5_01.tif </t>
  </si>
  <si>
    <t xml:space="preserve"> 37679.2764 </t>
  </si>
  <si>
    <t xml:space="preserve"> 70.624 </t>
  </si>
  <si>
    <t xml:space="preserve">F:\images\20210312\plaque 2/@05 Amantadine 0.001 mg_L dopé/A5_02.tif </t>
  </si>
  <si>
    <t xml:space="preserve"> 40058.5649 </t>
  </si>
  <si>
    <t xml:space="preserve"> 70.906 </t>
  </si>
  <si>
    <t xml:space="preserve">F:\images\20210312\plaque 2/@05 Amantadine 0.001 mg_L dopé/A5_03.tif </t>
  </si>
  <si>
    <t xml:space="preserve"> 35321.6179 </t>
  </si>
  <si>
    <t xml:space="preserve"> 69.2107 </t>
  </si>
  <si>
    <t xml:space="preserve">F:\images\20210312\plaque 2/@05 Amantadine 0.001 mg_L dopé/B5_01.tif </t>
  </si>
  <si>
    <t xml:space="preserve"> 69.7077 </t>
  </si>
  <si>
    <t xml:space="preserve">F:\images\20210312\plaque 2/@05 Amantadine 0.001 mg_L dopé/B5_02.tif </t>
  </si>
  <si>
    <t xml:space="preserve"> 69.4648 </t>
  </si>
  <si>
    <t xml:space="preserve">F:\images\20210312\plaque 2/@05 Amantadine 0.001 mg_L dopé/B5_03.tif </t>
  </si>
  <si>
    <t xml:space="preserve"> 69.928 </t>
  </si>
  <si>
    <t xml:space="preserve">F:\images\20210312\plaque 2/@05 Amantadine 0.001 mg_L dopé/C5_01.tif </t>
  </si>
  <si>
    <t xml:space="preserve"> 64.3636 </t>
  </si>
  <si>
    <t xml:space="preserve">F:\images\20210312\plaque 2/@05 Amantadine 0.001 mg_L dopé/C5_02.tif </t>
  </si>
  <si>
    <t xml:space="preserve"> 5429.1036 </t>
  </si>
  <si>
    <t xml:space="preserve"> 66.4064 </t>
  </si>
  <si>
    <t xml:space="preserve">F:\images\20210312\plaque 2/@05 Amantadine 0.001 mg_L dopé/C5_03.tif </t>
  </si>
  <si>
    <t xml:space="preserve"> 63.6494 </t>
  </si>
  <si>
    <t xml:space="preserve">F:\images\20210312\plaque 2/@05 Amantadine 0.001 mg_L dopé/D5_01.tif </t>
  </si>
  <si>
    <t xml:space="preserve"> 18190.7414 </t>
  </si>
  <si>
    <t xml:space="preserve"> 68.2723 </t>
  </si>
  <si>
    <t xml:space="preserve">F:\images\20210312\plaque 2/@05 Amantadine 0.001 mg_L dopé/D5_02.tif </t>
  </si>
  <si>
    <t xml:space="preserve"> 16373.8302 </t>
  </si>
  <si>
    <t xml:space="preserve"> 67.1189 </t>
  </si>
  <si>
    <t xml:space="preserve">F:\images\20210312\plaque 2/@05 Amantadine 0.001 mg_L dopé/D5_03.tif </t>
  </si>
  <si>
    <t xml:space="preserve"> 67.4731 </t>
  </si>
  <si>
    <t xml:space="preserve">F:\images\20210312\plaque 2/@05 Amantadine 0.001 mg_L dopé/E5_01.tif </t>
  </si>
  <si>
    <t xml:space="preserve"> 9776.7124 </t>
  </si>
  <si>
    <t xml:space="preserve"> 69.0376 </t>
  </si>
  <si>
    <t xml:space="preserve">F:\images\20210312\plaque 2/@05 Amantadine 0.001 mg_L dopé/E5_02.tif </t>
  </si>
  <si>
    <t xml:space="preserve"> 10728.4277 </t>
  </si>
  <si>
    <t xml:space="preserve"> 69.5423 </t>
  </si>
  <si>
    <t xml:space="preserve">F:\images\20210312\plaque 2/@05 Amantadine 0.001 mg_L dopé/E5_03.tif </t>
  </si>
  <si>
    <t xml:space="preserve"> 12134.3709 </t>
  </si>
  <si>
    <t xml:space="preserve"> 68.1889 </t>
  </si>
  <si>
    <t xml:space="preserve">F:\images\20210312\plaque 2/@05 Amantadine 0.001 mg_L dopé/F5_01.tif </t>
  </si>
  <si>
    <t xml:space="preserve"> 10836.5772 </t>
  </si>
  <si>
    <t xml:space="preserve"> 68.2794 </t>
  </si>
  <si>
    <t xml:space="preserve">F:\images\20210312\plaque 2/@05 Amantadine 0.001 mg_L dopé/F5_02.tif </t>
  </si>
  <si>
    <t xml:space="preserve"> 67.2304 </t>
  </si>
  <si>
    <t xml:space="preserve">F:\images\20210312\plaque 2/@05 Amantadine 0.001 mg_L dopé/F5_03.tif </t>
  </si>
  <si>
    <t xml:space="preserve"> 4628.7975 </t>
  </si>
  <si>
    <t xml:space="preserve"> 64.2196 </t>
  </si>
  <si>
    <t xml:space="preserve">F:\images\20210312\plaque 2/@05 Amantadine 0.001 mg_L dopé/G5_01.tif </t>
  </si>
  <si>
    <t xml:space="preserve"> 74.9217 </t>
  </si>
  <si>
    <t xml:space="preserve">F:\images\20210312\plaque 2/@05 Amantadine 0.001 mg_L dopé/G5_02.tif </t>
  </si>
  <si>
    <t xml:space="preserve"> 36857.3404 </t>
  </si>
  <si>
    <t xml:space="preserve"> 76.3292 </t>
  </si>
  <si>
    <t xml:space="preserve">F:\images\20210312\plaque 2/@05 Amantadine 0.001 mg_L dopé/G5_03.tif </t>
  </si>
  <si>
    <t xml:space="preserve"> 35862.3653 </t>
  </si>
  <si>
    <t xml:space="preserve"> 73.7714 </t>
  </si>
  <si>
    <t xml:space="preserve">F:\images\20210312\plaque 2/@05 Amantadine 0.001 mg_L dopé/H5_01.tif </t>
  </si>
  <si>
    <t xml:space="preserve"> 72.3758 </t>
  </si>
  <si>
    <t xml:space="preserve">F:\images\20210312\plaque 2/@05 Amantadine 0.001 mg_L dopé/H5_02.tif </t>
  </si>
  <si>
    <t xml:space="preserve"> 30692.8205 </t>
  </si>
  <si>
    <t xml:space="preserve"> 72.1247 </t>
  </si>
  <si>
    <t xml:space="preserve">F:\images\20210312\plaque 2/@05 Amantadine 0.001 mg_L dopé/H5_03.tif </t>
  </si>
  <si>
    <t xml:space="preserve"> 71.4436 </t>
  </si>
  <si>
    <t xml:space="preserve">F:\images\20210312\plaque 2/@05 Amantadine 0.001 mg_L dopé/ </t>
  </si>
  <si>
    <t xml:space="preserve"> 69.3579 </t>
  </si>
  <si>
    <t xml:space="preserve"> 3.1911 </t>
  </si>
  <si>
    <t xml:space="preserve"> 1564968.79 </t>
  </si>
  <si>
    <t xml:space="preserve"> 963178.265 </t>
  </si>
  <si>
    <t xml:space="preserve">F:\images\20210312\plaque 2/@06  Amantadine 0.01 mg_LLdopé/A6_01.tif </t>
  </si>
  <si>
    <t xml:space="preserve"> 53880.0675 </t>
  </si>
  <si>
    <t xml:space="preserve"> 75.5765 </t>
  </si>
  <si>
    <t xml:space="preserve">F:\images\20210312\plaque 2/@06  Amantadine 0.01 mg_LLdopé/A6_02.tif </t>
  </si>
  <si>
    <t xml:space="preserve"> 74.2438 </t>
  </si>
  <si>
    <t xml:space="preserve">F:\images\20210312\plaque 2/@06  Amantadine 0.01 mg_LLdopé/A6_03.tif </t>
  </si>
  <si>
    <t xml:space="preserve"> 53793.5479 </t>
  </si>
  <si>
    <t xml:space="preserve"> 75.7117 </t>
  </si>
  <si>
    <t xml:space="preserve">F:\images\20210312\plaque 2/@06  Amantadine 0.01 mg_LLdopé/B6_01.tif </t>
  </si>
  <si>
    <t xml:space="preserve"> 64.5789 </t>
  </si>
  <si>
    <t xml:space="preserve">F:\images\20210312\plaque 2/@06  Amantadine 0.01 mg_LLdopé/B6_02.tif </t>
  </si>
  <si>
    <t xml:space="preserve"> 5926.5911 </t>
  </si>
  <si>
    <t xml:space="preserve"> 66.3905 </t>
  </si>
  <si>
    <t xml:space="preserve">F:\images\20210312\plaque 2/@06  Amantadine 0.01 mg_LLdopé/B6_03.tif </t>
  </si>
  <si>
    <t xml:space="preserve"> 2876.776 </t>
  </si>
  <si>
    <t xml:space="preserve"> 62.9398 </t>
  </si>
  <si>
    <t xml:space="preserve">F:\images\20210312\plaque 2/@06  Amantadine 0.01 mg_LLdopé/C6_01.tif </t>
  </si>
  <si>
    <t xml:space="preserve"> 41161.6895 </t>
  </si>
  <si>
    <t xml:space="preserve"> 73.2533 </t>
  </si>
  <si>
    <t xml:space="preserve">F:\images\20210312\plaque 2/@06  Amantadine 0.01 mg_LLdopé/C6_02.tif </t>
  </si>
  <si>
    <t xml:space="preserve"> 41594.2874 </t>
  </si>
  <si>
    <t xml:space="preserve"> 75.9496 </t>
  </si>
  <si>
    <t xml:space="preserve">F:\images\20210312\plaque 2/@06  Amantadine 0.01 mg_LLdopé/C6_03.tif </t>
  </si>
  <si>
    <t xml:space="preserve"> 43692.3872 </t>
  </si>
  <si>
    <t xml:space="preserve"> 72.8767 </t>
  </si>
  <si>
    <t xml:space="preserve">F:\images\20210312\plaque 2/@06  Amantadine 0.01 mg_LLdopé/D6_01.tif </t>
  </si>
  <si>
    <t xml:space="preserve"> 14729.9582 </t>
  </si>
  <si>
    <t xml:space="preserve"> 67.373 </t>
  </si>
  <si>
    <t xml:space="preserve">F:\images\20210312\plaque 2/@06  Amantadine 0.01 mg_LLdopé/D6_02.tif </t>
  </si>
  <si>
    <t xml:space="preserve"> 15292.3355 </t>
  </si>
  <si>
    <t xml:space="preserve"> 67.7595 </t>
  </si>
  <si>
    <t xml:space="preserve">F:\images\20210312\plaque 2/@06  Amantadine 0.01 mg_LLdopé/D6_03.tif </t>
  </si>
  <si>
    <t xml:space="preserve"> 17498.5848 </t>
  </si>
  <si>
    <t xml:space="preserve"> 68.4549 </t>
  </si>
  <si>
    <t>F:\images\20210312\plaque 2/@06  Amantadine 0.01 mg_LLdopé/E6_01- exclu.tif</t>
  </si>
  <si>
    <t xml:space="preserve">F:\images\20210312\plaque 2/@06  Amantadine 0.01 mg_LLdopé/E6_02.tif </t>
  </si>
  <si>
    <t xml:space="preserve"> 36013.7746 </t>
  </si>
  <si>
    <t xml:space="preserve"> 71.17 </t>
  </si>
  <si>
    <t xml:space="preserve">F:\images\20210312\plaque 2/@06  Amantadine 0.01 mg_LLdopé/E6_03.tif </t>
  </si>
  <si>
    <t xml:space="preserve"> 37917.2053 </t>
  </si>
  <si>
    <t xml:space="preserve"> 72.7062 </t>
  </si>
  <si>
    <t>F:\images\20210312\plaque 2/@06  Amantadine 0.01 mg_LLdopé/F6_01- exclu.tif</t>
  </si>
  <si>
    <t xml:space="preserve">F:\images\20210312\plaque 2/@06  Amantadine 0.01 mg_LLdopé/F6_02.tif </t>
  </si>
  <si>
    <t xml:space="preserve"> 65.687 </t>
  </si>
  <si>
    <t xml:space="preserve">F:\images\20210312\plaque 2/@06  Amantadine 0.01 mg_LLdopé/F6_03.tif </t>
  </si>
  <si>
    <t xml:space="preserve"> 9387.3743 </t>
  </si>
  <si>
    <t xml:space="preserve"> 65.6843 </t>
  </si>
  <si>
    <t xml:space="preserve">F:\images\20210312\plaque 2/@06  Amantadine 0.01 mg_LLdopé/G6_01.tif </t>
  </si>
  <si>
    <t xml:space="preserve"> 9906.4917 </t>
  </si>
  <si>
    <t xml:space="preserve"> 67.0742 </t>
  </si>
  <si>
    <t>F:\images\20210312\plaque 2/@06  Amantadine 0.01 mg_LLdopé/G6_02- exclu.tif</t>
  </si>
  <si>
    <t xml:space="preserve">F:\images\20210312\plaque 2/@06  Amantadine 0.01 mg_LLdopé/G6_03.tif </t>
  </si>
  <si>
    <t xml:space="preserve"> 68.2447 </t>
  </si>
  <si>
    <t>F:\images\20210312\plaque 2/@06  Amantadine 0.01 mg_LLdopé/H6_01- exclu.tif</t>
  </si>
  <si>
    <t>F:\images\20210312\plaque 2/@06  Amantadine 0.01 mg_LLdopé/H6_02- exclu.tif</t>
  </si>
  <si>
    <t>F:\images\20210312\plaque 2/@06  Amantadine 0.01 mg_LLdopé/H6_03- exclu.tif</t>
  </si>
  <si>
    <t xml:space="preserve">F:\images\20210312\plaque 2/@06  Amantadine 0.01 mg_LLdopé/ </t>
  </si>
  <si>
    <t xml:space="preserve"> 70.6051 </t>
  </si>
  <si>
    <t xml:space="preserve"> 5.6158 </t>
  </si>
  <si>
    <t xml:space="preserve"> 1531403.75 </t>
  </si>
  <si>
    <t xml:space="preserve"> 1380396.34 </t>
  </si>
  <si>
    <t xml:space="preserve">F:\images\20210312\plaque 2/@07  Amantadine 0.1 mg_Ldopé/A7_01.tif </t>
  </si>
  <si>
    <t xml:space="preserve"> 66.2578 </t>
  </si>
  <si>
    <t xml:space="preserve">F:\images\20210312\plaque 2/@07  Amantadine 0.1 mg_Ldopé/A7_02.tif </t>
  </si>
  <si>
    <t xml:space="preserve"> 63.4111 </t>
  </si>
  <si>
    <t xml:space="preserve">F:\images\20210312\plaque 2/@07  Amantadine 0.1 mg_Ldopé/A7_03.tif </t>
  </si>
  <si>
    <t xml:space="preserve"> 63.6269 </t>
  </si>
  <si>
    <t xml:space="preserve">F:\images\20210312\plaque 2/@07  Amantadine 0.1 mg_Ldopé/B7_01.tif </t>
  </si>
  <si>
    <t xml:space="preserve"> 62.2143 </t>
  </si>
  <si>
    <t xml:space="preserve">F:\images\20210312\plaque 2/@07  Amantadine 0.1 mg_Ldopé/B7_02.tif </t>
  </si>
  <si>
    <t xml:space="preserve"> 65.9242 </t>
  </si>
  <si>
    <t xml:space="preserve">F:\images\20210312\plaque 2/@07  Amantadine 0.1 mg_Ldopé/B7_03.tif </t>
  </si>
  <si>
    <t xml:space="preserve"> 64.0417 </t>
  </si>
  <si>
    <t xml:space="preserve">F:\images\20210312\plaque 2/@07  Amantadine 0.1 mg_Ldopé/C7_01.tif </t>
  </si>
  <si>
    <t xml:space="preserve"> 63.0408 </t>
  </si>
  <si>
    <t xml:space="preserve">F:\images\20210312\plaque 2/@07  Amantadine 0.1 mg_Ldopé/C7_02.tif </t>
  </si>
  <si>
    <t xml:space="preserve">F:\images\20210312\plaque 2/@07  Amantadine 0.1 mg_Ldopé/C7_03.tif </t>
  </si>
  <si>
    <t xml:space="preserve"> 63.9462 </t>
  </si>
  <si>
    <t xml:space="preserve">F:\images\20210312\plaque 2/@07  Amantadine 0.1 mg_Ldopé/D7_01.tif </t>
  </si>
  <si>
    <t xml:space="preserve"> 69.4525 </t>
  </si>
  <si>
    <t xml:space="preserve">F:\images\20210312\plaque 2/@07  Amantadine 0.1 mg_Ldopé/D7_02.tif </t>
  </si>
  <si>
    <t xml:space="preserve"> 16849.6879 </t>
  </si>
  <si>
    <t xml:space="preserve"> 68.6367 </t>
  </si>
  <si>
    <t xml:space="preserve">F:\images\20210312\plaque 2/@07  Amantadine 0.1 mg_Ldopé/D7_03.tif </t>
  </si>
  <si>
    <t xml:space="preserve"> 6488.9684 </t>
  </si>
  <si>
    <t xml:space="preserve"> 65.5567 </t>
  </si>
  <si>
    <t xml:space="preserve">F:\images\20210312\plaque 2/@07  Amantadine 0.1 mg_Ldopé/E7_01.tif </t>
  </si>
  <si>
    <t xml:space="preserve"> 20461.8803 </t>
  </si>
  <si>
    <t xml:space="preserve"> 69.6501 </t>
  </si>
  <si>
    <t xml:space="preserve">F:\images\20210312\plaque 2/@07  Amantadine 0.1 mg_Ldopé/E7_02.tif </t>
  </si>
  <si>
    <t xml:space="preserve"> 24290.3717 </t>
  </si>
  <si>
    <t xml:space="preserve"> 70.6046 </t>
  </si>
  <si>
    <t xml:space="preserve">F:\images\20210312\plaque 2/@07  Amantadine 0.1 mg_Ldopé/E7_03.tif </t>
  </si>
  <si>
    <t xml:space="preserve"> 24333.6315 </t>
  </si>
  <si>
    <t xml:space="preserve"> 70.0622 </t>
  </si>
  <si>
    <t xml:space="preserve">F:\images\20210312\plaque 2/@07  Amantadine 0.1 mg_Ldopé/F7_01.tif </t>
  </si>
  <si>
    <t xml:space="preserve"> 2530.6977 </t>
  </si>
  <si>
    <t xml:space="preserve">F:\images\20210312\plaque 2/@07  Amantadine 0.1 mg_Ldopé/F7_02.tif </t>
  </si>
  <si>
    <t xml:space="preserve"> 63.9725 </t>
  </si>
  <si>
    <t xml:space="preserve">F:\images\20210312\plaque 2/@07  Amantadine 0.1 mg_Ldopé/F7_03.tif </t>
  </si>
  <si>
    <t xml:space="preserve"> 62.9759 </t>
  </si>
  <si>
    <t xml:space="preserve">F:\images\20210312\plaque 2/@07  Amantadine 0.1 mg_Ldopé/G7_01.tif </t>
  </si>
  <si>
    <t xml:space="preserve"> 65.2394 </t>
  </si>
  <si>
    <t xml:space="preserve">F:\images\20210312\plaque 2/@07  Amantadine 0.1 mg_Ldopé/G7_02.tif </t>
  </si>
  <si>
    <t xml:space="preserve"> 65.1773 </t>
  </si>
  <si>
    <t xml:space="preserve">F:\images\20210312\plaque 2/@07  Amantadine 0.1 mg_Ldopé/G7_03.tif </t>
  </si>
  <si>
    <t xml:space="preserve"> 63.6506 </t>
  </si>
  <si>
    <t xml:space="preserve">F:\images\20210312\plaque 2/@07  Amantadine 0.1 mg_Ldopé/H7_01.tif </t>
  </si>
  <si>
    <t xml:space="preserve"> 32639.511 </t>
  </si>
  <si>
    <t xml:space="preserve"> 68.6355 </t>
  </si>
  <si>
    <t xml:space="preserve">F:\images\20210312\plaque 2/@07  Amantadine 0.1 mg_Ldopé/H7_02.tif </t>
  </si>
  <si>
    <t xml:space="preserve"> 33072.1089 </t>
  </si>
  <si>
    <t xml:space="preserve"> 69.0988 </t>
  </si>
  <si>
    <t xml:space="preserve">F:\images\20210312\plaque 2/@07  Amantadine 0.1 mg_Ldopé/H7_03.tif </t>
  </si>
  <si>
    <t xml:space="preserve"> 30844.2297 </t>
  </si>
  <si>
    <t xml:space="preserve"> 68.7209 </t>
  </si>
  <si>
    <t xml:space="preserve">F:\images\20210312\plaque 2/@07  Amantadine 0.1 mg_Ldopé/ </t>
  </si>
  <si>
    <t xml:space="preserve"> 65.9401 </t>
  </si>
  <si>
    <t xml:space="preserve"> 2.6702 </t>
  </si>
  <si>
    <t xml:space="preserve"> 691293.208 </t>
  </si>
  <si>
    <t xml:space="preserve"> 791559.595 </t>
  </si>
  <si>
    <t xml:space="preserve">F:\images\20210312\plaque 2/@08  TAmantadine 1 mg_Ldopé/A8_01.tif </t>
  </si>
  <si>
    <t xml:space="preserve">F:\images\20210312\plaque 2/@08  TAmantadine 1 mg_Ldopé/A8_02.tif </t>
  </si>
  <si>
    <t xml:space="preserve"> 71.5965 </t>
  </si>
  <si>
    <t xml:space="preserve">F:\images\20210312\plaque 2/@08  TAmantadine 1 mg_Ldopé/A8_03.tif </t>
  </si>
  <si>
    <t xml:space="preserve"> 66.1073 </t>
  </si>
  <si>
    <t xml:space="preserve">F:\images\20210312\plaque 2/@08  TAmantadine 1 mg_Ldopé/B8_01.tif </t>
  </si>
  <si>
    <t xml:space="preserve"> 68.9868 </t>
  </si>
  <si>
    <t xml:space="preserve">F:\images\20210312\plaque 2/@08  TAmantadine 1 mg_Ldopé/B8_02.tif </t>
  </si>
  <si>
    <t xml:space="preserve"> 67.7645 </t>
  </si>
  <si>
    <t xml:space="preserve">F:\images\20210312\plaque 2/@08  TAmantadine 1 mg_Ldopé/B8_03.tif </t>
  </si>
  <si>
    <t xml:space="preserve"> 19553.4247 </t>
  </si>
  <si>
    <t xml:space="preserve"> 67.969 </t>
  </si>
  <si>
    <t>F:\images\20210312\plaque 2/@08  TAmantadine 1 mg_Ldopé/C8_01- exclu.tif</t>
  </si>
  <si>
    <t xml:space="preserve">F:\images\20210312\plaque 2/@08  TAmantadine 1 mg_Ldopé/C8_02.tif </t>
  </si>
  <si>
    <t xml:space="preserve"> 67.25 </t>
  </si>
  <si>
    <t xml:space="preserve">F:\images\20210312\plaque 2/@08  TAmantadine 1 mg_Ldopé/C8_03.tif </t>
  </si>
  <si>
    <t xml:space="preserve"> 4066.4202 </t>
  </si>
  <si>
    <t xml:space="preserve"> 65.7926 </t>
  </si>
  <si>
    <t xml:space="preserve">F:\images\20210312\plaque 2/@08  TAmantadine 1 mg_Ldopé/D8_01.tif </t>
  </si>
  <si>
    <t xml:space="preserve"> 74.5168 </t>
  </si>
  <si>
    <t xml:space="preserve">F:\images\20210312\plaque 2/@08  TAmantadine 1 mg_Ldopé/D8_02.tif </t>
  </si>
  <si>
    <t xml:space="preserve"> 53058.1315 </t>
  </si>
  <si>
    <t xml:space="preserve"> 75.0012 </t>
  </si>
  <si>
    <t xml:space="preserve">F:\images\20210312\plaque 2/@08  TAmantadine 1 mg_Ldopé/D8_03.tif </t>
  </si>
  <si>
    <t xml:space="preserve"> 42243.1842 </t>
  </si>
  <si>
    <t xml:space="preserve"> 76.6733 </t>
  </si>
  <si>
    <t xml:space="preserve">F:\images\20210312\plaque 2/@08  TAmantadine 1 mg_Ldopé/E8_01.tif </t>
  </si>
  <si>
    <t xml:space="preserve"> 20656.5494 </t>
  </si>
  <si>
    <t xml:space="preserve"> 68.0513 </t>
  </si>
  <si>
    <t xml:space="preserve">F:\images\20210312\plaque 2/@08  TAmantadine 1 mg_Ldopé/E8_02.tif </t>
  </si>
  <si>
    <t xml:space="preserve"> 68.8166 </t>
  </si>
  <si>
    <t xml:space="preserve">F:\images\20210312\plaque 2/@08  TAmantadine 1 mg_Ldopé/E8_03.tif </t>
  </si>
  <si>
    <t xml:space="preserve"> 20050.9123 </t>
  </si>
  <si>
    <t xml:space="preserve"> 67.4962 </t>
  </si>
  <si>
    <t xml:space="preserve">F:\images\20210312\plaque 2/@08  TAmantadine 1 mg_Ldopé/F8_01.tif </t>
  </si>
  <si>
    <t xml:space="preserve"> 18839.6382 </t>
  </si>
  <si>
    <t xml:space="preserve"> 66.6728 </t>
  </si>
  <si>
    <t xml:space="preserve">F:\images\20210312\plaque 2/@08  TAmantadine 1 mg_Ldopé/F8_02.tif </t>
  </si>
  <si>
    <t xml:space="preserve"> 17823.0332 </t>
  </si>
  <si>
    <t xml:space="preserve"> 65.6286 </t>
  </si>
  <si>
    <t xml:space="preserve">F:\images\20210312\plaque 2/@08  TAmantadine 1 mg_Ldopé/F8_03.tif </t>
  </si>
  <si>
    <t xml:space="preserve"> 20180.6917 </t>
  </si>
  <si>
    <t xml:space="preserve"> 66.7899 </t>
  </si>
  <si>
    <t xml:space="preserve">F:\images\20210312\plaque 2/@08  TAmantadine 1 mg_Ldopé/G8_01.tif </t>
  </si>
  <si>
    <t xml:space="preserve"> 65.0721 </t>
  </si>
  <si>
    <t xml:space="preserve">F:\images\20210312\plaque 2/@08  TAmantadine 1 mg_Ldopé/G8_02.tif </t>
  </si>
  <si>
    <t xml:space="preserve"> 7592.093 </t>
  </si>
  <si>
    <t xml:space="preserve"> 64.8291 </t>
  </si>
  <si>
    <t xml:space="preserve">F:\images\20210312\plaque 2/@08  TAmantadine 1 mg_Ldopé/G8_03.tif </t>
  </si>
  <si>
    <t xml:space="preserve"> 5537.253 </t>
  </si>
  <si>
    <t xml:space="preserve"> 64.3047 </t>
  </si>
  <si>
    <t xml:space="preserve">F:\images\20210312\plaque 2/@08  TAmantadine 1 mg_Ldopé/H8_01.tif </t>
  </si>
  <si>
    <t xml:space="preserve"> 36359.8529 </t>
  </si>
  <si>
    <t xml:space="preserve"> 70.7585 </t>
  </si>
  <si>
    <t xml:space="preserve">F:\images\20210312\plaque 2/@08  TAmantadine 1 mg_Ldopé/H8_02.tif </t>
  </si>
  <si>
    <t xml:space="preserve"> 69.233 </t>
  </si>
  <si>
    <t xml:space="preserve">F:\images\20210312\plaque 2/@08  TAmantadine 1 mg_Ldopé/H8_03.tif </t>
  </si>
  <si>
    <t xml:space="preserve"> 34932.2798 </t>
  </si>
  <si>
    <t xml:space="preserve"> 69.7833 </t>
  </si>
  <si>
    <t xml:space="preserve">F:\images\20210312\plaque 2/@08  TAmantadine 1 mg_Ldopé/ </t>
  </si>
  <si>
    <t xml:space="preserve"> 68.4715 </t>
  </si>
  <si>
    <t xml:space="preserve"> 3.4189 </t>
  </si>
  <si>
    <t xml:space="preserve"> 1374256.08 </t>
  </si>
  <si>
    <t xml:space="preserve"> 1162742.89 </t>
  </si>
  <si>
    <t xml:space="preserve">F:\images\20210312\plaque 2/@09  Amantadine 10 mg_L dopé/A9_01.tif </t>
  </si>
  <si>
    <t xml:space="preserve"> 9560.4134 </t>
  </si>
  <si>
    <t xml:space="preserve"> 76.2285 </t>
  </si>
  <si>
    <t xml:space="preserve">F:\images\20210312\plaque 2/@09  Amantadine 10 mg_L dopé/A9_02.tif </t>
  </si>
  <si>
    <t xml:space="preserve"> 10750.0576 </t>
  </si>
  <si>
    <t xml:space="preserve"> 78.9819 </t>
  </si>
  <si>
    <t xml:space="preserve">F:\images\20210312\plaque 2/@09  Amantadine 10 mg_L dopé/A9_03.tif </t>
  </si>
  <si>
    <t xml:space="preserve"> 10879.837 </t>
  </si>
  <si>
    <t xml:space="preserve"> 77.6123 </t>
  </si>
  <si>
    <t xml:space="preserve">F:\images\20210312\plaque 2/@09  Amantadine 10 mg_L dopé/B9_01.tif </t>
  </si>
  <si>
    <t xml:space="preserve"> 70.5215 </t>
  </si>
  <si>
    <t xml:space="preserve">F:\images\20210312\plaque 2/@09  Amantadine 10 mg_L dopé/B9_02.tif </t>
  </si>
  <si>
    <t xml:space="preserve"> 20634.9195 </t>
  </si>
  <si>
    <t xml:space="preserve"> 70.108 </t>
  </si>
  <si>
    <t xml:space="preserve">F:\images\20210312\plaque 2/@09  Amantadine 10 mg_L dopé/B9_03.tif </t>
  </si>
  <si>
    <t xml:space="preserve"> 21435.2256 </t>
  </si>
  <si>
    <t xml:space="preserve"> 70.3744 </t>
  </si>
  <si>
    <t xml:space="preserve">F:\images\20210312\plaque 2/@09  Amantadine 10 mg_L dopé/C9_01.tif </t>
  </si>
  <si>
    <t xml:space="preserve"> 20894.4782 </t>
  </si>
  <si>
    <t xml:space="preserve"> 67.8106 </t>
  </si>
  <si>
    <t xml:space="preserve">F:\images\20210312\plaque 2/@09  Amantadine 10 mg_L dopé/C9_02.tif </t>
  </si>
  <si>
    <t xml:space="preserve"> 13367.2749 </t>
  </si>
  <si>
    <t xml:space="preserve"> 67.2443 </t>
  </si>
  <si>
    <t xml:space="preserve">F:\images\20210312\plaque 2/@09  Amantadine 10 mg_L dopé/C9_03.tif </t>
  </si>
  <si>
    <t xml:space="preserve"> 16287.3107 </t>
  </si>
  <si>
    <t xml:space="preserve"> 66.741 </t>
  </si>
  <si>
    <t xml:space="preserve">F:\images\20210312\plaque 2/@09  Amantadine 10 mg_L dopé/D9_01.tif </t>
  </si>
  <si>
    <t xml:space="preserve"> 33504.7068 </t>
  </si>
  <si>
    <t xml:space="preserve"> 70.1607 </t>
  </si>
  <si>
    <t xml:space="preserve">F:\images\20210312\plaque 2/@09  Amantadine 10 mg_L dopé/D9_02.tif </t>
  </si>
  <si>
    <t xml:space="preserve"> 71.4718 </t>
  </si>
  <si>
    <t xml:space="preserve">F:\images\20210312\plaque 2/@09  Amantadine 10 mg_L dopé/D9_03.tif </t>
  </si>
  <si>
    <t xml:space="preserve"> 68.9302 </t>
  </si>
  <si>
    <t xml:space="preserve">F:\images\20210312\plaque 2/@09  Amantadine 10 mg_L dopé/E9_01.tif </t>
  </si>
  <si>
    <t xml:space="preserve"> 39863.8958 </t>
  </si>
  <si>
    <t xml:space="preserve"> 70.4107 </t>
  </si>
  <si>
    <t xml:space="preserve">F:\images\20210312\plaque 2/@09  Amantadine 10 mg_L dopé/E9_02.tif </t>
  </si>
  <si>
    <t xml:space="preserve"> 40274.8638 </t>
  </si>
  <si>
    <t xml:space="preserve">F:\images\20210312\plaque 2/@09  Amantadine 10 mg_L dopé/E9_03.tif </t>
  </si>
  <si>
    <t xml:space="preserve"> 38457.9527 </t>
  </si>
  <si>
    <t xml:space="preserve"> 73.9871 </t>
  </si>
  <si>
    <t xml:space="preserve">F:\images\20210312\plaque 2/@09  Amantadine 10 mg_L dopé/F9_01.tif </t>
  </si>
  <si>
    <t xml:space="preserve"> 67.8784 </t>
  </si>
  <si>
    <t xml:space="preserve">F:\images\20210312\plaque 2/@09  Amantadine 10 mg_L dopé/F9_02.tif </t>
  </si>
  <si>
    <t xml:space="preserve"> 63.7238 </t>
  </si>
  <si>
    <t xml:space="preserve">F:\images\20210312\plaque 2/@09  Amantadine 10 mg_L dopé/F9_03.tif </t>
  </si>
  <si>
    <t xml:space="preserve"> 66.2684 </t>
  </si>
  <si>
    <t xml:space="preserve">F:\images\20210312\plaque 2/@09  Amantadine 10 mg_L dopé/G9_01.tif </t>
  </si>
  <si>
    <t xml:space="preserve"> 10339.0896 </t>
  </si>
  <si>
    <t xml:space="preserve"> 65.0921 </t>
  </si>
  <si>
    <t xml:space="preserve">F:\images\20210312\plaque 2/@09  Amantadine 10 mg_L dopé/G9_02.tif </t>
  </si>
  <si>
    <t xml:space="preserve"> 64.1694 </t>
  </si>
  <si>
    <t xml:space="preserve">F:\images\20210312\plaque 2/@09  Amantadine 10 mg_L dopé/G9_03.tif </t>
  </si>
  <si>
    <t xml:space="preserve"> 4953.2459 </t>
  </si>
  <si>
    <t xml:space="preserve"> 64.0961 </t>
  </si>
  <si>
    <t xml:space="preserve">F:\images\20210312\plaque 2/@09  Amantadine 10 mg_L dopé/H9_01.tif </t>
  </si>
  <si>
    <t xml:space="preserve"> 19942.7628 </t>
  </si>
  <si>
    <t xml:space="preserve"> 67.9989 </t>
  </si>
  <si>
    <t xml:space="preserve">F:\images\20210312\plaque 2/@09  Amantadine 10 mg_L dopé/H9_02.tif </t>
  </si>
  <si>
    <t xml:space="preserve"> 16352.2003 </t>
  </si>
  <si>
    <t xml:space="preserve"> 68.0913 </t>
  </si>
  <si>
    <t xml:space="preserve">F:\images\20210312\plaque 2/@09  Amantadine 10 mg_L dopé/H9_03.tif </t>
  </si>
  <si>
    <t xml:space="preserve"> 16244.0509 </t>
  </si>
  <si>
    <t xml:space="preserve"> 67.9081 </t>
  </si>
  <si>
    <t xml:space="preserve">F:\images\20210312\plaque 2/@09  Amantadine 10 mg_L dopé/ </t>
  </si>
  <si>
    <t xml:space="preserve"> 69.5313 </t>
  </si>
  <si>
    <t xml:space="preserve"> 4.0988 </t>
  </si>
  <si>
    <t xml:space="preserve"> 814174.475 </t>
  </si>
  <si>
    <t>Krustall wallis</t>
  </si>
  <si>
    <t>krustall wallis</t>
  </si>
  <si>
    <t>&gt;0,9999</t>
  </si>
  <si>
    <t>ANOVA</t>
  </si>
  <si>
    <t>Amantadine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</si>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</sst>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14" fillId="0" borderId="0" xfId="0" applyFont="1"/>
    <xf numFmtId="0" fontId="3" fillId="14" borderId="46" xfId="0" applyNumberFormat="1" applyFont="1" applyFill="1" applyBorder="1" applyAlignment="1">
      <alignment horizontal="center" vertic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4CC7-45D8-8EAD-344B263C7528}"/>
              </c:ext>
            </c:extLst>
          </c:dPt>
          <c:dPt>
            <c:idx val="1"/>
            <c:invertIfNegative val="0"/>
            <c:bubble3D val="0"/>
            <c:spPr>
              <a:solidFill>
                <a:srgbClr val="FF0000"/>
              </a:solidFill>
            </c:spPr>
            <c:extLst>
              <c:ext xmlns:c16="http://schemas.microsoft.com/office/drawing/2014/chart" uri="{C3380CC4-5D6E-409C-BE32-E72D297353CC}">
                <c16:uniqueId val="{00000002-4CC7-45D8-8EAD-344B263C7528}"/>
              </c:ext>
            </c:extLst>
          </c:dPt>
          <c:dPt>
            <c:idx val="2"/>
            <c:invertIfNegative val="0"/>
            <c:bubble3D val="0"/>
            <c:spPr>
              <a:solidFill>
                <a:srgbClr val="FF0000"/>
              </a:solidFill>
            </c:spPr>
            <c:extLst>
              <c:ext xmlns:c16="http://schemas.microsoft.com/office/drawing/2014/chart" uri="{C3380CC4-5D6E-409C-BE32-E72D297353CC}">
                <c16:uniqueId val="{00000003-4CC7-45D8-8EAD-344B263C7528}"/>
              </c:ext>
            </c:extLst>
          </c:dPt>
          <c:dPt>
            <c:idx val="3"/>
            <c:invertIfNegative val="0"/>
            <c:bubble3D val="0"/>
            <c:spPr>
              <a:solidFill>
                <a:srgbClr val="FF0000"/>
              </a:solidFill>
            </c:spPr>
            <c:extLst>
              <c:ext xmlns:c16="http://schemas.microsoft.com/office/drawing/2014/chart" uri="{C3380CC4-5D6E-409C-BE32-E72D297353CC}">
                <c16:uniqueId val="{00000004-4CC7-45D8-8EAD-344B263C7528}"/>
              </c:ext>
            </c:extLst>
          </c:dPt>
          <c:dPt>
            <c:idx val="4"/>
            <c:invertIfNegative val="0"/>
            <c:bubble3D val="0"/>
            <c:spPr>
              <a:solidFill>
                <a:srgbClr val="FF0000"/>
              </a:solidFill>
            </c:spPr>
            <c:extLst>
              <c:ext xmlns:c16="http://schemas.microsoft.com/office/drawing/2014/chart" uri="{C3380CC4-5D6E-409C-BE32-E72D297353CC}">
                <c16:uniqueId val="{00000005-4CC7-45D8-8EAD-344B263C7528}"/>
              </c:ext>
            </c:extLst>
          </c:dPt>
          <c:dPt>
            <c:idx val="5"/>
            <c:invertIfNegative val="0"/>
            <c:bubble3D val="0"/>
            <c:spPr>
              <a:solidFill>
                <a:srgbClr val="FF0000"/>
              </a:solidFill>
            </c:spPr>
            <c:extLst>
              <c:ext xmlns:c16="http://schemas.microsoft.com/office/drawing/2014/chart" uri="{C3380CC4-5D6E-409C-BE32-E72D297353CC}">
                <c16:uniqueId val="{00000006-4CC7-45D8-8EAD-344B263C7528}"/>
              </c:ext>
            </c:extLst>
          </c:dPt>
          <c:dPt>
            <c:idx val="6"/>
            <c:invertIfNegative val="0"/>
            <c:bubble3D val="0"/>
            <c:spPr>
              <a:solidFill>
                <a:srgbClr val="FF0000"/>
              </a:solidFill>
            </c:spPr>
            <c:extLst>
              <c:ext xmlns:c16="http://schemas.microsoft.com/office/drawing/2014/chart" uri="{C3380CC4-5D6E-409C-BE32-E72D297353CC}">
                <c16:uniqueId val="{00000007-4CC7-45D8-8EAD-344B263C7528}"/>
              </c:ext>
            </c:extLst>
          </c:dPt>
          <c:dPt>
            <c:idx val="7"/>
            <c:invertIfNegative val="0"/>
            <c:bubble3D val="0"/>
            <c:spPr>
              <a:solidFill>
                <a:schemeClr val="bg1">
                  <a:lumMod val="65000"/>
                </a:schemeClr>
              </a:solidFill>
            </c:spPr>
            <c:extLst>
              <c:ext xmlns:c16="http://schemas.microsoft.com/office/drawing/2014/chart" uri="{C3380CC4-5D6E-409C-BE32-E72D297353CC}">
                <c16:uniqueId val="{00000008-4CC7-45D8-8EAD-344B263C7528}"/>
              </c:ext>
            </c:extLst>
          </c:dPt>
          <c:dPt>
            <c:idx val="8"/>
            <c:invertIfNegative val="0"/>
            <c:bubble3D val="0"/>
            <c:spPr>
              <a:solidFill>
                <a:schemeClr val="bg1">
                  <a:lumMod val="65000"/>
                </a:schemeClr>
              </a:solidFill>
            </c:spPr>
            <c:extLst>
              <c:ext xmlns:c16="http://schemas.microsoft.com/office/drawing/2014/chart" uri="{C3380CC4-5D6E-409C-BE32-E72D297353CC}">
                <c16:uniqueId val="{00000009-4CC7-45D8-8EAD-344B263C7528}"/>
              </c:ext>
            </c:extLst>
          </c:dPt>
          <c:dPt>
            <c:idx val="9"/>
            <c:invertIfNegative val="0"/>
            <c:bubble3D val="0"/>
            <c:spPr>
              <a:solidFill>
                <a:schemeClr val="bg1">
                  <a:lumMod val="65000"/>
                </a:schemeClr>
              </a:solidFill>
            </c:spPr>
            <c:extLst>
              <c:ext xmlns:c16="http://schemas.microsoft.com/office/drawing/2014/chart" uri="{C3380CC4-5D6E-409C-BE32-E72D297353CC}">
                <c16:uniqueId val="{0000000A-4CC7-45D8-8EAD-344B263C7528}"/>
              </c:ext>
            </c:extLst>
          </c:dPt>
          <c:dPt>
            <c:idx val="10"/>
            <c:invertIfNegative val="0"/>
            <c:bubble3D val="0"/>
            <c:spPr>
              <a:solidFill>
                <a:schemeClr val="bg1">
                  <a:lumMod val="65000"/>
                </a:schemeClr>
              </a:solidFill>
            </c:spPr>
            <c:extLst>
              <c:ext xmlns:c16="http://schemas.microsoft.com/office/drawing/2014/chart" uri="{C3380CC4-5D6E-409C-BE32-E72D297353CC}">
                <c16:uniqueId val="{0000000B-4CC7-45D8-8EAD-344B263C7528}"/>
              </c:ext>
            </c:extLst>
          </c:dPt>
          <c:dPt>
            <c:idx val="11"/>
            <c:invertIfNegative val="0"/>
            <c:bubble3D val="0"/>
            <c:spPr>
              <a:solidFill>
                <a:schemeClr val="bg1">
                  <a:lumMod val="65000"/>
                </a:schemeClr>
              </a:solidFill>
            </c:spPr>
            <c:extLst>
              <c:ext xmlns:c16="http://schemas.microsoft.com/office/drawing/2014/chart" uri="{C3380CC4-5D6E-409C-BE32-E72D297353CC}">
                <c16:uniqueId val="{0000000C-4CC7-45D8-8EAD-344B263C7528}"/>
              </c:ext>
            </c:extLst>
          </c:dPt>
          <c:dPt>
            <c:idx val="14"/>
            <c:invertIfNegative val="0"/>
            <c:bubble3D val="0"/>
            <c:spPr>
              <a:solidFill>
                <a:srgbClr val="92D050"/>
              </a:solidFill>
            </c:spPr>
            <c:extLst>
              <c:ext xmlns:c16="http://schemas.microsoft.com/office/drawing/2014/chart" uri="{C3380CC4-5D6E-409C-BE32-E72D297353CC}">
                <c16:uniqueId val="{0000000D-4CC7-45D8-8EAD-344B263C7528}"/>
              </c:ext>
            </c:extLst>
          </c:dPt>
          <c:dPt>
            <c:idx val="15"/>
            <c:invertIfNegative val="0"/>
            <c:bubble3D val="0"/>
            <c:spPr>
              <a:solidFill>
                <a:srgbClr val="92D050"/>
              </a:solidFill>
            </c:spPr>
            <c:extLst>
              <c:ext xmlns:c16="http://schemas.microsoft.com/office/drawing/2014/chart" uri="{C3380CC4-5D6E-409C-BE32-E72D297353CC}">
                <c16:uniqueId val="{0000000E-4CC7-45D8-8EAD-344B263C7528}"/>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0F-4CC7-45D8-8EAD-344B263C7528}"/>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0-4CC7-45D8-8EAD-344B263C7528}"/>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1-4CC7-45D8-8EAD-344B263C7528}"/>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2-4CC7-45D8-8EAD-344B263C7528}"/>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3-4CC7-45D8-8EAD-344B263C7528}"/>
              </c:ext>
            </c:extLst>
          </c:dPt>
          <c:dLbls>
            <c:dLbl>
              <c:idx val="0"/>
              <c:tx>
                <c:rich>
                  <a:bodyPr/>
                  <a:lstStyle/>
                  <a:p>
                    <a:fld id="{0022F413-B720-4F67-9C5B-4335139A82A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CC7-45D8-8EAD-344B263C7528}"/>
                </c:ext>
              </c:extLst>
            </c:dLbl>
            <c:dLbl>
              <c:idx val="1"/>
              <c:tx>
                <c:rich>
                  <a:bodyPr/>
                  <a:lstStyle/>
                  <a:p>
                    <a:fld id="{0A01277A-F9F1-4166-8B49-B1101DB6B7F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CC7-45D8-8EAD-344B263C7528}"/>
                </c:ext>
              </c:extLst>
            </c:dLbl>
            <c:dLbl>
              <c:idx val="2"/>
              <c:tx>
                <c:rich>
                  <a:bodyPr/>
                  <a:lstStyle/>
                  <a:p>
                    <a:fld id="{3E17A80C-1648-4D42-A632-F999D906851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CC7-45D8-8EAD-344B263C7528}"/>
                </c:ext>
              </c:extLst>
            </c:dLbl>
            <c:dLbl>
              <c:idx val="3"/>
              <c:tx>
                <c:rich>
                  <a:bodyPr/>
                  <a:lstStyle/>
                  <a:p>
                    <a:fld id="{50D4D6E2-C76B-4A9D-B46F-AA03FB88AD1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CC7-45D8-8EAD-344B263C7528}"/>
                </c:ext>
              </c:extLst>
            </c:dLbl>
            <c:dLbl>
              <c:idx val="4"/>
              <c:tx>
                <c:rich>
                  <a:bodyPr/>
                  <a:lstStyle/>
                  <a:p>
                    <a:fld id="{97833EE8-C695-414B-9DEB-25547995BDE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CC7-45D8-8EAD-344B263C7528}"/>
                </c:ext>
              </c:extLst>
            </c:dLbl>
            <c:dLbl>
              <c:idx val="5"/>
              <c:tx>
                <c:rich>
                  <a:bodyPr/>
                  <a:lstStyle/>
                  <a:p>
                    <a:fld id="{7537B0B2-0FB2-4C90-A812-7DDEF11808B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CC7-45D8-8EAD-344B263C7528}"/>
                </c:ext>
              </c:extLst>
            </c:dLbl>
            <c:dLbl>
              <c:idx val="6"/>
              <c:tx>
                <c:rich>
                  <a:bodyPr/>
                  <a:lstStyle/>
                  <a:p>
                    <a:fld id="{9EFBF01E-26AB-4DBB-A61A-E7838D94AAE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C7-45D8-8EAD-344B263C7528}"/>
                </c:ext>
              </c:extLst>
            </c:dLbl>
            <c:dLbl>
              <c:idx val="7"/>
              <c:tx>
                <c:rich>
                  <a:bodyPr/>
                  <a:lstStyle/>
                  <a:p>
                    <a:fld id="{2149D02B-B0D0-4BDD-BCD1-4864245769A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CC7-45D8-8EAD-344B263C7528}"/>
                </c:ext>
              </c:extLst>
            </c:dLbl>
            <c:dLbl>
              <c:idx val="8"/>
              <c:tx>
                <c:rich>
                  <a:bodyPr/>
                  <a:lstStyle/>
                  <a:p>
                    <a:fld id="{0BBB1B79-BF90-4484-B962-8C2F2046BDA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CC7-45D8-8EAD-344B263C7528}"/>
                </c:ext>
              </c:extLst>
            </c:dLbl>
            <c:dLbl>
              <c:idx val="9"/>
              <c:tx>
                <c:rich>
                  <a:bodyPr/>
                  <a:lstStyle/>
                  <a:p>
                    <a:fld id="{163A235E-3688-4C77-8427-FC5398C2D15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CC7-45D8-8EAD-344B263C7528}"/>
                </c:ext>
              </c:extLst>
            </c:dLbl>
            <c:dLbl>
              <c:idx val="10"/>
              <c:tx>
                <c:rich>
                  <a:bodyPr/>
                  <a:lstStyle/>
                  <a:p>
                    <a:fld id="{6356BC0D-CAF4-4652-A7BE-9D0303DC13B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CC7-45D8-8EAD-344B263C7528}"/>
                </c:ext>
              </c:extLst>
            </c:dLbl>
            <c:dLbl>
              <c:idx val="11"/>
              <c:tx>
                <c:rich>
                  <a:bodyPr/>
                  <a:lstStyle/>
                  <a:p>
                    <a:fld id="{A4FD2BF1-39D4-4B61-A2FA-421FB5BE559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CC7-45D8-8EAD-344B263C7528}"/>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4CC7-45D8-8EAD-344B263C7528}"/>
                </c:ext>
              </c:extLst>
            </c:dLbl>
            <c:dLbl>
              <c:idx val="13"/>
              <c:tx>
                <c:rich>
                  <a:bodyPr/>
                  <a:lstStyle/>
                  <a:p>
                    <a:fld id="{27A10590-1F0D-4534-A840-9E01150C8B2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CC7-45D8-8EAD-344B263C7528}"/>
                </c:ext>
              </c:extLst>
            </c:dLbl>
            <c:dLbl>
              <c:idx val="14"/>
              <c:tx>
                <c:rich>
                  <a:bodyPr/>
                  <a:lstStyle/>
                  <a:p>
                    <a:fld id="{33E4CE7C-D1F5-4057-9493-67DD21E8469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CC7-45D8-8EAD-344B263C7528}"/>
                </c:ext>
              </c:extLst>
            </c:dLbl>
            <c:dLbl>
              <c:idx val="15"/>
              <c:tx>
                <c:rich>
                  <a:bodyPr/>
                  <a:lstStyle/>
                  <a:p>
                    <a:fld id="{BE767F7C-B869-4490-8CDC-912AADDB4D8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CC7-45D8-8EAD-344B263C7528}"/>
                </c:ext>
              </c:extLst>
            </c:dLbl>
            <c:dLbl>
              <c:idx val="16"/>
              <c:tx>
                <c:rich>
                  <a:bodyPr/>
                  <a:lstStyle/>
                  <a:p>
                    <a:fld id="{00A5391B-73B4-464F-998A-A453DF42B76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CC7-45D8-8EAD-344B263C7528}"/>
                </c:ext>
              </c:extLst>
            </c:dLbl>
            <c:dLbl>
              <c:idx val="17"/>
              <c:tx>
                <c:rich>
                  <a:bodyPr/>
                  <a:lstStyle/>
                  <a:p>
                    <a:fld id="{1AAA22DB-9375-4FD3-B4D1-F64282F2845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CC7-45D8-8EAD-344B263C7528}"/>
                </c:ext>
              </c:extLst>
            </c:dLbl>
            <c:dLbl>
              <c:idx val="18"/>
              <c:tx>
                <c:rich>
                  <a:bodyPr/>
                  <a:lstStyle/>
                  <a:p>
                    <a:fld id="{B76A4096-281D-45B5-9734-88358287BFA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CC7-45D8-8EAD-344B263C7528}"/>
                </c:ext>
              </c:extLst>
            </c:dLbl>
            <c:dLbl>
              <c:idx val="19"/>
              <c:tx>
                <c:rich>
                  <a:bodyPr/>
                  <a:lstStyle/>
                  <a:p>
                    <a:fld id="{7568E982-2904-447A-9A4F-ACC6BFD4975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CC7-45D8-8EAD-344B263C7528}"/>
                </c:ext>
              </c:extLst>
            </c:dLbl>
            <c:dLbl>
              <c:idx val="20"/>
              <c:tx>
                <c:rich>
                  <a:bodyPr/>
                  <a:lstStyle/>
                  <a:p>
                    <a:fld id="{61580577-6F20-4FEC-A7A8-755C8D99C4D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CC7-45D8-8EAD-344B263C7528}"/>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2.8056444452892775E-2</c:v>
                  </c:pt>
                  <c:pt idx="1">
                    <c:v>2.1632331193680295E-2</c:v>
                  </c:pt>
                  <c:pt idx="2">
                    <c:v>3.6084973284983266E-2</c:v>
                  </c:pt>
                  <c:pt idx="3">
                    <c:v>4.1410899056458832E-2</c:v>
                  </c:pt>
                  <c:pt idx="4">
                    <c:v>0.20281253897582727</c:v>
                  </c:pt>
                  <c:pt idx="5">
                    <c:v>0.14331910267922759</c:v>
                  </c:pt>
                  <c:pt idx="6">
                    <c:v>0.25507769583179896</c:v>
                  </c:pt>
                  <c:pt idx="7">
                    <c:v>2.5293695448784851E-2</c:v>
                  </c:pt>
                  <c:pt idx="8">
                    <c:v>1.9716032169061311E-2</c:v>
                  </c:pt>
                  <c:pt idx="9">
                    <c:v>1.8951383889674017E-2</c:v>
                  </c:pt>
                  <c:pt idx="10">
                    <c:v>2.5817111048179738E-2</c:v>
                  </c:pt>
                  <c:pt idx="11">
                    <c:v>4.4299070889300192E-2</c:v>
                  </c:pt>
                  <c:pt idx="13">
                    <c:v>0.16214661303860647</c:v>
                  </c:pt>
                  <c:pt idx="14">
                    <c:v>0.20143224124229309</c:v>
                  </c:pt>
                  <c:pt idx="15">
                    <c:v>1.9063058318911679E-2</c:v>
                  </c:pt>
                  <c:pt idx="16">
                    <c:v>0.23420106572740676</c:v>
                  </c:pt>
                  <c:pt idx="17">
                    <c:v>0.28100853692324812</c:v>
                  </c:pt>
                  <c:pt idx="18">
                    <c:v>0.12643029692618496</c:v>
                  </c:pt>
                  <c:pt idx="19">
                    <c:v>0.21800894455793993</c:v>
                  </c:pt>
                  <c:pt idx="20">
                    <c:v>0.19249079955021553</c:v>
                  </c:pt>
                </c:numCache>
              </c:numRef>
            </c:plus>
            <c:minus>
              <c:numRef>
                <c:f>'R1'!$N$48:$V$48</c:f>
                <c:numCache>
                  <c:formatCode>General</c:formatCode>
                  <c:ptCount val="9"/>
                  <c:pt idx="0">
                    <c:v>0</c:v>
                  </c:pt>
                  <c:pt idx="1">
                    <c:v>0.16214661303860647</c:v>
                  </c:pt>
                  <c:pt idx="2">
                    <c:v>0.20143224124229309</c:v>
                  </c:pt>
                  <c:pt idx="3">
                    <c:v>1.9063058318911679E-2</c:v>
                  </c:pt>
                  <c:pt idx="4">
                    <c:v>0.23420106572740676</c:v>
                  </c:pt>
                  <c:pt idx="5">
                    <c:v>0.28100853692324812</c:v>
                  </c:pt>
                  <c:pt idx="6">
                    <c:v>0.12643029692618496</c:v>
                  </c:pt>
                  <c:pt idx="7">
                    <c:v>0.21800894455793993</c:v>
                  </c:pt>
                  <c:pt idx="8">
                    <c:v>0.19249079955021553</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Amantadine-0,001mg/L</c:v>
                </c:pt>
                <c:pt idx="8">
                  <c:v>Amantadine-0,01mg/L</c:v>
                </c:pt>
                <c:pt idx="9">
                  <c:v>Amantadine-0,1mg/L</c:v>
                </c:pt>
                <c:pt idx="10">
                  <c:v>Amantadine-1mg/L</c:v>
                </c:pt>
                <c:pt idx="11">
                  <c:v>Amantadine-10mg/L</c:v>
                </c:pt>
                <c:pt idx="13">
                  <c:v>Testo -30µg/L</c:v>
                </c:pt>
                <c:pt idx="14">
                  <c:v>Testo 30µg/L + EE2 -64ng/L</c:v>
                </c:pt>
                <c:pt idx="15">
                  <c:v>Testo 30µg/L + FAD-10µg/L</c:v>
                </c:pt>
                <c:pt idx="16">
                  <c:v>Amantadine-0,001mg/L + Testostérone</c:v>
                </c:pt>
                <c:pt idx="17">
                  <c:v>Amantadine-0,01mg/L + Testostérone</c:v>
                </c:pt>
                <c:pt idx="18">
                  <c:v>Amantadine-0,1mg/L + Testostérone</c:v>
                </c:pt>
                <c:pt idx="19">
                  <c:v>Amantadine-1mg/L + Testostérone</c:v>
                </c:pt>
                <c:pt idx="20">
                  <c:v>Amantadine-10mg/L + Testostérone</c:v>
                </c:pt>
              </c:strCache>
            </c:strRef>
          </c:cat>
          <c:val>
            <c:numRef>
              <c:f>'R1'!$B$53:$V$53</c:f>
              <c:numCache>
                <c:formatCode>0.0000</c:formatCode>
                <c:ptCount val="21"/>
                <c:pt idx="0">
                  <c:v>0.1004923415508351</c:v>
                </c:pt>
                <c:pt idx="1">
                  <c:v>8.0925559959015875E-2</c:v>
                </c:pt>
                <c:pt idx="2">
                  <c:v>0.10945538758843375</c:v>
                </c:pt>
                <c:pt idx="3">
                  <c:v>0.1986654206794935</c:v>
                </c:pt>
                <c:pt idx="4">
                  <c:v>0.89373013875178386</c:v>
                </c:pt>
                <c:pt idx="5">
                  <c:v>1.5921268094112231</c:v>
                </c:pt>
                <c:pt idx="6">
                  <c:v>2.4887552158954853</c:v>
                </c:pt>
                <c:pt idx="7">
                  <c:v>0.15572777376432811</c:v>
                </c:pt>
                <c:pt idx="8">
                  <c:v>5.8783666713034158E-2</c:v>
                </c:pt>
                <c:pt idx="9">
                  <c:v>9.1081082323267587E-2</c:v>
                </c:pt>
                <c:pt idx="10">
                  <c:v>9.6833012459619755E-2</c:v>
                </c:pt>
                <c:pt idx="11">
                  <c:v>0.14638964119781492</c:v>
                </c:pt>
                <c:pt idx="13">
                  <c:v>1</c:v>
                </c:pt>
                <c:pt idx="14">
                  <c:v>1.5465576336215665</c:v>
                </c:pt>
                <c:pt idx="15">
                  <c:v>0.11391818636043084</c:v>
                </c:pt>
                <c:pt idx="16">
                  <c:v>0.94976543638921662</c:v>
                </c:pt>
                <c:pt idx="17">
                  <c:v>1.1177791530829775</c:v>
                </c:pt>
                <c:pt idx="18">
                  <c:v>1.1330350871309449</c:v>
                </c:pt>
                <c:pt idx="19">
                  <c:v>1.3903041710463055</c:v>
                </c:pt>
                <c:pt idx="20">
                  <c:v>0.68718188503638589</c:v>
                </c:pt>
              </c:numCache>
            </c:numRef>
          </c:val>
          <c:extLst>
            <c:ext xmlns:c15="http://schemas.microsoft.com/office/drawing/2012/chart" uri="{02D57815-91ED-43cb-92C2-25804820EDAC}">
              <c15:datalabelsRange>
                <c15:f>'R1'!$B$61:$V$61</c15:f>
                <c15:dlblRangeCache>
                  <c:ptCount val="21"/>
                  <c:pt idx="1">
                    <c:v>NS</c:v>
                  </c:pt>
                  <c:pt idx="2">
                    <c:v>NS</c:v>
                  </c:pt>
                  <c:pt idx="3">
                    <c:v>NS</c:v>
                  </c:pt>
                  <c:pt idx="4">
                    <c:v>NS</c:v>
                  </c:pt>
                  <c:pt idx="5">
                    <c:v>**</c:v>
                  </c:pt>
                  <c:pt idx="6">
                    <c:v>***</c:v>
                  </c:pt>
                  <c:pt idx="7">
                    <c:v>NS</c:v>
                  </c:pt>
                  <c:pt idx="8">
                    <c:v>NS</c:v>
                  </c:pt>
                  <c:pt idx="9">
                    <c:v>NS</c:v>
                  </c:pt>
                  <c:pt idx="10">
                    <c:v>NS</c:v>
                  </c:pt>
                  <c:pt idx="11">
                    <c:v>NS</c:v>
                  </c:pt>
                  <c:pt idx="13">
                    <c:v>***</c:v>
                  </c:pt>
                  <c:pt idx="14">
                    <c:v>NS</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3.7"/>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5FBD-4748-84AA-47104AF0FE85}"/>
              </c:ext>
            </c:extLst>
          </c:dPt>
          <c:dPt>
            <c:idx val="1"/>
            <c:invertIfNegative val="0"/>
            <c:bubble3D val="0"/>
            <c:spPr>
              <a:solidFill>
                <a:srgbClr val="FF0000"/>
              </a:solidFill>
            </c:spPr>
            <c:extLst>
              <c:ext xmlns:c16="http://schemas.microsoft.com/office/drawing/2014/chart" uri="{C3380CC4-5D6E-409C-BE32-E72D297353CC}">
                <c16:uniqueId val="{00000018-5FBD-4748-84AA-47104AF0FE85}"/>
              </c:ext>
            </c:extLst>
          </c:dPt>
          <c:dPt>
            <c:idx val="2"/>
            <c:invertIfNegative val="0"/>
            <c:bubble3D val="0"/>
            <c:spPr>
              <a:solidFill>
                <a:srgbClr val="FF0000"/>
              </a:solidFill>
            </c:spPr>
            <c:extLst>
              <c:ext xmlns:c16="http://schemas.microsoft.com/office/drawing/2014/chart" uri="{C3380CC4-5D6E-409C-BE32-E72D297353CC}">
                <c16:uniqueId val="{00000019-5FBD-4748-84AA-47104AF0FE85}"/>
              </c:ext>
            </c:extLst>
          </c:dPt>
          <c:dPt>
            <c:idx val="3"/>
            <c:invertIfNegative val="0"/>
            <c:bubble3D val="0"/>
            <c:spPr>
              <a:solidFill>
                <a:srgbClr val="FF0000"/>
              </a:solidFill>
            </c:spPr>
            <c:extLst>
              <c:ext xmlns:c16="http://schemas.microsoft.com/office/drawing/2014/chart" uri="{C3380CC4-5D6E-409C-BE32-E72D297353CC}">
                <c16:uniqueId val="{0000001A-5FBD-4748-84AA-47104AF0FE85}"/>
              </c:ext>
            </c:extLst>
          </c:dPt>
          <c:dPt>
            <c:idx val="4"/>
            <c:invertIfNegative val="0"/>
            <c:bubble3D val="0"/>
            <c:spPr>
              <a:solidFill>
                <a:srgbClr val="FF0000"/>
              </a:solidFill>
            </c:spPr>
            <c:extLst>
              <c:ext xmlns:c16="http://schemas.microsoft.com/office/drawing/2014/chart" uri="{C3380CC4-5D6E-409C-BE32-E72D297353CC}">
                <c16:uniqueId val="{0000001B-5FBD-4748-84AA-47104AF0FE85}"/>
              </c:ext>
            </c:extLst>
          </c:dPt>
          <c:dPt>
            <c:idx val="5"/>
            <c:invertIfNegative val="0"/>
            <c:bubble3D val="0"/>
            <c:spPr>
              <a:solidFill>
                <a:srgbClr val="FF0000"/>
              </a:solidFill>
            </c:spPr>
            <c:extLst>
              <c:ext xmlns:c16="http://schemas.microsoft.com/office/drawing/2014/chart" uri="{C3380CC4-5D6E-409C-BE32-E72D297353CC}">
                <c16:uniqueId val="{0000001C-5FBD-4748-84AA-47104AF0FE85}"/>
              </c:ext>
            </c:extLst>
          </c:dPt>
          <c:dPt>
            <c:idx val="6"/>
            <c:invertIfNegative val="0"/>
            <c:bubble3D val="0"/>
            <c:spPr>
              <a:solidFill>
                <a:srgbClr val="FF0000"/>
              </a:solidFill>
            </c:spPr>
            <c:extLst>
              <c:ext xmlns:c16="http://schemas.microsoft.com/office/drawing/2014/chart" uri="{C3380CC4-5D6E-409C-BE32-E72D297353CC}">
                <c16:uniqueId val="{0000001D-5FBD-4748-84AA-47104AF0FE85}"/>
              </c:ext>
            </c:extLst>
          </c:dPt>
          <c:dPt>
            <c:idx val="7"/>
            <c:invertIfNegative val="0"/>
            <c:bubble3D val="0"/>
            <c:spPr>
              <a:solidFill>
                <a:schemeClr val="bg1">
                  <a:lumMod val="65000"/>
                </a:schemeClr>
              </a:solidFill>
            </c:spPr>
            <c:extLst>
              <c:ext xmlns:c16="http://schemas.microsoft.com/office/drawing/2014/chart" uri="{C3380CC4-5D6E-409C-BE32-E72D297353CC}">
                <c16:uniqueId val="{0000001E-5FBD-4748-84AA-47104AF0FE85}"/>
              </c:ext>
            </c:extLst>
          </c:dPt>
          <c:dPt>
            <c:idx val="8"/>
            <c:invertIfNegative val="0"/>
            <c:bubble3D val="0"/>
            <c:spPr>
              <a:solidFill>
                <a:schemeClr val="bg1">
                  <a:lumMod val="65000"/>
                </a:schemeClr>
              </a:solidFill>
            </c:spPr>
            <c:extLst>
              <c:ext xmlns:c16="http://schemas.microsoft.com/office/drawing/2014/chart" uri="{C3380CC4-5D6E-409C-BE32-E72D297353CC}">
                <c16:uniqueId val="{0000001F-5FBD-4748-84AA-47104AF0FE85}"/>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5FBD-4748-84AA-47104AF0FE85}"/>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5FBD-4748-84AA-47104AF0FE85}"/>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5FBD-4748-84AA-47104AF0FE85}"/>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5FBD-4748-84AA-47104AF0FE85}"/>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5FBD-4748-84AA-47104AF0FE85}"/>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5FBD-4748-84AA-47104AF0FE85}"/>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5FBD-4748-84AA-47104AF0FE85}"/>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7ADB11C7-F248-4980-AD69-CEA44BBE84C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5FBD-4748-84AA-47104AF0FE85}"/>
                </c:ext>
              </c:extLst>
            </c:dLbl>
            <c:dLbl>
              <c:idx val="1"/>
              <c:tx>
                <c:rich>
                  <a:bodyPr/>
                  <a:lstStyle/>
                  <a:p>
                    <a:fld id="{F33CA273-B948-47FD-BFE2-D0943A52407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FBD-4748-84AA-47104AF0FE85}"/>
                </c:ext>
              </c:extLst>
            </c:dLbl>
            <c:dLbl>
              <c:idx val="2"/>
              <c:tx>
                <c:rich>
                  <a:bodyPr/>
                  <a:lstStyle/>
                  <a:p>
                    <a:fld id="{4C7B28F8-7C4F-4212-97A3-36F7BEE74D0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FBD-4748-84AA-47104AF0FE85}"/>
                </c:ext>
              </c:extLst>
            </c:dLbl>
            <c:dLbl>
              <c:idx val="3"/>
              <c:tx>
                <c:rich>
                  <a:bodyPr/>
                  <a:lstStyle/>
                  <a:p>
                    <a:fld id="{50AEF7F0-BD57-47B1-B5B1-E4DBF45F05B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FBD-4748-84AA-47104AF0FE85}"/>
                </c:ext>
              </c:extLst>
            </c:dLbl>
            <c:dLbl>
              <c:idx val="4"/>
              <c:tx>
                <c:rich>
                  <a:bodyPr/>
                  <a:lstStyle/>
                  <a:p>
                    <a:fld id="{0B28AAA8-10EB-40C2-8F72-5065B149A31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FBD-4748-84AA-47104AF0FE85}"/>
                </c:ext>
              </c:extLst>
            </c:dLbl>
            <c:dLbl>
              <c:idx val="5"/>
              <c:tx>
                <c:rich>
                  <a:bodyPr/>
                  <a:lstStyle/>
                  <a:p>
                    <a:fld id="{8B9D02D5-43C2-4B70-BF9B-4ED02251883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FBD-4748-84AA-47104AF0FE85}"/>
                </c:ext>
              </c:extLst>
            </c:dLbl>
            <c:dLbl>
              <c:idx val="6"/>
              <c:tx>
                <c:rich>
                  <a:bodyPr/>
                  <a:lstStyle/>
                  <a:p>
                    <a:fld id="{B1292C87-6802-47A5-81EE-870E53FDC4E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FBD-4748-84AA-47104AF0FE85}"/>
                </c:ext>
              </c:extLst>
            </c:dLbl>
            <c:dLbl>
              <c:idx val="7"/>
              <c:tx>
                <c:rich>
                  <a:bodyPr/>
                  <a:lstStyle/>
                  <a:p>
                    <a:fld id="{03EBCC98-9148-4C29-9A60-169B3772020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FBD-4748-84AA-47104AF0FE85}"/>
                </c:ext>
              </c:extLst>
            </c:dLbl>
            <c:dLbl>
              <c:idx val="8"/>
              <c:tx>
                <c:rich>
                  <a:bodyPr/>
                  <a:lstStyle/>
                  <a:p>
                    <a:fld id="{1DA46A24-959C-4C8D-8B8E-C298D42074A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FBD-4748-84AA-47104AF0FE85}"/>
                </c:ext>
              </c:extLst>
            </c:dLbl>
            <c:dLbl>
              <c:idx val="9"/>
              <c:tx>
                <c:rich>
                  <a:bodyPr/>
                  <a:lstStyle/>
                  <a:p>
                    <a:fld id="{0C3A35EF-2726-46AB-B668-91FDA35C456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5DA36C4B-B476-4EF8-BBE5-20FC31D32CB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FBD-4748-84AA-47104AF0FE85}"/>
                </c:ext>
              </c:extLst>
            </c:dLbl>
            <c:dLbl>
              <c:idx val="11"/>
              <c:tx>
                <c:rich>
                  <a:bodyPr/>
                  <a:lstStyle/>
                  <a:p>
                    <a:fld id="{D3B91AB5-FFAB-4C63-8899-78F02A44DDB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5FBD-4748-84AA-47104AF0FE85}"/>
                </c:ext>
              </c:extLst>
            </c:dLbl>
            <c:dLbl>
              <c:idx val="13"/>
              <c:tx>
                <c:rich>
                  <a:bodyPr/>
                  <a:lstStyle/>
                  <a:p>
                    <a:fld id="{BABC778F-7C13-4E67-B304-848A9240CE7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7C4C5363-2027-4928-81D6-C165020A1C0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5FBD-4748-84AA-47104AF0FE85}"/>
                </c:ext>
              </c:extLst>
            </c:dLbl>
            <c:dLbl>
              <c:idx val="15"/>
              <c:tx>
                <c:rich>
                  <a:bodyPr/>
                  <a:lstStyle/>
                  <a:p>
                    <a:fld id="{DAF6DF6A-02FF-48A1-BE23-488A207F26B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5BCDABE3-B4C3-469B-B2A5-9D068FBC392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FBD-4748-84AA-47104AF0FE85}"/>
                </c:ext>
              </c:extLst>
            </c:dLbl>
            <c:dLbl>
              <c:idx val="17"/>
              <c:tx>
                <c:rich>
                  <a:bodyPr/>
                  <a:lstStyle/>
                  <a:p>
                    <a:fld id="{FBCE9051-E676-4B05-973A-A181FEFD201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FBD-4748-84AA-47104AF0FE85}"/>
                </c:ext>
              </c:extLst>
            </c:dLbl>
            <c:dLbl>
              <c:idx val="18"/>
              <c:tx>
                <c:rich>
                  <a:bodyPr/>
                  <a:lstStyle/>
                  <a:p>
                    <a:fld id="{74189F71-9E91-4355-93E5-3EBB4A5C9EB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5FBD-4748-84AA-47104AF0FE85}"/>
                </c:ext>
              </c:extLst>
            </c:dLbl>
            <c:dLbl>
              <c:idx val="19"/>
              <c:tx>
                <c:rich>
                  <a:bodyPr/>
                  <a:lstStyle/>
                  <a:p>
                    <a:fld id="{E1174548-5521-4491-AE88-887E7446F96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5FBD-4748-84AA-47104AF0FE85}"/>
                </c:ext>
              </c:extLst>
            </c:dLbl>
            <c:dLbl>
              <c:idx val="20"/>
              <c:tx>
                <c:rich>
                  <a:bodyPr/>
                  <a:lstStyle/>
                  <a:p>
                    <a:fld id="{767C0B23-B991-4D38-920D-67E87128DA3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5FBD-4748-84AA-47104AF0FE85}"/>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4.9048921848178793E-2</c:v>
                  </c:pt>
                  <c:pt idx="1">
                    <c:v>3.1255240243303339E-2</c:v>
                  </c:pt>
                  <c:pt idx="2">
                    <c:v>4.6328944568745818E-2</c:v>
                  </c:pt>
                  <c:pt idx="3">
                    <c:v>0.16008805745956958</c:v>
                  </c:pt>
                  <c:pt idx="4">
                    <c:v>0.2151019742009061</c:v>
                  </c:pt>
                  <c:pt idx="5">
                    <c:v>0.13318658903001951</c:v>
                  </c:pt>
                  <c:pt idx="6">
                    <c:v>0.18630887635136018</c:v>
                  </c:pt>
                  <c:pt idx="7">
                    <c:v>1.9267799527131389E-2</c:v>
                  </c:pt>
                  <c:pt idx="8">
                    <c:v>3.9830697516853322E-2</c:v>
                  </c:pt>
                  <c:pt idx="9">
                    <c:v>9.9261529626769769E-3</c:v>
                  </c:pt>
                  <c:pt idx="10">
                    <c:v>4.9869469832412174E-2</c:v>
                  </c:pt>
                  <c:pt idx="11">
                    <c:v>2.6965693540991674E-2</c:v>
                  </c:pt>
                  <c:pt idx="13">
                    <c:v>0.14426070921337736</c:v>
                  </c:pt>
                  <c:pt idx="14">
                    <c:v>0.15420323842379147</c:v>
                  </c:pt>
                  <c:pt idx="15">
                    <c:v>1.9952279260395413E-2</c:v>
                  </c:pt>
                  <c:pt idx="16">
                    <c:v>0.21891849934020916</c:v>
                  </c:pt>
                  <c:pt idx="17">
                    <c:v>0.29085191685479023</c:v>
                  </c:pt>
                  <c:pt idx="18">
                    <c:v>0.14463327770058448</c:v>
                  </c:pt>
                  <c:pt idx="19">
                    <c:v>0.26551616227025915</c:v>
                  </c:pt>
                  <c:pt idx="20">
                    <c:v>0.1829823986988055</c:v>
                  </c:pt>
                </c:numCache>
              </c:numRef>
            </c:plus>
            <c:minus>
              <c:numRef>
                <c:f>'R1'!$N$48:$V$48</c:f>
                <c:numCache>
                  <c:formatCode>General</c:formatCode>
                  <c:ptCount val="9"/>
                  <c:pt idx="0">
                    <c:v>0</c:v>
                  </c:pt>
                  <c:pt idx="1">
                    <c:v>0.16214661303860647</c:v>
                  </c:pt>
                  <c:pt idx="2">
                    <c:v>0.20143224124229309</c:v>
                  </c:pt>
                  <c:pt idx="3">
                    <c:v>1.9063058318911679E-2</c:v>
                  </c:pt>
                  <c:pt idx="4">
                    <c:v>0.23420106572740676</c:v>
                  </c:pt>
                  <c:pt idx="5">
                    <c:v>0.28100853692324812</c:v>
                  </c:pt>
                  <c:pt idx="6">
                    <c:v>0.12643029692618496</c:v>
                  </c:pt>
                  <c:pt idx="7">
                    <c:v>0.21800894455793993</c:v>
                  </c:pt>
                  <c:pt idx="8">
                    <c:v>0.19249079955021553</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Amantadine-0,001mg/L</c:v>
                </c:pt>
                <c:pt idx="8">
                  <c:v>Amantadine-0,01mg/L</c:v>
                </c:pt>
                <c:pt idx="9">
                  <c:v>Amantadine-0,1mg/L</c:v>
                </c:pt>
                <c:pt idx="10">
                  <c:v>Amantadine-1mg/L</c:v>
                </c:pt>
                <c:pt idx="11">
                  <c:v>Amantadine-10mg/L</c:v>
                </c:pt>
                <c:pt idx="13">
                  <c:v>Testo -30µg/L</c:v>
                </c:pt>
                <c:pt idx="14">
                  <c:v>Testo 30µg/L + EE2 -64ng/L</c:v>
                </c:pt>
                <c:pt idx="15">
                  <c:v>Testo 30µg/L + FAD-10µg/L</c:v>
                </c:pt>
                <c:pt idx="16">
                  <c:v>Amantadine-0,001mg/L + Testostérone</c:v>
                </c:pt>
                <c:pt idx="17">
                  <c:v>Amantadine-0,01mg/L + Testostérone</c:v>
                </c:pt>
                <c:pt idx="18">
                  <c:v>Amantadine-0,1mg/L + Testostérone</c:v>
                </c:pt>
                <c:pt idx="19">
                  <c:v>Amantadine-1mg/L + Testostérone</c:v>
                </c:pt>
                <c:pt idx="20">
                  <c:v>Amantadine-10mg/L + Testostérone</c:v>
                </c:pt>
              </c:strCache>
            </c:strRef>
          </c:cat>
          <c:val>
            <c:numRef>
              <c:f>'R2'!$B$53:$V$53</c:f>
              <c:numCache>
                <c:formatCode>0.0000</c:formatCode>
                <c:ptCount val="21"/>
                <c:pt idx="0">
                  <c:v>0.1270186172956505</c:v>
                </c:pt>
                <c:pt idx="1">
                  <c:v>0.11691907154247586</c:v>
                </c:pt>
                <c:pt idx="2">
                  <c:v>0.14895252624002145</c:v>
                </c:pt>
                <c:pt idx="3">
                  <c:v>0.5175332497930607</c:v>
                </c:pt>
                <c:pt idx="4">
                  <c:v>1.041432522638265</c:v>
                </c:pt>
                <c:pt idx="5">
                  <c:v>1.9953109260914632</c:v>
                </c:pt>
                <c:pt idx="6">
                  <c:v>3.4199924593570508</c:v>
                </c:pt>
                <c:pt idx="7">
                  <c:v>4.3857242383691708E-2</c:v>
                </c:pt>
                <c:pt idx="8">
                  <c:v>0.11246308611134231</c:v>
                </c:pt>
                <c:pt idx="9">
                  <c:v>8.1956002749881213E-2</c:v>
                </c:pt>
                <c:pt idx="10">
                  <c:v>0.14931082761069409</c:v>
                </c:pt>
                <c:pt idx="11">
                  <c:v>8.4640694908565572E-2</c:v>
                </c:pt>
                <c:pt idx="13">
                  <c:v>1</c:v>
                </c:pt>
                <c:pt idx="14">
                  <c:v>2.1313466662787897</c:v>
                </c:pt>
                <c:pt idx="15">
                  <c:v>0.11661280382969895</c:v>
                </c:pt>
                <c:pt idx="16">
                  <c:v>1.5236748231429449</c:v>
                </c:pt>
                <c:pt idx="17">
                  <c:v>1.3024704735633927</c:v>
                </c:pt>
                <c:pt idx="18">
                  <c:v>1.4264721998733438</c:v>
                </c:pt>
                <c:pt idx="19">
                  <c:v>1.6317572579987687</c:v>
                </c:pt>
                <c:pt idx="20">
                  <c:v>1.8002156043063742</c:v>
                </c:pt>
              </c:numCache>
            </c:numRef>
          </c:val>
          <c:extLst>
            <c:ext xmlns:c15="http://schemas.microsoft.com/office/drawing/2012/chart" uri="{02D57815-91ED-43cb-92C2-25804820EDAC}">
              <c15:datalabelsRange>
                <c15:f>'R2'!$B$61:$V$61</c15:f>
                <c15:dlblRangeCache>
                  <c:ptCount val="21"/>
                  <c:pt idx="1">
                    <c:v>NS</c:v>
                  </c:pt>
                  <c:pt idx="2">
                    <c:v>NS</c:v>
                  </c:pt>
                  <c:pt idx="3">
                    <c:v>NS</c:v>
                  </c:pt>
                  <c:pt idx="4">
                    <c:v>NS</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3.7"/>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2F32-4E30-9168-C6A1CE76D9FA}"/>
              </c:ext>
            </c:extLst>
          </c:dPt>
          <c:dPt>
            <c:idx val="1"/>
            <c:invertIfNegative val="0"/>
            <c:bubble3D val="0"/>
            <c:spPr>
              <a:solidFill>
                <a:srgbClr val="FF0000"/>
              </a:solidFill>
            </c:spPr>
            <c:extLst>
              <c:ext xmlns:c16="http://schemas.microsoft.com/office/drawing/2014/chart" uri="{C3380CC4-5D6E-409C-BE32-E72D297353CC}">
                <c16:uniqueId val="{00000018-2F32-4E30-9168-C6A1CE76D9FA}"/>
              </c:ext>
            </c:extLst>
          </c:dPt>
          <c:dPt>
            <c:idx val="2"/>
            <c:invertIfNegative val="0"/>
            <c:bubble3D val="0"/>
            <c:spPr>
              <a:solidFill>
                <a:srgbClr val="FF0000"/>
              </a:solidFill>
            </c:spPr>
            <c:extLst>
              <c:ext xmlns:c16="http://schemas.microsoft.com/office/drawing/2014/chart" uri="{C3380CC4-5D6E-409C-BE32-E72D297353CC}">
                <c16:uniqueId val="{00000019-2F32-4E30-9168-C6A1CE76D9FA}"/>
              </c:ext>
            </c:extLst>
          </c:dPt>
          <c:dPt>
            <c:idx val="3"/>
            <c:invertIfNegative val="0"/>
            <c:bubble3D val="0"/>
            <c:spPr>
              <a:solidFill>
                <a:srgbClr val="FF0000"/>
              </a:solidFill>
            </c:spPr>
            <c:extLst>
              <c:ext xmlns:c16="http://schemas.microsoft.com/office/drawing/2014/chart" uri="{C3380CC4-5D6E-409C-BE32-E72D297353CC}">
                <c16:uniqueId val="{0000001A-2F32-4E30-9168-C6A1CE76D9FA}"/>
              </c:ext>
            </c:extLst>
          </c:dPt>
          <c:dPt>
            <c:idx val="4"/>
            <c:invertIfNegative val="0"/>
            <c:bubble3D val="0"/>
            <c:spPr>
              <a:solidFill>
                <a:srgbClr val="FF0000"/>
              </a:solidFill>
            </c:spPr>
            <c:extLst>
              <c:ext xmlns:c16="http://schemas.microsoft.com/office/drawing/2014/chart" uri="{C3380CC4-5D6E-409C-BE32-E72D297353CC}">
                <c16:uniqueId val="{0000001B-2F32-4E30-9168-C6A1CE76D9FA}"/>
              </c:ext>
            </c:extLst>
          </c:dPt>
          <c:dPt>
            <c:idx val="5"/>
            <c:invertIfNegative val="0"/>
            <c:bubble3D val="0"/>
            <c:spPr>
              <a:solidFill>
                <a:srgbClr val="FF0000"/>
              </a:solidFill>
            </c:spPr>
            <c:extLst>
              <c:ext xmlns:c16="http://schemas.microsoft.com/office/drawing/2014/chart" uri="{C3380CC4-5D6E-409C-BE32-E72D297353CC}">
                <c16:uniqueId val="{0000001C-2F32-4E30-9168-C6A1CE76D9FA}"/>
              </c:ext>
            </c:extLst>
          </c:dPt>
          <c:dPt>
            <c:idx val="6"/>
            <c:invertIfNegative val="0"/>
            <c:bubble3D val="0"/>
            <c:spPr>
              <a:solidFill>
                <a:srgbClr val="FF0000"/>
              </a:solidFill>
            </c:spPr>
            <c:extLst>
              <c:ext xmlns:c16="http://schemas.microsoft.com/office/drawing/2014/chart" uri="{C3380CC4-5D6E-409C-BE32-E72D297353CC}">
                <c16:uniqueId val="{0000001D-2F32-4E30-9168-C6A1CE76D9FA}"/>
              </c:ext>
            </c:extLst>
          </c:dPt>
          <c:dPt>
            <c:idx val="7"/>
            <c:invertIfNegative val="0"/>
            <c:bubble3D val="0"/>
            <c:spPr>
              <a:solidFill>
                <a:schemeClr val="bg1">
                  <a:lumMod val="65000"/>
                </a:schemeClr>
              </a:solidFill>
            </c:spPr>
            <c:extLst>
              <c:ext xmlns:c16="http://schemas.microsoft.com/office/drawing/2014/chart" uri="{C3380CC4-5D6E-409C-BE32-E72D297353CC}">
                <c16:uniqueId val="{0000001E-2F32-4E30-9168-C6A1CE76D9FA}"/>
              </c:ext>
            </c:extLst>
          </c:dPt>
          <c:dPt>
            <c:idx val="8"/>
            <c:invertIfNegative val="0"/>
            <c:bubble3D val="0"/>
            <c:spPr>
              <a:solidFill>
                <a:schemeClr val="bg1">
                  <a:lumMod val="65000"/>
                </a:schemeClr>
              </a:solidFill>
            </c:spPr>
            <c:extLst>
              <c:ext xmlns:c16="http://schemas.microsoft.com/office/drawing/2014/chart" uri="{C3380CC4-5D6E-409C-BE32-E72D297353CC}">
                <c16:uniqueId val="{0000001F-2F32-4E30-9168-C6A1CE76D9FA}"/>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2F32-4E30-9168-C6A1CE76D9FA}"/>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2F32-4E30-9168-C6A1CE76D9FA}"/>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2F32-4E30-9168-C6A1CE76D9FA}"/>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2F32-4E30-9168-C6A1CE76D9FA}"/>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2F32-4E30-9168-C6A1CE76D9FA}"/>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2F32-4E30-9168-C6A1CE76D9FA}"/>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2F32-4E30-9168-C6A1CE76D9FA}"/>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92F269B4-216D-4BE1-8602-A7D2742F6C8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2F32-4E30-9168-C6A1CE76D9FA}"/>
                </c:ext>
              </c:extLst>
            </c:dLbl>
            <c:dLbl>
              <c:idx val="1"/>
              <c:tx>
                <c:rich>
                  <a:bodyPr/>
                  <a:lstStyle/>
                  <a:p>
                    <a:fld id="{7C9A2DB9-C7DB-47E2-B725-0A430203783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2F32-4E30-9168-C6A1CE76D9FA}"/>
                </c:ext>
              </c:extLst>
            </c:dLbl>
            <c:dLbl>
              <c:idx val="2"/>
              <c:tx>
                <c:rich>
                  <a:bodyPr/>
                  <a:lstStyle/>
                  <a:p>
                    <a:fld id="{BC3BA23E-6473-4CF4-ADE3-34E6D821255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2F32-4E30-9168-C6A1CE76D9FA}"/>
                </c:ext>
              </c:extLst>
            </c:dLbl>
            <c:dLbl>
              <c:idx val="3"/>
              <c:tx>
                <c:rich>
                  <a:bodyPr/>
                  <a:lstStyle/>
                  <a:p>
                    <a:fld id="{40E75276-CDB9-4A2D-B03B-29610B5A951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2F32-4E30-9168-C6A1CE76D9FA}"/>
                </c:ext>
              </c:extLst>
            </c:dLbl>
            <c:dLbl>
              <c:idx val="4"/>
              <c:tx>
                <c:rich>
                  <a:bodyPr/>
                  <a:lstStyle/>
                  <a:p>
                    <a:fld id="{F5ED11D1-23D9-40DC-811B-306817DDF0E2}"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2F32-4E30-9168-C6A1CE76D9FA}"/>
                </c:ext>
              </c:extLst>
            </c:dLbl>
            <c:dLbl>
              <c:idx val="5"/>
              <c:tx>
                <c:rich>
                  <a:bodyPr/>
                  <a:lstStyle/>
                  <a:p>
                    <a:fld id="{E50EBF7C-FA6A-4E73-AAD7-9E259F48A4A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2F32-4E30-9168-C6A1CE76D9FA}"/>
                </c:ext>
              </c:extLst>
            </c:dLbl>
            <c:dLbl>
              <c:idx val="6"/>
              <c:tx>
                <c:rich>
                  <a:bodyPr/>
                  <a:lstStyle/>
                  <a:p>
                    <a:fld id="{BF7723A5-A442-4619-BB17-91D7EEC1481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2F32-4E30-9168-C6A1CE76D9FA}"/>
                </c:ext>
              </c:extLst>
            </c:dLbl>
            <c:dLbl>
              <c:idx val="7"/>
              <c:tx>
                <c:rich>
                  <a:bodyPr/>
                  <a:lstStyle/>
                  <a:p>
                    <a:fld id="{BA3D4D46-B84B-4A56-8287-B69891B90B0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2F32-4E30-9168-C6A1CE76D9FA}"/>
                </c:ext>
              </c:extLst>
            </c:dLbl>
            <c:dLbl>
              <c:idx val="8"/>
              <c:tx>
                <c:rich>
                  <a:bodyPr/>
                  <a:lstStyle/>
                  <a:p>
                    <a:fld id="{43775D2F-61CB-454B-A459-5DF8886A85C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2F32-4E30-9168-C6A1CE76D9FA}"/>
                </c:ext>
              </c:extLst>
            </c:dLbl>
            <c:dLbl>
              <c:idx val="9"/>
              <c:tx>
                <c:rich>
                  <a:bodyPr/>
                  <a:lstStyle/>
                  <a:p>
                    <a:fld id="{03879D6A-CC10-47BA-8C90-C5AA3F068D7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ED2-4ACE-91AA-7F8713196E92}"/>
                </c:ext>
              </c:extLst>
            </c:dLbl>
            <c:dLbl>
              <c:idx val="10"/>
              <c:tx>
                <c:rich>
                  <a:bodyPr/>
                  <a:lstStyle/>
                  <a:p>
                    <a:fld id="{07CE9259-279E-4983-AB06-249F8291C42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2F32-4E30-9168-C6A1CE76D9FA}"/>
                </c:ext>
              </c:extLst>
            </c:dLbl>
            <c:dLbl>
              <c:idx val="11"/>
              <c:tx>
                <c:rich>
                  <a:bodyPr/>
                  <a:lstStyle/>
                  <a:p>
                    <a:fld id="{FF4069E4-C794-4C42-A5E5-C661EFCD486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2F32-4E30-9168-C6A1CE76D9FA}"/>
                </c:ext>
              </c:extLst>
            </c:dLbl>
            <c:dLbl>
              <c:idx val="13"/>
              <c:tx>
                <c:rich>
                  <a:bodyPr/>
                  <a:lstStyle/>
                  <a:p>
                    <a:fld id="{8EACB41C-2B03-4136-96EB-519AC5E668B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ED2-4ACE-91AA-7F8713196E92}"/>
                </c:ext>
              </c:extLst>
            </c:dLbl>
            <c:dLbl>
              <c:idx val="14"/>
              <c:tx>
                <c:rich>
                  <a:bodyPr/>
                  <a:lstStyle/>
                  <a:p>
                    <a:fld id="{806C357B-016B-4420-8390-5015F6EA8DBF}"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2F32-4E30-9168-C6A1CE76D9FA}"/>
                </c:ext>
              </c:extLst>
            </c:dLbl>
            <c:dLbl>
              <c:idx val="15"/>
              <c:tx>
                <c:rich>
                  <a:bodyPr/>
                  <a:lstStyle/>
                  <a:p>
                    <a:fld id="{BE842EC8-0521-48BF-BCAA-934421914BA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ED2-4ACE-91AA-7F8713196E92}"/>
                </c:ext>
              </c:extLst>
            </c:dLbl>
            <c:dLbl>
              <c:idx val="16"/>
              <c:tx>
                <c:rich>
                  <a:bodyPr/>
                  <a:lstStyle/>
                  <a:p>
                    <a:fld id="{DA052667-B619-4817-A19F-75EBDE08BB0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2F32-4E30-9168-C6A1CE76D9FA}"/>
                </c:ext>
              </c:extLst>
            </c:dLbl>
            <c:dLbl>
              <c:idx val="17"/>
              <c:tx>
                <c:rich>
                  <a:bodyPr/>
                  <a:lstStyle/>
                  <a:p>
                    <a:fld id="{3B75E956-B8B7-4A4C-82F3-36A0150C6CF4}"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2F32-4E30-9168-C6A1CE76D9FA}"/>
                </c:ext>
              </c:extLst>
            </c:dLbl>
            <c:dLbl>
              <c:idx val="18"/>
              <c:tx>
                <c:rich>
                  <a:bodyPr/>
                  <a:lstStyle/>
                  <a:p>
                    <a:fld id="{A612140A-4F43-4D77-A5C8-2DD03EDA87E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2F32-4E30-9168-C6A1CE76D9FA}"/>
                </c:ext>
              </c:extLst>
            </c:dLbl>
            <c:dLbl>
              <c:idx val="19"/>
              <c:tx>
                <c:rich>
                  <a:bodyPr/>
                  <a:lstStyle/>
                  <a:p>
                    <a:fld id="{9917B500-4CD8-4417-95D6-C8A523F4B2C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2F32-4E30-9168-C6A1CE76D9FA}"/>
                </c:ext>
              </c:extLst>
            </c:dLbl>
            <c:dLbl>
              <c:idx val="20"/>
              <c:tx>
                <c:rich>
                  <a:bodyPr/>
                  <a:lstStyle/>
                  <a:p>
                    <a:fld id="{2EE7057B-247D-45A0-A77C-273D51C7AE00}"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2F32-4E30-9168-C6A1CE76D9FA}"/>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2.8682413344200575E-2</c:v>
                  </c:pt>
                  <c:pt idx="1">
                    <c:v>5.3746332597796716E-2</c:v>
                  </c:pt>
                  <c:pt idx="2">
                    <c:v>3.9148227585966811E-2</c:v>
                  </c:pt>
                  <c:pt idx="3">
                    <c:v>3.2911991149843098E-2</c:v>
                  </c:pt>
                  <c:pt idx="4">
                    <c:v>0.29309083608164016</c:v>
                  </c:pt>
                  <c:pt idx="5">
                    <c:v>0.27406341101972875</c:v>
                  </c:pt>
                  <c:pt idx="6">
                    <c:v>0.19707102466947718</c:v>
                  </c:pt>
                  <c:pt idx="7">
                    <c:v>2.8907762018913992E-2</c:v>
                  </c:pt>
                  <c:pt idx="8">
                    <c:v>1.6515603215711373E-2</c:v>
                  </c:pt>
                  <c:pt idx="9">
                    <c:v>3.9318356879113441E-2</c:v>
                  </c:pt>
                  <c:pt idx="10">
                    <c:v>2.8980267126631022E-2</c:v>
                  </c:pt>
                  <c:pt idx="11">
                    <c:v>2.8083210159627992E-2</c:v>
                  </c:pt>
                  <c:pt idx="13">
                    <c:v>0.16927595569091755</c:v>
                  </c:pt>
                  <c:pt idx="14">
                    <c:v>0.31677036131498204</c:v>
                  </c:pt>
                  <c:pt idx="15">
                    <c:v>2.6443200387502783E-2</c:v>
                  </c:pt>
                  <c:pt idx="16">
                    <c:v>0.22007907618641084</c:v>
                  </c:pt>
                  <c:pt idx="17">
                    <c:v>0.34520785934729825</c:v>
                  </c:pt>
                  <c:pt idx="18">
                    <c:v>0.17914849900575294</c:v>
                  </c:pt>
                  <c:pt idx="19">
                    <c:v>0.26872999304733763</c:v>
                  </c:pt>
                  <c:pt idx="20">
                    <c:v>0.18323648703041734</c:v>
                  </c:pt>
                </c:numCache>
              </c:numRef>
            </c:plus>
            <c:minus>
              <c:numRef>
                <c:f>'R1'!$N$48:$V$48</c:f>
                <c:numCache>
                  <c:formatCode>General</c:formatCode>
                  <c:ptCount val="9"/>
                  <c:pt idx="0">
                    <c:v>0</c:v>
                  </c:pt>
                  <c:pt idx="1">
                    <c:v>0.16214661303860647</c:v>
                  </c:pt>
                  <c:pt idx="2">
                    <c:v>0.20143224124229309</c:v>
                  </c:pt>
                  <c:pt idx="3">
                    <c:v>1.9063058318911679E-2</c:v>
                  </c:pt>
                  <c:pt idx="4">
                    <c:v>0.23420106572740676</c:v>
                  </c:pt>
                  <c:pt idx="5">
                    <c:v>0.28100853692324812</c:v>
                  </c:pt>
                  <c:pt idx="6">
                    <c:v>0.12643029692618496</c:v>
                  </c:pt>
                  <c:pt idx="7">
                    <c:v>0.21800894455793993</c:v>
                  </c:pt>
                  <c:pt idx="8">
                    <c:v>0.19249079955021553</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Amantadine-0,001mg/L</c:v>
                </c:pt>
                <c:pt idx="8">
                  <c:v>Amantadine-0,01mg/L</c:v>
                </c:pt>
                <c:pt idx="9">
                  <c:v>Amantadine-0,1mg/L</c:v>
                </c:pt>
                <c:pt idx="10">
                  <c:v>Amantadine-1mg/L</c:v>
                </c:pt>
                <c:pt idx="11">
                  <c:v>Amantadine-10mg/L</c:v>
                </c:pt>
                <c:pt idx="13">
                  <c:v>Testo -30µg/L</c:v>
                </c:pt>
                <c:pt idx="14">
                  <c:v>Testo 30µg/L + EE2 -64ng/L</c:v>
                </c:pt>
                <c:pt idx="15">
                  <c:v>Testo 30µg/L + FAD-10µg/L</c:v>
                </c:pt>
                <c:pt idx="16">
                  <c:v>Amantadine-0,001mg/L + Testostérone</c:v>
                </c:pt>
                <c:pt idx="17">
                  <c:v>Amantadine-0,01mg/L + Testostérone</c:v>
                </c:pt>
                <c:pt idx="18">
                  <c:v>Amantadine-0,1mg/L + Testostérone</c:v>
                </c:pt>
                <c:pt idx="19">
                  <c:v>Amantadine-1mg/L + Testostérone</c:v>
                </c:pt>
                <c:pt idx="20">
                  <c:v>Amantadine-10mg/L + Testostérone</c:v>
                </c:pt>
              </c:strCache>
            </c:strRef>
          </c:cat>
          <c:val>
            <c:numRef>
              <c:f>'R3'!$B$53:$V$53</c:f>
              <c:numCache>
                <c:formatCode>0.0000</c:formatCode>
                <c:ptCount val="21"/>
                <c:pt idx="0">
                  <c:v>0.10759871810231968</c:v>
                </c:pt>
                <c:pt idx="1">
                  <c:v>0.14959315309261606</c:v>
                </c:pt>
                <c:pt idx="2">
                  <c:v>0.16406126272735508</c:v>
                </c:pt>
                <c:pt idx="3">
                  <c:v>0.24680330964173716</c:v>
                </c:pt>
                <c:pt idx="4">
                  <c:v>1.0319088596863462</c:v>
                </c:pt>
                <c:pt idx="5">
                  <c:v>1.6511637146775942</c:v>
                </c:pt>
                <c:pt idx="6">
                  <c:v>3.2438482925203238</c:v>
                </c:pt>
                <c:pt idx="7">
                  <c:v>0.19579045746189583</c:v>
                </c:pt>
                <c:pt idx="8">
                  <c:v>7.8844722427525549E-2</c:v>
                </c:pt>
                <c:pt idx="9">
                  <c:v>8.922899753712632E-2</c:v>
                </c:pt>
                <c:pt idx="10">
                  <c:v>0.112899526301874</c:v>
                </c:pt>
                <c:pt idx="11">
                  <c:v>9.0054724017601478E-2</c:v>
                </c:pt>
                <c:pt idx="13">
                  <c:v>1.0000000000000002</c:v>
                </c:pt>
                <c:pt idx="14">
                  <c:v>1.6375701952501966</c:v>
                </c:pt>
                <c:pt idx="15">
                  <c:v>0.11520573244104534</c:v>
                </c:pt>
                <c:pt idx="16">
                  <c:v>0.97474638337312092</c:v>
                </c:pt>
                <c:pt idx="17">
                  <c:v>1.1156985110679718</c:v>
                </c:pt>
                <c:pt idx="18">
                  <c:v>0.43057443590021627</c:v>
                </c:pt>
                <c:pt idx="19">
                  <c:v>0.8474020395644335</c:v>
                </c:pt>
                <c:pt idx="20">
                  <c:v>0.8171159798451233</c:v>
                </c:pt>
              </c:numCache>
            </c:numRef>
          </c:val>
          <c:extLst>
            <c:ext xmlns:c15="http://schemas.microsoft.com/office/drawing/2012/chart" uri="{02D57815-91ED-43cb-92C2-25804820EDAC}">
              <c15:datalabelsRange>
                <c15:f>'R3'!$B$61:$V$61</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NS</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3.7"/>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Amantadine Pool</a:t>
            </a:r>
          </a:p>
        </c:rich>
      </c:tx>
      <c:overlay val="0"/>
    </c:title>
    <c:autoTitleDeleted val="0"/>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rgbClr val="92D050"/>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CDDA4737-0D33-41F7-853C-EEA4DE03318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A567FFB1-E0C8-4E86-8655-91F50A9F47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A5A17EB0-1D5D-4338-9C69-D80ECC62D5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20E78625-F3D4-4886-8FBD-5086033741D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DBF0A237-72F5-41E3-8F78-22CC92F13D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E78E8584-B392-45B7-9198-95708134F3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312EACB1-6194-4BED-AECE-7C4F1740EA1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9342EDE7-1D4A-4622-8771-A88CC6660B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DCA4B53A-6B0E-493A-AA67-8DBD64E7A3F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3B5D5381-BEC8-41D3-9723-46910ADBBB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3D2F3EAD-CB22-4CAC-B32D-E1786C5B44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A18370CE-5E22-4EE1-8261-A72499982EB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96FED756-5E12-44D6-8100-B0444AAB6F9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1F8EE240-347C-4A4D-89E0-5729D442022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D0C5ADC8-C8C4-493E-9C48-2F0CFC4789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28B4B145-DD94-4238-A31B-BDCA621160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65CEC69A-970E-4563-A7C2-3004F2B0794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35DE67B8-C89B-497C-B661-821B49F1F0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336E7D91-32C0-413F-B4CB-7B863A6F295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D27C4665-92ED-487F-B3DC-2DA849BCBA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2.0696433006609189E-2</c:v>
                  </c:pt>
                  <c:pt idx="1">
                    <c:v>2.1767569299739116E-2</c:v>
                  </c:pt>
                  <c:pt idx="2">
                    <c:v>2.2735052213346728E-2</c:v>
                  </c:pt>
                  <c:pt idx="3">
                    <c:v>6.1157903428675192E-2</c:v>
                  </c:pt>
                  <c:pt idx="4">
                    <c:v>0.13334029956560067</c:v>
                  </c:pt>
                  <c:pt idx="5">
                    <c:v>0.11589235893480319</c:v>
                  </c:pt>
                  <c:pt idx="6">
                    <c:v>0.14545049266840321</c:v>
                  </c:pt>
                  <c:pt idx="7">
                    <c:v>1.9206121171815155E-2</c:v>
                  </c:pt>
                  <c:pt idx="8">
                    <c:v>1.5791749009587311E-2</c:v>
                  </c:pt>
                  <c:pt idx="9">
                    <c:v>1.2516084514343467E-2</c:v>
                  </c:pt>
                  <c:pt idx="10">
                    <c:v>2.0641644796400876E-2</c:v>
                  </c:pt>
                  <c:pt idx="11">
                    <c:v>2.0464839413053583E-2</c:v>
                  </c:pt>
                  <c:pt idx="13">
                    <c:v>8.9510064470622375E-2</c:v>
                  </c:pt>
                  <c:pt idx="14">
                    <c:v>0.14294656490921376</c:v>
                  </c:pt>
                  <c:pt idx="15">
                    <c:v>1.2175520862544286E-2</c:v>
                  </c:pt>
                  <c:pt idx="16">
                    <c:v>0.13560979968555198</c:v>
                  </c:pt>
                  <c:pt idx="17">
                    <c:v>0.16925212613079116</c:v>
                  </c:pt>
                  <c:pt idx="18">
                    <c:v>0.12079283270379149</c:v>
                  </c:pt>
                  <c:pt idx="19">
                    <c:v>0.15484679662052558</c:v>
                  </c:pt>
                  <c:pt idx="20">
                    <c:v>0.14783177638965886</c:v>
                  </c:pt>
                </c:numCache>
              </c:numRef>
            </c:plus>
            <c:minus>
              <c:numRef>
                <c:f>'pooled normalised values'!$B$76:$V$76</c:f>
                <c:numCache>
                  <c:formatCode>General</c:formatCode>
                  <c:ptCount val="21"/>
                  <c:pt idx="0">
                    <c:v>2.0696433006609189E-2</c:v>
                  </c:pt>
                  <c:pt idx="1">
                    <c:v>2.1767569299739116E-2</c:v>
                  </c:pt>
                  <c:pt idx="2">
                    <c:v>2.2735052213346728E-2</c:v>
                  </c:pt>
                  <c:pt idx="3">
                    <c:v>6.1157903428675192E-2</c:v>
                  </c:pt>
                  <c:pt idx="4">
                    <c:v>0.13334029956560067</c:v>
                  </c:pt>
                  <c:pt idx="5">
                    <c:v>0.11589235893480319</c:v>
                  </c:pt>
                  <c:pt idx="6">
                    <c:v>0.14545049266840321</c:v>
                  </c:pt>
                  <c:pt idx="7">
                    <c:v>1.9206121171815155E-2</c:v>
                  </c:pt>
                  <c:pt idx="8">
                    <c:v>1.5791749009587311E-2</c:v>
                  </c:pt>
                  <c:pt idx="9">
                    <c:v>1.2516084514343467E-2</c:v>
                  </c:pt>
                  <c:pt idx="10">
                    <c:v>2.0641644796400876E-2</c:v>
                  </c:pt>
                  <c:pt idx="11">
                    <c:v>2.0464839413053583E-2</c:v>
                  </c:pt>
                  <c:pt idx="13">
                    <c:v>8.9510064470622375E-2</c:v>
                  </c:pt>
                  <c:pt idx="14">
                    <c:v>0.14294656490921376</c:v>
                  </c:pt>
                  <c:pt idx="15">
                    <c:v>1.2175520862544286E-2</c:v>
                  </c:pt>
                  <c:pt idx="16">
                    <c:v>0.13560979968555198</c:v>
                  </c:pt>
                  <c:pt idx="17">
                    <c:v>0.16925212613079116</c:v>
                  </c:pt>
                  <c:pt idx="18">
                    <c:v>0.12079283270379149</c:v>
                  </c:pt>
                  <c:pt idx="19">
                    <c:v>0.15484679662052558</c:v>
                  </c:pt>
                  <c:pt idx="20">
                    <c:v>0.14783177638965886</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Amantadine-0,001mg/L</c:v>
                </c:pt>
                <c:pt idx="8">
                  <c:v>Amantadine-0,01mg/L</c:v>
                </c:pt>
                <c:pt idx="9">
                  <c:v>Amantadine-0,1mg/L</c:v>
                </c:pt>
                <c:pt idx="10">
                  <c:v>Amantadine-1mg/L</c:v>
                </c:pt>
                <c:pt idx="11">
                  <c:v>Amantadine-10mg/L</c:v>
                </c:pt>
                <c:pt idx="13">
                  <c:v>Testo -30µg/L</c:v>
                </c:pt>
                <c:pt idx="14">
                  <c:v>Testo 30µg/L + EE2 -64ng/L</c:v>
                </c:pt>
                <c:pt idx="15">
                  <c:v>Testo 30µg/L + FAD-10µg/L</c:v>
                </c:pt>
                <c:pt idx="16">
                  <c:v>Amantadine-0,001mg/L + Testostérone</c:v>
                </c:pt>
                <c:pt idx="17">
                  <c:v>Amantadine-0,01mg/L + Testostérone</c:v>
                </c:pt>
                <c:pt idx="18">
                  <c:v>Amantadine-0,1mg/L + Testostérone</c:v>
                </c:pt>
                <c:pt idx="19">
                  <c:v>Amantadine-1mg/L + Testostérone</c:v>
                </c:pt>
                <c:pt idx="20">
                  <c:v>Amantadine-10mg/L + Testostérone</c:v>
                </c:pt>
              </c:strCache>
            </c:strRef>
          </c:cat>
          <c:val>
            <c:numRef>
              <c:f>'pooled normalised values'!$B$75:$V$75</c:f>
              <c:numCache>
                <c:formatCode>0.0000</c:formatCode>
                <c:ptCount val="21"/>
                <c:pt idx="0">
                  <c:v>0.11219065539302642</c:v>
                </c:pt>
                <c:pt idx="1">
                  <c:v>0.11581259486470259</c:v>
                </c:pt>
                <c:pt idx="2">
                  <c:v>0.14046960374810696</c:v>
                </c:pt>
                <c:pt idx="3">
                  <c:v>0.32100066003809719</c:v>
                </c:pt>
                <c:pt idx="4">
                  <c:v>0.98902384035879853</c:v>
                </c:pt>
                <c:pt idx="5">
                  <c:v>1.7528993387839571</c:v>
                </c:pt>
                <c:pt idx="6">
                  <c:v>3.050865322590953</c:v>
                </c:pt>
                <c:pt idx="7">
                  <c:v>0.12900927527901868</c:v>
                </c:pt>
                <c:pt idx="8">
                  <c:v>8.3363825083967336E-2</c:v>
                </c:pt>
                <c:pt idx="9">
                  <c:v>8.725775753672492E-2</c:v>
                </c:pt>
                <c:pt idx="10">
                  <c:v>0.11968112212406262</c:v>
                </c:pt>
                <c:pt idx="11">
                  <c:v>0.10906359505339656</c:v>
                </c:pt>
                <c:pt idx="13">
                  <c:v>1</c:v>
                </c:pt>
                <c:pt idx="14">
                  <c:v>1.7561934476054624</c:v>
                </c:pt>
                <c:pt idx="15">
                  <c:v>0.11524557421039172</c:v>
                </c:pt>
                <c:pt idx="16">
                  <c:v>1.1493955476350943</c:v>
                </c:pt>
                <c:pt idx="17">
                  <c:v>1.1842776107983541</c:v>
                </c:pt>
                <c:pt idx="18">
                  <c:v>0.99669390763483523</c:v>
                </c:pt>
                <c:pt idx="19">
                  <c:v>1.289821156203169</c:v>
                </c:pt>
                <c:pt idx="20">
                  <c:v>1.1195185160202903</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Amantadine-0,001mg/L : 0%</c:v>
                  </c:pt>
                  <c:pt idx="1">
                    <c:v>Amantadine-0,01mg/L : 0%</c:v>
                  </c:pt>
                  <c:pt idx="2">
                    <c:v>Amantadine-0,1mg/L : 0%</c:v>
                  </c:pt>
                  <c:pt idx="3">
                    <c:v>Amantadine-1mg/L : 0%</c:v>
                  </c:pt>
                  <c:pt idx="4">
                    <c:v>Amantadine-10mg/L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Amantadine-0,001mg/L : 0%</c:v>
                  </c:pt>
                  <c:pt idx="1">
                    <c:v>Amantadine-0,01mg/L : 0%</c:v>
                  </c:pt>
                  <c:pt idx="2">
                    <c:v>Amantadine-0,1mg/L : 0%</c:v>
                  </c:pt>
                  <c:pt idx="3">
                    <c:v>Amantadine-1mg/L : 0%</c:v>
                  </c:pt>
                  <c:pt idx="4">
                    <c:v>Amantadine-10mg/L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Amantadine-0,001mg/L : 0%</c:v>
                  </c:pt>
                  <c:pt idx="1">
                    <c:v>Amantadine-0,01mg/L : 0%</c:v>
                  </c:pt>
                  <c:pt idx="2">
                    <c:v>Amantadine-0,1mg/L : 0%</c:v>
                  </c:pt>
                  <c:pt idx="3">
                    <c:v>Amantadine-1mg/L : 0%</c:v>
                  </c:pt>
                  <c:pt idx="4">
                    <c:v>Amantadine-10mg/L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Amantadine-0,001mg/L : 0%</c:v>
                  </c:pt>
                  <c:pt idx="1">
                    <c:v>Amantadine-0,01mg/L : 0%</c:v>
                  </c:pt>
                  <c:pt idx="2">
                    <c:v>Amantadine-0,1mg/L : 0%</c:v>
                  </c:pt>
                  <c:pt idx="3">
                    <c:v>Amantadine-1mg/L : 0%</c:v>
                  </c:pt>
                  <c:pt idx="4">
                    <c:v>Amantadine-10mg/L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Amantadine-0,01mg/L</c:v>
                </c:pt>
                <c:pt idx="2">
                  <c:v>Amantadine-0,1mg/L</c:v>
                </c:pt>
                <c:pt idx="3">
                  <c:v>Amantadine-1mg/L</c:v>
                </c:pt>
                <c:pt idx="4">
                  <c:v>Amantadine-10mg/L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Amantadine-0,01mg/L</c:v>
                </c:pt>
                <c:pt idx="2">
                  <c:v>Amantadine-0,1mg/L</c:v>
                </c:pt>
                <c:pt idx="3">
                  <c:v>Amantadine-1mg/L</c:v>
                </c:pt>
                <c:pt idx="4">
                  <c:v>Amantadine-10mg/L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Amantadine-0,01mg/L</c:v>
                </c:pt>
                <c:pt idx="2">
                  <c:v>Amantadine-0,1mg/L</c:v>
                </c:pt>
                <c:pt idx="3">
                  <c:v>Amantadine-1mg/L</c:v>
                </c:pt>
                <c:pt idx="4">
                  <c:v>Amantadine-10mg/L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1960A845-739D-4942-B7FC-8FF5B8ABE0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C215F2E1-7CB5-4CD7-8821-B1FF6A15D1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5B7E24E7-E12A-4505-9C98-25223F0E19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571161D4-DD4A-4CE3-9402-142576890B6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91DDCB7B-48F9-4E40-B381-5E7F5EC59C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3D30280A-6577-4AB5-9854-AD5DEAB37ED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763A96BD-43F2-4FBF-9A27-6B1F1E1CB5A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2B997C2D-B821-43A8-A488-22201C1935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AB37CA66-0DF2-447C-A1D4-64A99B6FF53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1D06D4FD-3AB2-4430-892D-863FCF41A95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6C7A1601-AA91-4883-A14E-5D3F17905ED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AA52E338-6A52-4817-91DD-1559EABF69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2D67A95E-E89B-48FC-A28D-0F880EDF618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64754996-64A7-473C-8C60-44F9686165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1.5791749009587311E-2</c:v>
                  </c:pt>
                  <c:pt idx="2">
                    <c:v>1.2516084514343467E-2</c:v>
                  </c:pt>
                  <c:pt idx="3">
                    <c:v>2.0641644796400876E-2</c:v>
                  </c:pt>
                  <c:pt idx="4">
                    <c:v>2.0464839413053583E-2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1.5791749009587311E-2</c:v>
                  </c:pt>
                  <c:pt idx="2">
                    <c:v>1.2516084514343467E-2</c:v>
                  </c:pt>
                  <c:pt idx="3">
                    <c:v>2.0641644796400876E-2</c:v>
                  </c:pt>
                  <c:pt idx="4">
                    <c:v>2.0464839413053583E-2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Amantadine-0,01mg/L</c:v>
                </c:pt>
                <c:pt idx="2">
                  <c:v>Amantadine-0,1mg/L</c:v>
                </c:pt>
                <c:pt idx="3">
                  <c:v>Amantadine-1mg/L</c:v>
                </c:pt>
                <c:pt idx="4">
                  <c:v>Amantadine-10mg/L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8.3363825083967336E-2</c:v>
                </c:pt>
                <c:pt idx="2">
                  <c:v>8.725775753672492E-2</c:v>
                </c:pt>
                <c:pt idx="3">
                  <c:v>0.11968112212406262</c:v>
                </c:pt>
                <c:pt idx="4">
                  <c:v>0.10906359505339656</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0.11219065539302642</c:v>
                </c:pt>
                <c:pt idx="1">
                  <c:v>0.11219065539302642</c:v>
                </c:pt>
                <c:pt idx="2">
                  <c:v>0.11219065539302642</c:v>
                </c:pt>
                <c:pt idx="3">
                  <c:v>0.11219065539302642</c:v>
                </c:pt>
                <c:pt idx="4">
                  <c:v>0.11219065539302642</c:v>
                </c:pt>
                <c:pt idx="5">
                  <c:v>0.11219065539302642</c:v>
                </c:pt>
                <c:pt idx="6">
                  <c:v>0.11219065539302642</c:v>
                </c:pt>
                <c:pt idx="7">
                  <c:v>0.11219065539302642</c:v>
                </c:pt>
                <c:pt idx="8">
                  <c:v>0.11219065539302642</c:v>
                </c:pt>
                <c:pt idx="9">
                  <c:v>0.11219065539302642</c:v>
                </c:pt>
                <c:pt idx="10">
                  <c:v>0.11219065539302642</c:v>
                </c:pt>
                <c:pt idx="11">
                  <c:v>0.11219065539302642</c:v>
                </c:pt>
                <c:pt idx="12">
                  <c:v>0.11219065539302642</c:v>
                </c:pt>
                <c:pt idx="13">
                  <c:v>0.11219065539302642</c:v>
                </c:pt>
                <c:pt idx="14">
                  <c:v>0.11219065539302642</c:v>
                </c:pt>
                <c:pt idx="15">
                  <c:v>0.11219065539302642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0.11524557421039172</c:v>
                </c:pt>
                <c:pt idx="1">
                  <c:v>0.11524557421039172</c:v>
                </c:pt>
                <c:pt idx="2">
                  <c:v>0.11524557421039172</c:v>
                </c:pt>
                <c:pt idx="3">
                  <c:v>0.11524557421039172</c:v>
                </c:pt>
                <c:pt idx="4">
                  <c:v>0.11524557421039172</c:v>
                </c:pt>
                <c:pt idx="5">
                  <c:v>0.11524557421039172</c:v>
                </c:pt>
                <c:pt idx="6">
                  <c:v>0.11524557421039172</c:v>
                </c:pt>
                <c:pt idx="7">
                  <c:v>0.11524557421039172</c:v>
                </c:pt>
                <c:pt idx="8">
                  <c:v>0.11524557421039172</c:v>
                </c:pt>
                <c:pt idx="9">
                  <c:v>0.11524557421039172</c:v>
                </c:pt>
                <c:pt idx="10">
                  <c:v>0.11524557421039172</c:v>
                </c:pt>
                <c:pt idx="11">
                  <c:v>0.11524557421039172</c:v>
                </c:pt>
                <c:pt idx="12">
                  <c:v>0.11524557421039172</c:v>
                </c:pt>
                <c:pt idx="13">
                  <c:v>0.11524557421039172</c:v>
                </c:pt>
                <c:pt idx="14">
                  <c:v>0.11524557421039172</c:v>
                </c:pt>
                <c:pt idx="15">
                  <c:v>0.11524557421039172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1.6409478733950706</c:v>
                </c:pt>
                <c:pt idx="1">
                  <c:v>1.6409478733950706</c:v>
                </c:pt>
                <c:pt idx="2">
                  <c:v>1.6409478733950706</c:v>
                </c:pt>
                <c:pt idx="3">
                  <c:v>1.6409478733950706</c:v>
                </c:pt>
                <c:pt idx="4">
                  <c:v>1.6409478733950706</c:v>
                </c:pt>
                <c:pt idx="5">
                  <c:v>1.6409478733950706</c:v>
                </c:pt>
                <c:pt idx="6">
                  <c:v>1.6409478733950706</c:v>
                </c:pt>
                <c:pt idx="7">
                  <c:v>1.6409478733950706</c:v>
                </c:pt>
                <c:pt idx="8">
                  <c:v>1.6409478733950706</c:v>
                </c:pt>
                <c:pt idx="9">
                  <c:v>1.6409478733950706</c:v>
                </c:pt>
                <c:pt idx="10">
                  <c:v>1.6409478733950706</c:v>
                </c:pt>
                <c:pt idx="11">
                  <c:v>1.6409478733950706</c:v>
                </c:pt>
                <c:pt idx="12">
                  <c:v>1.6409478733950706</c:v>
                </c:pt>
                <c:pt idx="13">
                  <c:v>1.6409478733950706</c:v>
                </c:pt>
                <c:pt idx="14">
                  <c:v>1.6409478733950706</c:v>
                </c:pt>
                <c:pt idx="15">
                  <c:v>1.6409478733950706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0.85905212660492936</c:v>
                </c:pt>
                <c:pt idx="1">
                  <c:v>0.85905212660492936</c:v>
                </c:pt>
                <c:pt idx="2">
                  <c:v>0.85905212660492936</c:v>
                </c:pt>
                <c:pt idx="3">
                  <c:v>0.85905212660492936</c:v>
                </c:pt>
                <c:pt idx="4">
                  <c:v>0.85905212660492936</c:v>
                </c:pt>
                <c:pt idx="5">
                  <c:v>0.85905212660492936</c:v>
                </c:pt>
                <c:pt idx="6">
                  <c:v>0.85905212660492936</c:v>
                </c:pt>
                <c:pt idx="7">
                  <c:v>0.85905212660492936</c:v>
                </c:pt>
                <c:pt idx="8">
                  <c:v>0.85905212660492936</c:v>
                </c:pt>
                <c:pt idx="9">
                  <c:v>0.85905212660492936</c:v>
                </c:pt>
                <c:pt idx="10">
                  <c:v>0.85905212660492936</c:v>
                </c:pt>
                <c:pt idx="11">
                  <c:v>0.85905212660492936</c:v>
                </c:pt>
                <c:pt idx="12">
                  <c:v>0.85905212660492936</c:v>
                </c:pt>
                <c:pt idx="13">
                  <c:v>0.85905212660492936</c:v>
                </c:pt>
                <c:pt idx="14">
                  <c:v>0.85905212660492936</c:v>
                </c:pt>
                <c:pt idx="15">
                  <c:v>0.85905212660492936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44B9F5E6-C224-4CC6-B649-CF3008F3DC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FACA87A9-0ED7-4B61-9EE5-C65E7DA31E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EB8FF086-19EE-46A2-B256-6EE7AB462B8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AB90D6DC-579C-447F-A54A-2B927033E3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5D10911F-B067-4D87-B78E-BF9D5F978FB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E51A1DFB-26DF-4911-96D1-226491C0156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8D482D34-F505-470A-9BEF-329D4ADABD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F92CD9ED-069A-4F70-B50E-47BF74C8F4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C21BCF40-FCC5-444D-923A-50FEBFFEE1A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403BE1BD-70AD-474B-9846-5426BA0A8E1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5EF726C6-7793-4E4D-8EEC-364EB968964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3528BAAC-E8D3-4BC2-8C8D-88DD6C532D3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7DBAC5AF-08C8-4A88-AA1A-98E58E5488E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E28B8475-D801-4538-B4A4-92079A10567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0.13560979968555198</c:v>
                  </c:pt>
                  <c:pt idx="2">
                    <c:v>0.16925212613079116</c:v>
                  </c:pt>
                  <c:pt idx="3">
                    <c:v>0.12079283270379149</c:v>
                  </c:pt>
                  <c:pt idx="4">
                    <c:v>0.15484679662052558</c:v>
                  </c:pt>
                  <c:pt idx="5">
                    <c:v>0.14783177638965886</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0.13560979968555198</c:v>
                  </c:pt>
                  <c:pt idx="2">
                    <c:v>0.16925212613079116</c:v>
                  </c:pt>
                  <c:pt idx="3">
                    <c:v>0.12079283270379149</c:v>
                  </c:pt>
                  <c:pt idx="4">
                    <c:v>0.15484679662052558</c:v>
                  </c:pt>
                  <c:pt idx="5">
                    <c:v>0.14783177638965886</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1.1493955476350943</c:v>
                </c:pt>
                <c:pt idx="2">
                  <c:v>1.1842776107983541</c:v>
                </c:pt>
                <c:pt idx="3">
                  <c:v>0.99669390763483523</c:v>
                </c:pt>
                <c:pt idx="4">
                  <c:v>1.289821156203169</c:v>
                </c:pt>
                <c:pt idx="5">
                  <c:v>1.1195185160202903</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Amantadine-0,01mg/L</c:v>
                </c:pt>
                <c:pt idx="2">
                  <c:v>Amantadine-0,1mg/L</c:v>
                </c:pt>
                <c:pt idx="3">
                  <c:v>Amantadine-1mg/L</c:v>
                </c:pt>
                <c:pt idx="4">
                  <c:v>Amantadine-10mg/L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Amantadine-0,01mg/L</c:v>
                </c:pt>
                <c:pt idx="2">
                  <c:v>Amantadine-0,1mg/L</c:v>
                </c:pt>
                <c:pt idx="3">
                  <c:v>Amantadine-1mg/L</c:v>
                </c:pt>
                <c:pt idx="4">
                  <c:v>Amantadine-10mg/L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Amantadine-0,01mg/L</c:v>
                </c:pt>
                <c:pt idx="2">
                  <c:v>Amantadine-0,1mg/L</c:v>
                </c:pt>
                <c:pt idx="3">
                  <c:v>Amantadine-1mg/L</c:v>
                </c:pt>
                <c:pt idx="4">
                  <c:v>Amantadine-10mg/L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216048D0-D328-4670-81F5-59CE65E3A05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92B6D2D9-F1D0-4251-B85C-099D129A4DE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2B0224B6-12F0-4686-9C7D-F2AA559262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EE4F6233-6B63-4EE4-A043-2C6D07D1A8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8B673F51-B28F-401A-8C3B-DC5BDC1C8F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342433A4-D5DD-4A89-93A6-CE91590A045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00D3C374-4218-4688-9B61-64F17D6139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C6E11DEA-C575-45E7-8E20-B234EFAA81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9AEA6423-631F-4116-87A1-E5F3576D9D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E28AE49B-7FAA-4C5B-93DE-BE809F77A0D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217E2053-A795-4213-9836-EF53A1CC0D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408BB404-D55A-4E24-AFB0-E88C8448D35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AE0C80AA-E365-4AEF-A31E-0D02200556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BC9AF652-22A7-425E-BC86-A85B8C03163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1.5791749009587311E-2</c:v>
                  </c:pt>
                  <c:pt idx="2">
                    <c:v>1.2516084514343467E-2</c:v>
                  </c:pt>
                  <c:pt idx="3">
                    <c:v>2.0641644796400876E-2</c:v>
                  </c:pt>
                  <c:pt idx="4">
                    <c:v>2.0464839413053583E-2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1.5791749009587311E-2</c:v>
                  </c:pt>
                  <c:pt idx="2">
                    <c:v>1.2516084514343467E-2</c:v>
                  </c:pt>
                  <c:pt idx="3">
                    <c:v>2.0641644796400876E-2</c:v>
                  </c:pt>
                  <c:pt idx="4">
                    <c:v>2.0464839413053583E-2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Amantadine-0,01mg/L</c:v>
                </c:pt>
                <c:pt idx="2">
                  <c:v>Amantadine-0,1mg/L</c:v>
                </c:pt>
                <c:pt idx="3">
                  <c:v>Amantadine-1mg/L</c:v>
                </c:pt>
                <c:pt idx="4">
                  <c:v>Amantadine-10mg/L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8.3363825083967336E-2</c:v>
                </c:pt>
                <c:pt idx="2">
                  <c:v>8.725775753672492E-2</c:v>
                </c:pt>
                <c:pt idx="3">
                  <c:v>0.11968112212406262</c:v>
                </c:pt>
                <c:pt idx="4">
                  <c:v>0.10906359505339656</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0.11219065539302642</c:v>
                </c:pt>
                <c:pt idx="1">
                  <c:v>0.11219065539302642</c:v>
                </c:pt>
                <c:pt idx="2">
                  <c:v>0.11219065539302642</c:v>
                </c:pt>
                <c:pt idx="3">
                  <c:v>0.11219065539302642</c:v>
                </c:pt>
                <c:pt idx="4">
                  <c:v>0.11219065539302642</c:v>
                </c:pt>
                <c:pt idx="5">
                  <c:v>0.11219065539302642</c:v>
                </c:pt>
                <c:pt idx="6">
                  <c:v>0.11219065539302642</c:v>
                </c:pt>
                <c:pt idx="7">
                  <c:v>0.11219065539302642</c:v>
                </c:pt>
                <c:pt idx="8">
                  <c:v>0.11219065539302642</c:v>
                </c:pt>
                <c:pt idx="9">
                  <c:v>0.11219065539302642</c:v>
                </c:pt>
                <c:pt idx="10">
                  <c:v>0.11219065539302642</c:v>
                </c:pt>
                <c:pt idx="11">
                  <c:v>0.11219065539302642</c:v>
                </c:pt>
                <c:pt idx="12">
                  <c:v>0.11219065539302642</c:v>
                </c:pt>
                <c:pt idx="13">
                  <c:v>0.11219065539302642</c:v>
                </c:pt>
                <c:pt idx="14">
                  <c:v>0.11219065539302642</c:v>
                </c:pt>
                <c:pt idx="15">
                  <c:v>0.11219065539302642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0.11524557421039172</c:v>
                </c:pt>
                <c:pt idx="1">
                  <c:v>0.11524557421039172</c:v>
                </c:pt>
                <c:pt idx="2">
                  <c:v>0.11524557421039172</c:v>
                </c:pt>
                <c:pt idx="3">
                  <c:v>0.11524557421039172</c:v>
                </c:pt>
                <c:pt idx="4">
                  <c:v>0.11524557421039172</c:v>
                </c:pt>
                <c:pt idx="5">
                  <c:v>0.11524557421039172</c:v>
                </c:pt>
                <c:pt idx="6">
                  <c:v>0.11524557421039172</c:v>
                </c:pt>
                <c:pt idx="7">
                  <c:v>0.11524557421039172</c:v>
                </c:pt>
                <c:pt idx="8">
                  <c:v>0.11524557421039172</c:v>
                </c:pt>
                <c:pt idx="9">
                  <c:v>0.11524557421039172</c:v>
                </c:pt>
                <c:pt idx="10">
                  <c:v>0.11524557421039172</c:v>
                </c:pt>
                <c:pt idx="11">
                  <c:v>0.11524557421039172</c:v>
                </c:pt>
                <c:pt idx="12">
                  <c:v>0.11524557421039172</c:v>
                </c:pt>
                <c:pt idx="13">
                  <c:v>0.11524557421039172</c:v>
                </c:pt>
                <c:pt idx="14">
                  <c:v>0.11524557421039172</c:v>
                </c:pt>
                <c:pt idx="15">
                  <c:v>0.11524557421039172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1.6409478733950706</c:v>
                </c:pt>
                <c:pt idx="1">
                  <c:v>1.6409478733950706</c:v>
                </c:pt>
                <c:pt idx="2">
                  <c:v>1.6409478733950706</c:v>
                </c:pt>
                <c:pt idx="3">
                  <c:v>1.6409478733950706</c:v>
                </c:pt>
                <c:pt idx="4">
                  <c:v>1.6409478733950706</c:v>
                </c:pt>
                <c:pt idx="5">
                  <c:v>1.6409478733950706</c:v>
                </c:pt>
                <c:pt idx="6">
                  <c:v>1.6409478733950706</c:v>
                </c:pt>
                <c:pt idx="7">
                  <c:v>1.6409478733950706</c:v>
                </c:pt>
                <c:pt idx="8">
                  <c:v>1.6409478733950706</c:v>
                </c:pt>
                <c:pt idx="9">
                  <c:v>1.6409478733950706</c:v>
                </c:pt>
                <c:pt idx="10">
                  <c:v>1.6409478733950706</c:v>
                </c:pt>
                <c:pt idx="11">
                  <c:v>1.6409478733950706</c:v>
                </c:pt>
                <c:pt idx="12">
                  <c:v>1.6409478733950706</c:v>
                </c:pt>
                <c:pt idx="13">
                  <c:v>1.6409478733950706</c:v>
                </c:pt>
                <c:pt idx="14">
                  <c:v>1.6409478733950706</c:v>
                </c:pt>
                <c:pt idx="15">
                  <c:v>1.6409478733950706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0.85905212660492936</c:v>
                </c:pt>
                <c:pt idx="1">
                  <c:v>0.85905212660492936</c:v>
                </c:pt>
                <c:pt idx="2">
                  <c:v>0.85905212660492936</c:v>
                </c:pt>
                <c:pt idx="3">
                  <c:v>0.85905212660492936</c:v>
                </c:pt>
                <c:pt idx="4">
                  <c:v>0.85905212660492936</c:v>
                </c:pt>
                <c:pt idx="5">
                  <c:v>0.85905212660492936</c:v>
                </c:pt>
                <c:pt idx="6">
                  <c:v>0.85905212660492936</c:v>
                </c:pt>
                <c:pt idx="7">
                  <c:v>0.85905212660492936</c:v>
                </c:pt>
                <c:pt idx="8">
                  <c:v>0.85905212660492936</c:v>
                </c:pt>
                <c:pt idx="9">
                  <c:v>0.85905212660492936</c:v>
                </c:pt>
                <c:pt idx="10">
                  <c:v>0.85905212660492936</c:v>
                </c:pt>
                <c:pt idx="11">
                  <c:v>0.85905212660492936</c:v>
                </c:pt>
                <c:pt idx="12">
                  <c:v>0.85905212660492936</c:v>
                </c:pt>
                <c:pt idx="13">
                  <c:v>0.85905212660492936</c:v>
                </c:pt>
                <c:pt idx="14">
                  <c:v>0.85905212660492936</c:v>
                </c:pt>
                <c:pt idx="15">
                  <c:v>0.85905212660492936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CB456138-5D46-44BD-ACF6-E45D2602B4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17E7B647-6C13-438E-8AC9-F597FAEB5E5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CD06DABA-C6B0-43FF-80E1-DED2D11E2E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3DBA057C-81A5-450E-8A88-6AD5AE5782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14C6F225-D5E6-4A77-A0B6-D213472FC12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7E8DF08B-D0E2-4304-AC2E-18CFEC795D7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7A690972-0CC9-4EAB-9D7F-61979D138D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02FB90CA-29C3-41EE-984B-F73A6D31EE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AA2838CA-80FF-4B24-9B43-93C641BFB9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62CC4FA2-0B05-4243-9D71-8AFFE773B67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D6FB71D1-356F-4295-B6E2-EBC2552130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4D29328F-9D93-43D9-951A-CF632896B1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2EB5D8A1-624E-466F-8DD4-2871EDA1E3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FADCA8E7-DD02-4F91-B1CD-D0E0DC29A1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0.13560979968555198</c:v>
                  </c:pt>
                  <c:pt idx="2">
                    <c:v>0.16925212613079116</c:v>
                  </c:pt>
                  <c:pt idx="3">
                    <c:v>0.12079283270379149</c:v>
                  </c:pt>
                  <c:pt idx="4">
                    <c:v>0.15484679662052558</c:v>
                  </c:pt>
                  <c:pt idx="5">
                    <c:v>0.14783177638965886</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0.13560979968555198</c:v>
                  </c:pt>
                  <c:pt idx="2">
                    <c:v>0.16925212613079116</c:v>
                  </c:pt>
                  <c:pt idx="3">
                    <c:v>0.12079283270379149</c:v>
                  </c:pt>
                  <c:pt idx="4">
                    <c:v>0.15484679662052558</c:v>
                  </c:pt>
                  <c:pt idx="5">
                    <c:v>0.14783177638965886</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1.1493955476350943</c:v>
                </c:pt>
                <c:pt idx="2">
                  <c:v>1.1842776107983541</c:v>
                </c:pt>
                <c:pt idx="3">
                  <c:v>0.99669390763483523</c:v>
                </c:pt>
                <c:pt idx="4">
                  <c:v>1.289821156203169</c:v>
                </c:pt>
                <c:pt idx="5">
                  <c:v>1.1195185160202903</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Amantadine-0,001mg/L + Testostérone</c:v>
                </c:pt>
                <c:pt idx="2">
                  <c:v>Amantadine-0,01mg/L + Testostérone</c:v>
                </c:pt>
                <c:pt idx="3">
                  <c:v>Amantadine-0,1mg/L + Testostérone</c:v>
                </c:pt>
                <c:pt idx="4">
                  <c:v>Amantadine-1mg/L + Testostérone</c:v>
                </c:pt>
                <c:pt idx="5">
                  <c:v>Amantadine-10mg/L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Amantadine-0,01mg/L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Amantadine-0,01mg/L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Amantadine-0,01mg/L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A6865C8E-6FB1-4B19-BE98-623DDDDC88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4F8F5C06-CE8B-44E3-8F19-9507C4EEB39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1.5791749009587311E-2</c:v>
                  </c:pt>
                </c:numCache>
              </c:numRef>
            </c:plus>
            <c:minus>
              <c:numRef>
                <c:f>'Graph format rapport CHG 1éch'!$E$4:$G$4</c:f>
                <c:numCache>
                  <c:formatCode>General</c:formatCode>
                  <c:ptCount val="3"/>
                  <c:pt idx="1">
                    <c:v>1.5791749009587311E-2</c:v>
                  </c:pt>
                </c:numCache>
              </c:numRef>
            </c:minus>
          </c:errBars>
          <c:cat>
            <c:strRef>
              <c:f>'Graph format rapport CHG 1éch'!$E$2:$G$2</c:f>
              <c:strCache>
                <c:ptCount val="2"/>
                <c:pt idx="1">
                  <c:v>Amantadine-0,01mg/L</c:v>
                </c:pt>
              </c:strCache>
            </c:strRef>
          </c:cat>
          <c:val>
            <c:numRef>
              <c:f>'Graph format rapport CHG 1éch'!$E$3:$G$3</c:f>
              <c:numCache>
                <c:formatCode>General</c:formatCode>
                <c:ptCount val="3"/>
                <c:pt idx="1">
                  <c:v>8.3363825083967336E-2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0.11219065539302642</c:v>
                </c:pt>
                <c:pt idx="1">
                  <c:v>0.11219065539302642</c:v>
                </c:pt>
                <c:pt idx="2">
                  <c:v>0.11219065539302642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Amantadine-0,001mg/L + Testostérone</c:v>
                </c:pt>
              </c:strCache>
            </c:strRef>
          </c:cat>
          <c:val>
            <c:numRef>
              <c:f>'Graph format rapport CHG 1éch'!$H$8:$J$8</c:f>
              <c:numCache>
                <c:formatCode>General</c:formatCode>
                <c:ptCount val="3"/>
                <c:pt idx="0">
                  <c:v>0.11524557421039172</c:v>
                </c:pt>
                <c:pt idx="1">
                  <c:v>0.11524557421039172</c:v>
                </c:pt>
                <c:pt idx="2">
                  <c:v>0.11524557421039172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Amantadine-0,001mg/L + Testostérone</c:v>
                </c:pt>
              </c:strCache>
            </c:strRef>
          </c:cat>
          <c:val>
            <c:numRef>
              <c:f>'Graph format rapport CHG 1éch'!$H$9:$J$9</c:f>
              <c:numCache>
                <c:formatCode>General</c:formatCode>
                <c:ptCount val="3"/>
                <c:pt idx="0">
                  <c:v>1.6409478733950706</c:v>
                </c:pt>
                <c:pt idx="1">
                  <c:v>1.6409478733950706</c:v>
                </c:pt>
                <c:pt idx="2">
                  <c:v>1.6409478733950706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Amantadine-0,001mg/L + Testostérone</c:v>
                </c:pt>
              </c:strCache>
            </c:strRef>
          </c:cat>
          <c:val>
            <c:numRef>
              <c:f>'Graph format rapport CHG 1éch'!$H$10:$J$10</c:f>
              <c:numCache>
                <c:formatCode>General</c:formatCode>
                <c:ptCount val="3"/>
                <c:pt idx="0">
                  <c:v>0.85905212660492936</c:v>
                </c:pt>
                <c:pt idx="1">
                  <c:v>0.85905212660492936</c:v>
                </c:pt>
                <c:pt idx="2">
                  <c:v>0.85905212660492936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70C006FA-47D0-4BC6-9BD2-50CF2D0594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A1828B81-6C1F-4922-AC92-37468F6F3D8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0.13560979968555198</c:v>
                  </c:pt>
                </c:numCache>
              </c:numRef>
            </c:plus>
            <c:minus>
              <c:numRef>
                <c:f>'Graph format rapport CHG 1éch'!$H$4:$J$4</c:f>
                <c:numCache>
                  <c:formatCode>General</c:formatCode>
                  <c:ptCount val="3"/>
                  <c:pt idx="1">
                    <c:v>0.13560979968555198</c:v>
                  </c:pt>
                </c:numCache>
              </c:numRef>
            </c:minus>
          </c:errBars>
          <c:cat>
            <c:strRef>
              <c:f>'Graph format rapport CHG 1éch'!$H$2:$J$2</c:f>
              <c:strCache>
                <c:ptCount val="2"/>
                <c:pt idx="1">
                  <c:v>Amantadine-0,001mg/L + Testostérone</c:v>
                </c:pt>
              </c:strCache>
            </c:strRef>
          </c:cat>
          <c:val>
            <c:numRef>
              <c:f>'Graph format rapport CHG 1éch'!$H$3:$J$3</c:f>
              <c:numCache>
                <c:formatCode>General</c:formatCode>
                <c:ptCount val="3"/>
                <c:pt idx="1">
                  <c:v>1.1493955476350943</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Amantadine-0,001mg/L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Amantadine-0,01mg/L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Amantadine-0,01mg/L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Amantadine-0,01mg/L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CD897DE1-CE94-4C0D-9A43-8C2C9D599B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77875E7C-FF47-4EE3-8017-AE386A1F80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1.5791749009587311E-2</c:v>
                  </c:pt>
                </c:numCache>
              </c:numRef>
            </c:plus>
            <c:minus>
              <c:numRef>
                <c:f>'Graph format rapport CHG 1éch'!$E$4:$G$4</c:f>
                <c:numCache>
                  <c:formatCode>General</c:formatCode>
                  <c:ptCount val="3"/>
                  <c:pt idx="1">
                    <c:v>1.5791749009587311E-2</c:v>
                  </c:pt>
                </c:numCache>
              </c:numRef>
            </c:minus>
          </c:errBars>
          <c:cat>
            <c:strRef>
              <c:f>'Graph format rapport CHG 1éch'!$E$2:$G$2</c:f>
              <c:strCache>
                <c:ptCount val="2"/>
                <c:pt idx="1">
                  <c:v>Amantadine-0,01mg/L</c:v>
                </c:pt>
              </c:strCache>
            </c:strRef>
          </c:cat>
          <c:val>
            <c:numRef>
              <c:f>'Graph format rapport CHG 1éch'!$E$3:$G$3</c:f>
              <c:numCache>
                <c:formatCode>General</c:formatCode>
                <c:ptCount val="3"/>
                <c:pt idx="1">
                  <c:v>8.3363825083967336E-2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0.11219065539302642</c:v>
                </c:pt>
                <c:pt idx="1">
                  <c:v>0.11219065539302642</c:v>
                </c:pt>
                <c:pt idx="2">
                  <c:v>0.11219065539302642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Amantadine-0,001mg/L + Testostérone</c:v>
                </c:pt>
              </c:strCache>
            </c:strRef>
          </c:cat>
          <c:val>
            <c:numRef>
              <c:f>'Graph format rapport CHG 1éch'!$H$8:$J$8</c:f>
              <c:numCache>
                <c:formatCode>General</c:formatCode>
                <c:ptCount val="3"/>
                <c:pt idx="0">
                  <c:v>0.11524557421039172</c:v>
                </c:pt>
                <c:pt idx="1">
                  <c:v>0.11524557421039172</c:v>
                </c:pt>
                <c:pt idx="2">
                  <c:v>0.11524557421039172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Amantadine-0,001mg/L + Testostérone</c:v>
                </c:pt>
              </c:strCache>
            </c:strRef>
          </c:cat>
          <c:val>
            <c:numRef>
              <c:f>'Graph format rapport CHG 1éch'!$H$9:$J$9</c:f>
              <c:numCache>
                <c:formatCode>General</c:formatCode>
                <c:ptCount val="3"/>
                <c:pt idx="0">
                  <c:v>1.6409478733950706</c:v>
                </c:pt>
                <c:pt idx="1">
                  <c:v>1.6409478733950706</c:v>
                </c:pt>
                <c:pt idx="2">
                  <c:v>1.6409478733950706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Amantadine-0,001mg/L + Testostérone</c:v>
                </c:pt>
              </c:strCache>
            </c:strRef>
          </c:cat>
          <c:val>
            <c:numRef>
              <c:f>'Graph format rapport CHG 1éch'!$H$10:$J$10</c:f>
              <c:numCache>
                <c:formatCode>General</c:formatCode>
                <c:ptCount val="3"/>
                <c:pt idx="0">
                  <c:v>0.85905212660492936</c:v>
                </c:pt>
                <c:pt idx="1">
                  <c:v>0.85905212660492936</c:v>
                </c:pt>
                <c:pt idx="2">
                  <c:v>0.85905212660492936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A0AB4680-ED73-42C9-8D3C-E48F695CFB5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74BE8416-BD10-427A-B005-23E778325D4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0.13560979968555198</c:v>
                  </c:pt>
                </c:numCache>
              </c:numRef>
            </c:plus>
            <c:minus>
              <c:numRef>
                <c:f>'Graph format rapport CHG 1éch'!$H$4:$J$4</c:f>
                <c:numCache>
                  <c:formatCode>General</c:formatCode>
                  <c:ptCount val="3"/>
                  <c:pt idx="1">
                    <c:v>0.13560979968555198</c:v>
                  </c:pt>
                </c:numCache>
              </c:numRef>
            </c:minus>
          </c:errBars>
          <c:cat>
            <c:strRef>
              <c:f>'Graph format rapport CHG 1éch'!$H$2:$J$2</c:f>
              <c:strCache>
                <c:ptCount val="2"/>
                <c:pt idx="1">
                  <c:v>Amantadine-0,001mg/L + Testostérone</c:v>
                </c:pt>
              </c:strCache>
            </c:strRef>
          </c:cat>
          <c:val>
            <c:numRef>
              <c:f>'Graph format rapport CHG 1éch'!$H$3:$J$3</c:f>
              <c:numCache>
                <c:formatCode>General</c:formatCode>
                <c:ptCount val="3"/>
                <c:pt idx="1">
                  <c:v>1.1493955476350943</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Amantadine-0,001mg/L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6"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6"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6"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34"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Amantadine</a:t>
          </a:r>
          <a:r>
            <a:rPr lang="fr-FR" sz="1400" b="1" baseline="0"/>
            <a:t> R1</a:t>
          </a:r>
          <a:endParaRPr lang="fr-FR" sz="1400" b="1"/>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Amantadine</a:t>
          </a:r>
          <a:r>
            <a:rPr lang="fr-FR" sz="1400" b="1" baseline="0"/>
            <a:t> R2</a:t>
          </a:r>
          <a:endParaRPr lang="fr-FR" sz="1400" b="1"/>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0.10273</cdr:y>
    </cdr:to>
    <cdr:sp macro="" textlink="">
      <cdr:nvSpPr>
        <cdr:cNvPr id="2" name="ZoneTexte 1"/>
        <cdr:cNvSpPr txBox="1"/>
      </cdr:nvSpPr>
      <cdr:spPr>
        <a:xfrm xmlns:a="http://schemas.openxmlformats.org/drawingml/2006/main">
          <a:off x="3482021" y="91017"/>
          <a:ext cx="1695412"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Amantadine</a:t>
          </a:r>
          <a:r>
            <a:rPr lang="fr-FR" sz="1400" b="1" baseline="0"/>
            <a:t> R3</a:t>
          </a:r>
        </a:p>
        <a:p xmlns:a="http://schemas.openxmlformats.org/drawingml/2006/main">
          <a:pPr algn="ctr"/>
          <a:endParaRPr lang="fr-FR" sz="1400" b="1"/>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3321" cy="6049086"/>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67.622266782404" createdVersion="5" refreshedVersion="6" minRefreshableVersion="3" recordCount="1556" xr:uid="{00000000-000A-0000-FFFF-FFFF0C000000}">
  <cacheSource type="worksheet">
    <worksheetSource name="Tableau4"/>
  </cacheSource>
  <cacheFields count="10">
    <cacheField name="Nom groupe" numFmtId="0">
      <sharedItems containsBlank="1" count="23">
        <s v="01 Evian + 0.2% DMSO"/>
        <s v=""/>
        <s v="02 EE2 33.8"/>
        <s v="03 EE2 50.6"/>
        <s v="04 EE2 76"/>
        <s v="05 EE2 114"/>
        <s v="06 EE2 170.9"/>
        <s v="07 EE2 488"/>
        <s v="08 Amantadine 0.001 mg_L"/>
        <s v="09 Amantadine 0.01 mg_L"/>
        <s v="10 Amantadine 0.1 mg_L"/>
        <s v="11 Amantadine 1 mg_L"/>
        <s v="12 Amantadine 10 mg_L"/>
        <s v="01 Testo 30"/>
        <s v="02 Testo 30"/>
        <s v="03 Testo+ EE2 64"/>
        <s v="04 Testo+ FAD"/>
        <s v="05 Amantadine 0.001 mg_L dopé"/>
        <s v="06  Amantadine 0.01 mg_LLdopé"/>
        <s v="07  Amantadine 0.1 mg_Ldopé"/>
        <s v="08  TAmantadine 1 mg_Ldopé"/>
        <s v="09  Amantadine 10 mg_L dopé"/>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66"/>
    </cacheField>
    <cacheField name=" " numFmtId="0">
      <sharedItems containsBlank="1" count="24">
        <m/>
        <s v=" "/>
        <s v=" SD mean fluo "/>
        <s v=" 5.5863 "/>
        <s v=" 3.9869 "/>
        <s v=" 5.9933 "/>
        <s v=" 3.7593 "/>
        <s v=" 2.7987 "/>
        <s v=" 4.4283 "/>
        <s v=" 8.566 "/>
        <s v=" 4.717 "/>
        <s v=" 3.3296 "/>
        <s v=" 5.4207 "/>
        <s v=" 4.5029 "/>
        <s v=" 6.979 "/>
        <s v=" 4.4152 "/>
        <s v=" 3.8841 "/>
        <s v=" 5.1106 "/>
        <s v=" 4.7473 "/>
        <s v=" 3.8359 "/>
        <s v=" 4.2079 "/>
        <s v=" 4.3474 "/>
        <s v=" 3.1627 "/>
        <s v=" 4.3927 "/>
      </sharedItems>
    </cacheField>
    <cacheField name=" total fluorescence" numFmtId="0">
      <sharedItems containsBlank="1" containsMixedTypes="1" containsNumber="1" containsInteger="1" minValue="8263" maxValue="9078694"/>
    </cacheField>
    <cacheField name="         " numFmtId="0">
      <sharedItems containsBlank="1" containsMixedTypes="1" containsNumber="1" containsInteger="1" minValue="1248334" maxValue="1248334"/>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67.622266782404" createdVersion="5" refreshedVersion="6"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Amantadine 0.001 mg_L"/>
        <s v="09 Amantadine 0.01 mg_L"/>
        <s v="10 Amantadine 0.1 mg_L"/>
        <s v="11 Amantadine 1 mg_L"/>
        <s v="12 Amantadine 10 mg_L"/>
        <s v="01 Testo 30"/>
        <s v="02 Testo 30"/>
        <s v="03 Testo+ EE2 64"/>
        <s v="04 Testo+ FAD"/>
        <s v="05 Amantadine 0.001 mg_L dopé"/>
        <s v="06  Amantadine 0.01 mg_LLdopé"/>
        <s v="07  Amantadine 0.1 mg_Ldopé"/>
        <s v="08  TAmantadine 1 mg_Ldopé"/>
        <s v="09  Amantadine 10 m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9"/>
    </cacheField>
    <cacheField name=" " numFmtId="0">
      <sharedItems containsBlank="1" count="24">
        <s v=" "/>
        <m/>
        <s v=" SD mean fluo "/>
        <s v=" 4.2328 "/>
        <s v=" 4.1645 "/>
        <s v=" 3.4789 "/>
        <s v=" 2.638 "/>
        <s v=" 2.6981 "/>
        <s v=" 3.4018 "/>
        <s v=" 6.339 "/>
        <s v=" 2.4322 "/>
        <s v=" 3.0233 "/>
        <s v=" 1.5333 "/>
        <s v=" 3.5268 "/>
        <s v=" 2.87 "/>
        <s v=" 1.5736 "/>
        <s v=" 3.0109 "/>
        <s v=" 4.4031 "/>
        <s v=" 3.6685 "/>
        <s v=" 3.2259 "/>
        <s v=" 5.2214 "/>
        <s v=" 1.9648 "/>
        <s v=" 4.6212 "/>
        <s v=" 3.3556 "/>
      </sharedItems>
    </cacheField>
    <cacheField name=" total fluorescence" numFmtId="0">
      <sharedItems containsBlank="1" containsMixedTypes="1" containsNumber="1" containsInteger="1" minValue="6640" maxValue="7038411"/>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67.62226689815" createdVersion="5" refreshedVersion="6" minRefreshableVersion="3" recordCount="1710" xr:uid="{00000000-000A-0000-FFFF-FFFF14000000}">
  <cacheSource type="worksheet">
    <worksheetSource name="Tableau467"/>
  </cacheSource>
  <cacheFields count="10">
    <cacheField name="Nom groupe" numFmtId="0">
      <sharedItems count="22">
        <s v="01 Evian + 0.2% DMSO"/>
        <s v=""/>
        <s v="02 EE2 33.8"/>
        <s v="03 EE2 50.6"/>
        <s v="04 EE2 76"/>
        <s v="05 EE2 114"/>
        <s v="06 EE2 170.9"/>
        <s v="07 EE2 488"/>
        <s v="08 Amantadine 0.001 mg_L"/>
        <s v="09 Amantadine 0.01 mg_L"/>
        <s v="10 Amantadine 0.1 mg_L"/>
        <s v="11 Amantadine 1 mg_L"/>
        <s v="12 Amantadine 10 mg_L"/>
        <s v="01 Testo 30"/>
        <s v="02 Testo 30"/>
        <s v="03 Testo+ EE2 64"/>
        <s v="04 Testo+ FAD"/>
        <s v="05 Amantadine 0.001 mg_L dopé"/>
        <s v="06  Amantadine 0.01 mg_LLdopé"/>
        <s v="07  Amantadine 0.1 mg_Ldopé"/>
        <s v="08  TAmantadine 1 mg_Ldopé"/>
        <s v="09  Amantadine 10 m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6"/>
    </cacheField>
    <cacheField name=" " numFmtId="0">
      <sharedItems containsBlank="1" count="24">
        <s v=" "/>
        <m/>
        <s v=" SD mean fluo "/>
        <s v=" 3.0827 "/>
        <s v=" 5.3349 "/>
        <s v=" 3.4938 "/>
        <s v=" 2.5203 "/>
        <s v=" 6.2783 "/>
        <s v=" 3.928 "/>
        <s v=" 7.8279 "/>
        <s v=" 4.7444 "/>
        <s v=" 2.7671 "/>
        <s v=" 5.5348 "/>
        <s v=" 2.1687 "/>
        <s v=" 2.1648 "/>
        <s v=" 6.5083 "/>
        <s v=" 3.8209 "/>
        <s v=" 5.2794 "/>
        <s v=" 3.1952 "/>
        <s v=" 3.1911 "/>
        <s v=" 5.6158 "/>
        <s v=" 2.6702 "/>
        <s v=" 3.4189 "/>
        <s v=" 4.0988 "/>
      </sharedItems>
    </cacheField>
    <cacheField name=" total fluorescence" numFmtId="0">
      <sharedItems containsBlank="1" containsMixedTypes="1" containsNumber="1" containsInteger="1" minValue="5559" maxValue="6761440"/>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67.622267013889" createdVersion="6" refreshedVersion="6"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mages\20210310\plaque 1/@01 Evian + 0.2% DMSO/A1_01- exclu.tif"/>
    <m/>
    <m/>
    <x v="0"/>
    <m/>
    <m/>
    <m/>
    <m/>
  </r>
  <r>
    <x v="0"/>
    <x v="0"/>
    <s v="F:\images\20210310\plaque 1/@01 Evian + 0.2% DMSO/A1_02- exclu.tif"/>
    <m/>
    <m/>
    <x v="0"/>
    <m/>
    <m/>
    <m/>
    <m/>
  </r>
  <r>
    <x v="0"/>
    <x v="0"/>
    <s v="F:\images\20210310\plaque 1/@01 Evian + 0.2% DMSO/A1_03.tif "/>
    <s v=" 7310.9044 "/>
    <s v=" 77.0207 "/>
    <x v="1"/>
    <n v="563091"/>
    <m/>
    <m/>
    <m/>
  </r>
  <r>
    <x v="0"/>
    <x v="1"/>
    <s v="F:\images\20210310\plaque 1/@01 Evian + 0.2% DMSO/B1_01.tif "/>
    <s v=" 3266.1141 "/>
    <s v=" 66.1391 "/>
    <x v="1"/>
    <n v="216018"/>
    <m/>
    <m/>
    <m/>
  </r>
  <r>
    <x v="0"/>
    <x v="1"/>
    <s v="F:\images\20210310\plaque 1/@01 Evian + 0.2% DMSO/B1_02.tif "/>
    <s v=" 237.9288 "/>
    <s v=" 63.8182 "/>
    <x v="1"/>
    <n v="15184"/>
    <m/>
    <m/>
    <m/>
  </r>
  <r>
    <x v="0"/>
    <x v="1"/>
    <s v="F:\images\20210310\plaque 1/@01 Evian + 0.2% DMSO/B1_03.tif "/>
    <s v=" 1470.8328 "/>
    <s v=" 64.5441 "/>
    <x v="1"/>
    <n v="94934"/>
    <m/>
    <m/>
    <m/>
  </r>
  <r>
    <x v="0"/>
    <x v="2"/>
    <s v="F:\images\20210310\plaque 1/@01 Evian + 0.2% DMSO/C1_01.tif "/>
    <s v=" 4347.6088 "/>
    <s v=" 67.9403 "/>
    <x v="1"/>
    <n v="295378"/>
    <m/>
    <m/>
    <m/>
  </r>
  <r>
    <x v="0"/>
    <x v="2"/>
    <s v="F:\images\20210310\plaque 1/@01 Evian + 0.2% DMSO/C1_02.tif "/>
    <s v=" 843.5659 "/>
    <s v=" 63.3333 "/>
    <x v="1"/>
    <n v="53426"/>
    <m/>
    <m/>
    <m/>
  </r>
  <r>
    <x v="0"/>
    <x v="2"/>
    <s v="F:\images\20210310\plaque 1/@01 Evian + 0.2% DMSO/C1_03.tif "/>
    <s v=" 7743.5023 "/>
    <s v=" 75.486 "/>
    <x v="1"/>
    <n v="584526"/>
    <m/>
    <m/>
    <m/>
  </r>
  <r>
    <x v="0"/>
    <x v="3"/>
    <s v="F:\images\20210310\plaque 1/@01 Evian + 0.2% DMSO/D1_01- exclu.tif"/>
    <m/>
    <m/>
    <x v="0"/>
    <m/>
    <m/>
    <m/>
    <m/>
  </r>
  <r>
    <x v="0"/>
    <x v="3"/>
    <s v="F:\images\20210310\plaque 1/@01 Evian + 0.2% DMSO/D1_02.tif "/>
    <s v=" 4044.7903 "/>
    <s v=" 72.1176 "/>
    <x v="1"/>
    <n v="291701"/>
    <m/>
    <m/>
    <m/>
  </r>
  <r>
    <x v="0"/>
    <x v="3"/>
    <s v="F:\images\20210310\plaque 1/@01 Evian + 0.2% DMSO/D1_03.tif "/>
    <s v=" 1146.3844 "/>
    <s v=" 63.283 "/>
    <x v="1"/>
    <n v="72547"/>
    <m/>
    <m/>
    <m/>
  </r>
  <r>
    <x v="0"/>
    <x v="4"/>
    <s v="F:\images\20210310\plaque 1/@01 Evian + 0.2% DMSO/E1_01.tif "/>
    <s v=" 843.5659 "/>
    <s v=" 65.3333 "/>
    <x v="1"/>
    <n v="55113"/>
    <m/>
    <m/>
    <m/>
  </r>
  <r>
    <x v="0"/>
    <x v="4"/>
    <s v="F:\images\20210310\plaque 1/@01 Evian + 0.2% DMSO/E1_02.tif "/>
    <s v=" 2011.5802 "/>
    <s v=" 69.6774 "/>
    <x v="1"/>
    <n v="140162"/>
    <m/>
    <m/>
    <m/>
  </r>
  <r>
    <x v="0"/>
    <x v="4"/>
    <s v="F:\images\20210310\plaque 1/@01 Evian + 0.2% DMSO/E1_03.tif "/>
    <s v=" 259.5587 "/>
    <n v="63"/>
    <x v="1"/>
    <n v="16352"/>
    <m/>
    <m/>
    <m/>
  </r>
  <r>
    <x v="0"/>
    <x v="5"/>
    <s v="F:\images\20210310\plaque 1/@01 Evian + 0.2% DMSO/F1_01- exclu.tif"/>
    <m/>
    <m/>
    <x v="0"/>
    <m/>
    <m/>
    <m/>
    <m/>
  </r>
  <r>
    <x v="0"/>
    <x v="5"/>
    <s v="F:\images\20210310\plaque 1/@01 Evian + 0.2% DMSO/F1_02- exclu.tif"/>
    <m/>
    <m/>
    <x v="0"/>
    <m/>
    <m/>
    <m/>
    <m/>
  </r>
  <r>
    <x v="0"/>
    <x v="5"/>
    <s v="F:\images\20210310\plaque 1/@01 Evian + 0.2% DMSO/F1_03- exclu.tif"/>
    <m/>
    <m/>
    <x v="0"/>
    <m/>
    <m/>
    <m/>
    <m/>
  </r>
  <r>
    <x v="0"/>
    <x v="6"/>
    <s v="F:\images\20210310\plaque 1/@01 Evian + 0.2% DMSO/G1_01.tif "/>
    <s v=" 1405.9432 "/>
    <s v=" 64.5846 "/>
    <x v="1"/>
    <n v="90802"/>
    <m/>
    <m/>
    <m/>
  </r>
  <r>
    <x v="0"/>
    <x v="6"/>
    <s v="F:\images\20210310\plaque 1/@01 Evian + 0.2% DMSO/G1_02.tif "/>
    <s v=" 5861.7014 "/>
    <s v=" 73.2657 "/>
    <x v="1"/>
    <n v="429462"/>
    <m/>
    <m/>
    <m/>
  </r>
  <r>
    <x v="0"/>
    <x v="6"/>
    <s v="F:\images\20210310\plaque 1/@01 Evian + 0.2% DMSO/G1_03.tif "/>
    <s v=" 497.4876 "/>
    <s v=" 62.087 "/>
    <x v="1"/>
    <n v="30887"/>
    <m/>
    <m/>
    <m/>
  </r>
  <r>
    <x v="0"/>
    <x v="7"/>
    <s v="F:\images\20210310\plaque 1/@01 Evian + 0.2% DMSO/H1_01.tif "/>
    <s v=" 237.9288 "/>
    <s v=" 64.5455 "/>
    <x v="1"/>
    <n v="15357"/>
    <m/>
    <m/>
    <m/>
  </r>
  <r>
    <x v="0"/>
    <x v="7"/>
    <s v="F:\images\20210310\plaque 1/@01 Evian + 0.2% DMSO/H1_02.tif "/>
    <s v=" 4239.4593 "/>
    <s v=" 66.7041 "/>
    <x v="1"/>
    <n v="282789"/>
    <m/>
    <m/>
    <m/>
  </r>
  <r>
    <x v="0"/>
    <x v="7"/>
    <s v="F:\images\20210310\plaque 1/@01 Evian + 0.2% DMSO/H1_03.tif "/>
    <s v=" 2703.7368 "/>
    <s v=" 67.992 "/>
    <x v="1"/>
    <n v="183832"/>
    <m/>
    <m/>
    <m/>
  </r>
  <r>
    <x v="1"/>
    <x v="8"/>
    <s v=" "/>
    <m/>
    <m/>
    <x v="0"/>
    <m/>
    <m/>
    <m/>
    <m/>
  </r>
  <r>
    <x v="1"/>
    <x v="8"/>
    <s v="group "/>
    <s v=" "/>
    <s v=" mean of mean fluo "/>
    <x v="2"/>
    <s v=" mean of total fluo "/>
    <s v=" SD total fluo "/>
    <s v=" n fluorescent "/>
    <s v=" n total"/>
  </r>
  <r>
    <x v="0"/>
    <x v="9"/>
    <s v="F:\images\20210310\plaque 1/@01 Evian + 0.2% DMSO/ "/>
    <s v=" "/>
    <s v=" 67.9311 "/>
    <x v="3"/>
    <s v=" 205531.792 "/>
    <s v=" 210761.20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
    <x v="0"/>
    <s v="F:\images\20210310\plaque 1/@02 EE2 33.8/A2_01.tif "/>
    <s v=" 994.9752 "/>
    <s v=" 63.3043 "/>
    <x v="1"/>
    <n v="62986"/>
    <m/>
    <m/>
    <m/>
  </r>
  <r>
    <x v="2"/>
    <x v="0"/>
    <s v="F:\images\20210310\plaque 1/@02 EE2 33.8/A2_02.tif "/>
    <s v=" 281.1886 "/>
    <s v=" 65.3077 "/>
    <x v="1"/>
    <n v="18364"/>
    <m/>
    <m/>
    <m/>
  </r>
  <r>
    <x v="2"/>
    <x v="0"/>
    <s v="F:\images\20210310\plaque 1/@02 EE2 33.8/A2_03.tif "/>
    <s v=" 3785.2316 "/>
    <s v=" 68.32 "/>
    <x v="1"/>
    <n v="258607"/>
    <m/>
    <m/>
    <m/>
  </r>
  <r>
    <x v="2"/>
    <x v="1"/>
    <s v="F:\images\20210310\plaque 1/@02 EE2 33.8/B2_01.tif "/>
    <s v=" 475.8577 "/>
    <s v=" 62.1364 "/>
    <x v="1"/>
    <n v="29568"/>
    <m/>
    <m/>
    <m/>
  </r>
  <r>
    <x v="2"/>
    <x v="1"/>
    <s v="F:\images\20210310\plaque 1/@02 EE2 33.8/B2_02.tif "/>
    <s v=" 2465.808 "/>
    <s v=" 68.8947 "/>
    <x v="1"/>
    <n v="169881"/>
    <m/>
    <m/>
    <m/>
  </r>
  <r>
    <x v="2"/>
    <x v="1"/>
    <s v="F:\images\20210310\plaque 1/@02 EE2 33.8/B2_03.tif "/>
    <s v=" 4693.6871 "/>
    <s v=" 64.1705 "/>
    <x v="1"/>
    <n v="301196"/>
    <m/>
    <m/>
    <m/>
  </r>
  <r>
    <x v="2"/>
    <x v="2"/>
    <s v="F:\images\20210310\plaque 1/@02 EE2 33.8/C2_01.tif "/>
    <s v=" 302.8185 "/>
    <s v=" 63.7857 "/>
    <x v="1"/>
    <n v="19315"/>
    <m/>
    <m/>
    <m/>
  </r>
  <r>
    <x v="2"/>
    <x v="2"/>
    <s v="F:\images\20210310\plaque 1/@02 EE2 33.8/C2_02.tif "/>
    <s v=" 173.0392 "/>
    <s v=" 62.625 "/>
    <x v="1"/>
    <n v="10837"/>
    <m/>
    <m/>
    <m/>
  </r>
  <r>
    <x v="2"/>
    <x v="2"/>
    <s v="F:\images\20210310\plaque 1/@02 EE2 33.8/C2_03.tif "/>
    <s v=" 173.0392 "/>
    <s v=" 63.125 "/>
    <x v="1"/>
    <n v="10923"/>
    <m/>
    <m/>
    <m/>
  </r>
  <r>
    <x v="2"/>
    <x v="3"/>
    <s v="F:\images\20210310\plaque 1/@02 EE2 33.8/D2_01.tif "/>
    <s v=" 2898.4059 "/>
    <s v=" 68.4104 "/>
    <x v="1"/>
    <n v="198281"/>
    <m/>
    <m/>
    <m/>
  </r>
  <r>
    <x v="2"/>
    <x v="3"/>
    <s v="F:\images\20210310\plaque 1/@02 EE2 33.8/D2_02.tif "/>
    <s v=" 1470.8328 "/>
    <s v=" 65.3676 "/>
    <x v="1"/>
    <n v="96145"/>
    <m/>
    <m/>
    <m/>
  </r>
  <r>
    <x v="2"/>
    <x v="3"/>
    <s v="F:\images\20210310\plaque 1/@02 EE2 33.8/D2_03.tif "/>
    <s v=" 367.7082 "/>
    <s v=" 64.1176 "/>
    <x v="1"/>
    <n v="23577"/>
    <m/>
    <m/>
    <m/>
  </r>
  <r>
    <x v="2"/>
    <x v="4"/>
    <s v="F:\images\20210310\plaque 1/@02 EE2 33.8/E2_01.tif "/>
    <s v=" 5861.7014 "/>
    <s v=" 71.5092 "/>
    <x v="1"/>
    <n v="419166"/>
    <m/>
    <m/>
    <m/>
  </r>
  <r>
    <x v="2"/>
    <x v="4"/>
    <s v="F:\images\20210310\plaque 1/@02 EE2 33.8/E2_02.tif "/>
    <s v=" 3157.9646 "/>
    <s v=" 69.1438 "/>
    <x v="1"/>
    <n v="218354"/>
    <m/>
    <m/>
    <m/>
  </r>
  <r>
    <x v="2"/>
    <x v="4"/>
    <s v="F:\images\20210310\plaque 1/@02 EE2 33.8/E2_03.tif "/>
    <s v=" 3698.712 "/>
    <s v=" 69.5029 "/>
    <x v="1"/>
    <n v="257071"/>
    <m/>
    <m/>
    <m/>
  </r>
  <r>
    <x v="2"/>
    <x v="5"/>
    <s v="F:\images\20210310\plaque 1/@02 EE2 33.8/F2_01.tif "/>
    <s v=" 5818.4417 "/>
    <s v=" 70.4833 "/>
    <x v="1"/>
    <n v="410103"/>
    <m/>
    <m/>
    <m/>
  </r>
  <r>
    <x v="2"/>
    <x v="5"/>
    <s v="F:\images\20210310\plaque 1/@02 EE2 33.8/F2_02.tif "/>
    <s v=" 865.1958 "/>
    <s v=" 62.4 "/>
    <x v="1"/>
    <n v="53988"/>
    <m/>
    <m/>
    <m/>
  </r>
  <r>
    <x v="2"/>
    <x v="5"/>
    <s v="F:\images\20210310\plaque 1/@02 EE2 33.8/F2_03.tif "/>
    <s v=" 346.0783 "/>
    <s v=" 62.375 "/>
    <x v="1"/>
    <n v="21587"/>
    <m/>
    <m/>
    <m/>
  </r>
  <r>
    <x v="2"/>
    <x v="6"/>
    <s v="F:\images\20210310\plaque 1/@02 EE2 33.8/G2_01.tif "/>
    <s v=" 6402.4488 "/>
    <s v=" 74.9392 "/>
    <x v="1"/>
    <n v="479794"/>
    <m/>
    <m/>
    <m/>
  </r>
  <r>
    <x v="2"/>
    <x v="6"/>
    <s v="F:\images\20210310\plaque 1/@02 EE2 33.8/G2_02.tif "/>
    <s v=" 4974.8758 "/>
    <s v=" 70.8652 "/>
    <x v="1"/>
    <n v="352546"/>
    <m/>
    <m/>
    <m/>
  </r>
  <r>
    <x v="2"/>
    <x v="6"/>
    <s v="F:\images\20210310\plaque 1/@02 EE2 33.8/G2_03.tif "/>
    <s v=" 7224.3848 "/>
    <s v=" 75.5928 "/>
    <x v="1"/>
    <n v="546112"/>
    <m/>
    <m/>
    <m/>
  </r>
  <r>
    <x v="2"/>
    <x v="7"/>
    <s v="F:\images\20210310\plaque 1/@02 EE2 33.8/H2_01.tif "/>
    <s v=" 324.4484 "/>
    <s v=" 62.9333 "/>
    <x v="1"/>
    <n v="20419"/>
    <m/>
    <m/>
    <m/>
  </r>
  <r>
    <x v="2"/>
    <x v="7"/>
    <s v="F:\images\20210310\plaque 1/@02 EE2 33.8/H2_02.tif "/>
    <s v=" 2790.2564 "/>
    <s v=" 66.7597 "/>
    <x v="1"/>
    <n v="186277"/>
    <m/>
    <m/>
    <m/>
  </r>
  <r>
    <x v="2"/>
    <x v="7"/>
    <s v="F:\images\20210310\plaque 1/@02 EE2 33.8/H2_03.tif "/>
    <s v=" 3006.5554 "/>
    <s v=" 65.5755 "/>
    <x v="1"/>
    <n v="197156"/>
    <m/>
    <m/>
    <m/>
  </r>
  <r>
    <x v="1"/>
    <x v="8"/>
    <s v=" "/>
    <m/>
    <m/>
    <x v="0"/>
    <m/>
    <m/>
    <m/>
    <m/>
  </r>
  <r>
    <x v="1"/>
    <x v="8"/>
    <s v="group "/>
    <s v=" "/>
    <s v=" mean of mean fluo "/>
    <x v="2"/>
    <s v=" mean of total fluo "/>
    <s v=" SD total fluo "/>
    <s v=" n fluorescent "/>
    <s v=" n total"/>
  </r>
  <r>
    <x v="2"/>
    <x v="9"/>
    <s v="F:\images\20210310\plaque 1/@02 EE2 33.8/ "/>
    <s v=" "/>
    <s v=" 66.7352 "/>
    <x v="4"/>
    <s v=" 181760.542 "/>
    <s v=" 166318.115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3"/>
    <x v="0"/>
    <s v="F:\images\20210310\plaque 1/@03 EE2 50.6/A3_01.tif "/>
    <s v=" 1319.4236 "/>
    <s v=" 63.3934 "/>
    <x v="1"/>
    <n v="83643"/>
    <m/>
    <m/>
    <m/>
  </r>
  <r>
    <x v="3"/>
    <x v="0"/>
    <s v="F:\images\20210310\plaque 1/@03 EE2 50.6/A3_02.tif "/>
    <s v=" 2119.7297 "/>
    <s v=" 63.7041 "/>
    <x v="1"/>
    <n v="135035"/>
    <m/>
    <m/>
    <m/>
  </r>
  <r>
    <x v="3"/>
    <x v="0"/>
    <s v="F:\images\20210310\plaque 1/@03 EE2 50.6/A3_03- exclu.tif"/>
    <m/>
    <m/>
    <x v="0"/>
    <m/>
    <m/>
    <m/>
    <m/>
  </r>
  <r>
    <x v="3"/>
    <x v="1"/>
    <s v="F:\images\20210310\plaque 1/@03 EE2 50.6/B3_01- exclu.tif"/>
    <m/>
    <m/>
    <x v="0"/>
    <m/>
    <m/>
    <m/>
    <m/>
  </r>
  <r>
    <x v="3"/>
    <x v="1"/>
    <s v="F:\images\20210310\plaque 1/@03 EE2 50.6/B3_02.tif "/>
    <s v=" 6142.8901 "/>
    <s v=" 69.3768 "/>
    <x v="1"/>
    <n v="426174"/>
    <m/>
    <m/>
    <m/>
  </r>
  <r>
    <x v="3"/>
    <x v="1"/>
    <s v="F:\images\20210310\plaque 1/@03 EE2 50.6/B3_03.tif "/>
    <s v=" 3525.6728 "/>
    <s v=" 68.3497 "/>
    <x v="1"/>
    <n v="240979"/>
    <m/>
    <m/>
    <m/>
  </r>
  <r>
    <x v="3"/>
    <x v="2"/>
    <s v="F:\images\20210310\plaque 1/@03 EE2 50.6/C3_01.tif "/>
    <s v=" 1189.6442 "/>
    <s v=" 63.7455 "/>
    <x v="1"/>
    <n v="75834"/>
    <m/>
    <m/>
    <m/>
  </r>
  <r>
    <x v="3"/>
    <x v="2"/>
    <s v="F:\images\20210310\plaque 1/@03 EE2 50.6/C3_02.tif "/>
    <s v=" 1795.2813 "/>
    <s v=" 64.4699 "/>
    <x v="1"/>
    <n v="115742"/>
    <m/>
    <m/>
    <m/>
  </r>
  <r>
    <x v="3"/>
    <x v="2"/>
    <s v="F:\images\20210310\plaque 1/@03 EE2 50.6/C3_03.tif "/>
    <s v=" 2227.8791 "/>
    <s v=" 62.835 "/>
    <x v="1"/>
    <n v="139989"/>
    <m/>
    <m/>
    <m/>
  </r>
  <r>
    <x v="3"/>
    <x v="3"/>
    <s v="F:\images\20210310\plaque 1/@03 EE2 50.6/D3_01.tif "/>
    <s v=" 648.8968 "/>
    <s v=" 63.4 "/>
    <x v="1"/>
    <n v="41140"/>
    <m/>
    <m/>
    <m/>
  </r>
  <r>
    <x v="3"/>
    <x v="3"/>
    <s v="F:\images\20210310\plaque 1/@03 EE2 50.6/D3_02.tif "/>
    <s v=" 216.2989 "/>
    <s v=" 63.3 "/>
    <x v="1"/>
    <n v="13692"/>
    <m/>
    <m/>
    <m/>
  </r>
  <r>
    <x v="3"/>
    <x v="3"/>
    <s v="F:\images\20210310\plaque 1/@03 EE2 50.6/D3_03.tif "/>
    <s v=" 2465.808 "/>
    <s v=" 69.7368 "/>
    <x v="1"/>
    <n v="171958"/>
    <m/>
    <m/>
    <m/>
  </r>
  <r>
    <x v="3"/>
    <x v="4"/>
    <s v="F:\images\20210310\plaque 1/@03 EE2 50.6/E3_01.tif "/>
    <s v=" 7743.5023 "/>
    <s v=" 77.162 "/>
    <x v="1"/>
    <n v="597504"/>
    <m/>
    <m/>
    <m/>
  </r>
  <r>
    <x v="3"/>
    <x v="4"/>
    <s v="F:\images\20210310\plaque 1/@03 EE2 50.6/E3_02.tif "/>
    <s v=" 9214.3351 "/>
    <s v=" 85.1033 "/>
    <x v="1"/>
    <n v="784170"/>
    <m/>
    <m/>
    <m/>
  </r>
  <r>
    <x v="3"/>
    <x v="4"/>
    <s v="F:\images\20210310\plaque 1/@03 EE2 50.6/E3_03.tif "/>
    <s v=" 10144.4206 "/>
    <s v=" 76.4435 "/>
    <x v="1"/>
    <n v="775475"/>
    <m/>
    <m/>
    <m/>
  </r>
  <r>
    <x v="3"/>
    <x v="5"/>
    <s v="F:\images\20210310\plaque 1/@03 EE2 50.6/F3_01.tif "/>
    <s v=" 2379.2884 "/>
    <s v=" 67.3818 "/>
    <x v="1"/>
    <n v="160321"/>
    <m/>
    <m/>
    <m/>
  </r>
  <r>
    <x v="3"/>
    <x v="5"/>
    <s v="F:\images\20210310\plaque 1/@03 EE2 50.6/F3_02.tif "/>
    <s v=" 1059.8648 "/>
    <s v=" 64.8163 "/>
    <x v="1"/>
    <n v="68697"/>
    <m/>
    <m/>
    <m/>
  </r>
  <r>
    <x v="3"/>
    <x v="5"/>
    <s v="F:\images\20210310\plaque 1/@03 EE2 50.6/F3_03.tif "/>
    <s v=" 1232.904 "/>
    <s v=" 63.9474 "/>
    <x v="1"/>
    <n v="78841"/>
    <m/>
    <m/>
    <m/>
  </r>
  <r>
    <x v="3"/>
    <x v="6"/>
    <s v="F:\images\20210310\plaque 1/@03 EE2 50.6/G3_01.tif "/>
    <s v=" 7527.2033 "/>
    <s v=" 73.5172 "/>
    <x v="1"/>
    <n v="553379"/>
    <m/>
    <m/>
    <m/>
  </r>
  <r>
    <x v="3"/>
    <x v="6"/>
    <s v="F:\images\20210310\plaque 1/@03 EE2 50.6/G3_02.tif "/>
    <s v=" 3915.0109 "/>
    <s v=" 68.1823 "/>
    <x v="1"/>
    <n v="266935"/>
    <m/>
    <m/>
    <m/>
  </r>
  <r>
    <x v="3"/>
    <x v="6"/>
    <s v="F:\images\20210310\plaque 1/@03 EE2 50.6/G3_03.tif "/>
    <s v=" 6078.0004 "/>
    <s v=" 70.0249 "/>
    <x v="1"/>
    <n v="425611"/>
    <m/>
    <m/>
    <m/>
  </r>
  <r>
    <x v="3"/>
    <x v="7"/>
    <s v="F:\images\20210310\plaque 1/@03 EE2 50.6/H3_01.tif "/>
    <s v=" 2076.4699 "/>
    <s v=" 63.125 "/>
    <x v="1"/>
    <n v="131077"/>
    <m/>
    <m/>
    <m/>
  </r>
  <r>
    <x v="3"/>
    <x v="7"/>
    <s v="F:\images\20210310\plaque 1/@03 EE2 50.6/H3_02.tif "/>
    <s v=" 973.3453 "/>
    <s v=" 63.8444 "/>
    <x v="1"/>
    <n v="62143"/>
    <m/>
    <m/>
    <m/>
  </r>
  <r>
    <x v="3"/>
    <x v="7"/>
    <s v="F:\images\20210310\plaque 1/@03 EE2 50.6/H3_03.tif "/>
    <s v=" 1730.3916 "/>
    <s v=" 62.925 "/>
    <x v="1"/>
    <n v="108885"/>
    <m/>
    <m/>
    <m/>
  </r>
  <r>
    <x v="1"/>
    <x v="8"/>
    <s v=" "/>
    <m/>
    <m/>
    <x v="0"/>
    <m/>
    <m/>
    <m/>
    <m/>
  </r>
  <r>
    <x v="1"/>
    <x v="8"/>
    <s v="group "/>
    <s v=" "/>
    <s v=" mean of mean fluo "/>
    <x v="2"/>
    <s v=" mean of total fluo "/>
    <s v=" SD total fluo "/>
    <s v=" n fluorescent "/>
    <s v=" n total"/>
  </r>
  <r>
    <x v="3"/>
    <x v="9"/>
    <s v="F:\images\20210310\plaque 1/@03 EE2 50.6/ "/>
    <s v=" "/>
    <s v=" 67.8259 "/>
    <x v="5"/>
    <s v=" 253891.75 "/>
    <s v=" 243711.38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4"/>
    <x v="0"/>
    <s v="F:\images\20210310\plaque 1/@04 EE2 76/A4_01.tif "/>
    <s v=" 7938.1713 "/>
    <s v=" 63.9973 "/>
    <x v="1"/>
    <n v="508021"/>
    <m/>
    <m/>
    <m/>
  </r>
  <r>
    <x v="4"/>
    <x v="0"/>
    <s v="F:\images\20210310\plaque 1/@04 EE2 76/A4_02.tif "/>
    <s v=" 8003.061 "/>
    <s v=" 64.4703 "/>
    <x v="1"/>
    <n v="515960"/>
    <m/>
    <m/>
    <m/>
  </r>
  <r>
    <x v="4"/>
    <x v="0"/>
    <s v="F:\images\20210310\plaque 1/@04 EE2 76/A4_03.tif "/>
    <s v=" 8392.3991 "/>
    <s v=" 63.7268 "/>
    <x v="1"/>
    <n v="534821"/>
    <m/>
    <m/>
    <m/>
  </r>
  <r>
    <x v="4"/>
    <x v="1"/>
    <s v="F:\images\20210310\plaque 1/@04 EE2 76/B4_01.tif "/>
    <s v=" 5688.6623 "/>
    <s v=" 63.2471 "/>
    <x v="1"/>
    <n v="359792"/>
    <m/>
    <m/>
    <m/>
  </r>
  <r>
    <x v="4"/>
    <x v="1"/>
    <s v="F:\images\20210310\plaque 1/@04 EE2 76/B4_02.tif "/>
    <s v=" 9582.0433 "/>
    <s v=" 64.1964 "/>
    <x v="1"/>
    <n v="615133"/>
    <m/>
    <m/>
    <m/>
  </r>
  <r>
    <x v="4"/>
    <x v="1"/>
    <s v="F:\images\20210310\plaque 1/@04 EE2 76/B4_03.tif "/>
    <s v=" 2379.2884 "/>
    <s v=" 63.5364 "/>
    <x v="1"/>
    <n v="151171"/>
    <m/>
    <m/>
    <m/>
  </r>
  <r>
    <x v="4"/>
    <x v="2"/>
    <s v="F:\images\20210310\plaque 1/@04 EE2 76/C4_01.tif "/>
    <s v=" 5018.1356 "/>
    <s v=" 64.2543 "/>
    <x v="1"/>
    <n v="322437"/>
    <m/>
    <m/>
    <m/>
  </r>
  <r>
    <x v="4"/>
    <x v="2"/>
    <s v="F:\images\20210310\plaque 1/@04 EE2 76/C4_02.tif "/>
    <s v=" 4131.3099 "/>
    <s v=" 64.199 "/>
    <x v="1"/>
    <n v="265226"/>
    <m/>
    <m/>
    <m/>
  </r>
  <r>
    <x v="4"/>
    <x v="2"/>
    <s v="F:\images\20210310\plaque 1/@04 EE2 76/C4_03.tif "/>
    <s v=" 2162.9895 "/>
    <s v=" 62.96 "/>
    <x v="1"/>
    <n v="136182"/>
    <m/>
    <m/>
    <m/>
  </r>
  <r>
    <x v="4"/>
    <x v="3"/>
    <s v="F:\images\20210310\plaque 1/@04 EE2 76/D4_01.tif "/>
    <s v=" 15032.7768 "/>
    <s v=" 65.7367 "/>
    <x v="1"/>
    <n v="988205"/>
    <m/>
    <m/>
    <m/>
  </r>
  <r>
    <x v="4"/>
    <x v="3"/>
    <s v="F:\images\20210310\plaque 1/@04 EE2 76/D4_02.tif "/>
    <s v=" 15032.7768 "/>
    <s v=" 67.6791 "/>
    <x v="1"/>
    <n v="1017405"/>
    <m/>
    <m/>
    <m/>
  </r>
  <r>
    <x v="4"/>
    <x v="3"/>
    <s v="F:\images\20210310\plaque 1/@04 EE2 76/D4_03- exclu.tif"/>
    <m/>
    <m/>
    <x v="0"/>
    <m/>
    <m/>
    <m/>
    <m/>
  </r>
  <r>
    <x v="4"/>
    <x v="4"/>
    <s v="F:\images\20210310\plaque 1/@04 EE2 76/E4_01.tif "/>
    <s v=" 8046.3208 "/>
    <s v=" 75.5618 "/>
    <x v="1"/>
    <n v="607995"/>
    <m/>
    <m/>
    <m/>
  </r>
  <r>
    <x v="4"/>
    <x v="4"/>
    <s v="F:\images\20210310\plaque 1/@04 EE2 76/E4_02.tif "/>
    <s v=" 7613.7229 "/>
    <s v=" 69.4545 "/>
    <x v="1"/>
    <n v="528808"/>
    <m/>
    <m/>
    <m/>
  </r>
  <r>
    <x v="4"/>
    <x v="4"/>
    <s v="F:\images\20210310\plaque 1/@04 EE2 76/E4_03.tif "/>
    <s v=" 5840.0715 "/>
    <s v=" 68.5963 "/>
    <x v="1"/>
    <n v="400607"/>
    <m/>
    <m/>
    <m/>
  </r>
  <r>
    <x v="4"/>
    <x v="5"/>
    <s v="F:\images\20210310\plaque 1/@04 EE2 76/F4_01.tif "/>
    <s v=" 2054.84 "/>
    <s v=" 63.2632 "/>
    <x v="1"/>
    <n v="129996"/>
    <m/>
    <m/>
    <m/>
  </r>
  <r>
    <x v="4"/>
    <x v="5"/>
    <s v="F:\images\20210310\plaque 1/@04 EE2 76/F4_02.tif "/>
    <s v=" 1665.5019 "/>
    <s v=" 62.3506 "/>
    <x v="1"/>
    <n v="103845"/>
    <m/>
    <m/>
    <m/>
  </r>
  <r>
    <x v="4"/>
    <x v="5"/>
    <s v="F:\images\20210310\plaque 1/@04 EE2 76/F4_03.tif "/>
    <s v=" 1752.0215 "/>
    <s v=" 64.2469 "/>
    <x v="1"/>
    <n v="112562"/>
    <m/>
    <m/>
    <m/>
  </r>
  <r>
    <x v="4"/>
    <x v="6"/>
    <s v="F:\images\20210310\plaque 1/@04 EE2 76/G4_01.tif "/>
    <s v=" 778.6762 "/>
    <n v="62"/>
    <x v="1"/>
    <n v="48278"/>
    <m/>
    <m/>
    <m/>
  </r>
  <r>
    <x v="4"/>
    <x v="6"/>
    <s v="F:\images\20210310\plaque 1/@04 EE2 76/G4_02.tif "/>
    <s v=" 5904.9612 "/>
    <s v=" 74.2784 "/>
    <x v="1"/>
    <n v="438611"/>
    <m/>
    <m/>
    <m/>
  </r>
  <r>
    <x v="4"/>
    <x v="6"/>
    <s v="F:\images\20210310\plaque 1/@04 EE2 76/G4_03.tif "/>
    <s v=" 8024.6909 "/>
    <s v=" 71.752 "/>
    <x v="1"/>
    <n v="575788"/>
    <m/>
    <m/>
    <m/>
  </r>
  <r>
    <x v="4"/>
    <x v="7"/>
    <s v="F:\images\20210310\plaque 1/@04 EE2 76/H4_01.tif "/>
    <s v=" 10101.1608 "/>
    <s v=" 68.9893 "/>
    <x v="1"/>
    <n v="696872"/>
    <m/>
    <m/>
    <m/>
  </r>
  <r>
    <x v="4"/>
    <x v="7"/>
    <s v="F:\images\20210310\plaque 1/@04 EE2 76/H4_02.tif "/>
    <s v=" 5277.6943 "/>
    <s v=" 69.4631 "/>
    <x v="1"/>
    <n v="366605"/>
    <m/>
    <m/>
    <m/>
  </r>
  <r>
    <x v="4"/>
    <x v="7"/>
    <s v="F:\images\20210310\plaque 1/@04 EE2 76/H4_03.tif "/>
    <s v=" 4434.1284 "/>
    <s v=" 63.561 "/>
    <x v="1"/>
    <n v="281838"/>
    <m/>
    <m/>
    <m/>
  </r>
  <r>
    <x v="1"/>
    <x v="8"/>
    <s v=" "/>
    <m/>
    <m/>
    <x v="0"/>
    <m/>
    <m/>
    <m/>
    <m/>
  </r>
  <r>
    <x v="1"/>
    <x v="8"/>
    <s v="group "/>
    <s v=" "/>
    <s v=" mean of mean fluo "/>
    <x v="2"/>
    <s v=" mean of total fluo "/>
    <s v=" SD total fluo "/>
    <s v=" n fluorescent "/>
    <s v=" n total"/>
  </r>
  <r>
    <x v="4"/>
    <x v="9"/>
    <s v="F:\images\20210310\plaque 1/@04 EE2 76/ "/>
    <s v=" "/>
    <s v=" 66.1312 "/>
    <x v="6"/>
    <n v="439853"/>
    <s v=" 271959.12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5"/>
    <x v="0"/>
    <s v="F:\images\20210310\plaque 1/@05 EE2 114/A5_01.tif "/>
    <s v=" 31125.4184 "/>
    <s v=" 68.1703 "/>
    <x v="1"/>
    <n v="2121828"/>
    <m/>
    <m/>
    <m/>
  </r>
  <r>
    <x v="5"/>
    <x v="0"/>
    <s v="F:\images\20210310\plaque 1/@05 EE2 114/A5_02.tif "/>
    <s v=" 28378.4218 "/>
    <s v=" 67.4284 "/>
    <x v="1"/>
    <n v="1913510"/>
    <m/>
    <m/>
    <m/>
  </r>
  <r>
    <x v="5"/>
    <x v="0"/>
    <s v="F:\images\20210310\plaque 1/@05 EE2 114/A5_03- exclu.tif"/>
    <m/>
    <m/>
    <x v="0"/>
    <m/>
    <m/>
    <m/>
    <m/>
  </r>
  <r>
    <x v="5"/>
    <x v="1"/>
    <s v="F:\images\20210310\plaque 1/@05 EE2 114/B5_01.tif "/>
    <s v=" 18882.898 "/>
    <s v=" 65.0939 "/>
    <x v="1"/>
    <n v="1229162"/>
    <m/>
    <m/>
    <m/>
  </r>
  <r>
    <x v="5"/>
    <x v="1"/>
    <s v="F:\images\20210310\plaque 1/@05 EE2 114/B5_02.tif "/>
    <s v=" 18536.8197 "/>
    <s v=" 68.727 "/>
    <x v="1"/>
    <n v="1273979"/>
    <m/>
    <m/>
    <m/>
  </r>
  <r>
    <x v="5"/>
    <x v="1"/>
    <s v="F:\images\20210310\plaque 1/@05 EE2 114/B5_03.tif "/>
    <s v=" 14989.517 "/>
    <s v=" 65.4834 "/>
    <x v="1"/>
    <n v="981565"/>
    <m/>
    <m/>
    <m/>
  </r>
  <r>
    <x v="5"/>
    <x v="2"/>
    <s v="F:\images\20210310\plaque 1/@05 EE2 114/C5_01.tif "/>
    <s v=" 1946.6905 "/>
    <s v=" 63.3444 "/>
    <x v="1"/>
    <n v="123312"/>
    <m/>
    <m/>
    <m/>
  </r>
  <r>
    <x v="5"/>
    <x v="2"/>
    <s v="F:\images\20210310\plaque 1/@05 EE2 114/C5_02.tif "/>
    <s v=" 1362.6834 "/>
    <s v=" 63.1429 "/>
    <x v="1"/>
    <n v="86044"/>
    <m/>
    <m/>
    <m/>
  </r>
  <r>
    <x v="5"/>
    <x v="2"/>
    <s v="F:\images\20210310\plaque 1/@05 EE2 114/C5_03.tif "/>
    <s v=" 5169.5448 "/>
    <s v=" 69.3598 "/>
    <x v="1"/>
    <n v="358559"/>
    <m/>
    <m/>
    <m/>
  </r>
  <r>
    <x v="5"/>
    <x v="3"/>
    <s v="F:\images\20210310\plaque 1/@05 EE2 114/D5_01.tif "/>
    <s v=" 34737.6108 "/>
    <s v=" 68.7161 "/>
    <x v="1"/>
    <n v="2387032"/>
    <m/>
    <m/>
    <m/>
  </r>
  <r>
    <x v="5"/>
    <x v="3"/>
    <s v="F:\images\20210310\plaque 1/@05 EE2 114/D5_02.tif "/>
    <s v=" 27123.8879 "/>
    <s v=" 67.429 "/>
    <x v="1"/>
    <n v="1828937"/>
    <m/>
    <m/>
    <m/>
  </r>
  <r>
    <x v="5"/>
    <x v="3"/>
    <s v="F:\images\20210310\plaque 1/@05 EE2 114/D5_03.tif "/>
    <s v=" 33461.447 "/>
    <s v=" 68.9431 "/>
    <x v="1"/>
    <n v="2306936"/>
    <m/>
    <m/>
    <m/>
  </r>
  <r>
    <x v="5"/>
    <x v="4"/>
    <s v="F:\images\20210310\plaque 1/@05 EE2 114/E5_01.tif "/>
    <s v=" 27729.5249 "/>
    <s v=" 71.4813 "/>
    <x v="1"/>
    <n v="1982142"/>
    <m/>
    <m/>
    <m/>
  </r>
  <r>
    <x v="5"/>
    <x v="4"/>
    <s v="F:\images\20210310\plaque 1/@05 EE2 114/E5_02.tif "/>
    <s v=" 20851.2184 "/>
    <s v=" 67.1494 "/>
    <x v="1"/>
    <n v="1400146"/>
    <m/>
    <m/>
    <m/>
  </r>
  <r>
    <x v="5"/>
    <x v="4"/>
    <s v="F:\images\20210310\plaque 1/@05 EE2 114/E5_03.tif "/>
    <s v=" 18428.6702 "/>
    <s v=" 66.1549 "/>
    <x v="1"/>
    <n v="1219147"/>
    <m/>
    <m/>
    <m/>
  </r>
  <r>
    <x v="5"/>
    <x v="5"/>
    <s v="F:\images\20210310\plaque 1/@05 EE2 114/F5_01.tif "/>
    <s v=" 47045.0208 "/>
    <s v=" 69.9853 "/>
    <x v="1"/>
    <n v="3292459"/>
    <m/>
    <m/>
    <m/>
  </r>
  <r>
    <x v="5"/>
    <x v="5"/>
    <s v="F:\images\20210310\plaque 1/@05 EE2 114/F5_02- exclu.tif"/>
    <m/>
    <m/>
    <x v="0"/>
    <m/>
    <m/>
    <m/>
    <m/>
  </r>
  <r>
    <x v="5"/>
    <x v="5"/>
    <s v="F:\images\20210310\plaque 1/@05 EE2 114/F5_03- exclu.tif"/>
    <m/>
    <m/>
    <x v="0"/>
    <m/>
    <m/>
    <m/>
    <m/>
  </r>
  <r>
    <x v="5"/>
    <x v="6"/>
    <s v="F:\images\20210310\plaque 1/@05 EE2 114/G5_01- exclu.tif"/>
    <m/>
    <m/>
    <x v="0"/>
    <m/>
    <m/>
    <m/>
    <m/>
  </r>
  <r>
    <x v="5"/>
    <x v="6"/>
    <s v="F:\images\20210310\plaque 1/@05 EE2 114/G5_02.tif "/>
    <s v=" 18580.0795 "/>
    <s v=" 68.1641 "/>
    <x v="1"/>
    <n v="1266495"/>
    <m/>
    <m/>
    <m/>
  </r>
  <r>
    <x v="5"/>
    <x v="6"/>
    <s v="F:\images\20210310\plaque 1/@05 EE2 114/G5_03.tif "/>
    <s v=" 21348.706 "/>
    <s v=" 69.9291 "/>
    <x v="1"/>
    <n v="1492895"/>
    <m/>
    <m/>
    <m/>
  </r>
  <r>
    <x v="5"/>
    <x v="7"/>
    <s v="F:\images\20210310\plaque 1/@05 EE2 114/H5_01.tif "/>
    <s v=" 54507.3345 "/>
    <s v=" 71.923 "/>
    <x v="1"/>
    <n v="3920332"/>
    <m/>
    <m/>
    <m/>
  </r>
  <r>
    <x v="5"/>
    <x v="7"/>
    <s v="F:\images\20210310\plaque 1/@05 EE2 114/H5_02.tif "/>
    <s v=" 65495.3209 "/>
    <s v=" 72.7236 "/>
    <x v="1"/>
    <n v="4763054"/>
    <m/>
    <m/>
    <m/>
  </r>
  <r>
    <x v="5"/>
    <x v="7"/>
    <s v="F:\images\20210310\plaque 1/@05 EE2 114/H5_03.tif "/>
    <s v=" 59049.6123 "/>
    <s v=" 71.9103 "/>
    <x v="1"/>
    <n v="4246273"/>
    <m/>
    <m/>
    <m/>
  </r>
  <r>
    <x v="1"/>
    <x v="8"/>
    <s v=" "/>
    <m/>
    <m/>
    <x v="0"/>
    <m/>
    <m/>
    <m/>
    <m/>
  </r>
  <r>
    <x v="1"/>
    <x v="8"/>
    <s v="group "/>
    <s v=" "/>
    <s v=" mean of mean fluo "/>
    <x v="2"/>
    <s v=" mean of total fluo "/>
    <s v=" SD total fluo "/>
    <s v=" n fluorescent "/>
    <s v=" n total"/>
  </r>
  <r>
    <x v="5"/>
    <x v="9"/>
    <s v="F:\images\20210310\plaque 1/@05 EE2 114/ "/>
    <s v=" "/>
    <s v=" 68.1842 "/>
    <x v="7"/>
    <s v=" 1835885.92 "/>
    <n v="1248334"/>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6"/>
    <x v="0"/>
    <s v="F:\images\20210310\plaque 1/@06 EE2 170.9/A6_01.tif "/>
    <s v=" 61645.1997 "/>
    <s v=" 70.9575 "/>
    <x v="1"/>
    <n v="4374192"/>
    <m/>
    <m/>
    <m/>
  </r>
  <r>
    <x v="6"/>
    <x v="0"/>
    <s v="F:\images\20210310\plaque 1/@06 EE2 170.9/A6_02.tif "/>
    <s v=" 63375.5913 "/>
    <s v=" 72.7621 "/>
    <x v="1"/>
    <n v="4611342"/>
    <m/>
    <m/>
    <m/>
  </r>
  <r>
    <x v="6"/>
    <x v="0"/>
    <s v="F:\images\20210310\plaque 1/@06 EE2 170.9/A6_03.tif "/>
    <s v=" 59092.8721 "/>
    <s v=" 72.7028 "/>
    <x v="1"/>
    <n v="4296216"/>
    <m/>
    <m/>
    <m/>
  </r>
  <r>
    <x v="6"/>
    <x v="1"/>
    <s v="F:\images\20210310\plaque 1/@06 EE2 170.9/B6_01.tif "/>
    <s v=" 44557.5829 "/>
    <s v=" 70.4301 "/>
    <x v="1"/>
    <n v="3138195"/>
    <m/>
    <m/>
    <m/>
  </r>
  <r>
    <x v="6"/>
    <x v="1"/>
    <s v="F:\images\20210310\plaque 1/@06 EE2 170.9/B6_02.tif "/>
    <s v=" 46482.6436 "/>
    <s v=" 71.8218 "/>
    <x v="1"/>
    <n v="3338466"/>
    <m/>
    <m/>
    <m/>
  </r>
  <r>
    <x v="6"/>
    <x v="1"/>
    <s v="F:\images\20210310\plaque 1/@06 EE2 170.9/B6_03.tif "/>
    <s v=" 45574.188 "/>
    <s v=" 71.5434 "/>
    <x v="1"/>
    <n v="3260534"/>
    <m/>
    <m/>
    <m/>
  </r>
  <r>
    <x v="6"/>
    <x v="2"/>
    <s v="F:\images\20210310\plaque 1/@06 EE2 170.9/C6_01.tif "/>
    <s v=" 48494.2238 "/>
    <s v=" 77.2493 "/>
    <x v="1"/>
    <n v="3746146"/>
    <m/>
    <m/>
    <m/>
  </r>
  <r>
    <x v="6"/>
    <x v="2"/>
    <s v="F:\images\20210310\plaque 1/@06 EE2 170.9/C6_02.tif "/>
    <s v=" 46742.2023 "/>
    <s v=" 71.4961 "/>
    <x v="1"/>
    <n v="3341884"/>
    <m/>
    <m/>
    <m/>
  </r>
  <r>
    <x v="6"/>
    <x v="2"/>
    <s v="F:\images\20210310\plaque 1/@06 EE2 170.9/C6_03.tif "/>
    <s v=" 48624.0031 "/>
    <s v=" 73.2874 "/>
    <x v="1"/>
    <n v="3563525"/>
    <m/>
    <m/>
    <m/>
  </r>
  <r>
    <x v="6"/>
    <x v="3"/>
    <s v="F:\images\20210310\plaque 1/@06 EE2 170.9/D6_01.tif "/>
    <s v=" 56216.0961 "/>
    <s v=" 80.1389 "/>
    <x v="1"/>
    <n v="4505096"/>
    <m/>
    <m/>
    <m/>
  </r>
  <r>
    <x v="6"/>
    <x v="3"/>
    <s v="F:\images\20210310\plaque 1/@06 EE2 170.9/D6_02.tif "/>
    <s v=" 65646.7302 "/>
    <s v=" 82.6244 "/>
    <x v="1"/>
    <n v="5424021"/>
    <m/>
    <m/>
    <m/>
  </r>
  <r>
    <x v="6"/>
    <x v="3"/>
    <s v="F:\images\20210310\plaque 1/@06 EE2 170.9/D6_03.tif "/>
    <s v=" 62380.6161 "/>
    <s v=" 82.1553 "/>
    <x v="1"/>
    <n v="5124901"/>
    <m/>
    <m/>
    <m/>
  </r>
  <r>
    <x v="6"/>
    <x v="4"/>
    <s v="F:\images\20210310\plaque 1/@06 EE2 170.9/E6_01- exclu.tif"/>
    <m/>
    <m/>
    <x v="0"/>
    <m/>
    <m/>
    <m/>
    <m/>
  </r>
  <r>
    <x v="6"/>
    <x v="4"/>
    <s v="F:\images\20210310\plaque 1/@06 EE2 170.9/E6_02- exclu.tif"/>
    <m/>
    <m/>
    <x v="0"/>
    <m/>
    <m/>
    <m/>
    <m/>
  </r>
  <r>
    <x v="6"/>
    <x v="4"/>
    <s v="F:\images\20210310\plaque 1/@06 EE2 170.9/E6_03- exclu.tif"/>
    <m/>
    <m/>
    <x v="0"/>
    <m/>
    <m/>
    <m/>
    <m/>
  </r>
  <r>
    <x v="6"/>
    <x v="5"/>
    <s v="F:\images\20210310\plaque 1/@06 EE2 170.9/F6_01.tif "/>
    <s v=" 36576.1518 "/>
    <s v=" 75.4394 "/>
    <x v="1"/>
    <n v="2759282"/>
    <m/>
    <m/>
    <m/>
  </r>
  <r>
    <x v="6"/>
    <x v="5"/>
    <s v="F:\images\20210310\plaque 1/@06 EE2 170.9/F6_02- exclu.tif"/>
    <m/>
    <m/>
    <x v="0"/>
    <m/>
    <m/>
    <m/>
    <m/>
  </r>
  <r>
    <x v="6"/>
    <x v="5"/>
    <s v="F:\images\20210310\plaque 1/@06 EE2 170.9/F6_03.tif "/>
    <s v=" 34499.6819 "/>
    <s v=" 75.3129 "/>
    <x v="1"/>
    <n v="2598269"/>
    <m/>
    <m/>
    <m/>
  </r>
  <r>
    <x v="6"/>
    <x v="6"/>
    <s v="F:\images\20210310\plaque 1/@06 EE2 170.9/G6_01.tif "/>
    <s v=" 41183.3194 "/>
    <s v=" 69.9097 "/>
    <x v="1"/>
    <n v="2879112"/>
    <m/>
    <m/>
    <m/>
  </r>
  <r>
    <x v="6"/>
    <x v="6"/>
    <s v="F:\images\20210310\plaque 1/@06 EE2 170.9/G6_02.tif "/>
    <s v=" 39041.9598 "/>
    <s v=" 68.0765 "/>
    <x v="1"/>
    <n v="2657838"/>
    <m/>
    <m/>
    <m/>
  </r>
  <r>
    <x v="6"/>
    <x v="6"/>
    <s v="F:\images\20210310\plaque 1/@06 EE2 170.9/G6_03.tif "/>
    <s v=" 43238.1594 "/>
    <s v=" 69.094 "/>
    <x v="1"/>
    <n v="2987499"/>
    <m/>
    <m/>
    <m/>
  </r>
  <r>
    <x v="6"/>
    <x v="7"/>
    <s v="F:\images\20210310\plaque 1/@06 EE2 170.9/H6_01.tif "/>
    <s v=" 44124.985 "/>
    <s v=" 76.4417 "/>
    <x v="1"/>
    <n v="3372987"/>
    <m/>
    <m/>
    <m/>
  </r>
  <r>
    <x v="6"/>
    <x v="7"/>
    <s v="F:\images\20210310\plaque 1/@06 EE2 170.9/H6_02.tif "/>
    <s v=" 46201.4549 "/>
    <s v=" 72.221 "/>
    <x v="1"/>
    <n v="3336714"/>
    <m/>
    <m/>
    <m/>
  </r>
  <r>
    <x v="6"/>
    <x v="7"/>
    <s v="F:\images\20210310\plaque 1/@06 EE2 170.9/H6_03.tif "/>
    <s v=" 43735.6469 "/>
    <s v=" 70.8798 "/>
    <x v="1"/>
    <n v="3099975"/>
    <m/>
    <m/>
    <m/>
  </r>
  <r>
    <x v="1"/>
    <x v="8"/>
    <s v=" "/>
    <m/>
    <m/>
    <x v="0"/>
    <m/>
    <m/>
    <m/>
    <m/>
  </r>
  <r>
    <x v="1"/>
    <x v="8"/>
    <s v="group "/>
    <s v=" "/>
    <s v=" mean of mean fluo "/>
    <x v="2"/>
    <s v=" mean of total fluo "/>
    <s v=" SD total fluo "/>
    <s v=" n fluorescent "/>
    <s v=" n total"/>
  </r>
  <r>
    <x v="6"/>
    <x v="9"/>
    <s v="F:\images\20210310\plaque 1/@06 EE2 170.9/ "/>
    <s v=" "/>
    <s v=" 73.0691 "/>
    <x v="8"/>
    <s v=" 3197933.92 "/>
    <s v=" 1253648.01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7"/>
    <x v="0"/>
    <s v="F:\images\20210310\plaque 1/@07 EE2 488/A7_01.tif "/>
    <s v=" 90456.2193 "/>
    <s v=" 98.6958 "/>
    <x v="1"/>
    <n v="8927652"/>
    <m/>
    <m/>
    <m/>
  </r>
  <r>
    <x v="7"/>
    <x v="0"/>
    <s v="F:\images\20210310\plaque 1/@07 EE2 488/A7_02.tif "/>
    <s v=" 94847.0879 "/>
    <s v=" 95.7193 "/>
    <x v="1"/>
    <n v="9078694"/>
    <m/>
    <m/>
    <m/>
  </r>
  <r>
    <x v="7"/>
    <x v="0"/>
    <s v="F:\images\20210310\plaque 1/@07 EE2 488/A7_03.tif "/>
    <s v=" 82864.1263 "/>
    <s v=" 101.4051 "/>
    <x v="1"/>
    <n v="8402846"/>
    <m/>
    <m/>
    <m/>
  </r>
  <r>
    <x v="7"/>
    <x v="1"/>
    <s v="F:\images\20210310\plaque 1/@07 EE2 488/B7_01.tif "/>
    <s v=" 60152.737 "/>
    <s v=" 78.393 "/>
    <x v="1"/>
    <n v="4715555"/>
    <m/>
    <m/>
    <m/>
  </r>
  <r>
    <x v="7"/>
    <x v="1"/>
    <s v="F:\images\20210310\plaque 1/@07 EE2 488/B7_02.tif "/>
    <s v=" 54810.153 "/>
    <s v=" 78.3228 "/>
    <x v="1"/>
    <n v="4292885"/>
    <m/>
    <m/>
    <m/>
  </r>
  <r>
    <x v="7"/>
    <x v="1"/>
    <s v="F:\images\20210310\plaque 1/@07 EE2 488/B7_03.tif "/>
    <s v=" 59395.6907 "/>
    <s v=" 78.6406 "/>
    <x v="1"/>
    <n v="4670911"/>
    <m/>
    <m/>
    <m/>
  </r>
  <r>
    <x v="7"/>
    <x v="2"/>
    <s v="F:\images\20210310\plaque 1/@07 EE2 488/C7_01.tif "/>
    <s v=" 42416.2234 "/>
    <s v=" 97.1173 "/>
    <x v="1"/>
    <n v="4119349"/>
    <m/>
    <m/>
    <m/>
  </r>
  <r>
    <x v="7"/>
    <x v="2"/>
    <s v="F:\images\20210310\plaque 1/@07 EE2 488/C7_02- exclu.tif"/>
    <m/>
    <m/>
    <x v="0"/>
    <m/>
    <m/>
    <m/>
    <m/>
  </r>
  <r>
    <x v="7"/>
    <x v="2"/>
    <s v="F:\images\20210310\plaque 1/@07 EE2 488/C7_03.tif "/>
    <s v=" 44016.8356 "/>
    <s v=" 97.8668 "/>
    <x v="1"/>
    <n v="4307788"/>
    <m/>
    <m/>
    <m/>
  </r>
  <r>
    <x v="7"/>
    <x v="3"/>
    <s v="F:\images\20210310\plaque 1/@07 EE2 488/D7_01.tif "/>
    <s v=" 64759.9045 "/>
    <s v=" 93.9352 "/>
    <x v="1"/>
    <n v="6083235"/>
    <m/>
    <m/>
    <m/>
  </r>
  <r>
    <x v="7"/>
    <x v="3"/>
    <s v="F:\images\20210310\plaque 1/@07 EE2 488/D7_02- exclu.tif"/>
    <m/>
    <m/>
    <x v="0"/>
    <m/>
    <m/>
    <m/>
    <m/>
  </r>
  <r>
    <x v="7"/>
    <x v="3"/>
    <s v="F:\images\20210310\plaque 1/@07 EE2 488/D7_03.tif "/>
    <s v=" 67204.0826 "/>
    <s v=" 92.6714 "/>
    <x v="1"/>
    <n v="6227896"/>
    <m/>
    <m/>
    <m/>
  </r>
  <r>
    <x v="7"/>
    <x v="4"/>
    <s v="F:\images\20210310\plaque 1/@07 EE2 488/E7_01.tif "/>
    <s v=" 39517.8175 "/>
    <s v=" 93.3186 "/>
    <x v="1"/>
    <n v="3687746"/>
    <m/>
    <m/>
    <m/>
  </r>
  <r>
    <x v="7"/>
    <x v="4"/>
    <s v="F:\images\20210310\plaque 1/@07 EE2 488/E7_02.tif "/>
    <s v=" 40945.3905 "/>
    <s v=" 86.0866 "/>
    <x v="1"/>
    <n v="3524851"/>
    <m/>
    <m/>
    <m/>
  </r>
  <r>
    <x v="7"/>
    <x v="4"/>
    <s v="F:\images\20210310\plaque 1/@07 EE2 488/E7_03.tif "/>
    <s v=" 39150.1093 "/>
    <s v=" 86.1923 "/>
    <x v="1"/>
    <n v="3374437"/>
    <m/>
    <m/>
    <m/>
  </r>
  <r>
    <x v="7"/>
    <x v="5"/>
    <s v="F:\images\20210310\plaque 1/@07 EE2 488/F7_01.tif "/>
    <s v=" 64457.086 "/>
    <s v=" 96.9144 "/>
    <x v="1"/>
    <n v="6246822"/>
    <m/>
    <m/>
    <m/>
  </r>
  <r>
    <x v="7"/>
    <x v="5"/>
    <s v="F:\images\20210310\plaque 1/@07 EE2 488/F7_02.tif "/>
    <s v=" 69842.9298 "/>
    <s v=" 90.9508 "/>
    <x v="1"/>
    <n v="6352267"/>
    <m/>
    <m/>
    <m/>
  </r>
  <r>
    <x v="7"/>
    <x v="5"/>
    <s v="F:\images\20210310\plaque 1/@07 EE2 488/F7_03.tif "/>
    <s v=" 64348.9365 "/>
    <s v=" 89.283 "/>
    <x v="1"/>
    <n v="5745268"/>
    <m/>
    <m/>
    <m/>
  </r>
  <r>
    <x v="7"/>
    <x v="6"/>
    <s v="F:\images\20210310\plaque 1/@07 EE2 488/G7_01.tif "/>
    <s v=" 57405.7403 "/>
    <s v=" 92.7826 "/>
    <x v="1"/>
    <n v="5326253"/>
    <m/>
    <m/>
    <m/>
  </r>
  <r>
    <x v="7"/>
    <x v="6"/>
    <s v="F:\images\20210310\plaque 1/@07 EE2 488/G7_02.tif "/>
    <s v=" 55329.2705 "/>
    <s v=" 90.2858 "/>
    <x v="1"/>
    <n v="4995446"/>
    <m/>
    <m/>
    <m/>
  </r>
  <r>
    <x v="7"/>
    <x v="6"/>
    <s v="F:\images\20210310\plaque 1/@07 EE2 488/G7_03.tif "/>
    <s v=" 59590.3597 "/>
    <s v=" 94.6904 "/>
    <x v="1"/>
    <n v="5642634"/>
    <m/>
    <m/>
    <m/>
  </r>
  <r>
    <x v="7"/>
    <x v="7"/>
    <s v="F:\images\20210310\plaque 1/@07 EE2 488/H7_01.tif "/>
    <s v=" 68631.6557 "/>
    <s v=" 85.6309 "/>
    <x v="1"/>
    <n v="5876994"/>
    <m/>
    <m/>
    <m/>
  </r>
  <r>
    <x v="7"/>
    <x v="7"/>
    <s v="F:\images\20210310\plaque 1/@07 EE2 488/H7_02.tif "/>
    <s v=" 71530.0615 "/>
    <s v=" 83.886 "/>
    <x v="1"/>
    <n v="6000371"/>
    <m/>
    <m/>
    <m/>
  </r>
  <r>
    <x v="7"/>
    <x v="7"/>
    <s v="F:\images\20210310\plaque 1/@07 EE2 488/H7_03.tif "/>
    <s v=" 70859.5348 "/>
    <s v=" 87.301 "/>
    <x v="1"/>
    <n v="6186107"/>
    <m/>
    <m/>
    <m/>
  </r>
  <r>
    <x v="1"/>
    <x v="8"/>
    <s v=" "/>
    <m/>
    <m/>
    <x v="0"/>
    <m/>
    <m/>
    <m/>
    <m/>
  </r>
  <r>
    <x v="1"/>
    <x v="8"/>
    <s v="group "/>
    <s v=" "/>
    <s v=" mean of mean fluo "/>
    <x v="2"/>
    <s v=" mean of total fluo "/>
    <s v=" SD total fluo "/>
    <s v=" n fluorescent "/>
    <s v=" n total"/>
  </r>
  <r>
    <x v="7"/>
    <x v="9"/>
    <s v="F:\images\20210310\plaque 1/@07 EE2 488/ "/>
    <s v=" "/>
    <s v=" 89.6716 "/>
    <x v="9"/>
    <s v=" 5361848.17 "/>
    <s v=" 1911822.8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8"/>
    <x v="0"/>
    <s v="F:\images\20210310\plaque 1/@08 Amantadine 0.001 mg_L/A8_01.tif "/>
    <s v=" 7051.3456 "/>
    <s v=" 68.4755 "/>
    <x v="1"/>
    <n v="482844"/>
    <m/>
    <m/>
    <m/>
  </r>
  <r>
    <x v="8"/>
    <x v="0"/>
    <s v="F:\images\20210310\plaque 1/@08 Amantadine 0.001 mg_L/A8_02- exclu.tif"/>
    <m/>
    <m/>
    <x v="0"/>
    <m/>
    <m/>
    <m/>
    <m/>
  </r>
  <r>
    <x v="8"/>
    <x v="0"/>
    <s v="F:\images\20210310\plaque 1/@08 Amantadine 0.001 mg_L/A8_03.tif "/>
    <s v=" 4239.4593 "/>
    <s v=" 70.7704 "/>
    <x v="1"/>
    <n v="300028"/>
    <m/>
    <m/>
    <m/>
  </r>
  <r>
    <x v="8"/>
    <x v="1"/>
    <s v="F:\images\20210310\plaque 1/@08 Amantadine 0.001 mg_L/B8_01.tif "/>
    <s v=" 757.0463 "/>
    <s v=" 63.1714 "/>
    <x v="1"/>
    <n v="47824"/>
    <m/>
    <m/>
    <m/>
  </r>
  <r>
    <x v="8"/>
    <x v="1"/>
    <s v="F:\images\20210310\plaque 1/@08 Amantadine 0.001 mg_L/B8_02.tif "/>
    <s v=" 3201.2244 "/>
    <s v=" 69.3514 "/>
    <x v="1"/>
    <n v="222009"/>
    <m/>
    <m/>
    <m/>
  </r>
  <r>
    <x v="8"/>
    <x v="1"/>
    <s v="F:\images\20210310\plaque 1/@08 Amantadine 0.001 mg_L/B8_03.tif "/>
    <s v=" 4434.1284 "/>
    <s v=" 70.5902 "/>
    <x v="1"/>
    <n v="313006"/>
    <m/>
    <m/>
    <m/>
  </r>
  <r>
    <x v="8"/>
    <x v="2"/>
    <s v="F:\images\20210310\plaque 1/@08 Amantadine 0.001 mg_L/C8_01.tif "/>
    <s v=" 6034.7406 "/>
    <s v=" 68.2903 "/>
    <x v="1"/>
    <n v="412114"/>
    <m/>
    <m/>
    <m/>
  </r>
  <r>
    <x v="8"/>
    <x v="2"/>
    <s v="F:\images\20210310\plaque 1/@08 Amantadine 0.001 mg_L/C8_02.tif "/>
    <s v=" 9344.1145 "/>
    <s v=" 79.8171 "/>
    <x v="1"/>
    <n v="745820"/>
    <m/>
    <m/>
    <m/>
  </r>
  <r>
    <x v="8"/>
    <x v="2"/>
    <s v="F:\images\20210310\plaque 1/@08 Amantadine 0.001 mg_L/C8_03.tif "/>
    <s v=" 7440.6838 "/>
    <s v=" 78.1424 "/>
    <x v="1"/>
    <n v="581433"/>
    <m/>
    <m/>
    <m/>
  </r>
  <r>
    <x v="8"/>
    <x v="3"/>
    <s v="F:\images\20210310\plaque 1/@08 Amantadine 0.001 mg_L/D8_01.tif "/>
    <s v=" 1254.5339 "/>
    <s v=" 65.0862 "/>
    <x v="1"/>
    <n v="81653"/>
    <m/>
    <m/>
    <m/>
  </r>
  <r>
    <x v="8"/>
    <x v="3"/>
    <s v="F:\images\20210310\plaque 1/@08 Amantadine 0.001 mg_L/D8_02.tif "/>
    <s v=" 540.7474 "/>
    <s v=" 63.72 "/>
    <x v="1"/>
    <n v="34456"/>
    <m/>
    <m/>
    <m/>
  </r>
  <r>
    <x v="8"/>
    <x v="3"/>
    <s v="F:\images\20210310\plaque 1/@08 Amantadine 0.001 mg_L/D8_03.tif "/>
    <s v=" 3525.6728 "/>
    <s v=" 70.6994 "/>
    <x v="1"/>
    <n v="249263"/>
    <m/>
    <m/>
    <m/>
  </r>
  <r>
    <x v="8"/>
    <x v="4"/>
    <s v="F:\images\20210310\plaque 1/@08 Amantadine 0.001 mg_L/E8_01.tif "/>
    <s v=" 4780.2067 "/>
    <s v=" 70.2308 "/>
    <x v="1"/>
    <n v="335718"/>
    <m/>
    <m/>
    <m/>
  </r>
  <r>
    <x v="8"/>
    <x v="4"/>
    <s v="F:\images\20210310\plaque 1/@08 Amantadine 0.001 mg_L/E8_02.tif "/>
    <s v=" 1968.3204 "/>
    <s v=" 66.1538 "/>
    <x v="1"/>
    <n v="130212"/>
    <m/>
    <m/>
    <m/>
  </r>
  <r>
    <x v="8"/>
    <x v="4"/>
    <s v="F:\images\20210310\plaque 1/@08 Amantadine 0.001 mg_L/E8_03.tif "/>
    <s v=" 3806.8615 "/>
    <s v=" 70.9375 "/>
    <x v="1"/>
    <n v="270049"/>
    <m/>
    <m/>
    <m/>
  </r>
  <r>
    <x v="8"/>
    <x v="5"/>
    <s v="F:\images\20210310\plaque 1/@08 Amantadine 0.001 mg_L/F8_01.tif "/>
    <s v=" 151.4093 "/>
    <s v=" 63.2857 "/>
    <x v="1"/>
    <n v="9582"/>
    <m/>
    <m/>
    <m/>
  </r>
  <r>
    <x v="8"/>
    <x v="5"/>
    <s v="F:\images\20210310\plaque 1/@08 Amantadine 0.001 mg_L/F8_02.tif "/>
    <s v=" 8197.7301 "/>
    <s v=" 76.9815 "/>
    <x v="1"/>
    <n v="631074"/>
    <m/>
    <m/>
    <m/>
  </r>
  <r>
    <x v="8"/>
    <x v="5"/>
    <s v="F:\images\20210310\plaque 1/@08 Amantadine 0.001 mg_L/F8_03.tif "/>
    <s v=" 8089.5806 "/>
    <s v=" 75.3663 "/>
    <x v="1"/>
    <n v="609682"/>
    <m/>
    <m/>
    <m/>
  </r>
  <r>
    <x v="8"/>
    <x v="6"/>
    <s v="F:\images\20210310\plaque 1/@08 Amantadine 0.001 mg_L/G8_01.tif "/>
    <s v=" 9214.3351 "/>
    <s v=" 72.0235 "/>
    <x v="1"/>
    <n v="663648"/>
    <m/>
    <m/>
    <m/>
  </r>
  <r>
    <x v="8"/>
    <x v="6"/>
    <s v="F:\images\20210310\plaque 1/@08 Amantadine 0.001 mg_L/G8_02.tif "/>
    <s v=" 6964.8261 "/>
    <s v=" 70.764 "/>
    <x v="1"/>
    <n v="492859"/>
    <m/>
    <m/>
    <m/>
  </r>
  <r>
    <x v="8"/>
    <x v="6"/>
    <s v="F:\images\20210310\plaque 1/@08 Amantadine 0.001 mg_L/G8_03.tif "/>
    <s v=" 6294.2993 "/>
    <s v=" 70.0893 "/>
    <x v="1"/>
    <n v="441163"/>
    <m/>
    <m/>
    <m/>
  </r>
  <r>
    <x v="8"/>
    <x v="7"/>
    <s v="F:\images\20210310\plaque 1/@08 Amantadine 0.001 mg_L/H8_01.tif "/>
    <s v=" 6597.1179 "/>
    <s v=" 69.8033 "/>
    <x v="1"/>
    <n v="460500"/>
    <m/>
    <m/>
    <m/>
  </r>
  <r>
    <x v="8"/>
    <x v="7"/>
    <s v="F:\images\20210310\plaque 1/@08 Amantadine 0.001 mg_L/H8_02.tif "/>
    <s v=" 800.3061 "/>
    <s v=" 64.4595 "/>
    <x v="1"/>
    <n v="51587"/>
    <m/>
    <m/>
    <m/>
  </r>
  <r>
    <x v="8"/>
    <x v="7"/>
    <s v="F:\images\20210310\plaque 1/@08 Amantadine 0.001 mg_L/H8_03.tif "/>
    <s v=" 6510.5983 "/>
    <s v=" 67.0399 "/>
    <x v="1"/>
    <n v="436470"/>
    <m/>
    <m/>
    <m/>
  </r>
  <r>
    <x v="1"/>
    <x v="8"/>
    <s v=" "/>
    <m/>
    <m/>
    <x v="0"/>
    <m/>
    <m/>
    <m/>
    <m/>
  </r>
  <r>
    <x v="1"/>
    <x v="8"/>
    <s v="group "/>
    <s v=" "/>
    <s v=" mean of mean fluo "/>
    <x v="2"/>
    <s v=" mean of total fluo "/>
    <s v=" SD total fluo "/>
    <s v=" n fluorescent "/>
    <s v=" n total"/>
  </r>
  <r>
    <x v="8"/>
    <x v="9"/>
    <s v="F:\images\20210310\plaque 1/@08 Amantadine 0.001 mg_L/ "/>
    <s v=" "/>
    <s v=" 69.4919 "/>
    <x v="10"/>
    <s v=" 333965.5 "/>
    <s v=" 227083.0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9"/>
    <x v="0"/>
    <s v="F:\images\20210310\plaque 1/@09 Amantadine 0.01 mg_L/A9_01.tif "/>
    <s v=" 129.7794 "/>
    <s v=" 63.6667 "/>
    <x v="1"/>
    <n v="8263"/>
    <m/>
    <m/>
    <m/>
  </r>
  <r>
    <x v="9"/>
    <x v="0"/>
    <s v="F:\images\20210310\plaque 1/@09 Amantadine 0.01 mg_L/A9_02.tif "/>
    <s v=" 519.1175 "/>
    <s v=" 63.4167 "/>
    <x v="1"/>
    <n v="32921"/>
    <m/>
    <m/>
    <m/>
  </r>
  <r>
    <x v="9"/>
    <x v="0"/>
    <s v="F:\images\20210310\plaque 1/@09 Amantadine 0.01 mg_L/A9_03.tif "/>
    <s v=" 454.2278 "/>
    <n v="62"/>
    <x v="1"/>
    <n v="28162"/>
    <m/>
    <m/>
    <m/>
  </r>
  <r>
    <x v="9"/>
    <x v="1"/>
    <s v="F:\images\20210310\plaque 1/@09 Amantadine 0.01 mg_L/B9_01.tif "/>
    <s v=" 4217.8295 "/>
    <s v=" 69.0256 "/>
    <x v="1"/>
    <n v="291138"/>
    <m/>
    <m/>
    <m/>
  </r>
  <r>
    <x v="9"/>
    <x v="1"/>
    <s v="F:\images\20210310\plaque 1/@09 Amantadine 0.01 mg_L/B9_02.tif "/>
    <s v=" 2184.6194 "/>
    <s v=" 66.8416 "/>
    <x v="1"/>
    <n v="146023"/>
    <m/>
    <m/>
    <m/>
  </r>
  <r>
    <x v="9"/>
    <x v="1"/>
    <s v="F:\images\20210310\plaque 1/@09 Amantadine 0.01 mg_L/B9_03.tif "/>
    <s v=" 757.0463 "/>
    <s v=" 63.0857 "/>
    <x v="1"/>
    <n v="47759"/>
    <m/>
    <m/>
    <m/>
  </r>
  <r>
    <x v="9"/>
    <x v="2"/>
    <s v="F:\images\20210310\plaque 1/@09 Amantadine 0.01 mg_L/C9_01.tif "/>
    <s v=" 1622.2421 "/>
    <s v=" 62.8667 "/>
    <x v="1"/>
    <n v="101985"/>
    <m/>
    <m/>
    <m/>
  </r>
  <r>
    <x v="9"/>
    <x v="2"/>
    <s v="F:\images\20210310\plaque 1/@09 Amantadine 0.01 mg_L/C9_02- exclu.tif"/>
    <m/>
    <m/>
    <x v="0"/>
    <m/>
    <m/>
    <m/>
    <m/>
  </r>
  <r>
    <x v="9"/>
    <x v="2"/>
    <s v="F:\images\20210310\plaque 1/@09 Amantadine 0.01 mg_L/C9_03.tif "/>
    <s v=" 1362.6834 "/>
    <s v=" 63.5238 "/>
    <x v="1"/>
    <n v="86563"/>
    <m/>
    <m/>
    <m/>
  </r>
  <r>
    <x v="9"/>
    <x v="3"/>
    <s v="F:\images\20210310\plaque 1/@09 Amantadine 0.01 mg_L/D9_01.tif "/>
    <s v=" 5277.6943 "/>
    <s v=" 69.0697 "/>
    <x v="1"/>
    <n v="364529"/>
    <m/>
    <m/>
    <m/>
  </r>
  <r>
    <x v="9"/>
    <x v="3"/>
    <s v="F:\images\20210310\plaque 1/@09 Amantadine 0.01 mg_L/D9_02.tif "/>
    <s v=" 4369.2387 "/>
    <s v=" 71.9455 "/>
    <x v="1"/>
    <n v="314347"/>
    <m/>
    <m/>
    <m/>
  </r>
  <r>
    <x v="9"/>
    <x v="3"/>
    <s v="F:\images\20210310\plaque 1/@09 Amantadine 0.01 mg_L/D9_03.tif "/>
    <s v=" 3915.0109 "/>
    <s v=" 69.2486 "/>
    <x v="1"/>
    <n v="271109"/>
    <m/>
    <m/>
    <m/>
  </r>
  <r>
    <x v="9"/>
    <x v="4"/>
    <s v="F:\images\20210310\plaque 1/@09 Amantadine 0.01 mg_L/E9_01.tif "/>
    <s v=" 497.4876 "/>
    <s v=" 62.6957 "/>
    <x v="1"/>
    <n v="31190"/>
    <m/>
    <m/>
    <m/>
  </r>
  <r>
    <x v="9"/>
    <x v="4"/>
    <s v="F:\images\20210310\plaque 1/@09 Amantadine 0.01 mg_L/E9_02.tif "/>
    <s v=" 389.3381 "/>
    <s v=" 62.9444 "/>
    <x v="1"/>
    <n v="24507"/>
    <m/>
    <m/>
    <m/>
  </r>
  <r>
    <x v="9"/>
    <x v="4"/>
    <s v="F:\images\20210310\plaque 1/@09 Amantadine 0.01 mg_L/E9_03.tif "/>
    <s v=" 151.4093 "/>
    <s v=" 62.2857 "/>
    <x v="1"/>
    <n v="9431"/>
    <m/>
    <m/>
    <m/>
  </r>
  <r>
    <x v="9"/>
    <x v="5"/>
    <s v="F:\images\20210310\plaque 1/@09 Amantadine 0.01 mg_L/F9_01.tif "/>
    <s v=" 540.7474 "/>
    <s v=" 63.44 "/>
    <x v="1"/>
    <n v="34305"/>
    <m/>
    <m/>
    <m/>
  </r>
  <r>
    <x v="9"/>
    <x v="5"/>
    <s v="F:\images\20210310\plaque 1/@09 Amantadine 0.01 mg_L/F9_02.tif "/>
    <s v=" 302.8185 "/>
    <n v="64"/>
    <x v="1"/>
    <n v="19380"/>
    <m/>
    <m/>
    <m/>
  </r>
  <r>
    <x v="9"/>
    <x v="5"/>
    <s v="F:\images\20210310\plaque 1/@09 Amantadine 0.01 mg_L/F9_03.tif "/>
    <s v=" 2119.7297 "/>
    <s v=" 66.7857 "/>
    <x v="1"/>
    <n v="141568"/>
    <m/>
    <m/>
    <m/>
  </r>
  <r>
    <x v="9"/>
    <x v="6"/>
    <s v="F:\images\20210310\plaque 1/@09 Amantadine 0.01 mg_L/G9_01.tif "/>
    <s v=" 821.936 "/>
    <s v=" 62.4737 "/>
    <x v="1"/>
    <n v="51349"/>
    <m/>
    <m/>
    <m/>
  </r>
  <r>
    <x v="9"/>
    <x v="6"/>
    <s v="F:\images\20210310\plaque 1/@09 Amantadine 0.01 mg_L/G9_02.tif "/>
    <s v=" 973.3453 "/>
    <s v=" 68.3556 "/>
    <x v="1"/>
    <n v="66534"/>
    <m/>
    <m/>
    <m/>
  </r>
  <r>
    <x v="9"/>
    <x v="6"/>
    <s v="F:\images\20210310\plaque 1/@09 Amantadine 0.01 mg_L/G9_03.tif "/>
    <s v=" 389.3381 "/>
    <s v=" 62.6667 "/>
    <x v="1"/>
    <n v="24399"/>
    <m/>
    <m/>
    <m/>
  </r>
  <r>
    <x v="9"/>
    <x v="7"/>
    <s v="F:\images\20210310\plaque 1/@09 Amantadine 0.01 mg_L/H9_01.tif "/>
    <s v=" 3028.1852 "/>
    <s v=" 67.5 "/>
    <x v="1"/>
    <n v="204403"/>
    <m/>
    <m/>
    <m/>
  </r>
  <r>
    <x v="9"/>
    <x v="7"/>
    <s v="F:\images\20210310\plaque 1/@09 Amantadine 0.01 mg_L/H9_02.tif "/>
    <s v=" 5623.7726 "/>
    <s v=" 70.9231 "/>
    <x v="1"/>
    <n v="398855"/>
    <m/>
    <m/>
    <m/>
  </r>
  <r>
    <x v="9"/>
    <x v="7"/>
    <s v="F:\images\20210310\plaque 1/@09 Amantadine 0.01 mg_L/H9_03.tif "/>
    <s v=" 5234.4345 "/>
    <s v=" 71.7769 "/>
    <x v="1"/>
    <n v="375711"/>
    <m/>
    <m/>
    <m/>
  </r>
  <r>
    <x v="1"/>
    <x v="8"/>
    <s v=" "/>
    <m/>
    <m/>
    <x v="0"/>
    <m/>
    <m/>
    <m/>
    <m/>
  </r>
  <r>
    <x v="1"/>
    <x v="8"/>
    <s v="group "/>
    <s v=" "/>
    <s v=" mean of mean fluo "/>
    <x v="2"/>
    <s v=" mean of total fluo "/>
    <s v=" SD total fluo "/>
    <s v=" n fluorescent "/>
    <s v=" n total"/>
  </r>
  <r>
    <x v="9"/>
    <x v="9"/>
    <s v="F:\images\20210310\plaque 1/@09 Amantadine 0.01 mg_L/ "/>
    <s v=" "/>
    <s v=" 65.576 "/>
    <x v="11"/>
    <s v=" 128500.542 "/>
    <s v=" 133536.179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0"/>
    <x v="0"/>
    <s v="F:\images\20210310\plaque 1/@10 Amantadine 0.1 mg_L/A10_01.tif "/>
    <s v=" 3028.1852 "/>
    <s v=" 63.4929 "/>
    <x v="1"/>
    <n v="192268"/>
    <m/>
    <m/>
    <m/>
  </r>
  <r>
    <x v="10"/>
    <x v="0"/>
    <s v="F:\images\20210310\plaque 1/@10 Amantadine 0.1 mg_L/A10_02.tif "/>
    <s v=" 3201.2244 "/>
    <s v=" 64.5878 "/>
    <x v="1"/>
    <n v="206760"/>
    <m/>
    <m/>
    <m/>
  </r>
  <r>
    <x v="10"/>
    <x v="0"/>
    <s v="F:\images\20210310\plaque 1/@10 Amantadine 0.1 mg_L/A10_03.tif "/>
    <s v=" 2746.9966 "/>
    <s v=" 64.0787 "/>
    <x v="1"/>
    <n v="176024"/>
    <m/>
    <m/>
    <m/>
  </r>
  <r>
    <x v="10"/>
    <x v="1"/>
    <s v="F:\images\20210310\plaque 1/@10 Amantadine 0.1 mg_L/B10_01.tif "/>
    <s v=" 5320.9541 "/>
    <s v=" 67.7114 "/>
    <x v="1"/>
    <n v="360289"/>
    <m/>
    <m/>
    <m/>
  </r>
  <r>
    <x v="10"/>
    <x v="1"/>
    <s v="F:\images\20210310\plaque 1/@10 Amantadine 0.1 mg_L/B10_02.tif "/>
    <s v=" 5147.9149 "/>
    <s v=" 65.4286 "/>
    <x v="1"/>
    <n v="336821"/>
    <m/>
    <m/>
    <m/>
  </r>
  <r>
    <x v="10"/>
    <x v="1"/>
    <s v="F:\images\20210310\plaque 1/@10 Amantadine 0.1 mg_L/B10_03.tif "/>
    <s v=" 4585.5377 "/>
    <s v=" 68.0047 "/>
    <x v="1"/>
    <n v="311838"/>
    <m/>
    <m/>
    <m/>
  </r>
  <r>
    <x v="10"/>
    <x v="2"/>
    <s v="F:\images\20210310\plaque 1/@10 Amantadine 0.1 mg_L/C10_01.tif "/>
    <s v=" 4282.7191 "/>
    <s v=" 71.2828 "/>
    <x v="1"/>
    <n v="305284"/>
    <m/>
    <m/>
    <m/>
  </r>
  <r>
    <x v="10"/>
    <x v="2"/>
    <s v="F:\images\20210310\plaque 1/@10 Amantadine 0.1 mg_L/C10_02.tif "/>
    <s v=" 324.4484 "/>
    <s v=" 63.3333 "/>
    <x v="1"/>
    <n v="20548"/>
    <m/>
    <m/>
    <m/>
  </r>
  <r>
    <x v="10"/>
    <x v="2"/>
    <s v="F:\images\20210310\plaque 1/@10 Amantadine 0.1 mg_L/C10_03.tif "/>
    <s v=" 432.5979 "/>
    <s v=" 63.1 "/>
    <x v="1"/>
    <n v="27297"/>
    <m/>
    <m/>
    <m/>
  </r>
  <r>
    <x v="10"/>
    <x v="3"/>
    <s v="F:\images\20210310\plaque 1/@10 Amantadine 0.1 mg_L/D10_01.tif "/>
    <s v=" 6878.3065 "/>
    <s v=" 67.4308 "/>
    <x v="1"/>
    <n v="463810"/>
    <m/>
    <m/>
    <m/>
  </r>
  <r>
    <x v="10"/>
    <x v="3"/>
    <s v="F:\images\20210310\plaque 1/@10 Amantadine 0.1 mg_L/D10_02.tif "/>
    <s v=" 3374.2636 "/>
    <s v=" 68.6282 "/>
    <x v="1"/>
    <n v="231570"/>
    <m/>
    <m/>
    <m/>
  </r>
  <r>
    <x v="10"/>
    <x v="3"/>
    <s v="F:\images\20210310\plaque 1/@10 Amantadine 0.1 mg_L/D10_03.tif "/>
    <s v=" 778.6762 "/>
    <s v=" 62.5833 "/>
    <x v="1"/>
    <n v="48732"/>
    <m/>
    <m/>
    <m/>
  </r>
  <r>
    <x v="10"/>
    <x v="4"/>
    <s v="F:\images\20210310\plaque 1/@10 Amantadine 0.1 mg_L/E10_01.tif "/>
    <s v=" 281.1886 "/>
    <s v=" 63.6154 "/>
    <x v="1"/>
    <n v="17888"/>
    <m/>
    <m/>
    <m/>
  </r>
  <r>
    <x v="10"/>
    <x v="4"/>
    <s v="F:\images\20210310\plaque 1/@10 Amantadine 0.1 mg_L/E10_02.tif "/>
    <s v=" 302.8185 "/>
    <n v="66"/>
    <x v="1"/>
    <n v="19986"/>
    <m/>
    <m/>
    <m/>
  </r>
  <r>
    <x v="10"/>
    <x v="4"/>
    <s v="F:\images\20210310\plaque 1/@10 Amantadine 0.1 mg_L/E10_03.tif "/>
    <s v=" 389.3381 "/>
    <s v=" 63.5 "/>
    <x v="1"/>
    <n v="24723"/>
    <m/>
    <m/>
    <m/>
  </r>
  <r>
    <x v="10"/>
    <x v="5"/>
    <s v="F:\images\20210310\plaque 1/@10 Amantadine 0.1 mg_L/F10_01.tif "/>
    <s v=" 6013.1107 "/>
    <s v=" 81.6403 "/>
    <x v="1"/>
    <n v="490912"/>
    <m/>
    <m/>
    <m/>
  </r>
  <r>
    <x v="10"/>
    <x v="5"/>
    <s v="F:\images\20210310\plaque 1/@10 Amantadine 0.1 mg_L/F10_02.tif "/>
    <s v=" 7310.9044 "/>
    <s v=" 82.5444 "/>
    <x v="1"/>
    <n v="603474"/>
    <m/>
    <m/>
    <m/>
  </r>
  <r>
    <x v="10"/>
    <x v="5"/>
    <s v="F:\images\20210310\plaque 1/@10 Amantadine 0.1 mg_L/F10_03.tif "/>
    <s v=" 1492.4627 "/>
    <s v=" 62.4783 "/>
    <x v="1"/>
    <n v="93246"/>
    <m/>
    <m/>
    <m/>
  </r>
  <r>
    <x v="10"/>
    <x v="6"/>
    <s v="F:\images\20210310\plaque 1/@10 Amantadine 0.1 mg_L/G10_01.tif "/>
    <s v=" 2811.8863 "/>
    <s v=" 64.0077 "/>
    <x v="1"/>
    <n v="179982"/>
    <m/>
    <m/>
    <m/>
  </r>
  <r>
    <x v="10"/>
    <x v="6"/>
    <s v="F:\images\20210310\plaque 1/@10 Amantadine 0.1 mg_L/G10_02.tif "/>
    <s v=" 2336.0286 "/>
    <s v=" 63.1944 "/>
    <x v="1"/>
    <n v="147624"/>
    <m/>
    <m/>
    <m/>
  </r>
  <r>
    <x v="10"/>
    <x v="6"/>
    <s v="F:\images\20210310\plaque 1/@10 Amantadine 0.1 mg_L/G10_03.tif "/>
    <s v=" 1643.872 "/>
    <s v=" 63.9211 "/>
    <x v="1"/>
    <n v="105078"/>
    <m/>
    <m/>
    <m/>
  </r>
  <r>
    <x v="10"/>
    <x v="7"/>
    <s v="F:\images\20210310\plaque 1/@10 Amantadine 0.1 mg_L/H10_01.tif "/>
    <s v=" 4499.0181 "/>
    <s v=" 72.6538 "/>
    <x v="1"/>
    <n v="326871"/>
    <m/>
    <m/>
    <m/>
  </r>
  <r>
    <x v="10"/>
    <x v="7"/>
    <s v="F:\images\20210310\plaque 1/@10 Amantadine 0.1 mg_L/H10_02- exclu.tif"/>
    <m/>
    <m/>
    <x v="0"/>
    <m/>
    <m/>
    <m/>
    <m/>
  </r>
  <r>
    <x v="10"/>
    <x v="7"/>
    <s v="F:\images\20210310\plaque 1/@10 Amantadine 0.1 mg_L/H10_03.tif "/>
    <s v=" 562.3773 "/>
    <s v=" 65.4615 "/>
    <x v="1"/>
    <n v="36814"/>
    <m/>
    <m/>
    <m/>
  </r>
  <r>
    <x v="1"/>
    <x v="8"/>
    <s v=" "/>
    <m/>
    <m/>
    <x v="0"/>
    <m/>
    <m/>
    <m/>
    <m/>
  </r>
  <r>
    <x v="1"/>
    <x v="8"/>
    <s v="group "/>
    <s v=" "/>
    <s v=" mean of mean fluo "/>
    <x v="2"/>
    <s v=" mean of total fluo "/>
    <s v=" SD total fluo "/>
    <s v=" n fluorescent "/>
    <s v=" n total"/>
  </r>
  <r>
    <x v="10"/>
    <x v="9"/>
    <s v="F:\images\20210310\plaque 1/@10 Amantadine 0.1 mg_L/ "/>
    <s v=" "/>
    <s v=" 66.7808 "/>
    <x v="12"/>
    <s v=" 197974.75 "/>
    <s v=" 170065.572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1"/>
    <x v="0"/>
    <s v="F:\images\20210310\plaque 1/@11 Amantadine 1 mg_L/A11_01.tif "/>
    <s v=" 8781.7372 "/>
    <s v=" 73.5419 "/>
    <x v="1"/>
    <n v="645825"/>
    <m/>
    <m/>
    <m/>
  </r>
  <r>
    <x v="11"/>
    <x v="0"/>
    <s v="F:\images\20210310\plaque 1/@11 Amantadine 1 mg_L/A11_02.tif "/>
    <s v=" 4931.616 "/>
    <s v=" 75.0614 "/>
    <x v="1"/>
    <n v="370174"/>
    <m/>
    <m/>
    <m/>
  </r>
  <r>
    <x v="11"/>
    <x v="0"/>
    <s v="F:\images\20210310\plaque 1/@11 Amantadine 1 mg_L/A11_03.tif "/>
    <s v=" 5472.3633 "/>
    <s v=" 75.087 "/>
    <x v="1"/>
    <n v="410903"/>
    <m/>
    <m/>
    <m/>
  </r>
  <r>
    <x v="11"/>
    <x v="1"/>
    <s v="F:\images\20210310\plaque 1/@11 Amantadine 1 mg_L/B11_01.tif "/>
    <s v=" 5948.221 "/>
    <s v=" 75.1964 "/>
    <x v="1"/>
    <n v="447285"/>
    <m/>
    <m/>
    <m/>
  </r>
  <r>
    <x v="11"/>
    <x v="1"/>
    <s v="F:\images\20210310\plaque 1/@11 Amantadine 1 mg_L/B11_02.tif "/>
    <s v=" 497.4876 "/>
    <s v=" 63.8261 "/>
    <x v="1"/>
    <n v="31753"/>
    <m/>
    <m/>
    <m/>
  </r>
  <r>
    <x v="11"/>
    <x v="1"/>
    <s v="F:\images\20210310\plaque 1/@11 Amantadine 1 mg_L/B11_03.tif "/>
    <s v=" 7505.5734 "/>
    <s v=" 71.487 "/>
    <x v="1"/>
    <n v="536551"/>
    <m/>
    <m/>
    <m/>
  </r>
  <r>
    <x v="11"/>
    <x v="2"/>
    <s v="F:\images\20210310\plaque 1/@11 Amantadine 1 mg_L/C11_01- exclu.tif"/>
    <m/>
    <m/>
    <x v="0"/>
    <m/>
    <m/>
    <m/>
    <m/>
  </r>
  <r>
    <x v="11"/>
    <x v="2"/>
    <s v="F:\images\20210310\plaque 1/@11 Amantadine 1 mg_L/C11_02.tif "/>
    <s v=" 497.4876 "/>
    <s v=" 62.3478 "/>
    <x v="1"/>
    <n v="31017"/>
    <m/>
    <m/>
    <m/>
  </r>
  <r>
    <x v="11"/>
    <x v="2"/>
    <s v="F:\images\20210310\plaque 1/@11 Amantadine 1 mg_L/C11_03.tif "/>
    <s v=" 346.0783 "/>
    <s v=" 64.625 "/>
    <x v="1"/>
    <n v="22365"/>
    <m/>
    <m/>
    <m/>
  </r>
  <r>
    <x v="11"/>
    <x v="3"/>
    <s v="F:\images\20210310\plaque 1/@11 Amantadine 1 mg_L/D11_01.tif "/>
    <s v=" 1535.7225 "/>
    <s v=" 63.0282 "/>
    <x v="1"/>
    <n v="96794"/>
    <m/>
    <m/>
    <m/>
  </r>
  <r>
    <x v="11"/>
    <x v="3"/>
    <s v="F:\images\20210310\plaque 1/@11 Amantadine 1 mg_L/D11_02.tif "/>
    <s v=" 648.8968 "/>
    <s v=" 62.8333 "/>
    <x v="1"/>
    <n v="40772"/>
    <m/>
    <m/>
    <m/>
  </r>
  <r>
    <x v="11"/>
    <x v="3"/>
    <s v="F:\images\20210310\plaque 1/@11 Amantadine 1 mg_L/D11_03.tif "/>
    <s v=" 1492.4627 "/>
    <s v=" 63.4203 "/>
    <x v="1"/>
    <n v="94652"/>
    <m/>
    <m/>
    <m/>
  </r>
  <r>
    <x v="11"/>
    <x v="4"/>
    <s v="F:\images\20210310\plaque 1/@11 Amantadine 1 mg_L/E11_01.tif "/>
    <s v=" 3244.4842 "/>
    <s v=" 69.22 "/>
    <x v="1"/>
    <n v="224583"/>
    <m/>
    <m/>
    <m/>
  </r>
  <r>
    <x v="11"/>
    <x v="4"/>
    <s v="F:\images\20210310\plaque 1/@11 Amantadine 1 mg_L/E11_02.tif "/>
    <s v=" 1492.4627 "/>
    <s v=" 67.1014 "/>
    <x v="1"/>
    <n v="100146"/>
    <m/>
    <m/>
    <m/>
  </r>
  <r>
    <x v="11"/>
    <x v="4"/>
    <s v="F:\images\20210310\plaque 1/@11 Amantadine 1 mg_L/E11_03.tif "/>
    <s v=" 1860.1709 "/>
    <s v=" 66.7326 "/>
    <x v="1"/>
    <n v="124134"/>
    <m/>
    <m/>
    <m/>
  </r>
  <r>
    <x v="11"/>
    <x v="5"/>
    <s v="F:\images\20210310\plaque 1/@11 Amantadine 1 mg_L/F11_01.tif "/>
    <s v=" 410.968 "/>
    <s v=" 62.5789 "/>
    <x v="1"/>
    <n v="25718"/>
    <m/>
    <m/>
    <m/>
  </r>
  <r>
    <x v="11"/>
    <x v="5"/>
    <s v="F:\images\20210310\plaque 1/@11 Amantadine 1 mg_L/F11_02.tif "/>
    <s v=" 1297.7937 "/>
    <s v=" 64.0167 "/>
    <x v="1"/>
    <n v="83080"/>
    <m/>
    <m/>
    <m/>
  </r>
  <r>
    <x v="11"/>
    <x v="5"/>
    <s v="F:\images\20210310\plaque 1/@11 Amantadine 1 mg_L/F11_03.tif "/>
    <s v=" 562.3773 "/>
    <n v="65"/>
    <x v="1"/>
    <n v="36555"/>
    <m/>
    <m/>
    <m/>
  </r>
  <r>
    <x v="11"/>
    <x v="6"/>
    <s v="F:\images\20210310\plaque 1/@11 Amantadine 1 mg_L/G11_01.tif "/>
    <s v=" 5515.6231 "/>
    <s v=" 70.7529 "/>
    <x v="1"/>
    <n v="390247"/>
    <m/>
    <m/>
    <m/>
  </r>
  <r>
    <x v="11"/>
    <x v="6"/>
    <s v="F:\images\20210310\plaque 1/@11 Amantadine 1 mg_L/G11_02- exclu.tif"/>
    <m/>
    <m/>
    <x v="0"/>
    <m/>
    <m/>
    <m/>
    <m/>
  </r>
  <r>
    <x v="11"/>
    <x v="6"/>
    <s v="F:\images\20210310\plaque 1/@11 Amantadine 1 mg_L/G11_03.tif "/>
    <s v=" 3222.8543 "/>
    <s v=" 71.0336 "/>
    <x v="1"/>
    <n v="228931"/>
    <m/>
    <m/>
    <m/>
  </r>
  <r>
    <x v="11"/>
    <x v="7"/>
    <s v="F:\images\20210310\plaque 1/@11 Amantadine 1 mg_L/H11_01.tif "/>
    <s v=" 3785.2316 "/>
    <s v=" 69.9257 "/>
    <x v="1"/>
    <n v="264685"/>
    <m/>
    <m/>
    <m/>
  </r>
  <r>
    <x v="11"/>
    <x v="7"/>
    <s v="F:\images\20210310\plaque 1/@11 Amantadine 1 mg_L/H11_02- exclu.tif"/>
    <m/>
    <m/>
    <x v="0"/>
    <m/>
    <m/>
    <m/>
    <m/>
  </r>
  <r>
    <x v="11"/>
    <x v="7"/>
    <s v="F:\images\20210310\plaque 1/@11 Amantadine 1 mg_L/H11_03.tif "/>
    <s v=" 5169.5448 "/>
    <s v=" 70.2762 "/>
    <x v="1"/>
    <n v="363296"/>
    <m/>
    <m/>
    <m/>
  </r>
  <r>
    <x v="1"/>
    <x v="8"/>
    <s v=" "/>
    <m/>
    <m/>
    <x v="0"/>
    <m/>
    <m/>
    <m/>
    <m/>
  </r>
  <r>
    <x v="1"/>
    <x v="8"/>
    <s v="group "/>
    <s v=" "/>
    <s v=" mean of mean fluo "/>
    <x v="2"/>
    <s v=" mean of total fluo "/>
    <s v=" SD total fluo "/>
    <s v=" n fluorescent "/>
    <s v=" n total"/>
  </r>
  <r>
    <x v="11"/>
    <x v="9"/>
    <s v="F:\images\20210310\plaque 1/@11 Amantadine 1 mg_L/ "/>
    <s v=" "/>
    <s v=" 67.4234 "/>
    <x v="13"/>
    <s v=" 193060.333 "/>
    <s v=" 190211.30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2"/>
    <x v="0"/>
    <s v="F:\images\20210310\plaque 1/@12 Amantadine 10 mg_L/A12_01- exclu.tif"/>
    <m/>
    <m/>
    <x v="0"/>
    <m/>
    <m/>
    <m/>
    <m/>
  </r>
  <r>
    <x v="12"/>
    <x v="0"/>
    <s v="F:\images\20210310\plaque 1/@12 Amantadine 10 mg_L/A12_02.tif "/>
    <s v=" 11593.6235 "/>
    <s v=" 78.6754 "/>
    <x v="1"/>
    <n v="912133"/>
    <m/>
    <m/>
    <m/>
  </r>
  <r>
    <x v="12"/>
    <x v="0"/>
    <s v="F:\images\20210310\plaque 1/@12 Amantadine 10 mg_L/A12_03.tif "/>
    <s v=" 9084.5557 "/>
    <s v=" 76.9476 "/>
    <x v="1"/>
    <n v="699035"/>
    <m/>
    <m/>
    <m/>
  </r>
  <r>
    <x v="12"/>
    <x v="1"/>
    <s v="F:\images\20210310\plaque 1/@12 Amantadine 10 mg_L/B12_01.tif "/>
    <s v=" 2400.9183 "/>
    <s v=" 65.3333 "/>
    <x v="1"/>
    <n v="156860"/>
    <m/>
    <m/>
    <m/>
  </r>
  <r>
    <x v="12"/>
    <x v="1"/>
    <s v="F:\images\20210310\plaque 1/@12 Amantadine 10 mg_L/B12_02.tif "/>
    <s v=" 2119.7297 "/>
    <s v=" 66.4184 "/>
    <x v="1"/>
    <n v="140789"/>
    <m/>
    <m/>
    <m/>
  </r>
  <r>
    <x v="12"/>
    <x v="1"/>
    <s v="F:\images\20210310\plaque 1/@12 Amantadine 10 mg_L/B12_03.tif "/>
    <s v=" 735.4164 "/>
    <s v=" 63.2647 "/>
    <x v="1"/>
    <n v="46526"/>
    <m/>
    <m/>
    <m/>
  </r>
  <r>
    <x v="12"/>
    <x v="2"/>
    <s v="F:\images\20210310\plaque 1/@12 Amantadine 10 mg_L/C12_01.tif "/>
    <s v=" 908.4556 "/>
    <s v=" 63.6667 "/>
    <x v="1"/>
    <n v="57838"/>
    <m/>
    <m/>
    <m/>
  </r>
  <r>
    <x v="12"/>
    <x v="2"/>
    <s v="F:\images\20210310\plaque 1/@12 Amantadine 10 mg_L/C12_02.tif "/>
    <s v=" 3417.5234 "/>
    <s v=" 65.0443 "/>
    <x v="1"/>
    <n v="222290"/>
    <m/>
    <m/>
    <m/>
  </r>
  <r>
    <x v="12"/>
    <x v="2"/>
    <s v="F:\images\20210310\plaque 1/@12 Amantadine 10 mg_L/C12_03.tif "/>
    <s v=" 6424.0787 "/>
    <s v=" 68.0774 "/>
    <x v="1"/>
    <n v="437335"/>
    <m/>
    <m/>
    <m/>
  </r>
  <r>
    <x v="12"/>
    <x v="3"/>
    <s v="F:\images\20210310\plaque 1/@12 Amantadine 10 mg_L/D12_01.tif "/>
    <s v=" 7894.9115 "/>
    <s v=" 78.2438 "/>
    <x v="1"/>
    <n v="617728"/>
    <m/>
    <m/>
    <m/>
  </r>
  <r>
    <x v="12"/>
    <x v="3"/>
    <s v="F:\images\20210310\plaque 1/@12 Amantadine 10 mg_L/D12_02.tif "/>
    <s v=" 5299.3242 "/>
    <s v=" 72.1837 "/>
    <x v="1"/>
    <n v="382525"/>
    <m/>
    <m/>
    <m/>
  </r>
  <r>
    <x v="12"/>
    <x v="3"/>
    <s v="F:\images\20210310\plaque 1/@12 Amantadine 10 mg_L/D12_03.tif "/>
    <s v=" 2314.3987 "/>
    <s v=" 68.5047 "/>
    <x v="1"/>
    <n v="158547"/>
    <m/>
    <m/>
    <m/>
  </r>
  <r>
    <x v="12"/>
    <x v="4"/>
    <s v="F:\images\20210310\plaque 1/@12 Amantadine 10 mg_L/E12_01.tif "/>
    <s v=" 11745.0328 "/>
    <s v=" 89.6851 "/>
    <x v="1"/>
    <n v="1053354"/>
    <m/>
    <m/>
    <m/>
  </r>
  <r>
    <x v="12"/>
    <x v="4"/>
    <s v="F:\images\20210310\plaque 1/@12 Amantadine 10 mg_L/E12_02- exclu.tif"/>
    <m/>
    <m/>
    <x v="0"/>
    <m/>
    <m/>
    <m/>
    <m/>
  </r>
  <r>
    <x v="12"/>
    <x v="4"/>
    <s v="F:\images\20210310\plaque 1/@12 Amantadine 10 mg_L/E12_03.tif "/>
    <s v=" 4304.349 "/>
    <s v=" 72.5075 "/>
    <x v="1"/>
    <n v="312098"/>
    <m/>
    <m/>
    <m/>
  </r>
  <r>
    <x v="12"/>
    <x v="5"/>
    <s v="F:\images\20210310\plaque 1/@12 Amantadine 10 mg_L/F12_01- exclu.tif"/>
    <m/>
    <m/>
    <x v="0"/>
    <m/>
    <m/>
    <m/>
    <m/>
  </r>
  <r>
    <x v="12"/>
    <x v="5"/>
    <s v="F:\images\20210310\plaque 1/@12 Amantadine 10 mg_L/F12_02.tif "/>
    <s v=" 432.5979 "/>
    <s v=" 63.1 "/>
    <x v="1"/>
    <n v="27297"/>
    <m/>
    <m/>
    <m/>
  </r>
  <r>
    <x v="12"/>
    <x v="5"/>
    <s v="F:\images\20210310\plaque 1/@12 Amantadine 10 mg_L/F12_03.tif "/>
    <s v=" 216.2989 "/>
    <s v=" 62.2 "/>
    <x v="1"/>
    <n v="13454"/>
    <m/>
    <m/>
    <m/>
  </r>
  <r>
    <x v="12"/>
    <x v="6"/>
    <s v="F:\images\20210310\plaque 1/@12 Amantadine 10 mg_L/G12_01- exclu.tif"/>
    <m/>
    <m/>
    <x v="0"/>
    <m/>
    <m/>
    <m/>
    <m/>
  </r>
  <r>
    <x v="12"/>
    <x v="6"/>
    <s v="F:\images\20210310\plaque 1/@12 Amantadine 10 mg_L/G12_02- exclu.tif"/>
    <m/>
    <m/>
    <x v="0"/>
    <m/>
    <m/>
    <m/>
    <m/>
  </r>
  <r>
    <x v="12"/>
    <x v="6"/>
    <s v="F:\images\20210310\plaque 1/@12 Amantadine 10 mg_L/G12_03.tif "/>
    <s v=" 4023.1604 "/>
    <s v=" 66.172 "/>
    <x v="1"/>
    <n v="266221"/>
    <m/>
    <m/>
    <m/>
  </r>
  <r>
    <x v="12"/>
    <x v="7"/>
    <s v="F:\images\20210310\plaque 1/@12 Amantadine 10 mg_L/H12_01.tif "/>
    <s v=" 843.5659 "/>
    <s v=" 67.9744 "/>
    <x v="1"/>
    <n v="57341"/>
    <m/>
    <m/>
    <m/>
  </r>
  <r>
    <x v="12"/>
    <x v="7"/>
    <s v="F:\images\20210310\plaque 1/@12 Amantadine 10 mg_L/H12_02.tif "/>
    <s v=" 3915.0109 "/>
    <s v=" 66.6961 "/>
    <x v="1"/>
    <n v="261116"/>
    <m/>
    <m/>
    <m/>
  </r>
  <r>
    <x v="12"/>
    <x v="7"/>
    <s v="F:\images\20210310\plaque 1/@12 Amantadine 10 mg_L/H12_03.tif "/>
    <s v=" 432.5979 "/>
    <s v=" 63.45 "/>
    <x v="1"/>
    <n v="27448"/>
    <m/>
    <m/>
    <m/>
  </r>
  <r>
    <x v="1"/>
    <x v="8"/>
    <s v=" "/>
    <m/>
    <m/>
    <x v="0"/>
    <m/>
    <m/>
    <m/>
    <m/>
  </r>
  <r>
    <x v="1"/>
    <x v="8"/>
    <s v="group "/>
    <s v=" "/>
    <s v=" mean of mean fluo "/>
    <x v="2"/>
    <s v=" mean of total fluo "/>
    <s v=" SD total fluo "/>
    <s v=" n fluorescent "/>
    <s v=" n total"/>
  </r>
  <r>
    <x v="12"/>
    <x v="9"/>
    <s v="F:\images\20210310\plaque 1/@12 Amantadine 10 mg_L/ "/>
    <s v=" "/>
    <s v=" 68.8845 "/>
    <x v="14"/>
    <s v=" 291221.292 "/>
    <s v=" 324988.405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3"/>
    <x v="0"/>
    <s v="F:\images\20210310\plaque 2/@01 Testo 30/A1_01.tif "/>
    <s v=" 26777.8096 "/>
    <s v=" 72.6519 "/>
    <x v="1"/>
    <n v="1945458"/>
    <m/>
    <m/>
    <m/>
  </r>
  <r>
    <x v="13"/>
    <x v="0"/>
    <s v="F:\images\20210310\plaque 2/@01 Testo 30/A1_02.tif "/>
    <s v=" 30930.7493 "/>
    <s v=" 72.3902 "/>
    <x v="1"/>
    <n v="2239083"/>
    <m/>
    <m/>
    <m/>
  </r>
  <r>
    <x v="13"/>
    <x v="0"/>
    <s v="F:\images\20210310\plaque 2/@01 Testo 30/A1_03.tif "/>
    <s v=" 25674.6849 "/>
    <s v=" 71.7709 "/>
    <x v="1"/>
    <n v="1842694"/>
    <m/>
    <m/>
    <m/>
  </r>
  <r>
    <x v="13"/>
    <x v="1"/>
    <s v="F:\images\20210310\plaque 2/@01 Testo 30/B1_01.tif "/>
    <s v=" 48580.7433 "/>
    <s v=" 74.5 "/>
    <x v="1"/>
    <n v="3619265"/>
    <m/>
    <m/>
    <m/>
  </r>
  <r>
    <x v="13"/>
    <x v="1"/>
    <s v="F:\images\20210310\plaque 2/@01 Testo 30/B1_02- exclu.tif"/>
    <m/>
    <m/>
    <x v="0"/>
    <m/>
    <m/>
    <m/>
    <m/>
  </r>
  <r>
    <x v="13"/>
    <x v="1"/>
    <s v="F:\images\20210310\plaque 2/@01 Testo 30/B1_03.tif "/>
    <s v=" 42459.4832 "/>
    <s v=" 75.9776 "/>
    <x v="1"/>
    <n v="3225969"/>
    <m/>
    <m/>
    <m/>
  </r>
  <r>
    <x v="13"/>
    <x v="2"/>
    <s v="F:\images\20210310\plaque 2/@01 Testo 30/C1_01.tif "/>
    <s v=" 31255.1977 "/>
    <s v=" 66.9439 "/>
    <x v="1"/>
    <n v="2092346"/>
    <m/>
    <m/>
    <m/>
  </r>
  <r>
    <x v="13"/>
    <x v="2"/>
    <s v="F:\images\20210310\plaque 2/@01 Testo 30/C1_02.tif "/>
    <s v=" 27296.927 "/>
    <s v=" 67.0333 "/>
    <x v="1"/>
    <n v="1829803"/>
    <m/>
    <m/>
    <m/>
  </r>
  <r>
    <x v="13"/>
    <x v="2"/>
    <s v="F:\images\20210310\plaque 2/@01 Testo 30/C1_03.tif "/>
    <s v=" 34175.2335 "/>
    <s v=" 67.4114 "/>
    <x v="1"/>
    <n v="2303800"/>
    <m/>
    <m/>
    <m/>
  </r>
  <r>
    <x v="13"/>
    <x v="3"/>
    <s v="F:\images\20210310\plaque 2/@01 Testo 30/D1_01.tif "/>
    <s v=" 20505.1401 "/>
    <s v=" 67.0127 "/>
    <x v="1"/>
    <n v="1374104"/>
    <m/>
    <m/>
    <m/>
  </r>
  <r>
    <x v="13"/>
    <x v="3"/>
    <s v="F:\images\20210310\plaque 2/@01 Testo 30/D1_02- exclu.tif"/>
    <m/>
    <m/>
    <x v="0"/>
    <m/>
    <m/>
    <m/>
    <m/>
  </r>
  <r>
    <x v="13"/>
    <x v="3"/>
    <s v="F:\images\20210310\plaque 2/@01 Testo 30/D1_03.tif "/>
    <s v=" 17282.2858 "/>
    <s v=" 67.5119 "/>
    <x v="1"/>
    <n v="1166760"/>
    <m/>
    <m/>
    <m/>
  </r>
  <r>
    <x v="13"/>
    <x v="4"/>
    <s v="F:\images\20210310\plaque 2/@01 Testo 30/E1_01.tif "/>
    <s v=" 17887.9229 "/>
    <s v=" 65.3555 "/>
    <x v="1"/>
    <n v="1169074"/>
    <m/>
    <m/>
    <m/>
  </r>
  <r>
    <x v="13"/>
    <x v="4"/>
    <s v="F:\images\20210310\plaque 2/@01 Testo 30/E1_02- exclu.tif"/>
    <m/>
    <m/>
    <x v="0"/>
    <m/>
    <m/>
    <m/>
    <m/>
  </r>
  <r>
    <x v="13"/>
    <x v="4"/>
    <s v="F:\images\20210310\plaque 2/@01 Testo 30/E1_03.tif "/>
    <s v=" 16200.7911 "/>
    <s v=" 65.1188 "/>
    <x v="1"/>
    <n v="1054976"/>
    <m/>
    <m/>
    <m/>
  </r>
  <r>
    <x v="13"/>
    <x v="5"/>
    <s v="F:\images\20210310\plaque 2/@01 Testo 30/F1_01.tif "/>
    <s v=" 3352.6337 "/>
    <s v=" 67.8258 "/>
    <x v="1"/>
    <n v="227395"/>
    <m/>
    <m/>
    <m/>
  </r>
  <r>
    <x v="13"/>
    <x v="5"/>
    <s v="F:\images\20210310\plaque 2/@01 Testo 30/F1_02.tif "/>
    <s v=" 302.8185 "/>
    <s v=" 63.1429 "/>
    <x v="1"/>
    <n v="19121"/>
    <m/>
    <m/>
    <m/>
  </r>
  <r>
    <x v="13"/>
    <x v="5"/>
    <s v="F:\images\20210310\plaque 2/@01 Testo 30/F1_03.tif "/>
    <s v=" 1860.1709 "/>
    <s v=" 65.1047 "/>
    <x v="1"/>
    <n v="121106"/>
    <m/>
    <m/>
    <m/>
  </r>
  <r>
    <x v="13"/>
    <x v="6"/>
    <s v="F:\images\20210310\plaque 2/@01 Testo 30/G1_01.tif "/>
    <s v=" 62423.8759 "/>
    <s v=" 78.0918 "/>
    <x v="1"/>
    <n v="4874794"/>
    <m/>
    <m/>
    <m/>
  </r>
  <r>
    <x v="13"/>
    <x v="6"/>
    <s v="F:\images\20210310\plaque 2/@01 Testo 30/G1_02- exclu.tif"/>
    <m/>
    <m/>
    <x v="0"/>
    <m/>
    <m/>
    <m/>
    <m/>
  </r>
  <r>
    <x v="13"/>
    <x v="6"/>
    <s v="F:\images\20210310\plaque 2/@01 Testo 30/G1_03.tif "/>
    <s v=" 58941.4629 "/>
    <s v=" 74.9505 "/>
    <x v="1"/>
    <n v="4417690"/>
    <m/>
    <m/>
    <m/>
  </r>
  <r>
    <x v="13"/>
    <x v="7"/>
    <s v="F:\images\20210310\plaque 2/@01 Testo 30/H1_01.tif "/>
    <s v=" 4693.6871 "/>
    <s v=" 65.0922 "/>
    <x v="1"/>
    <n v="305522"/>
    <m/>
    <m/>
    <m/>
  </r>
  <r>
    <x v="13"/>
    <x v="7"/>
    <s v="F:\images\20210310\plaque 2/@01 Testo 30/H1_02.tif "/>
    <s v=" 2422.5482 "/>
    <s v=" 63.2768 "/>
    <x v="1"/>
    <n v="153291"/>
    <m/>
    <m/>
    <m/>
  </r>
  <r>
    <x v="13"/>
    <x v="7"/>
    <s v="F:\images\20210310\plaque 2/@01 Testo 30/H1_03.tif "/>
    <s v=" 1535.7225 "/>
    <s v=" 63.507 "/>
    <x v="1"/>
    <n v="97529"/>
    <m/>
    <m/>
    <m/>
  </r>
  <r>
    <x v="1"/>
    <x v="8"/>
    <s v=" "/>
    <m/>
    <m/>
    <x v="0"/>
    <m/>
    <m/>
    <m/>
    <m/>
  </r>
  <r>
    <x v="1"/>
    <x v="8"/>
    <s v="group "/>
    <s v=" "/>
    <s v=" mean of mean fluo "/>
    <x v="2"/>
    <s v=" mean of total fluo "/>
    <s v=" SD total fluo "/>
    <s v=" n fluorescent "/>
    <s v=" n total"/>
  </r>
  <r>
    <x v="13"/>
    <x v="9"/>
    <s v="F:\images\20210310\plaque 2/@01 Testo 30/ "/>
    <s v=" "/>
    <s v=" 68.328 "/>
    <x v="15"/>
    <s v=" 1466812.33 "/>
    <s v=" 1427346.25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4"/>
    <x v="0"/>
    <s v="F:\images\20210310\plaque 2/@02 Testo 30/A2_01.tif "/>
    <s v=" 42135.0347 "/>
    <s v=" 71.23 "/>
    <x v="1"/>
    <n v="3001278"/>
    <m/>
    <m/>
    <m/>
  </r>
  <r>
    <x v="14"/>
    <x v="0"/>
    <s v="F:\images\20210310\plaque 2/@02 Testo 30/A2_02.tif "/>
    <s v=" 45595.8179 "/>
    <s v=" 69.5963 "/>
    <x v="1"/>
    <n v="3173300"/>
    <m/>
    <m/>
    <m/>
  </r>
  <r>
    <x v="14"/>
    <x v="0"/>
    <s v="F:\images\20210310\plaque 2/@02 Testo 30/A2_03.tif "/>
    <s v=" 19531.7948 "/>
    <s v=" 64.3588 "/>
    <x v="1"/>
    <n v="1257043"/>
    <m/>
    <m/>
    <m/>
  </r>
  <r>
    <x v="14"/>
    <x v="1"/>
    <s v="F:\images\20210310\plaque 2/@02 Testo 30/B2_01.tif "/>
    <s v=" 4001.5305 "/>
    <s v=" 65.6162 "/>
    <x v="1"/>
    <n v="262565"/>
    <m/>
    <m/>
    <m/>
  </r>
  <r>
    <x v="14"/>
    <x v="1"/>
    <s v="F:\images\20210310\plaque 2/@02 Testo 30/B2_02.tif "/>
    <s v=" 7159.4951 "/>
    <s v=" 70.9819 "/>
    <x v="1"/>
    <n v="508194"/>
    <m/>
    <m/>
    <m/>
  </r>
  <r>
    <x v="14"/>
    <x v="1"/>
    <s v="F:\images\20210310\plaque 2/@02 Testo 30/B2_03.tif "/>
    <s v=" 29221.9876 "/>
    <s v=" 74.379 "/>
    <x v="1"/>
    <n v="2173502"/>
    <m/>
    <m/>
    <m/>
  </r>
  <r>
    <x v="14"/>
    <x v="2"/>
    <s v="F:\images\20210310\plaque 2/@02 Testo 30/C2_01.tif "/>
    <s v=" 57297.5909 "/>
    <s v=" 74.3643 "/>
    <x v="1"/>
    <n v="4260895"/>
    <m/>
    <m/>
    <m/>
  </r>
  <r>
    <x v="14"/>
    <x v="2"/>
    <s v="F:\images\20210310\plaque 2/@02 Testo 30/C2_02.tif "/>
    <s v=" 57665.2991 "/>
    <s v=" 72.6658 "/>
    <x v="1"/>
    <n v="4190295"/>
    <m/>
    <m/>
    <m/>
  </r>
  <r>
    <x v="14"/>
    <x v="2"/>
    <s v="F:\images\20210310\plaque 2/@02 Testo 30/C2_03.tif "/>
    <s v=" 51630.5585 "/>
    <s v=" 73.1353 "/>
    <x v="1"/>
    <n v="3776017"/>
    <m/>
    <m/>
    <m/>
  </r>
  <r>
    <x v="14"/>
    <x v="3"/>
    <s v="F:\images\20210310\plaque 2/@02 Testo 30/D2_01.tif "/>
    <s v=" 13107.7161 "/>
    <s v=" 66.6634 "/>
    <x v="1"/>
    <n v="873804"/>
    <m/>
    <m/>
    <m/>
  </r>
  <r>
    <x v="14"/>
    <x v="3"/>
    <s v="F:\images\20210310\plaque 2/@02 Testo 30/D2_02- exclu.tif"/>
    <m/>
    <m/>
    <x v="0"/>
    <m/>
    <m/>
    <m/>
    <m/>
  </r>
  <r>
    <x v="14"/>
    <x v="3"/>
    <s v="F:\images\20210310\plaque 2/@02 Testo 30/D2_03.tif "/>
    <s v=" 8219.36 "/>
    <s v=" 64.4079 "/>
    <x v="1"/>
    <n v="529392"/>
    <m/>
    <m/>
    <m/>
  </r>
  <r>
    <x v="14"/>
    <x v="4"/>
    <s v="F:\images\20210310\plaque 2/@02 Testo 30/E2_01.tif "/>
    <s v=" 48061.6259 "/>
    <s v=" 74.9554 "/>
    <x v="1"/>
    <n v="3602481"/>
    <m/>
    <m/>
    <m/>
  </r>
  <r>
    <x v="14"/>
    <x v="4"/>
    <s v="F:\images\20210310\plaque 2/@02 Testo 30/E2_02.tif "/>
    <s v=" 49337.7896 "/>
    <s v=" 74.0118 "/>
    <x v="1"/>
    <n v="3651580"/>
    <m/>
    <m/>
    <m/>
  </r>
  <r>
    <x v="14"/>
    <x v="4"/>
    <s v="F:\images\20210310\plaque 2/@02 Testo 30/E2_03.tif "/>
    <s v=" 48429.3341 "/>
    <s v=" 73.41 "/>
    <x v="1"/>
    <n v="3555198"/>
    <m/>
    <m/>
    <m/>
  </r>
  <r>
    <x v="14"/>
    <x v="5"/>
    <s v="F:\images\20210310\plaque 2/@02 Testo 30/F2_01.tif "/>
    <s v=" 46331.2343 "/>
    <s v=" 72.7801 "/>
    <x v="1"/>
    <n v="3371992"/>
    <m/>
    <m/>
    <m/>
  </r>
  <r>
    <x v="14"/>
    <x v="5"/>
    <s v="F:\images\20210310\plaque 2/@02 Testo 30/F2_02- exclu.tif"/>
    <m/>
    <m/>
    <x v="0"/>
    <m/>
    <m/>
    <m/>
    <m/>
  </r>
  <r>
    <x v="14"/>
    <x v="5"/>
    <s v="F:\images\20210310\plaque 2/@02 Testo 30/F2_03.tif "/>
    <s v=" 34586.2015 "/>
    <s v=" 68.2414 "/>
    <x v="1"/>
    <n v="2360211"/>
    <m/>
    <m/>
    <m/>
  </r>
  <r>
    <x v="14"/>
    <x v="6"/>
    <s v="F:\images\20210310\plaque 2/@02 Testo 30/G2_01.tif "/>
    <s v=" 32747.6605 "/>
    <s v=" 71.7021 "/>
    <x v="1"/>
    <n v="2348076"/>
    <m/>
    <m/>
    <m/>
  </r>
  <r>
    <x v="14"/>
    <x v="6"/>
    <s v="F:\images\20210310\plaque 2/@02 Testo 30/G2_02.tif "/>
    <s v=" 29719.4752 "/>
    <s v=" 69.3086 "/>
    <x v="1"/>
    <n v="2059815"/>
    <m/>
    <m/>
    <m/>
  </r>
  <r>
    <x v="14"/>
    <x v="6"/>
    <s v="F:\images\20210310\plaque 2/@02 Testo 30/G2_03.tif "/>
    <s v=" 29416.6567 "/>
    <s v=" 68.9162 "/>
    <x v="1"/>
    <n v="2027284"/>
    <m/>
    <m/>
    <m/>
  </r>
  <r>
    <x v="14"/>
    <x v="7"/>
    <s v="F:\images\20210310\plaque 2/@02 Testo 30/H2_01.tif "/>
    <s v=" 58443.9753 "/>
    <s v=" 75.1362 "/>
    <x v="1"/>
    <n v="4391258"/>
    <m/>
    <m/>
    <m/>
  </r>
  <r>
    <x v="14"/>
    <x v="7"/>
    <s v="F:\images\20210310\plaque 2/@02 Testo 30/H2_02.tif "/>
    <s v=" 55048.0818 "/>
    <s v=" 74.8385 "/>
    <x v="1"/>
    <n v="4119716"/>
    <m/>
    <m/>
    <m/>
  </r>
  <r>
    <x v="14"/>
    <x v="7"/>
    <s v="F:\images\20210310\plaque 2/@02 Testo 30/H2_03.tif "/>
    <s v=" 57124.5517 "/>
    <s v=" 73.8095 "/>
    <x v="1"/>
    <n v="4216337"/>
    <m/>
    <m/>
    <m/>
  </r>
  <r>
    <x v="1"/>
    <x v="8"/>
    <s v=" "/>
    <m/>
    <m/>
    <x v="0"/>
    <m/>
    <m/>
    <m/>
    <m/>
  </r>
  <r>
    <x v="1"/>
    <x v="8"/>
    <s v="group "/>
    <s v=" "/>
    <s v=" mean of mean fluo "/>
    <x v="2"/>
    <s v=" mean of total fluo "/>
    <s v=" SD total fluo "/>
    <s v=" n fluorescent "/>
    <s v=" n total"/>
  </r>
  <r>
    <x v="14"/>
    <x v="9"/>
    <s v="F:\images\20210310\plaque 2/@02 Testo 30/ "/>
    <s v=" "/>
    <s v=" 70.5356 "/>
    <x v="16"/>
    <s v=" 2498520.5 "/>
    <s v=" 1485525.85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5"/>
    <x v="0"/>
    <s v="F:\images\20210310\plaque 2/@03 Testo+ EE2 64/A3_01.tif "/>
    <s v=" 45033.4406 "/>
    <s v=" 81.9395 "/>
    <x v="1"/>
    <n v="3690017"/>
    <m/>
    <m/>
    <m/>
  </r>
  <r>
    <x v="15"/>
    <x v="0"/>
    <s v="F:\images\20210310\plaque 2/@03 Testo+ EE2 64/A3_02.tif "/>
    <s v=" 39344.7783 "/>
    <s v=" 85.5531 "/>
    <x v="1"/>
    <n v="3366066"/>
    <m/>
    <m/>
    <m/>
  </r>
  <r>
    <x v="15"/>
    <x v="0"/>
    <s v="F:\images\20210310\plaque 2/@03 Testo+ EE2 64/A3_03.tif "/>
    <s v=" 49078.2309 "/>
    <s v=" 81.3473 "/>
    <x v="1"/>
    <n v="3992381"/>
    <m/>
    <m/>
    <m/>
  </r>
  <r>
    <x v="15"/>
    <x v="1"/>
    <s v="F:\images\20210310\plaque 2/@03 Testo+ EE2 64/B3_01.tif "/>
    <s v=" 23619.8449 "/>
    <s v=" 68.9075 "/>
    <x v="1"/>
    <n v="1627585"/>
    <m/>
    <m/>
    <m/>
  </r>
  <r>
    <x v="15"/>
    <x v="1"/>
    <s v="F:\images\20210310\plaque 2/@03 Testo+ EE2 64/B3_02.tif "/>
    <s v=" 24960.8984 "/>
    <s v=" 68.5971 "/>
    <x v="1"/>
    <n v="1712244"/>
    <m/>
    <m/>
    <m/>
  </r>
  <r>
    <x v="15"/>
    <x v="1"/>
    <s v="F:\images\20210310\plaque 2/@03 Testo+ EE2 64/B3_03.tif "/>
    <s v=" 22386.9409 "/>
    <s v=" 69.3836 "/>
    <x v="1"/>
    <n v="1553286"/>
    <m/>
    <m/>
    <m/>
  </r>
  <r>
    <x v="15"/>
    <x v="2"/>
    <s v="F:\images\20210310\plaque 2/@03 Testo+ EE2 64/C3_01.tif "/>
    <s v=" 46828.7219 "/>
    <s v=" 78.7552 "/>
    <x v="1"/>
    <n v="3688005"/>
    <m/>
    <m/>
    <m/>
  </r>
  <r>
    <x v="15"/>
    <x v="2"/>
    <s v="F:\images\20210310\plaque 2/@03 Testo+ EE2 64/C3_02.tif "/>
    <s v=" 50549.0637 "/>
    <s v=" 76.1853 "/>
    <x v="1"/>
    <n v="3851095"/>
    <m/>
    <m/>
    <m/>
  </r>
  <r>
    <x v="15"/>
    <x v="2"/>
    <s v="F:\images\20210310\plaque 2/@03 Testo+ EE2 64/C3_03.tif "/>
    <s v=" 50376.0246 "/>
    <s v=" 72.4852 "/>
    <x v="1"/>
    <n v="3651516"/>
    <m/>
    <m/>
    <m/>
  </r>
  <r>
    <x v="15"/>
    <x v="3"/>
    <s v="F:\images\20210310\plaque 2/@03 Testo+ EE2 64/D3_01.tif "/>
    <s v=" 39842.2659 "/>
    <s v=" 74.6374 "/>
    <x v="1"/>
    <n v="2973721"/>
    <m/>
    <m/>
    <m/>
  </r>
  <r>
    <x v="15"/>
    <x v="3"/>
    <s v="F:\images\20210310\plaque 2/@03 Testo+ EE2 64/D3_02.tif "/>
    <s v=" 45920.2663 "/>
    <s v=" 74.6755 "/>
    <x v="1"/>
    <n v="3429117"/>
    <m/>
    <m/>
    <m/>
  </r>
  <r>
    <x v="15"/>
    <x v="3"/>
    <s v="F:\images\20210310\plaque 2/@03 Testo+ EE2 64/D3_03.tif "/>
    <s v=" 39669.2267 "/>
    <s v=" 76.2045 "/>
    <x v="1"/>
    <n v="3022972"/>
    <m/>
    <m/>
    <m/>
  </r>
  <r>
    <x v="15"/>
    <x v="4"/>
    <s v="F:\images\20210310\plaque 2/@03 Testo+ EE2 64/E3_01.tif "/>
    <s v=" 30541.4112 "/>
    <s v=" 72.1374 "/>
    <x v="1"/>
    <n v="2203178"/>
    <m/>
    <m/>
    <m/>
  </r>
  <r>
    <x v="15"/>
    <x v="4"/>
    <s v="F:\images\20210310\plaque 2/@03 Testo+ EE2 64/E3_02.tif "/>
    <s v=" 30043.9236 "/>
    <s v=" 71.7941 "/>
    <x v="1"/>
    <n v="2156976"/>
    <m/>
    <m/>
    <m/>
  </r>
  <r>
    <x v="15"/>
    <x v="4"/>
    <s v="F:\images\20210310\plaque 2/@03 Testo+ EE2 64/E3_03.tif "/>
    <s v=" 31904.0946 "/>
    <s v=" 71.6949 "/>
    <x v="1"/>
    <n v="2287361"/>
    <m/>
    <m/>
    <m/>
  </r>
  <r>
    <x v="15"/>
    <x v="5"/>
    <s v="F:\images\20210310\plaque 2/@03 Testo+ EE2 64/F3_01.tif "/>
    <s v=" 44406.1737 "/>
    <s v=" 76.1349 "/>
    <x v="1"/>
    <n v="3380861"/>
    <m/>
    <m/>
    <m/>
  </r>
  <r>
    <x v="15"/>
    <x v="5"/>
    <s v="F:\images\20210310\plaque 2/@03 Testo+ EE2 64/F3_02.tif "/>
    <s v=" 45703.9674 "/>
    <s v=" 74.9101 "/>
    <x v="1"/>
    <n v="3423688"/>
    <m/>
    <m/>
    <m/>
  </r>
  <r>
    <x v="15"/>
    <x v="5"/>
    <s v="F:\images\20210310\plaque 2/@03 Testo+ EE2 64/F3_03.tif "/>
    <s v=" 36597.7817 "/>
    <s v=" 74.2665 "/>
    <x v="1"/>
    <n v="2717991"/>
    <m/>
    <m/>
    <m/>
  </r>
  <r>
    <x v="15"/>
    <x v="6"/>
    <s v="F:\images\20210310\plaque 2/@03 Testo+ EE2 64/G3_01.tif "/>
    <s v=" 61666.8296 "/>
    <s v=" 76.8492 "/>
    <x v="1"/>
    <n v="4739045"/>
    <m/>
    <m/>
    <m/>
  </r>
  <r>
    <x v="15"/>
    <x v="6"/>
    <s v="F:\images\20210310\plaque 2/@03 Testo+ EE2 64/G3_02.tif "/>
    <s v=" 54312.6654 "/>
    <s v=" 76.4074 "/>
    <x v="1"/>
    <n v="4149890"/>
    <m/>
    <m/>
    <m/>
  </r>
  <r>
    <x v="15"/>
    <x v="6"/>
    <s v="F:\images\20210310\plaque 2/@03 Testo+ EE2 64/G3_03.tif "/>
    <s v=" 58054.6372 "/>
    <s v=" 77.1923 "/>
    <x v="1"/>
    <n v="4481368"/>
    <m/>
    <m/>
    <m/>
  </r>
  <r>
    <x v="15"/>
    <x v="7"/>
    <s v="F:\images\20210310\plaque 2/@03 Testo+ EE2 64/H3_01.tif "/>
    <s v=" 67117.563 "/>
    <s v=" 85.2433 "/>
    <x v="1"/>
    <n v="5721323"/>
    <m/>
    <m/>
    <m/>
  </r>
  <r>
    <x v="15"/>
    <x v="7"/>
    <s v="F:\images\20210310\plaque 2/@03 Testo+ EE2 64/H3_02.tif "/>
    <s v=" 67420.3816 "/>
    <s v=" 83.6898 "/>
    <x v="1"/>
    <n v="5642396"/>
    <m/>
    <m/>
    <m/>
  </r>
  <r>
    <x v="15"/>
    <x v="7"/>
    <s v="F:\images\20210310\plaque 2/@03 Testo+ EE2 64/H3_03.tif "/>
    <s v=" 69756.4102 "/>
    <s v=" 84.6425 "/>
    <x v="1"/>
    <n v="5904356"/>
    <m/>
    <m/>
    <m/>
  </r>
  <r>
    <x v="1"/>
    <x v="8"/>
    <s v=" "/>
    <m/>
    <m/>
    <x v="0"/>
    <m/>
    <m/>
    <m/>
    <m/>
  </r>
  <r>
    <x v="1"/>
    <x v="8"/>
    <s v="group "/>
    <s v=" "/>
    <s v=" mean of mean fluo "/>
    <x v="2"/>
    <s v=" mean of total fluo "/>
    <s v=" SD total fluo "/>
    <s v=" n fluorescent "/>
    <s v=" n total"/>
  </r>
  <r>
    <x v="15"/>
    <x v="9"/>
    <s v="F:\images\20210310\plaque 2/@03 Testo+ EE2 64/ "/>
    <s v=" "/>
    <s v=" 76.4014 "/>
    <x v="17"/>
    <s v=" 3473601.58 "/>
    <s v=" 1238439.25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6"/>
    <x v="0"/>
    <s v="F:\images\20210310\plaque 2/@04 Testo+ FAD/A4_01.tif "/>
    <s v=" 1427.573 "/>
    <s v=" 62.7121 "/>
    <x v="1"/>
    <n v="89526"/>
    <m/>
    <m/>
    <m/>
  </r>
  <r>
    <x v="16"/>
    <x v="0"/>
    <s v="F:\images\20210310\plaque 2/@04 Testo+ FAD/A4_02.tif "/>
    <s v=" 3395.8935 "/>
    <s v=" 69.3439 "/>
    <x v="1"/>
    <n v="235485"/>
    <m/>
    <m/>
    <m/>
  </r>
  <r>
    <x v="16"/>
    <x v="0"/>
    <s v="F:\images\20210310\plaque 2/@04 Testo+ FAD/A4_03.tif "/>
    <s v=" 5126.285 "/>
    <s v=" 72.9409 "/>
    <x v="1"/>
    <n v="373916"/>
    <m/>
    <m/>
    <m/>
  </r>
  <r>
    <x v="16"/>
    <x v="1"/>
    <s v="F:\images\20210310\plaque 2/@04 Testo+ FAD/B4_01.tif "/>
    <s v=" 7570.4631 "/>
    <s v=" 76.1314 "/>
    <x v="1"/>
    <n v="576350"/>
    <m/>
    <m/>
    <m/>
  </r>
  <r>
    <x v="16"/>
    <x v="1"/>
    <s v="F:\images\20210310\plaque 2/@04 Testo+ FAD/B4_02.tif "/>
    <s v=" 2617.2173 "/>
    <s v=" 67.9339 "/>
    <x v="1"/>
    <n v="177798"/>
    <m/>
    <m/>
    <m/>
  </r>
  <r>
    <x v="16"/>
    <x v="1"/>
    <s v="F:\images\20210310\plaque 2/@04 Testo+ FAD/B4_03.tif "/>
    <s v=" 1860.1709 "/>
    <s v=" 65.2558 "/>
    <x v="1"/>
    <n v="121387"/>
    <m/>
    <m/>
    <m/>
  </r>
  <r>
    <x v="16"/>
    <x v="2"/>
    <s v="F:\images\20210310\plaque 2/@04 Testo+ FAD/C4_01.tif "/>
    <s v=" 1362.6834 "/>
    <s v=" 64.4921 "/>
    <x v="1"/>
    <n v="87882"/>
    <m/>
    <m/>
    <m/>
  </r>
  <r>
    <x v="16"/>
    <x v="2"/>
    <s v="F:\images\20210310\plaque 2/@04 Testo+ FAD/C4_02.tif "/>
    <s v=" 6207.7798 "/>
    <s v=" 72.8571 "/>
    <x v="1"/>
    <n v="452281"/>
    <m/>
    <m/>
    <m/>
  </r>
  <r>
    <x v="16"/>
    <x v="2"/>
    <s v="F:\images\20210310\plaque 2/@04 Testo+ FAD/C4_03.tif "/>
    <s v=" 7137.8652 "/>
    <s v=" 74.1636 "/>
    <x v="1"/>
    <n v="529370"/>
    <m/>
    <m/>
    <m/>
  </r>
  <r>
    <x v="16"/>
    <x v="3"/>
    <s v="F:\images\20210310\plaque 2/@04 Testo+ FAD/D4_01.tif "/>
    <s v=" 5061.3953 "/>
    <s v=" 68.9103 "/>
    <x v="1"/>
    <n v="348782"/>
    <m/>
    <m/>
    <m/>
  </r>
  <r>
    <x v="16"/>
    <x v="3"/>
    <s v="F:\images\20210310\plaque 2/@04 Testo+ FAD/D4_02.tif "/>
    <s v=" 1643.872 "/>
    <s v=" 64.5 "/>
    <x v="1"/>
    <n v="106030"/>
    <m/>
    <m/>
    <m/>
  </r>
  <r>
    <x v="16"/>
    <x v="3"/>
    <s v="F:\images\20210310\plaque 2/@04 Testo+ FAD/D4_03- exclu.tif"/>
    <m/>
    <m/>
    <x v="0"/>
    <m/>
    <m/>
    <m/>
    <m/>
  </r>
  <r>
    <x v="16"/>
    <x v="4"/>
    <s v="F:\images\20210310\plaque 2/@04 Testo+ FAD/E4_01.tif "/>
    <s v=" 1622.2421 "/>
    <s v=" 68.24 "/>
    <x v="1"/>
    <n v="110702"/>
    <m/>
    <m/>
    <m/>
  </r>
  <r>
    <x v="16"/>
    <x v="4"/>
    <s v="F:\images\20210310\plaque 2/@04 Testo+ FAD/E4_02.tif "/>
    <s v=" 3028.1852 "/>
    <s v=" 68.05 "/>
    <x v="1"/>
    <n v="206068"/>
    <m/>
    <m/>
    <m/>
  </r>
  <r>
    <x v="16"/>
    <x v="4"/>
    <s v="F:\images\20210310\plaque 2/@04 Testo+ FAD/E4_03.tif "/>
    <s v=" 151.4093 "/>
    <n v="63"/>
    <x v="1"/>
    <n v="9539"/>
    <m/>
    <m/>
    <m/>
  </r>
  <r>
    <x v="16"/>
    <x v="5"/>
    <s v="F:\images\20210310\plaque 2/@04 Testo+ FAD/F4_01.tif "/>
    <s v=" 5623.7726 "/>
    <s v=" 69.4885 "/>
    <x v="1"/>
    <n v="390787"/>
    <m/>
    <m/>
    <m/>
  </r>
  <r>
    <x v="16"/>
    <x v="5"/>
    <s v="F:\images\20210310\plaque 2/@04 Testo+ FAD/F4_02.tif "/>
    <s v=" 2487.4379 "/>
    <s v=" 63.2609 "/>
    <x v="1"/>
    <n v="157357"/>
    <m/>
    <m/>
    <m/>
  </r>
  <r>
    <x v="16"/>
    <x v="5"/>
    <s v="F:\images\20210310\plaque 2/@04 Testo+ FAD/F4_03.tif "/>
    <s v=" 4520.648 "/>
    <s v=" 67.1053 "/>
    <x v="1"/>
    <n v="303359"/>
    <m/>
    <m/>
    <m/>
  </r>
  <r>
    <x v="16"/>
    <x v="6"/>
    <s v="F:\images\20210310\plaque 2/@04 Testo+ FAD/G4_01.tif "/>
    <s v=" 886.8257 "/>
    <s v=" 63.5366 "/>
    <x v="1"/>
    <n v="56346"/>
    <m/>
    <m/>
    <m/>
  </r>
  <r>
    <x v="16"/>
    <x v="6"/>
    <s v="F:\images\20210310\plaque 2/@04 Testo+ FAD/G4_02.tif "/>
    <s v=" 410.968 "/>
    <s v=" 62.2105 "/>
    <x v="1"/>
    <n v="25567"/>
    <m/>
    <m/>
    <m/>
  </r>
  <r>
    <x v="16"/>
    <x v="6"/>
    <s v="F:\images\20210310\plaque 2/@04 Testo+ FAD/G4_03.tif "/>
    <s v=" 2682.1069 "/>
    <s v=" 69.9839 "/>
    <x v="1"/>
    <n v="187704"/>
    <m/>
    <m/>
    <m/>
  </r>
  <r>
    <x v="16"/>
    <x v="7"/>
    <s v="F:\images\20210310\plaque 2/@04 Testo+ FAD/H4_01- exclu.tif"/>
    <m/>
    <m/>
    <x v="0"/>
    <m/>
    <m/>
    <m/>
    <m/>
  </r>
  <r>
    <x v="16"/>
    <x v="7"/>
    <s v="F:\images\20210310\plaque 2/@04 Testo+ FAD/H4_02.tif "/>
    <s v=" 7116.2353 "/>
    <s v=" 71.8237 "/>
    <x v="1"/>
    <n v="511114"/>
    <m/>
    <m/>
    <m/>
  </r>
  <r>
    <x v="16"/>
    <x v="7"/>
    <s v="F:\images\20210310\plaque 2/@04 Testo+ FAD/H4_03.tif "/>
    <s v=" 5796.8118 "/>
    <s v=" 69.0485 "/>
    <x v="1"/>
    <n v="400261"/>
    <m/>
    <m/>
    <m/>
  </r>
  <r>
    <x v="1"/>
    <x v="8"/>
    <s v=" "/>
    <m/>
    <m/>
    <x v="0"/>
    <m/>
    <m/>
    <m/>
    <m/>
  </r>
  <r>
    <x v="1"/>
    <x v="8"/>
    <s v="group "/>
    <s v=" "/>
    <s v=" mean of mean fluo "/>
    <x v="2"/>
    <s v=" mean of total fluo "/>
    <s v=" SD total fluo "/>
    <s v=" n fluorescent "/>
    <s v=" n total"/>
  </r>
  <r>
    <x v="16"/>
    <x v="9"/>
    <s v="F:\images\20210310\plaque 2/@04 Testo+ FAD/ "/>
    <s v=" "/>
    <s v=" 68.296 "/>
    <x v="18"/>
    <n v="263380"/>
    <s v=" 191750.14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7"/>
    <x v="0"/>
    <s v="F:\images\20210310\plaque 2/@05 Amantadine 0.001 mg_L dopé/A5_01.tif "/>
    <s v=" 7851.6518 "/>
    <s v=" 64.4628 "/>
    <x v="1"/>
    <n v="506140"/>
    <m/>
    <m/>
    <m/>
  </r>
  <r>
    <x v="17"/>
    <x v="0"/>
    <s v="F:\images\20210310\plaque 2/@05 Amantadine 0.001 mg_L dopé/A5_02.tif "/>
    <s v=" 18493.5599 "/>
    <s v=" 71.6164 "/>
    <x v="1"/>
    <n v="1324442"/>
    <m/>
    <m/>
    <m/>
  </r>
  <r>
    <x v="17"/>
    <x v="0"/>
    <s v="F:\images\20210310\plaque 2/@05 Amantadine 0.001 mg_L dopé/A5_03.tif "/>
    <s v=" 14513.6593 "/>
    <s v=" 73.389 "/>
    <x v="1"/>
    <n v="1065143"/>
    <m/>
    <m/>
    <m/>
  </r>
  <r>
    <x v="17"/>
    <x v="1"/>
    <s v="F:\images\20210310\plaque 2/@05 Amantadine 0.001 mg_L dopé/B5_01.tif "/>
    <s v=" 37181.7889 "/>
    <s v=" 68.413 "/>
    <x v="1"/>
    <n v="2543719"/>
    <m/>
    <m/>
    <m/>
  </r>
  <r>
    <x v="17"/>
    <x v="1"/>
    <s v="F:\images\20210310\plaque 2/@05 Amantadine 0.001 mg_L dopé/B5_02.tif "/>
    <s v=" 38977.0701 "/>
    <s v=" 72.3324 "/>
    <x v="1"/>
    <n v="2819305"/>
    <m/>
    <m/>
    <m/>
  </r>
  <r>
    <x v="17"/>
    <x v="1"/>
    <s v="F:\images\20210310\plaque 2/@05 Amantadine 0.001 mg_L dopé/B5_03.tif "/>
    <s v=" 32596.2512 "/>
    <s v=" 68.347 "/>
    <x v="1"/>
    <n v="2227858"/>
    <m/>
    <m/>
    <m/>
  </r>
  <r>
    <x v="17"/>
    <x v="2"/>
    <s v="F:\images\20210310\plaque 2/@05 Amantadine 0.001 mg_L dopé/C5_01.tif "/>
    <s v=" 50786.9926 "/>
    <s v=" 70.6563 "/>
    <x v="1"/>
    <n v="3588421"/>
    <m/>
    <m/>
    <m/>
  </r>
  <r>
    <x v="17"/>
    <x v="2"/>
    <s v="F:\images\20210310\plaque 2/@05 Amantadine 0.001 mg_L dopé/C5_02.tif "/>
    <s v=" 50484.1741 "/>
    <s v=" 68.9122 "/>
    <x v="1"/>
    <n v="3478974"/>
    <m/>
    <m/>
    <m/>
  </r>
  <r>
    <x v="17"/>
    <x v="2"/>
    <s v="F:\images\20210310\plaque 2/@05 Amantadine 0.001 mg_L dopé/C5_03- exclu.tif"/>
    <m/>
    <m/>
    <x v="0"/>
    <m/>
    <m/>
    <m/>
    <m/>
  </r>
  <r>
    <x v="17"/>
    <x v="3"/>
    <s v="F:\images\20210310\plaque 2/@05 Amantadine 0.001 mg_L dopé/D5_01.tif "/>
    <s v=" 51392.6296 "/>
    <s v=" 75.2252 "/>
    <x v="1"/>
    <n v="3866019"/>
    <m/>
    <m/>
    <m/>
  </r>
  <r>
    <x v="17"/>
    <x v="3"/>
    <s v="F:\images\20210310\plaque 2/@05 Amantadine 0.001 mg_L dopé/D5_02.tif "/>
    <s v=" 52301.0852 "/>
    <s v=" 73.1369 "/>
    <x v="1"/>
    <n v="3825139"/>
    <m/>
    <m/>
    <m/>
  </r>
  <r>
    <x v="17"/>
    <x v="3"/>
    <s v="F:\images\20210310\plaque 2/@05 Amantadine 0.001 mg_L dopé/D5_03.tif "/>
    <s v=" 47693.9177 "/>
    <s v=" 72.8345 "/>
    <x v="1"/>
    <n v="3473761"/>
    <m/>
    <m/>
    <m/>
  </r>
  <r>
    <x v="17"/>
    <x v="4"/>
    <s v="F:\images\20210310\plaque 2/@05 Amantadine 0.001 mg_L dopé/E5_01.tif "/>
    <s v=" 5645.4025 "/>
    <s v=" 67.2529 "/>
    <x v="1"/>
    <n v="379670"/>
    <m/>
    <m/>
    <m/>
  </r>
  <r>
    <x v="17"/>
    <x v="4"/>
    <s v="F:\images\20210310\plaque 2/@05 Amantadine 0.001 mg_L dopé/E5_02.tif "/>
    <s v=" 1860.1709 "/>
    <s v=" 62.7791 "/>
    <x v="1"/>
    <n v="116780"/>
    <m/>
    <m/>
    <m/>
  </r>
  <r>
    <x v="17"/>
    <x v="4"/>
    <s v="F:\images\20210310\plaque 2/@05 Amantadine 0.001 mg_L dopé/E5_03.tif "/>
    <s v=" 4369.2387 "/>
    <s v=" 65.4752 "/>
    <x v="1"/>
    <n v="286077"/>
    <m/>
    <m/>
    <m/>
  </r>
  <r>
    <x v="17"/>
    <x v="5"/>
    <s v="F:\images\20210310\plaque 2/@05 Amantadine 0.001 mg_L dopé/F5_01.tif "/>
    <s v=" 52690.4233 "/>
    <s v=" 72.1108 "/>
    <x v="1"/>
    <n v="3799551"/>
    <m/>
    <m/>
    <m/>
  </r>
  <r>
    <x v="17"/>
    <x v="5"/>
    <s v="F:\images\20210310\plaque 2/@05 Amantadine 0.001 mg_L dopé/F5_02.tif "/>
    <s v=" 51868.4873 "/>
    <s v=" 73.0096 "/>
    <x v="1"/>
    <n v="3786897"/>
    <m/>
    <m/>
    <m/>
  </r>
  <r>
    <x v="17"/>
    <x v="5"/>
    <s v="F:\images\20210310\plaque 2/@05 Amantadine 0.001 mg_L dopé/F5_03.tif "/>
    <s v=" 49640.6082 "/>
    <s v=" 71.6998 "/>
    <x v="1"/>
    <n v="3559221"/>
    <m/>
    <m/>
    <m/>
  </r>
  <r>
    <x v="17"/>
    <x v="6"/>
    <s v="F:\images\20210310\plaque 2/@05 Amantadine 0.001 mg_L dopé/G5_01.tif "/>
    <s v=" 33374.9274 "/>
    <s v=" 67.4504 "/>
    <x v="1"/>
    <n v="2251153"/>
    <m/>
    <m/>
    <m/>
  </r>
  <r>
    <x v="17"/>
    <x v="6"/>
    <s v="F:\images\20210310\plaque 2/@05 Amantadine 0.001 mg_L dopé/G5_02.tif "/>
    <s v=" 31644.5358 "/>
    <s v=" 67.7532 "/>
    <x v="1"/>
    <n v="2144020"/>
    <m/>
    <m/>
    <m/>
  </r>
  <r>
    <x v="17"/>
    <x v="6"/>
    <s v="F:\images\20210310\plaque 2/@05 Amantadine 0.001 mg_L dopé/G5_03.tif "/>
    <s v=" 27469.9662 "/>
    <s v=" 66.0512 "/>
    <x v="1"/>
    <n v="1814424"/>
    <m/>
    <m/>
    <m/>
  </r>
  <r>
    <x v="17"/>
    <x v="7"/>
    <s v="F:\images\20210310\plaque 2/@05 Amantadine 0.001 mg_L dopé/H5_01.tif "/>
    <s v=" 5104.6551 "/>
    <s v=" 64.4449 "/>
    <x v="1"/>
    <n v="328969"/>
    <m/>
    <m/>
    <m/>
  </r>
  <r>
    <x v="17"/>
    <x v="7"/>
    <s v="F:\images\20210310\plaque 2/@05 Amantadine 0.001 mg_L dopé/H5_02.tif "/>
    <s v=" 5753.552 "/>
    <s v=" 65.3459 "/>
    <x v="1"/>
    <n v="375971"/>
    <m/>
    <m/>
    <m/>
  </r>
  <r>
    <x v="17"/>
    <x v="7"/>
    <s v="F:\images\20210310\plaque 2/@05 Amantadine 0.001 mg_L dopé/H5_03.tif "/>
    <s v=" 1600.6122 "/>
    <s v=" 63.2838 "/>
    <x v="1"/>
    <n v="101293"/>
    <m/>
    <m/>
    <m/>
  </r>
  <r>
    <x v="1"/>
    <x v="8"/>
    <s v=" "/>
    <m/>
    <m/>
    <x v="0"/>
    <m/>
    <m/>
    <m/>
    <m/>
  </r>
  <r>
    <x v="1"/>
    <x v="8"/>
    <s v="group "/>
    <s v=" "/>
    <s v=" mean of mean fluo "/>
    <x v="2"/>
    <s v=" mean of total fluo "/>
    <s v=" SD total fluo "/>
    <s v=" n fluorescent "/>
    <s v=" n total"/>
  </r>
  <r>
    <x v="17"/>
    <x v="9"/>
    <s v="F:\images\20210310\plaque 2/@05 Amantadine 0.001 mg_L dopé/ "/>
    <s v=" "/>
    <s v=" 68.6868 "/>
    <x v="19"/>
    <s v=" 1987533.29 "/>
    <s v=" 1463287.99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8"/>
    <x v="0"/>
    <s v="F:\images\20210310\plaque 2/@06  Amantadine 0.01 mg_LLdopé/A6_01.tif "/>
    <s v=" 55004.822 "/>
    <s v=" 71.6929 "/>
    <x v="1"/>
    <n v="3943454"/>
    <m/>
    <m/>
    <m/>
  </r>
  <r>
    <x v="18"/>
    <x v="0"/>
    <s v="F:\images\20210310\plaque 2/@06  Amantadine 0.01 mg_LLdopé/A6_02.tif "/>
    <s v=" 53187.9109 "/>
    <s v=" 70.5059 "/>
    <x v="1"/>
    <n v="3750061"/>
    <m/>
    <m/>
    <m/>
  </r>
  <r>
    <x v="18"/>
    <x v="0"/>
    <s v="F:\images\20210310\plaque 2/@06  Amantadine 0.01 mg_LLdopé/A6_03.tif "/>
    <s v=" 52149.676 "/>
    <s v=" 71.4927 "/>
    <x v="1"/>
    <n v="3728323"/>
    <m/>
    <m/>
    <m/>
  </r>
  <r>
    <x v="18"/>
    <x v="1"/>
    <s v="F:\images\20210310\plaque 2/@06  Amantadine 0.01 mg_LLdopé/B6_01.tif "/>
    <s v=" 5818.4417 "/>
    <s v=" 78.2528 "/>
    <x v="1"/>
    <n v="455309"/>
    <m/>
    <m/>
    <m/>
  </r>
  <r>
    <x v="18"/>
    <x v="1"/>
    <s v="F:\images\20210310\plaque 2/@06  Amantadine 0.01 mg_LLdopé/B6_02.tif "/>
    <s v=" 6013.1107 "/>
    <s v=" 73.2878 "/>
    <x v="1"/>
    <n v="440687"/>
    <m/>
    <m/>
    <m/>
  </r>
  <r>
    <x v="18"/>
    <x v="1"/>
    <s v="F:\images\20210310\plaque 2/@06  Amantadine 0.01 mg_LLdopé/B6_03.tif "/>
    <s v=" 4023.1604 "/>
    <s v=" 70.2742 "/>
    <x v="1"/>
    <n v="282724"/>
    <m/>
    <m/>
    <m/>
  </r>
  <r>
    <x v="18"/>
    <x v="2"/>
    <s v="F:\images\20210310\plaque 2/@06  Amantadine 0.01 mg_LLdopé/C6_01.tif "/>
    <s v=" 2617.2173 "/>
    <s v=" 63.5785 "/>
    <x v="1"/>
    <n v="166399"/>
    <m/>
    <m/>
    <m/>
  </r>
  <r>
    <x v="18"/>
    <x v="2"/>
    <s v="F:\images\20210310\plaque 2/@06  Amantadine 0.01 mg_LLdopé/C6_02.tif "/>
    <s v=" 3114.7048 "/>
    <s v=" 63.7917 "/>
    <x v="1"/>
    <n v="198692"/>
    <m/>
    <m/>
    <m/>
  </r>
  <r>
    <x v="18"/>
    <x v="2"/>
    <s v="F:\images\20210310\plaque 2/@06  Amantadine 0.01 mg_LLdopé/C6_03.tif "/>
    <s v=" 3936.6408 "/>
    <s v=" 64.1484 "/>
    <x v="1"/>
    <n v="252529"/>
    <m/>
    <m/>
    <m/>
  </r>
  <r>
    <x v="18"/>
    <x v="3"/>
    <s v="F:\images\20210310\plaque 2/@06  Amantadine 0.01 mg_LLdopé/D6_01- exclu.tif"/>
    <m/>
    <m/>
    <x v="0"/>
    <m/>
    <m/>
    <m/>
    <m/>
  </r>
  <r>
    <x v="18"/>
    <x v="3"/>
    <s v="F:\images\20210310\plaque 2/@06  Amantadine 0.01 mg_LLdopé/D6_02- exclu.tif"/>
    <m/>
    <m/>
    <x v="0"/>
    <m/>
    <m/>
    <m/>
    <m/>
  </r>
  <r>
    <x v="18"/>
    <x v="3"/>
    <s v="F:\images\20210310\plaque 2/@06  Amantadine 0.01 mg_LLdopé/D6_03- exclu.tif"/>
    <m/>
    <m/>
    <x v="0"/>
    <m/>
    <m/>
    <m/>
    <m/>
  </r>
  <r>
    <x v="18"/>
    <x v="4"/>
    <s v="F:\images\20210310\plaque 2/@06  Amantadine 0.01 mg_LLdopé/E6_01.tif "/>
    <s v=" 48905.1918 "/>
    <s v=" 75.912 "/>
    <x v="1"/>
    <n v="3712490"/>
    <m/>
    <m/>
    <m/>
  </r>
  <r>
    <x v="18"/>
    <x v="4"/>
    <s v="F:\images\20210310\plaque 2/@06  Amantadine 0.01 mg_LLdopé/E6_02.tif "/>
    <s v=" 47218.06 "/>
    <s v=" 73.8965 "/>
    <x v="1"/>
    <n v="3489248"/>
    <m/>
    <m/>
    <m/>
  </r>
  <r>
    <x v="18"/>
    <x v="4"/>
    <s v="F:\images\20210310\plaque 2/@06  Amantadine 0.01 mg_LLdopé/E6_03.tif "/>
    <s v=" 48688.8928 "/>
    <s v=" 73.3985 "/>
    <x v="1"/>
    <n v="3573691"/>
    <m/>
    <m/>
    <m/>
  </r>
  <r>
    <x v="18"/>
    <x v="5"/>
    <s v="F:\images\20210310\plaque 2/@06  Amantadine 0.01 mg_LLdopé/F6_01.tif "/>
    <s v=" 47088.2806 "/>
    <s v=" 68.5595 "/>
    <x v="1"/>
    <n v="3228348"/>
    <m/>
    <m/>
    <m/>
  </r>
  <r>
    <x v="18"/>
    <x v="5"/>
    <s v="F:\images\20210310\plaque 2/@06  Amantadine 0.01 mg_LLdopé/F6_02- exclu.tif"/>
    <m/>
    <m/>
    <x v="0"/>
    <m/>
    <m/>
    <m/>
    <m/>
  </r>
  <r>
    <x v="18"/>
    <x v="5"/>
    <s v="F:\images\20210310\plaque 2/@06  Amantadine 0.01 mg_LLdopé/F6_03.tif "/>
    <s v=" 42286.444 "/>
    <s v=" 68.8276 "/>
    <x v="1"/>
    <n v="2910475"/>
    <m/>
    <m/>
    <m/>
  </r>
  <r>
    <x v="18"/>
    <x v="6"/>
    <s v="F:\images\20210310\plaque 2/@06  Amantadine 0.01 mg_LLdopé/G6_01.tif "/>
    <s v=" 33158.6285 "/>
    <s v=" 67.9185 "/>
    <x v="1"/>
    <n v="2252083"/>
    <m/>
    <m/>
    <m/>
  </r>
  <r>
    <x v="18"/>
    <x v="6"/>
    <s v="F:\images\20210310\plaque 2/@06  Amantadine 0.01 mg_LLdopé/G6_02.tif "/>
    <s v=" 34023.8243 "/>
    <s v=" 67.644 "/>
    <x v="1"/>
    <n v="2301507"/>
    <m/>
    <m/>
    <m/>
  </r>
  <r>
    <x v="18"/>
    <x v="6"/>
    <s v="F:\images\20210310\plaque 2/@06  Amantadine 0.01 mg_LLdopé/G6_03.tif "/>
    <s v=" 26020.7632 "/>
    <s v=" 66.9094 "/>
    <x v="1"/>
    <n v="1741033"/>
    <m/>
    <m/>
    <m/>
  </r>
  <r>
    <x v="18"/>
    <x v="7"/>
    <s v="F:\images\20210310\plaque 2/@06  Amantadine 0.01 mg_LLdopé/H6_01.tif "/>
    <s v=" 64630.1252 "/>
    <s v=" 73.3772 "/>
    <x v="1"/>
    <n v="4742376"/>
    <m/>
    <m/>
    <m/>
  </r>
  <r>
    <x v="18"/>
    <x v="7"/>
    <s v="F:\images\20210310\plaque 2/@06  Amantadine 0.01 mg_LLdopé/H6_02.tif "/>
    <s v=" 56497.2848 "/>
    <s v=" 72.4334 "/>
    <x v="1"/>
    <n v="4092290"/>
    <m/>
    <m/>
    <m/>
  </r>
  <r>
    <x v="18"/>
    <x v="7"/>
    <s v="F:\images\20210310\plaque 2/@06  Amantadine 0.01 mg_LLdopé/H6_03.tif "/>
    <s v=" 59287.5412 "/>
    <s v=" 74.0551 "/>
    <x v="1"/>
    <n v="4390544"/>
    <m/>
    <m/>
    <m/>
  </r>
  <r>
    <x v="1"/>
    <x v="8"/>
    <s v=" "/>
    <m/>
    <m/>
    <x v="0"/>
    <m/>
    <m/>
    <m/>
    <m/>
  </r>
  <r>
    <x v="1"/>
    <x v="8"/>
    <s v="group "/>
    <s v=" "/>
    <s v=" mean of mean fluo "/>
    <x v="2"/>
    <s v=" mean of total fluo "/>
    <s v=" SD total fluo "/>
    <s v=" n fluorescent "/>
    <s v=" n total"/>
  </r>
  <r>
    <x v="18"/>
    <x v="9"/>
    <s v="F:\images\20210310\plaque 2/@06  Amantadine 0.01 mg_LLdopé/ "/>
    <s v=" "/>
    <s v=" 70.1041 "/>
    <x v="20"/>
    <s v=" 2200239.62 "/>
    <s v=" 1649738.1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9"/>
    <x v="0"/>
    <s v="F:\images\20210310\plaque 2/@07  Amantadine 0.1 mg_Ldopé/A7_01.tif "/>
    <s v=" 23641.4748 "/>
    <s v=" 66.1436 "/>
    <x v="1"/>
    <n v="1563733"/>
    <m/>
    <m/>
    <m/>
  </r>
  <r>
    <x v="19"/>
    <x v="0"/>
    <s v="F:\images\20210310\plaque 2/@07  Amantadine 0.1 mg_Ldopé/A7_02.tif "/>
    <s v=" 25566.5355 "/>
    <s v=" 67.1717 "/>
    <x v="1"/>
    <n v="1717349"/>
    <m/>
    <m/>
    <m/>
  </r>
  <r>
    <x v="19"/>
    <x v="0"/>
    <s v="F:\images\20210310\plaque 2/@07  Amantadine 0.1 mg_Ldopé/A7_03.tif "/>
    <s v=" 24052.4428 "/>
    <s v=" 66.5998 "/>
    <x v="1"/>
    <n v="1601888"/>
    <m/>
    <m/>
    <m/>
  </r>
  <r>
    <x v="19"/>
    <x v="1"/>
    <s v="F:\images\20210310\plaque 2/@07  Amantadine 0.1 mg_Ldopé/B7_01.tif "/>
    <s v=" 60282.5163 "/>
    <s v=" 75.409 "/>
    <x v="1"/>
    <n v="4545847"/>
    <m/>
    <m/>
    <m/>
  </r>
  <r>
    <x v="19"/>
    <x v="1"/>
    <s v="F:\images\20210310\plaque 2/@07  Amantadine 0.1 mg_Ldopé/B7_02.tif "/>
    <s v=" 36727.5611 "/>
    <s v=" 72.9682 "/>
    <x v="1"/>
    <n v="2679944"/>
    <m/>
    <m/>
    <m/>
  </r>
  <r>
    <x v="19"/>
    <x v="1"/>
    <s v="F:\images\20210310\plaque 2/@07  Amantadine 0.1 mg_Ldopé/B7_03.tif "/>
    <s v=" 41421.2482 "/>
    <s v=" 76.0538 "/>
    <x v="1"/>
    <n v="3150243"/>
    <m/>
    <m/>
    <m/>
  </r>
  <r>
    <x v="19"/>
    <x v="2"/>
    <s v="F:\images\20210310\plaque 2/@07  Amantadine 0.1 mg_Ldopé/C7_01.tif "/>
    <s v=" 51197.9606 "/>
    <s v=" 72.1931 "/>
    <x v="1"/>
    <n v="3696138"/>
    <m/>
    <m/>
    <m/>
  </r>
  <r>
    <x v="19"/>
    <x v="2"/>
    <s v="F:\images\20210310\plaque 2/@07  Amantadine 0.1 mg_Ldopé/C7_02.tif "/>
    <s v=" 38912.1804 "/>
    <s v=" 67.861 "/>
    <x v="1"/>
    <n v="2640621"/>
    <m/>
    <m/>
    <m/>
  </r>
  <r>
    <x v="19"/>
    <x v="2"/>
    <s v="F:\images\20210310\plaque 2/@07  Amantadine 0.1 mg_Ldopé/C7_03.tif "/>
    <s v=" 28832.6495 "/>
    <s v=" 67.3008 "/>
    <x v="1"/>
    <n v="1940461"/>
    <m/>
    <m/>
    <m/>
  </r>
  <r>
    <x v="19"/>
    <x v="3"/>
    <s v="F:\images\20210310\plaque 2/@07  Amantadine 0.1 mg_Ldopé/D7_01.tif "/>
    <s v=" 45228.1097 "/>
    <s v=" 70.2903 "/>
    <x v="1"/>
    <n v="3179097"/>
    <m/>
    <m/>
    <m/>
  </r>
  <r>
    <x v="19"/>
    <x v="3"/>
    <s v="F:\images\20210310\plaque 2/@07  Amantadine 0.1 mg_Ldopé/D7_02.tif "/>
    <s v=" 48645.633 "/>
    <s v=" 72.8377 "/>
    <x v="1"/>
    <n v="3543236"/>
    <m/>
    <m/>
    <m/>
  </r>
  <r>
    <x v="19"/>
    <x v="3"/>
    <s v="F:\images\20210310\plaque 2/@07  Amantadine 0.1 mg_Ldopé/D7_03.tif "/>
    <s v=" 46482.6436 "/>
    <s v=" 72.7483 "/>
    <x v="1"/>
    <n v="3381531"/>
    <m/>
    <m/>
    <m/>
  </r>
  <r>
    <x v="19"/>
    <x v="4"/>
    <s v="F:\images\20210310\plaque 2/@07  Amantadine 0.1 mg_Ldopé/E7_01.tif "/>
    <s v=" 21867.8235 "/>
    <s v=" 66.7784 "/>
    <x v="1"/>
    <n v="1460299"/>
    <m/>
    <m/>
    <m/>
  </r>
  <r>
    <x v="19"/>
    <x v="4"/>
    <s v="F:\images\20210310\plaque 2/@07  Amantadine 0.1 mg_Ldopé/E7_02.tif "/>
    <s v=" 22170.642 "/>
    <s v=" 65.2195 "/>
    <x v="1"/>
    <n v="1445958"/>
    <m/>
    <m/>
    <m/>
  </r>
  <r>
    <x v="19"/>
    <x v="4"/>
    <s v="F:\images\20210310\plaque 2/@07  Amantadine 0.1 mg_Ldopé/E7_03.tif "/>
    <s v=" 23079.0976 "/>
    <s v=" 65.6504 "/>
    <x v="1"/>
    <n v="1515152"/>
    <m/>
    <m/>
    <m/>
  </r>
  <r>
    <x v="19"/>
    <x v="5"/>
    <s v="F:\images\20210310\plaque 2/@07  Amantadine 0.1 mg_Ldopé/F7_01.tif "/>
    <s v=" 44471.0634 "/>
    <s v=" 76.9557 "/>
    <x v="1"/>
    <n v="3422304"/>
    <m/>
    <m/>
    <m/>
  </r>
  <r>
    <x v="19"/>
    <x v="5"/>
    <s v="F:\images\20210310\plaque 2/@07  Amantadine 0.1 mg_Ldopé/F7_02.tif "/>
    <s v=" 36878.9703 "/>
    <s v=" 80.6399 "/>
    <x v="1"/>
    <n v="2973916"/>
    <m/>
    <m/>
    <m/>
  </r>
  <r>
    <x v="19"/>
    <x v="5"/>
    <s v="F:\images\20210310\plaque 2/@07  Amantadine 0.1 mg_Ldopé/F7_03.tif "/>
    <s v=" 33050.479 "/>
    <s v=" 78.3416 "/>
    <x v="1"/>
    <n v="2589228"/>
    <m/>
    <m/>
    <m/>
  </r>
  <r>
    <x v="19"/>
    <x v="6"/>
    <s v="F:\images\20210310\plaque 2/@07  Amantadine 0.1 mg_Ldopé/G7_01.tif "/>
    <s v=" 24225.482 "/>
    <s v=" 67.4161 "/>
    <x v="1"/>
    <n v="1633187"/>
    <m/>
    <m/>
    <m/>
  </r>
  <r>
    <x v="19"/>
    <x v="6"/>
    <s v="F:\images\20210310\plaque 2/@07  Amantadine 0.1 mg_Ldopé/G7_02.tif "/>
    <s v=" 23857.7738 "/>
    <s v=" 67.913 "/>
    <x v="1"/>
    <n v="1620252"/>
    <m/>
    <m/>
    <m/>
  </r>
  <r>
    <x v="19"/>
    <x v="6"/>
    <s v="F:\images\20210310\plaque 2/@07  Amantadine 0.1 mg_Ldopé/G7_03.tif "/>
    <s v=" 29676.2154 "/>
    <s v=" 67.7638 "/>
    <x v="1"/>
    <n v="2010975"/>
    <m/>
    <m/>
    <m/>
  </r>
  <r>
    <x v="19"/>
    <x v="7"/>
    <s v="F:\images\20210310\plaque 2/@07  Amantadine 0.1 mg_Ldopé/H7_01.tif "/>
    <s v=" 41399.6183 "/>
    <s v=" 69.1761 "/>
    <x v="1"/>
    <n v="2863863"/>
    <m/>
    <m/>
    <m/>
  </r>
  <r>
    <x v="19"/>
    <x v="7"/>
    <s v="F:\images\20210310\plaque 2/@07  Amantadine 0.1 mg_Ldopé/H7_02.tif "/>
    <s v=" 41659.1771 "/>
    <s v=" 69.4258 "/>
    <x v="1"/>
    <n v="2892220"/>
    <m/>
    <m/>
    <m/>
  </r>
  <r>
    <x v="19"/>
    <x v="7"/>
    <s v="F:\images\20210310\plaque 2/@07  Amantadine 0.1 mg_Ldopé/H7_03.tif "/>
    <s v=" 42719.0419 "/>
    <s v=" 70.4197 "/>
    <x v="1"/>
    <n v="3008264"/>
    <m/>
    <m/>
    <m/>
  </r>
  <r>
    <x v="1"/>
    <x v="8"/>
    <s v=" "/>
    <m/>
    <m/>
    <x v="0"/>
    <m/>
    <m/>
    <m/>
    <m/>
  </r>
  <r>
    <x v="1"/>
    <x v="8"/>
    <s v="group "/>
    <s v=" "/>
    <s v=" mean of mean fluo "/>
    <x v="2"/>
    <s v=" mean of total fluo "/>
    <s v=" SD total fluo "/>
    <s v=" n fluorescent "/>
    <s v=" n total"/>
  </r>
  <r>
    <x v="19"/>
    <x v="9"/>
    <s v="F:\images\20210310\plaque 2/@07  Amantadine 0.1 mg_Ldopé/ "/>
    <s v=" "/>
    <s v=" 70.5532 "/>
    <x v="21"/>
    <s v=" 2544821.08 "/>
    <s v=" 873089.79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0"/>
    <x v="0"/>
    <s v="F:\images\20210310\plaque 2/@08  TAmantadine 1 mg_Ldopé/A8_01.tif "/>
    <s v=" 41724.0667 "/>
    <s v=" 73.5671 "/>
    <x v="1"/>
    <n v="3069520"/>
    <m/>
    <m/>
    <m/>
  </r>
  <r>
    <x v="20"/>
    <x v="0"/>
    <s v="F:\images\20210310\plaque 2/@08  TAmantadine 1 mg_Ldopé/A8_02.tif "/>
    <s v=" 27924.194 "/>
    <s v=" 73.3633 "/>
    <x v="1"/>
    <n v="2048611"/>
    <m/>
    <m/>
    <m/>
  </r>
  <r>
    <x v="20"/>
    <x v="0"/>
    <s v="F:\images\20210310\plaque 2/@08  TAmantadine 1 mg_Ldopé/A8_03.tif "/>
    <s v=" 30584.671 "/>
    <s v=" 74.0078 "/>
    <x v="1"/>
    <n v="2263504"/>
    <m/>
    <m/>
    <m/>
  </r>
  <r>
    <x v="20"/>
    <x v="1"/>
    <s v="F:\images\20210310\plaque 2/@08  TAmantadine 1 mg_Ldopé/B8_01.tif "/>
    <s v=" 42394.5935 "/>
    <s v=" 72.1551 "/>
    <x v="1"/>
    <n v="3058986"/>
    <m/>
    <m/>
    <m/>
  </r>
  <r>
    <x v="20"/>
    <x v="1"/>
    <s v="F:\images\20210310\plaque 2/@08  TAmantadine 1 mg_Ldopé/B8_02.tif "/>
    <s v=" 40339.7535 "/>
    <s v=" 69.7099 "/>
    <x v="1"/>
    <n v="2812081"/>
    <m/>
    <m/>
    <m/>
  </r>
  <r>
    <x v="20"/>
    <x v="1"/>
    <s v="F:\images\20210310\plaque 2/@08  TAmantadine 1 mg_Ldopé/B8_03.tif "/>
    <s v=" 40880.5008 "/>
    <s v=" 71.0915 "/>
    <x v="1"/>
    <n v="2906258"/>
    <m/>
    <m/>
    <m/>
  </r>
  <r>
    <x v="20"/>
    <x v="2"/>
    <s v="F:\images\20210310\plaque 2/@08  TAmantadine 1 mg_Ldopé/C8_01.tif "/>
    <s v=" 56670.3239 "/>
    <s v=" 76.0637 "/>
    <x v="1"/>
    <n v="4310557"/>
    <m/>
    <m/>
    <m/>
  </r>
  <r>
    <x v="20"/>
    <x v="2"/>
    <s v="F:\images\20210310\plaque 2/@08  TAmantadine 1 mg_Ldopé/C8_02.tif "/>
    <s v=" 51479.1492 "/>
    <s v=" 70.9378 "/>
    <x v="1"/>
    <n v="3651818"/>
    <m/>
    <m/>
    <m/>
  </r>
  <r>
    <x v="20"/>
    <x v="2"/>
    <s v="F:\images\20210310\plaque 2/@08  TAmantadine 1 mg_Ldopé/C8_03.tif "/>
    <s v=" 57081.2919 "/>
    <s v=" 72.0845 "/>
    <x v="1"/>
    <n v="4114676"/>
    <m/>
    <m/>
    <m/>
  </r>
  <r>
    <x v="20"/>
    <x v="3"/>
    <s v="F:\images\20210310\plaque 2/@08  TAmantadine 1 mg_Ldopé/D8_01.tif "/>
    <s v=" 53923.3273 "/>
    <s v=" 73.4156 "/>
    <x v="1"/>
    <n v="3958811"/>
    <m/>
    <m/>
    <m/>
  </r>
  <r>
    <x v="20"/>
    <x v="3"/>
    <s v="F:\images\20210310\plaque 2/@08  TAmantadine 1 mg_Ldopé/D8_02.tif "/>
    <s v=" 50570.6936 "/>
    <s v=" 73.7733 "/>
    <x v="1"/>
    <n v="3730767"/>
    <m/>
    <m/>
    <m/>
  </r>
  <r>
    <x v="20"/>
    <x v="3"/>
    <s v="F:\images\20210310\plaque 2/@08  TAmantadine 1 mg_Ldopé/D8_03.tif "/>
    <s v=" 48905.1918 "/>
    <s v=" 72.0358 "/>
    <x v="1"/>
    <n v="3522926"/>
    <m/>
    <m/>
    <m/>
  </r>
  <r>
    <x v="20"/>
    <x v="4"/>
    <s v="F:\images\20210310\plaque 2/@08  TAmantadine 1 mg_Ldopé/E8_01.tif "/>
    <s v=" 61126.0822 "/>
    <s v=" 74.7332 "/>
    <x v="1"/>
    <n v="4568147"/>
    <m/>
    <m/>
    <m/>
  </r>
  <r>
    <x v="20"/>
    <x v="4"/>
    <s v="F:\images\20210310\plaque 2/@08  TAmantadine 1 mg_Ldopé/E8_02.tif "/>
    <s v=" 59157.7618 "/>
    <s v=" 74.6384 "/>
    <x v="1"/>
    <n v="4415440"/>
    <m/>
    <m/>
    <m/>
  </r>
  <r>
    <x v="20"/>
    <x v="4"/>
    <s v="F:\images\20210310\plaque 2/@08  TAmantadine 1 mg_Ldopé/E8_03.tif "/>
    <s v=" 67290.6022 "/>
    <s v=" 74.5365 "/>
    <x v="1"/>
    <n v="5015605"/>
    <m/>
    <m/>
    <m/>
  </r>
  <r>
    <x v="20"/>
    <x v="5"/>
    <s v="F:\images\20210310\plaque 2/@08  TAmantadine 1 mg_Ldopé/F8_01.tif "/>
    <s v=" 59568.7298 "/>
    <s v=" 72.6412 "/>
    <x v="1"/>
    <n v="4327147"/>
    <m/>
    <m/>
    <m/>
  </r>
  <r>
    <x v="20"/>
    <x v="5"/>
    <s v="F:\images\20210310\plaque 2/@08  TAmantadine 1 mg_Ldopé/F8_02.tif "/>
    <s v=" 56259.3559 "/>
    <s v=" 72.1123 "/>
    <x v="1"/>
    <n v="4056990"/>
    <m/>
    <m/>
    <m/>
  </r>
  <r>
    <x v="20"/>
    <x v="5"/>
    <s v="F:\images\20210310\plaque 2/@08  TAmantadine 1 mg_Ldopé/F8_03.tif "/>
    <s v=" 53382.5799 "/>
    <s v=" 71.9015 "/>
    <x v="1"/>
    <n v="3838290"/>
    <m/>
    <m/>
    <m/>
  </r>
  <r>
    <x v="20"/>
    <x v="6"/>
    <s v="F:\images\20210310\plaque 2/@08  TAmantadine 1 mg_Ldopé/G8_01.tif "/>
    <s v=" 5450.7334 "/>
    <s v=" 66.5238 "/>
    <x v="1"/>
    <n v="362604"/>
    <m/>
    <m/>
    <m/>
  </r>
  <r>
    <x v="20"/>
    <x v="6"/>
    <s v="F:\images\20210310\plaque 2/@08  TAmantadine 1 mg_Ldopé/G8_02.tif "/>
    <s v=" 2336.0286 "/>
    <s v=" 64.0833 "/>
    <x v="1"/>
    <n v="149701"/>
    <m/>
    <m/>
    <m/>
  </r>
  <r>
    <x v="20"/>
    <x v="6"/>
    <s v="F:\images\20210310\plaque 2/@08  TAmantadine 1 mg_Ldopé/G8_03.tif "/>
    <s v=" 2509.0678 "/>
    <s v=" 63.6552 "/>
    <x v="1"/>
    <n v="159715"/>
    <m/>
    <m/>
    <m/>
  </r>
  <r>
    <x v="20"/>
    <x v="7"/>
    <s v="F:\images\20210310\plaque 2/@08  TAmantadine 1 mg_Ldopé/H8_01.tif "/>
    <s v=" 36294.9632 "/>
    <s v=" 69.6478 "/>
    <x v="1"/>
    <n v="2527864"/>
    <m/>
    <m/>
    <m/>
  </r>
  <r>
    <x v="20"/>
    <x v="7"/>
    <s v="F:\images\20210310\plaque 2/@08  TAmantadine 1 mg_Ldopé/H8_02.tif "/>
    <s v=" 44946.921 "/>
    <s v=" 69.5053 "/>
    <x v="1"/>
    <n v="3124049"/>
    <m/>
    <m/>
    <m/>
  </r>
  <r>
    <x v="20"/>
    <x v="7"/>
    <s v="F:\images\20210310\plaque 2/@08  TAmantadine 1 mg_Ldopé/H8_03.tif "/>
    <s v=" 41983.6255 "/>
    <s v=" 70.2561 "/>
    <x v="1"/>
    <n v="2949604"/>
    <m/>
    <m/>
    <m/>
  </r>
  <r>
    <x v="1"/>
    <x v="8"/>
    <s v=" "/>
    <m/>
    <m/>
    <x v="0"/>
    <m/>
    <m/>
    <m/>
    <m/>
  </r>
  <r>
    <x v="1"/>
    <x v="8"/>
    <s v="group "/>
    <s v=" "/>
    <s v=" mean of mean fluo "/>
    <x v="2"/>
    <s v=" mean of total fluo "/>
    <s v=" SD total fluo "/>
    <s v=" n fluorescent "/>
    <s v=" n total"/>
  </r>
  <r>
    <x v="20"/>
    <x v="9"/>
    <s v="F:\images\20210310\plaque 2/@08  TAmantadine 1 mg_Ldopé/ "/>
    <s v=" "/>
    <s v=" 71.5183 "/>
    <x v="22"/>
    <s v=" 3122652.96 "/>
    <s v=" 1347223.68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1"/>
    <x v="0"/>
    <s v="F:\images\20210310\plaque 2/@09  Amantadine 10 mg_L dopé/A9_01.tif "/>
    <s v=" 11355.6947 "/>
    <s v=" 65.7619 "/>
    <x v="1"/>
    <n v="746772"/>
    <m/>
    <m/>
    <m/>
  </r>
  <r>
    <x v="21"/>
    <x v="0"/>
    <s v="F:\images\20210310\plaque 2/@09  Amantadine 10 mg_L dopé/A9_02.tif "/>
    <s v=" 16611.7591 "/>
    <s v=" 68.1732 "/>
    <x v="1"/>
    <n v="1132476"/>
    <m/>
    <m/>
    <m/>
  </r>
  <r>
    <x v="21"/>
    <x v="0"/>
    <s v="F:\images\20210310\plaque 2/@09  Amantadine 10 mg_L dopé/A9_03- exclu.tif"/>
    <m/>
    <m/>
    <x v="0"/>
    <m/>
    <m/>
    <m/>
    <m/>
  </r>
  <r>
    <x v="21"/>
    <x v="1"/>
    <s v="F:\images\20210310\plaque 2/@09  Amantadine 10 mg_L dopé/B9_01- exclu.tif"/>
    <m/>
    <m/>
    <x v="0"/>
    <m/>
    <m/>
    <m/>
    <m/>
  </r>
  <r>
    <x v="21"/>
    <x v="1"/>
    <s v="F:\images\20210310\plaque 2/@09  Amantadine 10 mg_L dopé/B9_02- exclu.tif"/>
    <m/>
    <m/>
    <x v="0"/>
    <m/>
    <m/>
    <m/>
    <m/>
  </r>
  <r>
    <x v="21"/>
    <x v="1"/>
    <s v="F:\images\20210310\plaque 2/@09  Amantadine 10 mg_L dopé/B9_03- exclu.tif"/>
    <m/>
    <m/>
    <x v="0"/>
    <m/>
    <m/>
    <m/>
    <m/>
  </r>
  <r>
    <x v="21"/>
    <x v="2"/>
    <s v="F:\images\20210310\plaque 2/@09  Amantadine 10 mg_L dopé/C9_01.tif "/>
    <s v=" 13021.1966 "/>
    <s v=" 68.4983 "/>
    <x v="1"/>
    <n v="891930"/>
    <m/>
    <m/>
    <m/>
  </r>
  <r>
    <x v="21"/>
    <x v="2"/>
    <s v="F:\images\20210310\plaque 2/@09  Amantadine 10 mg_L dopé/C9_02.tif "/>
    <s v=" 11853.1823 "/>
    <s v=" 66.9672 "/>
    <x v="1"/>
    <n v="793774"/>
    <m/>
    <m/>
    <m/>
  </r>
  <r>
    <x v="21"/>
    <x v="2"/>
    <s v="F:\images\20210310\plaque 2/@09  Amantadine 10 mg_L dopé/C9_03.tif "/>
    <s v=" 13129.346 "/>
    <s v=" 70.0049 "/>
    <x v="1"/>
    <n v="919119"/>
    <m/>
    <m/>
    <m/>
  </r>
  <r>
    <x v="21"/>
    <x v="3"/>
    <s v="F:\images\20210310\plaque 2/@09  Amantadine 10 mg_L dopé/D9_01.tif "/>
    <s v=" 23576.5851 "/>
    <s v=" 68.9835 "/>
    <x v="1"/>
    <n v="1626395"/>
    <m/>
    <m/>
    <m/>
  </r>
  <r>
    <x v="21"/>
    <x v="3"/>
    <s v="F:\images\20210310\plaque 2/@09  Amantadine 10 mg_L dopé/D9_02.tif "/>
    <s v=" 23252.1367 "/>
    <s v=" 67.9349 "/>
    <x v="1"/>
    <n v="1579631"/>
    <m/>
    <m/>
    <m/>
  </r>
  <r>
    <x v="21"/>
    <x v="3"/>
    <s v="F:\images\20210310\plaque 2/@09  Amantadine 10 mg_L dopé/D9_03.tif "/>
    <s v=" 23836.1439 "/>
    <s v=" 69.5862 "/>
    <x v="1"/>
    <n v="1658667"/>
    <m/>
    <m/>
    <m/>
  </r>
  <r>
    <x v="21"/>
    <x v="4"/>
    <s v="F:\images\20210310\plaque 2/@09  Amantadine 10 mg_L dopé/E9_01.tif "/>
    <s v=" 3612.1924 "/>
    <s v=" 64.7964 "/>
    <x v="1"/>
    <n v="234057"/>
    <m/>
    <m/>
    <m/>
  </r>
  <r>
    <x v="21"/>
    <x v="4"/>
    <s v="F:\images\20210310\plaque 2/@09  Amantadine 10 mg_L dopé/E9_02.tif "/>
    <s v=" 5342.584 "/>
    <s v=" 64.3158 "/>
    <x v="1"/>
    <n v="343613"/>
    <m/>
    <m/>
    <m/>
  </r>
  <r>
    <x v="21"/>
    <x v="4"/>
    <s v="F:\images\20210310\plaque 2/@09  Amantadine 10 mg_L dopé/E9_03.tif "/>
    <s v=" 2011.5802 "/>
    <s v=" 63.6774 "/>
    <x v="1"/>
    <n v="128092"/>
    <m/>
    <m/>
    <m/>
  </r>
  <r>
    <x v="21"/>
    <x v="5"/>
    <s v="F:\images\20210310\plaque 2/@09  Amantadine 10 mg_L dopé/F9_01.tif "/>
    <s v=" 19337.1258 "/>
    <s v=" 67.3658 "/>
    <x v="1"/>
    <n v="1302660"/>
    <m/>
    <m/>
    <m/>
  </r>
  <r>
    <x v="21"/>
    <x v="5"/>
    <s v="F:\images\20210310\plaque 2/@09  Amantadine 10 mg_L dopé/F9_02.tif "/>
    <s v=" 19618.3144 "/>
    <s v=" 66.6185 "/>
    <x v="1"/>
    <n v="1306943"/>
    <m/>
    <m/>
    <m/>
  </r>
  <r>
    <x v="21"/>
    <x v="5"/>
    <s v="F:\images\20210310\plaque 2/@09  Amantadine 10 mg_L dopé/F9_03.tif "/>
    <s v=" 14794.8479 "/>
    <s v=" 65.8377 "/>
    <x v="1"/>
    <n v="974059"/>
    <m/>
    <m/>
    <m/>
  </r>
  <r>
    <x v="21"/>
    <x v="6"/>
    <s v="F:\images\20210310\plaque 2/@09  Amantadine 10 mg_L dopé/G9_01.tif "/>
    <s v=" 50138.0957 "/>
    <s v=" 75.9103 "/>
    <x v="1"/>
    <n v="3805996"/>
    <m/>
    <m/>
    <m/>
  </r>
  <r>
    <x v="21"/>
    <x v="6"/>
    <s v="F:\images\20210310\plaque 2/@09  Amantadine 10 mg_L dopé/G9_02.tif "/>
    <s v=" 45747.2271 "/>
    <s v=" 78.9248 "/>
    <x v="1"/>
    <n v="3610592"/>
    <m/>
    <m/>
    <m/>
  </r>
  <r>
    <x v="21"/>
    <x v="6"/>
    <s v="F:\images\20210310\plaque 2/@09  Amantadine 10 mg_L dopé/G9_03.tif "/>
    <s v=" 48818.6722 "/>
    <s v=" 76.4603 "/>
    <x v="1"/>
    <n v="3732693"/>
    <m/>
    <m/>
    <m/>
  </r>
  <r>
    <x v="21"/>
    <x v="7"/>
    <s v="F:\images\20210310\plaque 2/@09  Amantadine 10 mg_L dopé/H9_01- exclu.tif"/>
    <m/>
    <m/>
    <x v="0"/>
    <m/>
    <m/>
    <m/>
    <m/>
  </r>
  <r>
    <x v="21"/>
    <x v="7"/>
    <s v="F:\images\20210310\plaque 2/@09  Amantadine 10 mg_L dopé/H9_02.tif "/>
    <s v=" 32423.212 "/>
    <s v=" 72.1167 "/>
    <x v="1"/>
    <n v="2338256"/>
    <m/>
    <m/>
    <m/>
  </r>
  <r>
    <x v="21"/>
    <x v="7"/>
    <s v="F:\images\20210310\plaque 2/@09  Amantadine 10 mg_L dopé/H9_03.tif "/>
    <s v=" 30022.2937 "/>
    <s v=" 70.5576 "/>
    <x v="1"/>
    <n v="2118302"/>
    <m/>
    <m/>
    <m/>
  </r>
  <r>
    <x v="1"/>
    <x v="8"/>
    <s v=" "/>
    <m/>
    <m/>
    <x v="0"/>
    <m/>
    <m/>
    <m/>
    <m/>
  </r>
  <r>
    <x v="1"/>
    <x v="8"/>
    <s v="group "/>
    <s v=" "/>
    <s v=" mean of mean fluo "/>
    <x v="2"/>
    <s v=" mean of total fluo "/>
    <s v=" SD total fluo "/>
    <s v=" n fluorescent "/>
    <s v=" n total"/>
  </r>
  <r>
    <x v="21"/>
    <x v="9"/>
    <s v="F:\images\20210310\plaque 2/@09  Amantadine 10 mg_L dopé/ "/>
    <s v=" "/>
    <s v=" 69.4027 "/>
    <x v="23"/>
    <s v=" 1345632.62 "/>
    <s v=" 1077470.87 "/>
    <n v="24"/>
    <n v="24"/>
  </r>
  <r>
    <x v="1"/>
    <x v="8"/>
    <s v=" "/>
    <m/>
    <m/>
    <x v="0"/>
    <m/>
    <m/>
    <m/>
    <m/>
  </r>
  <r>
    <x v="1"/>
    <x v="8"/>
    <s v=" "/>
    <m/>
    <m/>
    <x v="0"/>
    <m/>
    <m/>
    <m/>
    <m/>
  </r>
  <r>
    <x v="1"/>
    <x v="8"/>
    <s v=" "/>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311\plaque 1/@01 Evian + 0.2% DMSO/A1_01.tif "/>
    <s v=" 1146.3844 "/>
    <s v=" 62.9245 "/>
    <x v="0"/>
    <n v="72136"/>
    <m/>
    <m/>
    <m/>
  </r>
  <r>
    <x v="0"/>
    <x v="0"/>
    <s v="F:\images\20210311\plaque 1/@01 Evian + 0.2% DMSO/A1_02.tif "/>
    <s v=" 4888.3562 "/>
    <s v=" 67.4248 "/>
    <x v="0"/>
    <n v="329596"/>
    <m/>
    <m/>
    <m/>
  </r>
  <r>
    <x v="0"/>
    <x v="0"/>
    <s v="F:\images\20210311\plaque 1/@01 Evian + 0.2% DMSO/A1_03.tif "/>
    <s v=" 7462.3136 "/>
    <s v=" 72.6667 "/>
    <x v="0"/>
    <n v="542261"/>
    <m/>
    <m/>
    <m/>
  </r>
  <r>
    <x v="0"/>
    <x v="1"/>
    <s v="F:\images\20210311\plaque 1/@01 Evian + 0.2% DMSO/B1_01.tif "/>
    <s v=" 5796.8118 "/>
    <s v=" 66.3806 "/>
    <x v="0"/>
    <n v="384796"/>
    <m/>
    <m/>
    <m/>
  </r>
  <r>
    <x v="0"/>
    <x v="1"/>
    <s v="F:\images\20210311\plaque 1/@01 Evian + 0.2% DMSO/B1_02.tif "/>
    <s v=" 2076.4699 "/>
    <s v=" 64.25 "/>
    <x v="0"/>
    <n v="133413"/>
    <m/>
    <m/>
    <m/>
  </r>
  <r>
    <x v="0"/>
    <x v="1"/>
    <s v="F:\images\20210311\plaque 1/@01 Evian + 0.2% DMSO/B1_03.tif "/>
    <s v=" 2487.4379 "/>
    <s v=" 65.6522 "/>
    <x v="0"/>
    <n v="163306"/>
    <m/>
    <m/>
    <m/>
  </r>
  <r>
    <x v="0"/>
    <x v="2"/>
    <s v="F:\images\20210311\plaque 1/@01 Evian + 0.2% DMSO/C1_01.tif "/>
    <s v=" 540.7474 "/>
    <s v=" 64.4 "/>
    <x v="0"/>
    <n v="34824"/>
    <m/>
    <m/>
    <m/>
  </r>
  <r>
    <x v="0"/>
    <x v="2"/>
    <s v="F:\images\20210311\plaque 1/@01 Evian + 0.2% DMSO/C1_02.tif "/>
    <s v=" 259.5587 "/>
    <s v=" 63.8333 "/>
    <x v="0"/>
    <n v="16568"/>
    <m/>
    <m/>
    <m/>
  </r>
  <r>
    <x v="0"/>
    <x v="2"/>
    <s v="F:\images\20210311\plaque 1/@01 Evian + 0.2% DMSO/C1_03.tif "/>
    <s v=" 259.5587 "/>
    <s v=" 63.25 "/>
    <x v="0"/>
    <n v="16417"/>
    <m/>
    <m/>
    <m/>
  </r>
  <r>
    <x v="0"/>
    <x v="3"/>
    <s v="F:\images\20210311\plaque 1/@01 Evian + 0.2% DMSO/D1_01.tif "/>
    <s v=" 1016.605 "/>
    <s v=" 66.7447 "/>
    <x v="0"/>
    <n v="67853"/>
    <m/>
    <m/>
    <m/>
  </r>
  <r>
    <x v="0"/>
    <x v="3"/>
    <s v="F:\images\20210311\plaque 1/@01 Evian + 0.2% DMSO/D1_02.tif "/>
    <s v=" 843.5659 "/>
    <s v=" 63.3333 "/>
    <x v="0"/>
    <n v="53426"/>
    <m/>
    <m/>
    <m/>
  </r>
  <r>
    <x v="0"/>
    <x v="3"/>
    <s v="F:\images\20210311\plaque 1/@01 Evian + 0.2% DMSO/D1_03.tif "/>
    <s v=" 1059.8648 "/>
    <s v=" 63.5102 "/>
    <x v="0"/>
    <n v="67312"/>
    <m/>
    <m/>
    <m/>
  </r>
  <r>
    <x v="0"/>
    <x v="4"/>
    <s v="F:\images\20210311\plaque 1/@01 Evian + 0.2% DMSO/E1_01.tif "/>
    <s v=" 11269.1751 "/>
    <s v=" 75.7658 "/>
    <x v="0"/>
    <n v="853818"/>
    <m/>
    <m/>
    <m/>
  </r>
  <r>
    <x v="0"/>
    <x v="4"/>
    <s v="F:\images\20210311\plaque 1/@01 Evian + 0.2% DMSO/E1_02.tif "/>
    <s v=" 11982.9616 "/>
    <s v=" 78.3484 "/>
    <x v="0"/>
    <n v="938846"/>
    <m/>
    <m/>
    <m/>
  </r>
  <r>
    <x v="0"/>
    <x v="4"/>
    <s v="F:\images\20210311\plaque 1/@01 Evian + 0.2% DMSO/E1_03.tif "/>
    <s v=" 5212.8046 "/>
    <s v=" 71.4315 "/>
    <x v="0"/>
    <n v="372359"/>
    <m/>
    <m/>
    <m/>
  </r>
  <r>
    <x v="0"/>
    <x v="5"/>
    <s v="F:\images\20210311\plaque 1/@01 Evian + 0.2% DMSO/F1_01.tif "/>
    <s v=" 1254.5339 "/>
    <s v=" 66.0172 "/>
    <x v="0"/>
    <n v="82821"/>
    <m/>
    <m/>
    <m/>
  </r>
  <r>
    <x v="0"/>
    <x v="5"/>
    <s v="F:\images\20210311\plaque 1/@01 Evian + 0.2% DMSO/F1_02.tif "/>
    <s v=" 2552.3276 "/>
    <s v=" 66.1102 "/>
    <x v="0"/>
    <n v="168735"/>
    <m/>
    <m/>
    <m/>
  </r>
  <r>
    <x v="0"/>
    <x v="5"/>
    <s v="F:\images\20210311\plaque 1/@01 Evian + 0.2% DMSO/F1_03.tif "/>
    <s v=" 1168.0143 "/>
    <s v=" 65.4074 "/>
    <x v="0"/>
    <n v="76397"/>
    <m/>
    <m/>
    <m/>
  </r>
  <r>
    <x v="0"/>
    <x v="6"/>
    <s v="F:\images\20210311\plaque 1/@01 Evian + 0.2% DMSO/G1_01.tif "/>
    <s v=" 1903.4307 "/>
    <s v=" 63.7841 "/>
    <x v="0"/>
    <n v="121409"/>
    <m/>
    <m/>
    <m/>
  </r>
  <r>
    <x v="0"/>
    <x v="6"/>
    <s v="F:\images\20210311\plaque 1/@01 Evian + 0.2% DMSO/G1_02.tif "/>
    <s v=" 540.7474 "/>
    <s v=" 63.16 "/>
    <x v="0"/>
    <n v="34154"/>
    <m/>
    <m/>
    <m/>
  </r>
  <r>
    <x v="0"/>
    <x v="6"/>
    <s v="F:\images\20210311\plaque 1/@01 Evian + 0.2% DMSO/G1_03.tif "/>
    <s v=" 951.7154 "/>
    <n v="64"/>
    <x v="0"/>
    <n v="60910"/>
    <m/>
    <m/>
    <m/>
  </r>
  <r>
    <x v="0"/>
    <x v="7"/>
    <s v="F:\images\20210311\plaque 1/@01 Evian + 0.2% DMSO/H1_01.tif "/>
    <s v=" 432.5979 "/>
    <s v=" 62.95 "/>
    <x v="0"/>
    <n v="27232"/>
    <m/>
    <m/>
    <m/>
  </r>
  <r>
    <x v="0"/>
    <x v="7"/>
    <s v="F:\images\20210311\plaque 1/@01 Evian + 0.2% DMSO/H1_02.tif "/>
    <s v=" 5191.1747 "/>
    <s v=" 68.95 "/>
    <x v="0"/>
    <n v="357931"/>
    <m/>
    <m/>
    <m/>
  </r>
  <r>
    <x v="0"/>
    <x v="7"/>
    <s v="F:\images\20210311\plaque 1/@01 Evian + 0.2% DMSO/H1_03.tif "/>
    <s v=" 540.7474 "/>
    <s v=" 62.2 "/>
    <x v="0"/>
    <n v="33634"/>
    <m/>
    <m/>
    <m/>
  </r>
  <r>
    <x v="1"/>
    <x v="8"/>
    <s v=" "/>
    <m/>
    <m/>
    <x v="1"/>
    <m/>
    <m/>
    <m/>
    <m/>
  </r>
  <r>
    <x v="1"/>
    <x v="8"/>
    <s v="group "/>
    <s v=" "/>
    <s v=" mean of mean fluo "/>
    <x v="2"/>
    <s v=" mean of total fluo "/>
    <s v=" SD total fluo "/>
    <s v=" n fluorescent "/>
    <s v=" n total"/>
  </r>
  <r>
    <x v="0"/>
    <x v="9"/>
    <s v="F:\images\20210311\plaque 1/@01 Evian + 0.2% DMSO/ "/>
    <s v=" "/>
    <s v=" 66.354 "/>
    <x v="3"/>
    <s v=" 208756.417 "/>
    <s v=" 256067.5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11\plaque 1/@02 EE2 33.8/A2_01.tif "/>
    <s v=" 5558.8829 "/>
    <s v=" 69.7665 "/>
    <x v="0"/>
    <n v="387824"/>
    <m/>
    <m/>
    <m/>
  </r>
  <r>
    <x v="2"/>
    <x v="0"/>
    <s v="F:\images\20210311\plaque 1/@02 EE2 33.8/A2_02.tif "/>
    <s v=" 3633.8223 "/>
    <s v=" 64.0595 "/>
    <x v="0"/>
    <n v="232781"/>
    <m/>
    <m/>
    <m/>
  </r>
  <r>
    <x v="2"/>
    <x v="0"/>
    <s v="F:\images\20210311\plaque 1/@02 EE2 33.8/A2_03.tif "/>
    <s v=" 4693.6871 "/>
    <s v=" 67.2258 "/>
    <x v="0"/>
    <n v="315537"/>
    <m/>
    <m/>
    <m/>
  </r>
  <r>
    <x v="2"/>
    <x v="1"/>
    <s v="F:\images\20210311\plaque 1/@02 EE2 33.8/B2_01.tif "/>
    <s v=" 1341.0535 "/>
    <s v=" 64.8387 "/>
    <x v="0"/>
    <n v="86952"/>
    <m/>
    <m/>
    <m/>
  </r>
  <r>
    <x v="2"/>
    <x v="1"/>
    <s v="F:\images\20210311\plaque 1/@02 EE2 33.8/B2_02- exclu.tif"/>
    <m/>
    <m/>
    <x v="1"/>
    <m/>
    <m/>
    <m/>
    <m/>
  </r>
  <r>
    <x v="2"/>
    <x v="1"/>
    <s v="F:\images\20210311\plaque 1/@02 EE2 33.8/B2_03.tif "/>
    <s v=" 2292.7688 "/>
    <s v=" 63.7547 "/>
    <x v="0"/>
    <n v="146175"/>
    <m/>
    <m/>
    <m/>
  </r>
  <r>
    <x v="2"/>
    <x v="2"/>
    <s v="F:\images\20210311\plaque 1/@02 EE2 33.8/C2_01.tif "/>
    <s v=" 8911.5166 "/>
    <s v=" 68.8617 "/>
    <x v="0"/>
    <n v="613662"/>
    <m/>
    <m/>
    <m/>
  </r>
  <r>
    <x v="2"/>
    <x v="2"/>
    <s v="F:\images\20210311\plaque 1/@02 EE2 33.8/C2_02.tif "/>
    <s v=" 3114.7048 "/>
    <s v=" 65.1806 "/>
    <x v="0"/>
    <n v="203018"/>
    <m/>
    <m/>
    <m/>
  </r>
  <r>
    <x v="2"/>
    <x v="2"/>
    <s v="F:\images\20210311\plaque 1/@02 EE2 33.8/C2_03.tif "/>
    <s v=" 454.2278 "/>
    <s v=" 62.1905 "/>
    <x v="0"/>
    <n v="28249"/>
    <m/>
    <m/>
    <m/>
  </r>
  <r>
    <x v="2"/>
    <x v="3"/>
    <s v="F:\images\20210311\plaque 1/@02 EE2 33.8/D2_01.tif "/>
    <s v=" 194.6691 "/>
    <s v=" 64.4444 "/>
    <x v="0"/>
    <n v="12545"/>
    <m/>
    <m/>
    <m/>
  </r>
  <r>
    <x v="2"/>
    <x v="3"/>
    <s v="F:\images\20210311\plaque 1/@02 EE2 33.8/D2_02- exclu.tif"/>
    <m/>
    <m/>
    <x v="1"/>
    <m/>
    <m/>
    <m/>
    <m/>
  </r>
  <r>
    <x v="2"/>
    <x v="3"/>
    <s v="F:\images\20210311\plaque 1/@02 EE2 33.8/D2_03.tif "/>
    <s v=" 173.0392 "/>
    <s v=" 62.625 "/>
    <x v="0"/>
    <n v="10837"/>
    <m/>
    <m/>
    <m/>
  </r>
  <r>
    <x v="2"/>
    <x v="4"/>
    <s v="F:\images\20210311\plaque 1/@02 EE2 33.8/E2_01.tif "/>
    <s v=" 3266.1141 "/>
    <s v=" 68.2517 "/>
    <x v="0"/>
    <n v="222918"/>
    <m/>
    <m/>
    <m/>
  </r>
  <r>
    <x v="2"/>
    <x v="4"/>
    <s v="F:\images\20210311\plaque 1/@02 EE2 33.8/E2_02- exclu.tif"/>
    <m/>
    <m/>
    <x v="1"/>
    <m/>
    <m/>
    <m/>
    <m/>
  </r>
  <r>
    <x v="2"/>
    <x v="4"/>
    <s v="F:\images\20210311\plaque 1/@02 EE2 33.8/E2_03.tif "/>
    <s v=" 259.5587 "/>
    <s v=" 63.6667 "/>
    <x v="0"/>
    <n v="16525"/>
    <m/>
    <m/>
    <m/>
  </r>
  <r>
    <x v="2"/>
    <x v="5"/>
    <s v="F:\images\20210311\plaque 1/@02 EE2 33.8/F2_01.tif "/>
    <s v=" 735.4164 "/>
    <s v=" 62.8529 "/>
    <x v="0"/>
    <n v="46223"/>
    <m/>
    <m/>
    <m/>
  </r>
  <r>
    <x v="2"/>
    <x v="5"/>
    <s v="F:\images\20210311\plaque 1/@02 EE2 33.8/F2_02.tif "/>
    <s v=" 778.6762 "/>
    <s v=" 63.0833 "/>
    <x v="0"/>
    <n v="49121"/>
    <m/>
    <m/>
    <m/>
  </r>
  <r>
    <x v="2"/>
    <x v="5"/>
    <s v="F:\images\20210311\plaque 1/@02 EE2 33.8/F2_03.tif "/>
    <s v=" 2292.7688 "/>
    <s v=" 70.0472 "/>
    <x v="0"/>
    <n v="160602"/>
    <m/>
    <m/>
    <m/>
  </r>
  <r>
    <x v="2"/>
    <x v="6"/>
    <s v="F:\images\20210311\plaque 1/@02 EE2 33.8/G2_01.tif "/>
    <s v=" 5623.7726 "/>
    <s v=" 69.7385 "/>
    <x v="0"/>
    <n v="392193"/>
    <m/>
    <m/>
    <m/>
  </r>
  <r>
    <x v="2"/>
    <x v="6"/>
    <s v="F:\images\20210311\plaque 1/@02 EE2 33.8/G2_02.tif "/>
    <s v=" 800.3061 "/>
    <s v=" 63.3514 "/>
    <x v="0"/>
    <n v="50700"/>
    <m/>
    <m/>
    <m/>
  </r>
  <r>
    <x v="2"/>
    <x v="6"/>
    <s v="F:\images\20210311\plaque 1/@02 EE2 33.8/G2_03.tif "/>
    <s v=" 367.7082 "/>
    <s v=" 62.4706 "/>
    <x v="0"/>
    <n v="22971"/>
    <m/>
    <m/>
    <m/>
  </r>
  <r>
    <x v="2"/>
    <x v="7"/>
    <s v="F:\images\20210311\plaque 1/@02 EE2 33.8/H2_01.tif "/>
    <s v=" 6078.0004 "/>
    <s v=" 76.1673 "/>
    <x v="0"/>
    <n v="462945"/>
    <m/>
    <m/>
    <m/>
  </r>
  <r>
    <x v="2"/>
    <x v="7"/>
    <s v="F:\images\20210311\plaque 1/@02 EE2 33.8/H2_02.tif "/>
    <s v=" 6013.1107 "/>
    <s v=" 75.3489 "/>
    <x v="0"/>
    <n v="453081"/>
    <m/>
    <m/>
    <m/>
  </r>
  <r>
    <x v="2"/>
    <x v="7"/>
    <s v="F:\images\20210311\plaque 1/@02 EE2 33.8/H2_03.tif "/>
    <s v=" 6056.3705 "/>
    <s v=" 74.1286 "/>
    <x v="0"/>
    <n v="448950"/>
    <m/>
    <m/>
    <m/>
  </r>
  <r>
    <x v="1"/>
    <x v="8"/>
    <s v=" "/>
    <m/>
    <m/>
    <x v="1"/>
    <m/>
    <m/>
    <m/>
    <m/>
  </r>
  <r>
    <x v="1"/>
    <x v="8"/>
    <s v="group "/>
    <s v=" "/>
    <s v=" mean of mean fluo "/>
    <x v="2"/>
    <s v=" mean of total fluo "/>
    <s v=" SD total fluo "/>
    <s v=" n fluorescent "/>
    <s v=" n total"/>
  </r>
  <r>
    <x v="2"/>
    <x v="9"/>
    <s v="F:\images\20210311\plaque 1/@02 EE2 33.8/ "/>
    <s v=" "/>
    <s v=" 66.5664 "/>
    <x v="4"/>
    <s v=" 184220.875 "/>
    <s v=" 186263.1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11\plaque 1/@03 EE2 50.6/A3_01.tif "/>
    <s v=" 2292.7688 "/>
    <s v=" 66.8208 "/>
    <x v="0"/>
    <n v="153205"/>
    <m/>
    <m/>
    <m/>
  </r>
  <r>
    <x v="3"/>
    <x v="0"/>
    <s v="F:\images\20210311\plaque 1/@03 EE2 50.6/A3_02.tif "/>
    <s v=" 3028.1852 "/>
    <s v=" 66.7929 "/>
    <x v="0"/>
    <n v="202261"/>
    <m/>
    <m/>
    <m/>
  </r>
  <r>
    <x v="3"/>
    <x v="0"/>
    <s v="F:\images\20210311\plaque 1/@03 EE2 50.6/A3_03.tif "/>
    <s v=" 2963.2956 "/>
    <s v=" 65.708 "/>
    <x v="0"/>
    <n v="194712"/>
    <m/>
    <m/>
    <m/>
  </r>
  <r>
    <x v="3"/>
    <x v="1"/>
    <s v="F:\images\20210311\plaque 1/@03 EE2 50.6/B3_01.tif "/>
    <s v=" 8911.5166 "/>
    <s v=" 71.4223 "/>
    <x v="0"/>
    <n v="636481"/>
    <m/>
    <m/>
    <m/>
  </r>
  <r>
    <x v="3"/>
    <x v="1"/>
    <s v="F:\images\20210311\plaque 1/@03 EE2 50.6/B3_02.tif "/>
    <s v=" 6467.3385 "/>
    <s v=" 70.8361 "/>
    <x v="0"/>
    <n v="458121"/>
    <m/>
    <m/>
    <m/>
  </r>
  <r>
    <x v="3"/>
    <x v="1"/>
    <s v="F:\images\20210311\plaque 1/@03 EE2 50.6/B3_03.tif "/>
    <s v=" 6164.52 "/>
    <s v=" 71.1193 "/>
    <x v="0"/>
    <n v="438416"/>
    <m/>
    <m/>
    <m/>
  </r>
  <r>
    <x v="3"/>
    <x v="2"/>
    <s v="F:\images\20210311\plaque 1/@03 EE2 50.6/C3_01.tif "/>
    <s v=" 367.7082 "/>
    <s v=" 62.0588 "/>
    <x v="0"/>
    <n v="22820"/>
    <m/>
    <m/>
    <m/>
  </r>
  <r>
    <x v="3"/>
    <x v="2"/>
    <s v="F:\images\20210311\plaque 1/@03 EE2 50.6/C3_02.tif "/>
    <s v=" 1643.872 "/>
    <s v=" 65.6184 "/>
    <x v="0"/>
    <n v="107868"/>
    <m/>
    <m/>
    <m/>
  </r>
  <r>
    <x v="3"/>
    <x v="2"/>
    <s v="F:\images\20210311\plaque 1/@03 EE2 50.6/C3_03.tif "/>
    <s v=" 129.7794 "/>
    <s v=" 65.1667 "/>
    <x v="0"/>
    <n v="8457"/>
    <m/>
    <m/>
    <m/>
  </r>
  <r>
    <x v="3"/>
    <x v="3"/>
    <s v="F:\images\20210311\plaque 1/@03 EE2 50.6/D3_01.tif "/>
    <s v=" 3828.4913 "/>
    <s v=" 67.5367 "/>
    <x v="0"/>
    <n v="258564"/>
    <m/>
    <m/>
    <m/>
  </r>
  <r>
    <x v="3"/>
    <x v="3"/>
    <s v="F:\images\20210311\plaque 1/@03 EE2 50.6/D3_02- exclu.tif"/>
    <m/>
    <m/>
    <x v="1"/>
    <m/>
    <m/>
    <m/>
    <m/>
  </r>
  <r>
    <x v="3"/>
    <x v="3"/>
    <s v="F:\images\20210311\plaque 1/@03 EE2 50.6/D3_03.tif "/>
    <s v=" 2660.477 "/>
    <s v=" 65.4309 "/>
    <x v="0"/>
    <n v="174077"/>
    <m/>
    <m/>
    <m/>
  </r>
  <r>
    <x v="3"/>
    <x v="4"/>
    <s v="F:\images\20210311\plaque 1/@03 EE2 50.6/E3_01.tif "/>
    <s v=" 9690.1928 "/>
    <s v=" 73.5692 "/>
    <x v="0"/>
    <n v="712900"/>
    <m/>
    <m/>
    <m/>
  </r>
  <r>
    <x v="3"/>
    <x v="4"/>
    <s v="F:\images\20210311\plaque 1/@03 EE2 50.6/E3_02.tif "/>
    <s v=" 4736.9469 "/>
    <s v=" 66.1416 "/>
    <x v="0"/>
    <n v="313309"/>
    <m/>
    <m/>
    <m/>
  </r>
  <r>
    <x v="3"/>
    <x v="4"/>
    <s v="F:\images\20210311\plaque 1/@03 EE2 50.6/E3_03.tif "/>
    <s v=" 8327.5094 "/>
    <s v=" 71.8234 "/>
    <x v="0"/>
    <n v="598110"/>
    <m/>
    <m/>
    <m/>
  </r>
  <r>
    <x v="3"/>
    <x v="5"/>
    <s v="F:\images\20210311\plaque 1/@03 EE2 50.6/F3_01- exclu.tif"/>
    <m/>
    <m/>
    <x v="1"/>
    <m/>
    <m/>
    <m/>
    <m/>
  </r>
  <r>
    <x v="3"/>
    <x v="5"/>
    <s v="F:\images\20210311\plaque 1/@03 EE2 50.6/F3_02- exclu.tif"/>
    <m/>
    <m/>
    <x v="1"/>
    <m/>
    <m/>
    <m/>
    <m/>
  </r>
  <r>
    <x v="3"/>
    <x v="5"/>
    <s v="F:\images\20210311\plaque 1/@03 EE2 50.6/F3_03- exclu.tif"/>
    <m/>
    <m/>
    <x v="1"/>
    <m/>
    <m/>
    <m/>
    <m/>
  </r>
  <r>
    <x v="3"/>
    <x v="6"/>
    <s v="F:\images\20210311\plaque 1/@03 EE2 50.6/G3_01.tif "/>
    <s v=" 1405.9432 "/>
    <s v=" 63.3538 "/>
    <x v="0"/>
    <n v="89072"/>
    <m/>
    <m/>
    <m/>
  </r>
  <r>
    <x v="3"/>
    <x v="6"/>
    <s v="F:\images\20210311\plaque 1/@03 EE2 50.6/G3_02.tif "/>
    <s v=" 648.8968 "/>
    <s v=" 62.6667 "/>
    <x v="0"/>
    <n v="40664"/>
    <m/>
    <m/>
    <m/>
  </r>
  <r>
    <x v="3"/>
    <x v="6"/>
    <s v="F:\images\20210311\plaque 1/@03 EE2 50.6/G3_03.tif "/>
    <s v=" 1168.0143 "/>
    <s v=" 65.5 "/>
    <x v="0"/>
    <n v="76505"/>
    <m/>
    <m/>
    <m/>
  </r>
  <r>
    <x v="3"/>
    <x v="7"/>
    <s v="F:\images\20210311\plaque 1/@03 EE2 50.6/H3_01.tif "/>
    <s v=" 3698.712 "/>
    <s v=" 68.3684 "/>
    <x v="0"/>
    <n v="252875"/>
    <m/>
    <m/>
    <m/>
  </r>
  <r>
    <x v="3"/>
    <x v="7"/>
    <s v="F:\images\20210311\plaque 1/@03 EE2 50.6/H3_02.tif "/>
    <s v=" 1730.3916 "/>
    <s v=" 64.7 "/>
    <x v="0"/>
    <n v="111956"/>
    <m/>
    <m/>
    <m/>
  </r>
  <r>
    <x v="3"/>
    <x v="7"/>
    <s v="F:\images\20210311\plaque 1/@03 EE2 50.6/H3_03.tif "/>
    <s v=" 1168.0143 "/>
    <s v=" 63.537 "/>
    <x v="0"/>
    <n v="74212"/>
    <m/>
    <m/>
    <m/>
  </r>
  <r>
    <x v="1"/>
    <x v="8"/>
    <s v=" "/>
    <m/>
    <m/>
    <x v="1"/>
    <m/>
    <m/>
    <m/>
    <m/>
  </r>
  <r>
    <x v="1"/>
    <x v="8"/>
    <s v="group "/>
    <s v=" "/>
    <s v=" mean of mean fluo "/>
    <x v="2"/>
    <s v=" mean of total fluo "/>
    <s v=" SD total fluo "/>
    <s v=" n fluorescent "/>
    <s v=" n total"/>
  </r>
  <r>
    <x v="3"/>
    <x v="9"/>
    <s v="F:\images\20210311\plaque 1/@03 EE2 50.6/ "/>
    <s v=" "/>
    <s v=" 67.2497 "/>
    <x v="5"/>
    <s v=" 258234.75 "/>
    <s v=" 227678.90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11\plaque 1/@04 EE2 76/A4_01.tif "/>
    <s v=" 11939.7018 "/>
    <s v=" 68.7754 "/>
    <x v="0"/>
    <n v="821157"/>
    <m/>
    <m/>
    <m/>
  </r>
  <r>
    <x v="4"/>
    <x v="0"/>
    <s v="F:\images\20210311\plaque 1/@04 EE2 76/A4_02.tif "/>
    <s v=" 10447.2391 "/>
    <s v=" 65.7474 "/>
    <x v="0"/>
    <n v="686879"/>
    <m/>
    <m/>
    <m/>
  </r>
  <r>
    <x v="4"/>
    <x v="0"/>
    <s v="F:\images\20210311\plaque 1/@04 EE2 76/A4_03.tif "/>
    <s v=" 11377.3246 "/>
    <s v=" 64.5989 "/>
    <x v="0"/>
    <n v="734962"/>
    <m/>
    <m/>
    <m/>
  </r>
  <r>
    <x v="4"/>
    <x v="1"/>
    <s v="F:\images\20210311\plaque 1/@04 EE2 76/B4_01.tif "/>
    <s v=" 34153.6036 "/>
    <s v=" 68.3521 "/>
    <x v="0"/>
    <n v="2334471"/>
    <m/>
    <m/>
    <m/>
  </r>
  <r>
    <x v="4"/>
    <x v="1"/>
    <s v="F:\images\20210311\plaque 1/@04 EE2 76/B4_02.tif "/>
    <s v=" 35883.9952 "/>
    <s v=" 68.4394 "/>
    <x v="0"/>
    <n v="2455880"/>
    <m/>
    <m/>
    <m/>
  </r>
  <r>
    <x v="4"/>
    <x v="1"/>
    <s v="F:\images\20210311\plaque 1/@04 EE2 76/B4_03.tif "/>
    <s v=" 34196.8634 "/>
    <s v=" 68.2663 "/>
    <x v="0"/>
    <n v="2334493"/>
    <m/>
    <m/>
    <m/>
  </r>
  <r>
    <x v="4"/>
    <x v="2"/>
    <s v="F:\images\20210311\plaque 1/@04 EE2 76/C4_01.tif "/>
    <s v=" 21543.3751 "/>
    <s v=" 68.9227 "/>
    <x v="0"/>
    <n v="1484827"/>
    <m/>
    <m/>
    <m/>
  </r>
  <r>
    <x v="4"/>
    <x v="2"/>
    <s v="F:\images\20210311\plaque 1/@04 EE2 76/C4_02- exclu.tif"/>
    <m/>
    <m/>
    <x v="1"/>
    <m/>
    <m/>
    <m/>
    <m/>
  </r>
  <r>
    <x v="4"/>
    <x v="2"/>
    <s v="F:\images\20210311\plaque 1/@04 EE2 76/C4_03.tif "/>
    <s v=" 19120.8269 "/>
    <s v=" 67.6663 "/>
    <x v="0"/>
    <n v="1293835"/>
    <m/>
    <m/>
    <m/>
  </r>
  <r>
    <x v="4"/>
    <x v="3"/>
    <s v="F:\images\20210311\plaque 1/@04 EE2 76/D4_01.tif "/>
    <s v=" 4780.2067 "/>
    <s v=" 63.5747 "/>
    <x v="0"/>
    <n v="303900"/>
    <m/>
    <m/>
    <m/>
  </r>
  <r>
    <x v="4"/>
    <x v="3"/>
    <s v="F:\images\20210311\plaque 1/@04 EE2 76/D4_02.tif "/>
    <s v=" 2660.477 "/>
    <s v=" 63.3821 "/>
    <x v="0"/>
    <n v="168627"/>
    <m/>
    <m/>
    <m/>
  </r>
  <r>
    <x v="4"/>
    <x v="3"/>
    <s v="F:\images\20210311\plaque 1/@04 EE2 76/D4_03.tif "/>
    <s v=" 2898.4059 "/>
    <s v=" 64.4254 "/>
    <x v="0"/>
    <n v="186731"/>
    <m/>
    <m/>
    <m/>
  </r>
  <r>
    <x v="4"/>
    <x v="4"/>
    <s v="F:\images\20210311\plaque 1/@04 EE2 76/E4_01.tif "/>
    <s v=" 3763.6017 "/>
    <s v=" 63.4195 "/>
    <x v="0"/>
    <n v="238686"/>
    <m/>
    <m/>
    <m/>
  </r>
  <r>
    <x v="4"/>
    <x v="4"/>
    <s v="F:\images\20210311\plaque 1/@04 EE2 76/E4_02.tif "/>
    <s v=" 6272.6694 "/>
    <s v=" 70.4 "/>
    <x v="0"/>
    <n v="441596"/>
    <m/>
    <m/>
    <m/>
  </r>
  <r>
    <x v="4"/>
    <x v="4"/>
    <s v="F:\images\20210311\plaque 1/@04 EE2 76/E4_03.tif "/>
    <s v=" 3893.381 "/>
    <s v=" 65.3222 "/>
    <x v="0"/>
    <n v="254324"/>
    <m/>
    <m/>
    <m/>
  </r>
  <r>
    <x v="4"/>
    <x v="5"/>
    <s v="F:\images\20210311\plaque 1/@04 EE2 76/F4_01.tif "/>
    <s v=" 7981.4311 "/>
    <s v=" 68.9377 "/>
    <x v="0"/>
    <n v="550221"/>
    <m/>
    <m/>
    <m/>
  </r>
  <r>
    <x v="4"/>
    <x v="5"/>
    <s v="F:\images\20210311\plaque 1/@04 EE2 76/F4_02.tif "/>
    <s v=" 3071.445 "/>
    <s v=" 63.4577 "/>
    <x v="0"/>
    <n v="194907"/>
    <m/>
    <m/>
    <m/>
  </r>
  <r>
    <x v="4"/>
    <x v="5"/>
    <s v="F:\images\20210311\plaque 1/@04 EE2 76/F4_03.tif "/>
    <s v=" 2552.3276 "/>
    <s v=" 63.3644 "/>
    <x v="0"/>
    <n v="161727"/>
    <m/>
    <m/>
    <m/>
  </r>
  <r>
    <x v="4"/>
    <x v="6"/>
    <s v="F:\images\20210311\plaque 1/@04 EE2 76/G4_01.tif "/>
    <s v=" 15335.5953 "/>
    <s v=" 66.0085 "/>
    <x v="0"/>
    <n v="1012279"/>
    <m/>
    <m/>
    <m/>
  </r>
  <r>
    <x v="4"/>
    <x v="6"/>
    <s v="F:\images\20210311\plaque 1/@04 EE2 76/G4_02.tif "/>
    <s v=" 16979.4673 "/>
    <s v=" 65.6153 "/>
    <x v="0"/>
    <n v="1114113"/>
    <m/>
    <m/>
    <m/>
  </r>
  <r>
    <x v="4"/>
    <x v="6"/>
    <s v="F:\images\20210311\plaque 1/@04 EE2 76/G4_03.tif "/>
    <s v=" 16438.7199 "/>
    <s v=" 66.1539 "/>
    <x v="0"/>
    <n v="1087486"/>
    <m/>
    <m/>
    <m/>
  </r>
  <r>
    <x v="4"/>
    <x v="7"/>
    <s v="F:\images\20210311\plaque 1/@04 EE2 76/H4_01.tif "/>
    <s v=" 5753.552 "/>
    <s v=" 68.8008 "/>
    <x v="0"/>
    <n v="395849"/>
    <m/>
    <m/>
    <m/>
  </r>
  <r>
    <x v="4"/>
    <x v="7"/>
    <s v="F:\images\20210311\plaque 1/@04 EE2 76/H4_02- exclu.tif"/>
    <m/>
    <m/>
    <x v="1"/>
    <m/>
    <m/>
    <m/>
    <m/>
  </r>
  <r>
    <x v="4"/>
    <x v="7"/>
    <s v="F:\images\20210311\plaque 1/@04 EE2 76/H4_03.tif "/>
    <s v=" 5515.6231 "/>
    <s v=" 68.8353 "/>
    <x v="0"/>
    <n v="379670"/>
    <m/>
    <m/>
    <m/>
  </r>
  <r>
    <x v="1"/>
    <x v="8"/>
    <s v=" "/>
    <m/>
    <m/>
    <x v="1"/>
    <m/>
    <m/>
    <m/>
    <m/>
  </r>
  <r>
    <x v="1"/>
    <x v="8"/>
    <s v="group "/>
    <s v=" "/>
    <s v=" mean of mean fluo "/>
    <x v="2"/>
    <s v=" mean of total fluo "/>
    <s v=" SD total fluo "/>
    <s v=" n fluorescent "/>
    <s v=" n total"/>
  </r>
  <r>
    <x v="4"/>
    <x v="9"/>
    <s v="F:\images\20210311\plaque 1/@04 EE2 76/ "/>
    <s v=" "/>
    <s v=" 66.6333 "/>
    <x v="6"/>
    <s v=" 803157.625 "/>
    <s v=" 716989.14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11\plaque 1/@05 EE2 114/A5_01.tif "/>
    <s v=" 27556.4858 "/>
    <s v=" 67.9137 "/>
    <x v="0"/>
    <n v="1871462"/>
    <m/>
    <m/>
    <m/>
  </r>
  <r>
    <x v="5"/>
    <x v="0"/>
    <s v="F:\images\20210311\plaque 1/@05 EE2 114/A5_02.tif "/>
    <s v=" 29113.8382 "/>
    <s v=" 70.7689 "/>
    <x v="0"/>
    <n v="2060356"/>
    <m/>
    <m/>
    <m/>
  </r>
  <r>
    <x v="5"/>
    <x v="0"/>
    <s v="F:\images\20210311\plaque 1/@05 EE2 114/A5_03.tif "/>
    <s v=" 26712.9199 "/>
    <s v=" 70.4907 "/>
    <x v="0"/>
    <n v="1883012"/>
    <m/>
    <m/>
    <m/>
  </r>
  <r>
    <x v="5"/>
    <x v="1"/>
    <s v="F:\images\20210311\plaque 1/@05 EE2 114/B5_01.tif "/>
    <s v=" 30779.3401 "/>
    <s v=" 66.7723 "/>
    <x v="0"/>
    <n v="2055208"/>
    <m/>
    <m/>
    <m/>
  </r>
  <r>
    <x v="5"/>
    <x v="1"/>
    <s v="F:\images\20210311\plaque 1/@05 EE2 114/B5_02.tif "/>
    <s v=" 27426.7064 "/>
    <s v=" 67.1767 "/>
    <x v="0"/>
    <n v="1842434"/>
    <m/>
    <m/>
    <m/>
  </r>
  <r>
    <x v="5"/>
    <x v="1"/>
    <s v="F:\images\20210311\plaque 1/@05 EE2 114/B5_03.tif "/>
    <s v=" 28724.5001 "/>
    <s v=" 66.7297 "/>
    <x v="0"/>
    <n v="1916776"/>
    <m/>
    <m/>
    <m/>
  </r>
  <r>
    <x v="5"/>
    <x v="2"/>
    <s v="F:\images\20210311\plaque 1/@05 EE2 114/C5_01.tif "/>
    <s v=" 31320.0874 "/>
    <s v=" 67.4738 "/>
    <x v="0"/>
    <n v="2113284"/>
    <m/>
    <m/>
    <m/>
  </r>
  <r>
    <x v="5"/>
    <x v="2"/>
    <s v="F:\images\20210311\plaque 1/@05 EE2 114/C5_02.tif "/>
    <s v=" 19402.0155 "/>
    <s v=" 66.4036 "/>
    <x v="0"/>
    <n v="1288363"/>
    <m/>
    <m/>
    <m/>
  </r>
  <r>
    <x v="5"/>
    <x v="2"/>
    <s v="F:\images\20210311\plaque 1/@05 EE2 114/C5_03.tif "/>
    <s v=" 28183.7527 "/>
    <s v=" 68.5533 "/>
    <x v="0"/>
    <n v="1932090"/>
    <m/>
    <m/>
    <m/>
  </r>
  <r>
    <x v="5"/>
    <x v="3"/>
    <s v="F:\images\20210311\plaque 1/@05 EE2 114/D5_01.tif "/>
    <s v=" 47672.2878 "/>
    <s v=" 72.2564 "/>
    <x v="0"/>
    <n v="3444626"/>
    <m/>
    <m/>
    <m/>
  </r>
  <r>
    <x v="5"/>
    <x v="3"/>
    <s v="F:\images\20210311\plaque 1/@05 EE2 114/D5_02.tif "/>
    <s v=" 50311.1349 "/>
    <s v=" 73.2687 "/>
    <x v="0"/>
    <n v="3686232"/>
    <m/>
    <m/>
    <m/>
  </r>
  <r>
    <x v="5"/>
    <x v="3"/>
    <s v="F:\images\20210311\plaque 1/@05 EE2 114/D5_03.tif "/>
    <s v=" 47931.8465 "/>
    <s v=" 72.5952 "/>
    <x v="0"/>
    <n v="3479623"/>
    <m/>
    <m/>
    <m/>
  </r>
  <r>
    <x v="5"/>
    <x v="4"/>
    <s v="F:\images\20210311\plaque 1/@05 EE2 114/E5_01.tif "/>
    <s v=" 2227.8791 "/>
    <s v=" 63.7961 "/>
    <x v="0"/>
    <n v="142130"/>
    <m/>
    <m/>
    <m/>
  </r>
  <r>
    <x v="5"/>
    <x v="4"/>
    <s v="F:\images\20210311\plaque 1/@05 EE2 114/E5_02.tif "/>
    <s v=" 1449.2029 "/>
    <s v=" 63.6567 "/>
    <x v="0"/>
    <n v="92252"/>
    <m/>
    <m/>
    <m/>
  </r>
  <r>
    <x v="5"/>
    <x v="4"/>
    <s v="F:\images\20210311\plaque 1/@05 EE2 114/E5_03.tif "/>
    <s v=" 2790.2564 "/>
    <s v=" 64.3643 "/>
    <x v="0"/>
    <n v="179593"/>
    <m/>
    <m/>
    <m/>
  </r>
  <r>
    <x v="5"/>
    <x v="5"/>
    <s v="F:\images\20210311\plaque 1/@05 EE2 114/F5_01.tif "/>
    <s v=" 14383.8799 "/>
    <s v=" 64.4962 "/>
    <x v="0"/>
    <n v="927706"/>
    <m/>
    <m/>
    <m/>
  </r>
  <r>
    <x v="5"/>
    <x v="5"/>
    <s v="F:\images\20210311\plaque 1/@05 EE2 114/F5_02.tif "/>
    <s v=" 15724.9334 "/>
    <s v=" 65.7744 "/>
    <x v="0"/>
    <n v="1034298"/>
    <m/>
    <m/>
    <m/>
  </r>
  <r>
    <x v="5"/>
    <x v="5"/>
    <s v="F:\images\20210311\plaque 1/@05 EE2 114/F5_03.tif "/>
    <s v=" 14902.9974 "/>
    <n v="66"/>
    <x v="0"/>
    <n v="983598"/>
    <m/>
    <m/>
    <m/>
  </r>
  <r>
    <x v="5"/>
    <x v="6"/>
    <s v="F:\images\20210311\plaque 1/@05 EE2 114/G5_01.tif "/>
    <s v=" 14470.3995 "/>
    <s v=" 67.0882 "/>
    <x v="0"/>
    <n v="970793"/>
    <m/>
    <m/>
    <m/>
  </r>
  <r>
    <x v="5"/>
    <x v="6"/>
    <s v="F:\images\20210311\plaque 1/@05 EE2 114/G5_02.tif "/>
    <s v=" 20764.6988 "/>
    <s v=" 68.1292 "/>
    <x v="0"/>
    <n v="1414682"/>
    <m/>
    <m/>
    <m/>
  </r>
  <r>
    <x v="5"/>
    <x v="6"/>
    <s v="F:\images\20210311\plaque 1/@05 EE2 114/G5_03.tif "/>
    <s v=" 16633.389 "/>
    <s v=" 66.9246 "/>
    <x v="0"/>
    <n v="1113183"/>
    <m/>
    <m/>
    <m/>
  </r>
  <r>
    <x v="5"/>
    <x v="7"/>
    <s v="F:\images\20210311\plaque 1/@05 EE2 114/H5_01.tif "/>
    <s v=" 32531.3615 "/>
    <s v=" 69.4062 "/>
    <x v="0"/>
    <n v="2257880"/>
    <m/>
    <m/>
    <m/>
  </r>
  <r>
    <x v="5"/>
    <x v="7"/>
    <s v="F:\images\20210311\plaque 1/@05 EE2 114/H5_02.tif "/>
    <s v=" 33785.8954 "/>
    <s v=" 70.2183 "/>
    <x v="0"/>
    <n v="2372388"/>
    <m/>
    <m/>
    <m/>
  </r>
  <r>
    <x v="5"/>
    <x v="7"/>
    <s v="F:\images\20210311\plaque 1/@05 EE2 114/H5_03.tif "/>
    <s v=" 29459.9165 "/>
    <s v=" 68.4508 "/>
    <x v="0"/>
    <n v="2016555"/>
    <m/>
    <m/>
    <m/>
  </r>
  <r>
    <x v="1"/>
    <x v="8"/>
    <s v=" "/>
    <m/>
    <m/>
    <x v="1"/>
    <m/>
    <m/>
    <m/>
    <m/>
  </r>
  <r>
    <x v="1"/>
    <x v="8"/>
    <s v="group "/>
    <s v=" "/>
    <s v=" mean of mean fluo "/>
    <x v="2"/>
    <s v=" mean of total fluo "/>
    <s v=" SD total fluo "/>
    <s v=" n fluorescent "/>
    <s v=" n total"/>
  </r>
  <r>
    <x v="5"/>
    <x v="9"/>
    <s v="F:\images\20210311\plaque 1/@05 EE2 114/ "/>
    <s v=" "/>
    <s v=" 67.8628 "/>
    <x v="7"/>
    <s v=" 1711605.17 "/>
    <s v=" 969766.97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11\plaque 1/@06 EE2 170.9/A6_01.tif "/>
    <s v=" 41204.9493 "/>
    <s v=" 77.6761 "/>
    <x v="0"/>
    <n v="3200640"/>
    <m/>
    <m/>
    <m/>
  </r>
  <r>
    <x v="6"/>
    <x v="0"/>
    <s v="F:\images\20210311\plaque 1/@06 EE2 170.9/A6_02.tif "/>
    <s v=" 40685.8318 "/>
    <s v=" 77.243 "/>
    <x v="0"/>
    <n v="3142694"/>
    <m/>
    <m/>
    <m/>
  </r>
  <r>
    <x v="6"/>
    <x v="0"/>
    <s v="F:\images\20210311\plaque 1/@06 EE2 170.9/A6_03.tif "/>
    <s v=" 45163.22 "/>
    <s v=" 75.8721 "/>
    <x v="0"/>
    <n v="3426630"/>
    <m/>
    <m/>
    <m/>
  </r>
  <r>
    <x v="6"/>
    <x v="1"/>
    <s v="F:\images\20210311\plaque 1/@06 EE2 170.9/B6_01.tif "/>
    <s v=" 45617.4478 "/>
    <s v=" 71.4135 "/>
    <x v="0"/>
    <n v="3257700"/>
    <m/>
    <m/>
    <m/>
  </r>
  <r>
    <x v="6"/>
    <x v="1"/>
    <s v="F:\images\20210311\plaque 1/@06 EE2 170.9/B6_02- exclu.tif"/>
    <m/>
    <m/>
    <x v="1"/>
    <m/>
    <m/>
    <m/>
    <m/>
  </r>
  <r>
    <x v="6"/>
    <x v="1"/>
    <s v="F:\images\20210311\plaque 1/@06 EE2 170.9/B6_03.tif "/>
    <s v=" 38306.5434 "/>
    <s v=" 71.7719 "/>
    <x v="0"/>
    <n v="2749333"/>
    <m/>
    <m/>
    <m/>
  </r>
  <r>
    <x v="6"/>
    <x v="2"/>
    <s v="F:\images\20210311\plaque 1/@06 EE2 170.9/C6_01.tif "/>
    <s v=" 59201.0216 "/>
    <s v=" 72.7881 "/>
    <x v="0"/>
    <n v="4309129"/>
    <m/>
    <m/>
    <m/>
  </r>
  <r>
    <x v="6"/>
    <x v="2"/>
    <s v="F:\images\20210311\plaque 1/@06 EE2 170.9/C6_02.tif "/>
    <s v=" 49121.4907 "/>
    <s v=" 73.0238 "/>
    <x v="0"/>
    <n v="3587037"/>
    <m/>
    <m/>
    <m/>
  </r>
  <r>
    <x v="6"/>
    <x v="2"/>
    <s v="F:\images\20210311\plaque 1/@06 EE2 170.9/C6_03.tif "/>
    <s v=" 50181.3555 "/>
    <s v=" 73.1 "/>
    <x v="0"/>
    <n v="3668257"/>
    <m/>
    <m/>
    <m/>
  </r>
  <r>
    <x v="6"/>
    <x v="3"/>
    <s v="F:\images\20210311\plaque 1/@06 EE2 170.9/D6_01.tif "/>
    <s v=" 42481.1131 "/>
    <s v=" 70.362 "/>
    <x v="0"/>
    <n v="2989057"/>
    <m/>
    <m/>
    <m/>
  </r>
  <r>
    <x v="6"/>
    <x v="3"/>
    <s v="F:\images\20210311\plaque 1/@06 EE2 170.9/D6_02.tif "/>
    <s v=" 44341.284 "/>
    <s v=" 71.9166 "/>
    <x v="0"/>
    <n v="3188874"/>
    <m/>
    <m/>
    <m/>
  </r>
  <r>
    <x v="6"/>
    <x v="3"/>
    <s v="F:\images\20210311\plaque 1/@06 EE2 170.9/D6_03.tif "/>
    <s v=" 38760.7712 "/>
    <s v=" 69.9554 "/>
    <x v="0"/>
    <n v="2711524"/>
    <m/>
    <m/>
    <m/>
  </r>
  <r>
    <x v="6"/>
    <x v="4"/>
    <s v="F:\images\20210311\plaque 1/@06 EE2 170.9/E6_01.tif "/>
    <s v=" 55459.0498 "/>
    <s v=" 77.4243 "/>
    <x v="0"/>
    <n v="4293880"/>
    <m/>
    <m/>
    <m/>
  </r>
  <r>
    <x v="6"/>
    <x v="4"/>
    <s v="F:\images\20210311\plaque 1/@06 EE2 170.9/E6_02.tif "/>
    <s v=" 60022.9576 "/>
    <s v=" 78.1391 "/>
    <x v="0"/>
    <n v="4690140"/>
    <m/>
    <m/>
    <m/>
  </r>
  <r>
    <x v="6"/>
    <x v="4"/>
    <s v="F:\images\20210311\plaque 1/@06 EE2 170.9/E6_03.tif "/>
    <s v=" 53404.2098 "/>
    <s v=" 76.503 "/>
    <x v="0"/>
    <n v="4085584"/>
    <m/>
    <m/>
    <m/>
  </r>
  <r>
    <x v="6"/>
    <x v="5"/>
    <s v="F:\images\20210311\plaque 1/@06 EE2 170.9/F6_01.tif "/>
    <s v=" 33028.8491 "/>
    <s v=" 67.1264 "/>
    <x v="0"/>
    <n v="2217107"/>
    <m/>
    <m/>
    <m/>
  </r>
  <r>
    <x v="6"/>
    <x v="5"/>
    <s v="F:\images\20210311\plaque 1/@06 EE2 170.9/F6_02.tif "/>
    <s v=" 32812.5502 "/>
    <s v=" 67.3019 "/>
    <x v="0"/>
    <n v="2208347"/>
    <m/>
    <m/>
    <m/>
  </r>
  <r>
    <x v="6"/>
    <x v="5"/>
    <s v="F:\images\20210311\plaque 1/@06 EE2 170.9/F6_03.tif "/>
    <s v=" 35408.1375 "/>
    <s v=" 67.5192 "/>
    <x v="0"/>
    <n v="2390731"/>
    <m/>
    <m/>
    <m/>
  </r>
  <r>
    <x v="6"/>
    <x v="6"/>
    <s v="F:\images\20210311\plaque 1/@06 EE2 170.9/G6_01.tif "/>
    <s v=" 48039.996 "/>
    <s v=" 73.4241 "/>
    <x v="0"/>
    <n v="3527295"/>
    <m/>
    <m/>
    <m/>
  </r>
  <r>
    <x v="6"/>
    <x v="6"/>
    <s v="F:\images\20210311\plaque 1/@06 EE2 170.9/G6_02.tif "/>
    <s v=" 47542.5084 "/>
    <s v=" 71.7848 "/>
    <x v="0"/>
    <n v="3412830"/>
    <m/>
    <m/>
    <m/>
  </r>
  <r>
    <x v="6"/>
    <x v="6"/>
    <s v="F:\images\20210311\plaque 1/@06 EE2 170.9/G6_03.tif "/>
    <s v=" 40945.3905 "/>
    <s v=" 69.9662 "/>
    <x v="0"/>
    <n v="2864793"/>
    <m/>
    <m/>
    <m/>
  </r>
  <r>
    <x v="6"/>
    <x v="7"/>
    <s v="F:\images\20210311\plaque 1/@06 EE2 170.9/H6_01.tif "/>
    <s v=" 41810.5863 "/>
    <s v=" 75.7455 "/>
    <x v="0"/>
    <n v="3166963"/>
    <m/>
    <m/>
    <m/>
  </r>
  <r>
    <x v="6"/>
    <x v="7"/>
    <s v="F:\images\20210311\plaque 1/@06 EE2 170.9/H6_02.tif "/>
    <s v=" 42740.6718 "/>
    <s v=" 77.0314 "/>
    <x v="0"/>
    <n v="3292373"/>
    <m/>
    <m/>
    <m/>
  </r>
  <r>
    <x v="6"/>
    <x v="7"/>
    <s v="F:\images\20210311\plaque 1/@06 EE2 170.9/H6_03.tif "/>
    <s v=" 44665.7324 "/>
    <s v=" 74.3099 "/>
    <x v="0"/>
    <n v="3319107"/>
    <m/>
    <m/>
    <m/>
  </r>
  <r>
    <x v="1"/>
    <x v="8"/>
    <s v=" "/>
    <m/>
    <m/>
    <x v="1"/>
    <m/>
    <m/>
    <m/>
    <m/>
  </r>
  <r>
    <x v="1"/>
    <x v="8"/>
    <s v="group "/>
    <s v=" "/>
    <s v=" mean of mean fluo "/>
    <x v="2"/>
    <s v=" mean of total fluo "/>
    <s v=" SD total fluo "/>
    <s v=" n fluorescent "/>
    <s v=" n total"/>
  </r>
  <r>
    <x v="6"/>
    <x v="9"/>
    <s v="F:\images\20210311\plaque 1/@06 EE2 170.9/ "/>
    <s v=" "/>
    <s v=" 73.0074 "/>
    <x v="8"/>
    <s v=" 3267456.08 "/>
    <s v=" 637934.0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11\plaque 1/@07 EE2 488/A7_01.tif "/>
    <s v=" 67031.0435 "/>
    <s v=" 94.374 "/>
    <x v="0"/>
    <n v="6325987"/>
    <m/>
    <m/>
    <m/>
  </r>
  <r>
    <x v="7"/>
    <x v="0"/>
    <s v="F:\images\20210311\plaque 1/@07 EE2 488/A7_02- exclu.tif"/>
    <m/>
    <m/>
    <x v="1"/>
    <m/>
    <m/>
    <m/>
    <m/>
  </r>
  <r>
    <x v="7"/>
    <x v="0"/>
    <s v="F:\images\20210311\plaque 1/@07 EE2 488/A7_03.tif "/>
    <s v=" 60001.3277 "/>
    <s v=" 99.2073 "/>
    <x v="0"/>
    <n v="5952569"/>
    <m/>
    <m/>
    <m/>
  </r>
  <r>
    <x v="7"/>
    <x v="1"/>
    <s v="F:\images\20210311\plaque 1/@07 EE2 488/B7_01.tif "/>
    <s v=" 63137.6624 "/>
    <s v=" 95.9222 "/>
    <x v="0"/>
    <n v="6056306"/>
    <m/>
    <m/>
    <m/>
  </r>
  <r>
    <x v="7"/>
    <x v="1"/>
    <s v="F:\images\20210311\plaque 1/@07 EE2 488/B7_02.tif "/>
    <s v=" 66858.0043 "/>
    <s v=" 94.3743 "/>
    <x v="0"/>
    <n v="6309678"/>
    <m/>
    <m/>
    <m/>
  </r>
  <r>
    <x v="7"/>
    <x v="1"/>
    <s v="F:\images\20210311\plaque 1/@07 EE2 488/B7_03.tif "/>
    <s v=" 62986.2532 "/>
    <s v=" 94.3252 "/>
    <x v="0"/>
    <n v="5941191"/>
    <m/>
    <m/>
    <m/>
  </r>
  <r>
    <x v="7"/>
    <x v="2"/>
    <s v="F:\images\20210311\plaque 1/@07 EE2 488/C7_01.tif "/>
    <s v=" 72157.3285 "/>
    <s v=" 97.5426 "/>
    <x v="0"/>
    <n v="7038411"/>
    <m/>
    <m/>
    <m/>
  </r>
  <r>
    <x v="7"/>
    <x v="2"/>
    <s v="F:\images\20210311\plaque 1/@07 EE2 488/C7_02- exclu.tif"/>
    <m/>
    <m/>
    <x v="1"/>
    <m/>
    <m/>
    <m/>
    <m/>
  </r>
  <r>
    <x v="7"/>
    <x v="2"/>
    <s v="F:\images\20210311\plaque 1/@07 EE2 488/C7_03.tif "/>
    <s v=" 70556.7163 "/>
    <s v=" 95.1101 "/>
    <x v="0"/>
    <n v="6710653"/>
    <m/>
    <m/>
    <m/>
  </r>
  <r>
    <x v="7"/>
    <x v="3"/>
    <s v="F:\images\20210311\plaque 1/@07 EE2 488/D7_01.tif "/>
    <s v=" 67333.862 "/>
    <s v=" 91.4925 "/>
    <x v="0"/>
    <n v="6160540"/>
    <m/>
    <m/>
    <m/>
  </r>
  <r>
    <x v="7"/>
    <x v="3"/>
    <s v="F:\images\20210311\plaque 1/@07 EE2 488/D7_02.tif "/>
    <s v=" 60693.4843 "/>
    <s v=" 92.7505 "/>
    <x v="0"/>
    <n v="5629353"/>
    <m/>
    <m/>
    <m/>
  </r>
  <r>
    <x v="7"/>
    <x v="3"/>
    <s v="F:\images\20210311\plaque 1/@07 EE2 488/D7_03.tif "/>
    <s v=" 60433.9256 "/>
    <s v=" 92.3275 "/>
    <x v="0"/>
    <n v="5579713"/>
    <m/>
    <m/>
    <m/>
  </r>
  <r>
    <x v="7"/>
    <x v="4"/>
    <s v="F:\images\20210311\plaque 1/@07 EE2 488/E7_01.tif "/>
    <s v=" 57795.0784 "/>
    <s v=" 79.1437 "/>
    <x v="0"/>
    <n v="4574117"/>
    <m/>
    <m/>
    <m/>
  </r>
  <r>
    <x v="7"/>
    <x v="4"/>
    <s v="F:\images\20210311\plaque 1/@07 EE2 488/E7_02.tif "/>
    <s v=" 51414.2595 "/>
    <s v=" 82.0374 "/>
    <x v="0"/>
    <n v="4217894"/>
    <m/>
    <m/>
    <m/>
  </r>
  <r>
    <x v="7"/>
    <x v="4"/>
    <s v="F:\images\20210311\plaque 1/@07 EE2 488/E7_03.tif "/>
    <s v=" 50138.0957 "/>
    <s v=" 78.5349 "/>
    <x v="0"/>
    <n v="3937593"/>
    <m/>
    <m/>
    <m/>
  </r>
  <r>
    <x v="7"/>
    <x v="5"/>
    <s v="F:\images\20210311\plaque 1/@07 EE2 488/F7_01.tif "/>
    <s v=" 70037.5988 "/>
    <s v=" 91.8406 "/>
    <x v="0"/>
    <n v="6432298"/>
    <m/>
    <m/>
    <m/>
  </r>
  <r>
    <x v="7"/>
    <x v="5"/>
    <s v="F:\images\20210311\plaque 1/@07 EE2 488/F7_02.tif "/>
    <s v=" 62358.9862 "/>
    <s v=" 91.8741 "/>
    <x v="0"/>
    <n v="5729175"/>
    <m/>
    <m/>
    <m/>
  </r>
  <r>
    <x v="7"/>
    <x v="5"/>
    <s v="F:\images\20210311\plaque 1/@07 EE2 488/F7_03.tif "/>
    <s v=" 65495.3209 "/>
    <s v=" 88.4343 "/>
    <x v="0"/>
    <n v="5792032"/>
    <m/>
    <m/>
    <m/>
  </r>
  <r>
    <x v="7"/>
    <x v="6"/>
    <s v="F:\images\20210311\plaque 1/@07 EE2 488/G7_01.tif "/>
    <s v=" 60477.1854 "/>
    <s v=" 90.8326 "/>
    <x v="0"/>
    <n v="5493301"/>
    <m/>
    <m/>
    <m/>
  </r>
  <r>
    <x v="7"/>
    <x v="6"/>
    <s v="F:\images\20210311\plaque 1/@07 EE2 488/G7_02.tif "/>
    <s v=" 53555.6191 "/>
    <s v=" 94.6971 "/>
    <x v="0"/>
    <n v="5071561"/>
    <m/>
    <m/>
    <m/>
  </r>
  <r>
    <x v="7"/>
    <x v="6"/>
    <s v="F:\images\20210311\plaque 1/@07 EE2 488/G7_03.tif "/>
    <s v=" 49510.8288 "/>
    <s v=" 99.7501 "/>
    <x v="0"/>
    <n v="4938711"/>
    <m/>
    <m/>
    <m/>
  </r>
  <r>
    <x v="7"/>
    <x v="7"/>
    <s v="F:\images\20210311\plaque 1/@07 EE2 488/H7_01.tif "/>
    <s v=" 54831.7829 "/>
    <s v=" 88.1215 "/>
    <x v="0"/>
    <n v="4831859"/>
    <m/>
    <m/>
    <m/>
  </r>
  <r>
    <x v="7"/>
    <x v="7"/>
    <s v="F:\images\20210311\plaque 1/@07 EE2 488/H7_02.tif "/>
    <s v=" 52149.676 "/>
    <s v=" 86.2435 "/>
    <x v="0"/>
    <n v="4497569"/>
    <m/>
    <m/>
    <m/>
  </r>
  <r>
    <x v="7"/>
    <x v="7"/>
    <s v="F:\images\20210311\plaque 1/@07 EE2 488/H7_03- exclu.tif"/>
    <m/>
    <m/>
    <x v="1"/>
    <m/>
    <m/>
    <m/>
    <m/>
  </r>
  <r>
    <x v="1"/>
    <x v="8"/>
    <s v=" "/>
    <m/>
    <m/>
    <x v="1"/>
    <m/>
    <m/>
    <m/>
    <m/>
  </r>
  <r>
    <x v="1"/>
    <x v="8"/>
    <s v="group "/>
    <s v=" "/>
    <s v=" mean of mean fluo "/>
    <x v="2"/>
    <s v=" mean of total fluo "/>
    <s v=" SD total fluo "/>
    <s v=" n fluorescent "/>
    <s v=" n total"/>
  </r>
  <r>
    <x v="7"/>
    <x v="9"/>
    <s v="F:\images\20210311\plaque 1/@07 EE2 488/ "/>
    <s v=" "/>
    <s v=" 91.0958 "/>
    <x v="9"/>
    <s v=" 5397023.71 "/>
    <s v=" 951288.53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11\plaque 1/@08 Amantadine 0.001 mg_L/A8_01.tif "/>
    <s v=" 237.9288 "/>
    <s v=" 63.3636 "/>
    <x v="0"/>
    <n v="15076"/>
    <m/>
    <m/>
    <m/>
  </r>
  <r>
    <x v="8"/>
    <x v="0"/>
    <s v="F:\images\20210311\plaque 1/@08 Amantadine 0.001 mg_L/A8_02.tif "/>
    <s v=" 302.8185 "/>
    <s v=" 62.5 "/>
    <x v="0"/>
    <n v="18926"/>
    <m/>
    <m/>
    <m/>
  </r>
  <r>
    <x v="8"/>
    <x v="0"/>
    <s v="F:\images\20210311\plaque 1/@08 Amantadine 0.001 mg_L/A8_03- exclu.tif"/>
    <m/>
    <m/>
    <x v="1"/>
    <m/>
    <m/>
    <m/>
    <m/>
  </r>
  <r>
    <x v="8"/>
    <x v="1"/>
    <s v="F:\images\20210311\plaque 1/@08 Amantadine 0.001 mg_L/B8_01.tif "/>
    <s v=" 1449.2029 "/>
    <s v=" 63.1194 "/>
    <x v="0"/>
    <n v="91473"/>
    <m/>
    <m/>
    <m/>
  </r>
  <r>
    <x v="8"/>
    <x v="1"/>
    <s v="F:\images\20210311\plaque 1/@08 Amantadine 0.001 mg_L/B8_02.tif "/>
    <s v=" 1059.8648 "/>
    <s v=" 63.7347 "/>
    <x v="0"/>
    <n v="67550"/>
    <m/>
    <m/>
    <m/>
  </r>
  <r>
    <x v="8"/>
    <x v="1"/>
    <s v="F:\images\20210311\plaque 1/@08 Amantadine 0.001 mg_L/B8_03.tif "/>
    <s v=" 1665.5019 "/>
    <s v=" 65.2338 "/>
    <x v="0"/>
    <n v="108647"/>
    <m/>
    <m/>
    <m/>
  </r>
  <r>
    <x v="8"/>
    <x v="2"/>
    <s v="F:\images\20210311\plaque 1/@08 Amantadine 0.001 mg_L/C8_01.tif "/>
    <s v=" 302.8185 "/>
    <s v=" 63.5714 "/>
    <x v="0"/>
    <n v="19251"/>
    <m/>
    <m/>
    <m/>
  </r>
  <r>
    <x v="8"/>
    <x v="2"/>
    <s v="F:\images\20210311\plaque 1/@08 Amantadine 0.001 mg_L/C8_02.tif "/>
    <s v=" 908.4556 "/>
    <s v=" 65.1667 "/>
    <x v="0"/>
    <n v="59201"/>
    <m/>
    <m/>
    <m/>
  </r>
  <r>
    <x v="8"/>
    <x v="2"/>
    <s v="F:\images\20210311\plaque 1/@08 Amantadine 0.001 mg_L/C8_03.tif "/>
    <s v=" 432.5979 "/>
    <s v=" 63.3 "/>
    <x v="0"/>
    <n v="27383"/>
    <m/>
    <m/>
    <m/>
  </r>
  <r>
    <x v="8"/>
    <x v="3"/>
    <s v="F:\images\20210311\plaque 1/@08 Amantadine 0.001 mg_L/D8_01.tif "/>
    <s v=" 800.3061 "/>
    <s v=" 63.8378 "/>
    <x v="0"/>
    <n v="51090"/>
    <m/>
    <m/>
    <m/>
  </r>
  <r>
    <x v="8"/>
    <x v="3"/>
    <s v="F:\images\20210311\plaque 1/@08 Amantadine 0.001 mg_L/D8_02.tif "/>
    <s v=" 562.3773 "/>
    <s v=" 66.0385 "/>
    <x v="0"/>
    <n v="37139"/>
    <m/>
    <m/>
    <m/>
  </r>
  <r>
    <x v="8"/>
    <x v="3"/>
    <s v="F:\images\20210311\plaque 1/@08 Amantadine 0.001 mg_L/D8_03.tif "/>
    <s v=" 1081.4947 "/>
    <s v=" 66.96 "/>
    <x v="0"/>
    <n v="72417"/>
    <m/>
    <m/>
    <m/>
  </r>
  <r>
    <x v="8"/>
    <x v="4"/>
    <s v="F:\images\20210311\plaque 1/@08 Amantadine 0.001 mg_L/E8_01.tif "/>
    <s v=" 1254.5339 "/>
    <s v=" 64.569 "/>
    <x v="0"/>
    <n v="81004"/>
    <m/>
    <m/>
    <m/>
  </r>
  <r>
    <x v="8"/>
    <x v="4"/>
    <s v="F:\images\20210311\plaque 1/@08 Amantadine 0.001 mg_L/E8_02.tif "/>
    <s v=" 605.637 "/>
    <s v=" 64.8571 "/>
    <x v="0"/>
    <n v="39280"/>
    <m/>
    <m/>
    <m/>
  </r>
  <r>
    <x v="8"/>
    <x v="4"/>
    <s v="F:\images\20210311\plaque 1/@08 Amantadine 0.001 mg_L/E8_03.tif "/>
    <s v=" 173.0392 "/>
    <s v=" 62.5 "/>
    <x v="0"/>
    <n v="10815"/>
    <m/>
    <m/>
    <m/>
  </r>
  <r>
    <x v="8"/>
    <x v="5"/>
    <s v="F:\images\20210311\plaque 1/@08 Amantadine 0.001 mg_L/F8_01.tif "/>
    <s v=" 151.4093 "/>
    <s v=" 64.2857 "/>
    <x v="0"/>
    <n v="9733"/>
    <m/>
    <m/>
    <m/>
  </r>
  <r>
    <x v="8"/>
    <x v="5"/>
    <s v="F:\images\20210311\plaque 1/@08 Amantadine 0.001 mg_L/F8_02.tif "/>
    <s v=" 129.7794 "/>
    <s v=" 60.5 "/>
    <x v="0"/>
    <n v="7852"/>
    <m/>
    <m/>
    <m/>
  </r>
  <r>
    <x v="8"/>
    <x v="5"/>
    <s v="F:\images\20210311\plaque 1/@08 Amantadine 0.001 mg_L/F8_03.tif "/>
    <s v=" 389.3381 "/>
    <s v=" 64.3333 "/>
    <x v="0"/>
    <n v="25047"/>
    <m/>
    <m/>
    <m/>
  </r>
  <r>
    <x v="8"/>
    <x v="6"/>
    <s v="F:\images\20210311\plaque 1/@08 Amantadine 0.001 mg_L/G8_01.tif "/>
    <s v=" 7721.8724 "/>
    <s v=" 72.1933 "/>
    <x v="0"/>
    <n v="557467"/>
    <m/>
    <m/>
    <m/>
  </r>
  <r>
    <x v="8"/>
    <x v="6"/>
    <s v="F:\images\20210311\plaque 1/@08 Amantadine 0.001 mg_L/G8_02.tif "/>
    <s v=" 605.637 "/>
    <s v=" 63.25 "/>
    <x v="0"/>
    <n v="38307"/>
    <m/>
    <m/>
    <m/>
  </r>
  <r>
    <x v="8"/>
    <x v="6"/>
    <s v="F:\images\20210311\plaque 1/@08 Amantadine 0.001 mg_L/G8_03.tif "/>
    <s v=" 3763.6017 "/>
    <s v=" 69.7241 "/>
    <x v="0"/>
    <n v="262414"/>
    <m/>
    <m/>
    <m/>
  </r>
  <r>
    <x v="8"/>
    <x v="7"/>
    <s v="F:\images\20210311\plaque 1/@08 Amantadine 0.001 mg_L/H8_01.tif "/>
    <s v=" 367.7082 "/>
    <s v=" 62.7647 "/>
    <x v="0"/>
    <n v="23079"/>
    <m/>
    <m/>
    <m/>
  </r>
  <r>
    <x v="8"/>
    <x v="7"/>
    <s v="F:\images\20210311\plaque 1/@08 Amantadine 0.001 mg_L/H8_02.tif "/>
    <s v=" 1081.4947 "/>
    <s v=" 62.82 "/>
    <x v="0"/>
    <n v="67939"/>
    <m/>
    <m/>
    <m/>
  </r>
  <r>
    <x v="8"/>
    <x v="7"/>
    <s v="F:\images\20210311\plaque 1/@08 Amantadine 0.001 mg_L/H8_03.tif "/>
    <s v=" 346.0783 "/>
    <s v=" 63.0625 "/>
    <x v="0"/>
    <n v="21825"/>
    <m/>
    <m/>
    <m/>
  </r>
  <r>
    <x v="1"/>
    <x v="8"/>
    <s v=" "/>
    <m/>
    <m/>
    <x v="1"/>
    <m/>
    <m/>
    <m/>
    <m/>
  </r>
  <r>
    <x v="1"/>
    <x v="8"/>
    <s v="group "/>
    <s v=" "/>
    <s v=" mean of mean fluo "/>
    <x v="2"/>
    <s v=" mean of total fluo "/>
    <s v=" SD total fluo "/>
    <s v=" n fluorescent "/>
    <s v=" n total"/>
  </r>
  <r>
    <x v="8"/>
    <x v="9"/>
    <s v="F:\images\20210311\plaque 1/@08 Amantadine 0.001 mg_L/ "/>
    <s v=" "/>
    <s v=" 64.406 "/>
    <x v="10"/>
    <s v=" 72352.9167 "/>
    <s v=" 116062.75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11\plaque 1/@09 Amantadine 0.01 mg_L/A9_01.tif "/>
    <s v=" 7181.125 "/>
    <s v=" 71.4006 "/>
    <x v="0"/>
    <n v="512737"/>
    <m/>
    <m/>
    <m/>
  </r>
  <r>
    <x v="9"/>
    <x v="0"/>
    <s v="F:\images\20210311\plaque 1/@09 Amantadine 0.01 mg_L/A9_02- exclu.tif"/>
    <m/>
    <m/>
    <x v="1"/>
    <m/>
    <m/>
    <m/>
    <m/>
  </r>
  <r>
    <x v="9"/>
    <x v="0"/>
    <s v="F:\images\20210311\plaque 1/@09 Amantadine 0.01 mg_L/A9_03- exclu.tif"/>
    <m/>
    <m/>
    <x v="1"/>
    <m/>
    <m/>
    <m/>
    <m/>
  </r>
  <r>
    <x v="9"/>
    <x v="1"/>
    <s v="F:\images\20210311\plaque 1/@09 Amantadine 0.01 mg_L/B9_01.tif "/>
    <s v=" 4044.7903 "/>
    <s v=" 68.0428 "/>
    <x v="0"/>
    <n v="275219"/>
    <m/>
    <m/>
    <m/>
  </r>
  <r>
    <x v="9"/>
    <x v="1"/>
    <s v="F:\images\20210311\plaque 1/@09 Amantadine 0.01 mg_L/B9_02.tif "/>
    <s v=" 281.1886 "/>
    <s v=" 64.0769 "/>
    <x v="0"/>
    <n v="18018"/>
    <m/>
    <m/>
    <m/>
  </r>
  <r>
    <x v="9"/>
    <x v="1"/>
    <s v="F:\images\20210311\plaque 1/@09 Amantadine 0.01 mg_L/B9_03.tif "/>
    <s v=" 2898.4059 "/>
    <s v=" 68.6418 "/>
    <x v="0"/>
    <n v="198952"/>
    <m/>
    <m/>
    <m/>
  </r>
  <r>
    <x v="9"/>
    <x v="2"/>
    <s v="F:\images\20210311\plaque 1/@09 Amantadine 0.01 mg_L/C9_01.tif "/>
    <s v=" 1405.9432 "/>
    <s v=" 63.4769 "/>
    <x v="0"/>
    <n v="89245"/>
    <m/>
    <m/>
    <m/>
  </r>
  <r>
    <x v="9"/>
    <x v="2"/>
    <s v="F:\images\20210311\plaque 1/@09 Amantadine 0.01 mg_L/C9_02.tif "/>
    <s v=" 519.1175 "/>
    <s v=" 63.5417 "/>
    <x v="0"/>
    <n v="32986"/>
    <m/>
    <m/>
    <m/>
  </r>
  <r>
    <x v="9"/>
    <x v="2"/>
    <s v="F:\images\20210311\plaque 1/@09 Amantadine 0.01 mg_L/C9_03.tif "/>
    <s v=" 4563.9078 "/>
    <s v=" 68.2085 "/>
    <x v="0"/>
    <n v="311297"/>
    <m/>
    <m/>
    <m/>
  </r>
  <r>
    <x v="9"/>
    <x v="3"/>
    <s v="F:\images\20210311\plaque 1/@09 Amantadine 0.01 mg_L/D9_01.tif "/>
    <s v=" 475.8577 "/>
    <s v=" 63.1818 "/>
    <x v="0"/>
    <n v="30066"/>
    <m/>
    <m/>
    <m/>
  </r>
  <r>
    <x v="9"/>
    <x v="3"/>
    <s v="F:\images\20210311\plaque 1/@09 Amantadine 0.01 mg_L/D9_02.tif "/>
    <s v=" 346.0783 "/>
    <s v=" 62.5 "/>
    <x v="0"/>
    <n v="21630"/>
    <m/>
    <m/>
    <m/>
  </r>
  <r>
    <x v="9"/>
    <x v="3"/>
    <s v="F:\images\20210311\plaque 1/@09 Amantadine 0.01 mg_L/D9_03.tif "/>
    <s v=" 237.9288 "/>
    <s v=" 63.3636 "/>
    <x v="0"/>
    <n v="15076"/>
    <m/>
    <m/>
    <m/>
  </r>
  <r>
    <x v="9"/>
    <x v="4"/>
    <s v="F:\images\20210311\plaque 1/@09 Amantadine 0.01 mg_L/E9_01.tif "/>
    <s v=" 2573.9575 "/>
    <s v=" 64.5042 "/>
    <x v="0"/>
    <n v="166031"/>
    <m/>
    <m/>
    <m/>
  </r>
  <r>
    <x v="9"/>
    <x v="4"/>
    <s v="F:\images\20210311\plaque 1/@09 Amantadine 0.01 mg_L/E9_02.tif "/>
    <s v=" 757.0463 "/>
    <s v=" 63.3714 "/>
    <x v="0"/>
    <n v="47975"/>
    <m/>
    <m/>
    <m/>
  </r>
  <r>
    <x v="9"/>
    <x v="4"/>
    <s v="F:\images\20210311\plaque 1/@09 Amantadine 0.01 mg_L/E9_03.tif "/>
    <s v=" 3222.8543 "/>
    <s v=" 68.4027 "/>
    <x v="0"/>
    <n v="220452"/>
    <m/>
    <m/>
    <m/>
  </r>
  <r>
    <x v="9"/>
    <x v="5"/>
    <s v="F:\images\20210311\plaque 1/@09 Amantadine 0.01 mg_L/F9_01.tif "/>
    <s v=" 1557.3524 "/>
    <s v=" 63.5417 "/>
    <x v="0"/>
    <n v="98957"/>
    <m/>
    <m/>
    <m/>
  </r>
  <r>
    <x v="9"/>
    <x v="5"/>
    <s v="F:\images\20210311\plaque 1/@09 Amantadine 0.01 mg_L/F9_02.tif "/>
    <s v=" 713.7865 "/>
    <s v=" 62.3636 "/>
    <x v="0"/>
    <n v="44514"/>
    <m/>
    <m/>
    <m/>
  </r>
  <r>
    <x v="9"/>
    <x v="5"/>
    <s v="F:\images\20210311\plaque 1/@09 Amantadine 0.01 mg_L/F9_03.tif "/>
    <s v=" 497.4876 "/>
    <s v=" 63.7391 "/>
    <x v="0"/>
    <n v="31709"/>
    <m/>
    <m/>
    <m/>
  </r>
  <r>
    <x v="9"/>
    <x v="6"/>
    <s v="F:\images\20210311\plaque 1/@09 Amantadine 0.01 mg_L/G9_01.tif "/>
    <s v=" 6640.3777 "/>
    <s v=" 67.1107 "/>
    <x v="0"/>
    <n v="445641"/>
    <m/>
    <m/>
    <m/>
  </r>
  <r>
    <x v="9"/>
    <x v="6"/>
    <s v="F:\images\20210311\plaque 1/@09 Amantadine 0.01 mg_L/G9_02- exclu.tif"/>
    <m/>
    <m/>
    <x v="1"/>
    <m/>
    <m/>
    <m/>
    <m/>
  </r>
  <r>
    <x v="9"/>
    <x v="6"/>
    <s v="F:\images\20210311\plaque 1/@09 Amantadine 0.01 mg_L/G9_03.tif "/>
    <s v=" 5450.7334 "/>
    <s v=" 72.873 "/>
    <x v="0"/>
    <n v="397211"/>
    <m/>
    <m/>
    <m/>
  </r>
  <r>
    <x v="9"/>
    <x v="7"/>
    <s v="F:\images\20210311\plaque 1/@09 Amantadine 0.01 mg_L/H9_01.tif "/>
    <s v=" 108.1495 "/>
    <s v=" 61.4 "/>
    <x v="0"/>
    <n v="6640"/>
    <m/>
    <m/>
    <m/>
  </r>
  <r>
    <x v="9"/>
    <x v="7"/>
    <s v="F:\images\20210311\plaque 1/@09 Amantadine 0.01 mg_L/H9_02.tif "/>
    <s v=" 237.9288 "/>
    <s v=" 64.5455 "/>
    <x v="0"/>
    <n v="15357"/>
    <m/>
    <m/>
    <m/>
  </r>
  <r>
    <x v="9"/>
    <x v="7"/>
    <s v="F:\images\20210311\plaque 1/@09 Amantadine 0.01 mg_L/H9_03.tif "/>
    <s v=" 151.4093 "/>
    <s v=" 62.1429 "/>
    <x v="0"/>
    <n v="9409"/>
    <m/>
    <m/>
    <m/>
  </r>
  <r>
    <x v="1"/>
    <x v="8"/>
    <s v=" "/>
    <m/>
    <m/>
    <x v="1"/>
    <m/>
    <m/>
    <m/>
    <m/>
  </r>
  <r>
    <x v="1"/>
    <x v="8"/>
    <s v="group "/>
    <s v=" "/>
    <s v=" mean of mean fluo "/>
    <x v="2"/>
    <s v=" mean of total fluo "/>
    <s v=" SD total fluo "/>
    <s v=" n fluorescent "/>
    <s v=" n total"/>
  </r>
  <r>
    <x v="9"/>
    <x v="9"/>
    <s v="F:\images\20210311\plaque 1/@09 Amantadine 0.01 mg_L/ "/>
    <s v=" "/>
    <s v=" 65.0591 "/>
    <x v="11"/>
    <s v=" 127932.708 "/>
    <s v=" 153730.12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11\plaque 1/@10 Amantadine 0.1 mg_L/A10_01.tif "/>
    <s v=" 2206.2493 "/>
    <s v=" 65.5784 "/>
    <x v="0"/>
    <n v="144682"/>
    <m/>
    <m/>
    <m/>
  </r>
  <r>
    <x v="10"/>
    <x v="0"/>
    <s v="F:\images\20210311\plaque 1/@10 Amantadine 0.1 mg_L/A10_02.tif "/>
    <s v=" 1860.1709 "/>
    <s v=" 63.8605 "/>
    <x v="0"/>
    <n v="118791"/>
    <m/>
    <m/>
    <m/>
  </r>
  <r>
    <x v="10"/>
    <x v="0"/>
    <s v="F:\images\20210311\plaque 1/@10 Amantadine 0.1 mg_L/A10_03.tif "/>
    <s v=" 346.0783 "/>
    <s v=" 65.125 "/>
    <x v="0"/>
    <n v="22538"/>
    <m/>
    <m/>
    <m/>
  </r>
  <r>
    <x v="10"/>
    <x v="1"/>
    <s v="F:\images\20210311\plaque 1/@10 Amantadine 0.1 mg_L/B10_01.tif "/>
    <s v=" 2573.9575 "/>
    <s v=" 66.916 "/>
    <x v="0"/>
    <n v="172239"/>
    <m/>
    <m/>
    <m/>
  </r>
  <r>
    <x v="10"/>
    <x v="1"/>
    <s v="F:\images\20210311\plaque 1/@10 Amantadine 0.1 mg_L/B10_02.tif "/>
    <s v=" 951.7154 "/>
    <s v=" 63.2045 "/>
    <x v="0"/>
    <n v="60153"/>
    <m/>
    <m/>
    <m/>
  </r>
  <r>
    <x v="10"/>
    <x v="1"/>
    <s v="F:\images\20210311\plaque 1/@10 Amantadine 0.1 mg_L/B10_03.tif "/>
    <s v=" 2184.6194 "/>
    <s v=" 65.5842 "/>
    <x v="0"/>
    <n v="143276"/>
    <m/>
    <m/>
    <m/>
  </r>
  <r>
    <x v="10"/>
    <x v="2"/>
    <s v="F:\images\20210311\plaque 1/@10 Amantadine 0.1 mg_L/C10_01.tif "/>
    <s v=" 1925.0606 "/>
    <s v=" 65.5506 "/>
    <x v="0"/>
    <n v="126189"/>
    <m/>
    <m/>
    <m/>
  </r>
  <r>
    <x v="10"/>
    <x v="2"/>
    <s v="F:\images\20210311\plaque 1/@10 Amantadine 0.1 mg_L/C10_02.tif "/>
    <s v=" 757.0463 "/>
    <s v=" 63.0571 "/>
    <x v="0"/>
    <n v="47737"/>
    <m/>
    <m/>
    <m/>
  </r>
  <r>
    <x v="10"/>
    <x v="2"/>
    <s v="F:\images\20210311\plaque 1/@10 Amantadine 0.1 mg_L/C10_03.tif "/>
    <s v=" 6013.1107 "/>
    <s v=" 66.4856 "/>
    <x v="0"/>
    <n v="399785"/>
    <m/>
    <m/>
    <m/>
  </r>
  <r>
    <x v="10"/>
    <x v="3"/>
    <s v="F:\images\20210311\plaque 1/@10 Amantadine 0.1 mg_L/D10_01.tif "/>
    <s v=" 1968.3204 "/>
    <s v=" 64.989 "/>
    <x v="0"/>
    <n v="127919"/>
    <m/>
    <m/>
    <m/>
  </r>
  <r>
    <x v="10"/>
    <x v="3"/>
    <s v="F:\images\20210311\plaque 1/@10 Amantadine 0.1 mg_L/D10_02.tif "/>
    <s v=" 1730.3916 "/>
    <s v=" 64.1875 "/>
    <x v="0"/>
    <n v="111070"/>
    <m/>
    <m/>
    <m/>
  </r>
  <r>
    <x v="10"/>
    <x v="3"/>
    <s v="F:\images\20210311\plaque 1/@10 Amantadine 0.1 mg_L/D10_03.tif "/>
    <s v=" 648.8968 "/>
    <s v=" 64.0333 "/>
    <x v="0"/>
    <n v="41551"/>
    <m/>
    <m/>
    <m/>
  </r>
  <r>
    <x v="10"/>
    <x v="4"/>
    <s v="F:\images\20210311\plaque 1/@10 Amantadine 0.1 mg_L/E10_01.tif "/>
    <s v=" 1232.904 "/>
    <s v=" 62.7193 "/>
    <x v="0"/>
    <n v="77327"/>
    <m/>
    <m/>
    <m/>
  </r>
  <r>
    <x v="10"/>
    <x v="4"/>
    <s v="F:\images\20210311\plaque 1/@10 Amantadine 0.1 mg_L/E10_02.tif "/>
    <s v=" 2617.2173 "/>
    <s v=" 65.5537 "/>
    <x v="0"/>
    <n v="171568"/>
    <m/>
    <m/>
    <m/>
  </r>
  <r>
    <x v="10"/>
    <x v="4"/>
    <s v="F:\images\20210311\plaque 1/@10 Amantadine 0.1 mg_L/E10_03.tif "/>
    <s v=" 475.8577 "/>
    <s v=" 63.2727 "/>
    <x v="0"/>
    <n v="30109"/>
    <m/>
    <m/>
    <m/>
  </r>
  <r>
    <x v="10"/>
    <x v="5"/>
    <s v="F:\images\20210311\plaque 1/@10 Amantadine 0.1 mg_L/F10_01.tif "/>
    <s v=" 3547.3027 "/>
    <s v=" 65.6159 "/>
    <x v="0"/>
    <n v="232759"/>
    <m/>
    <m/>
    <m/>
  </r>
  <r>
    <x v="10"/>
    <x v="5"/>
    <s v="F:\images\20210311\plaque 1/@10 Amantadine 0.1 mg_L/F10_02.tif "/>
    <s v=" 2033.2101 "/>
    <s v=" 65.2447 "/>
    <x v="0"/>
    <n v="132656"/>
    <m/>
    <m/>
    <m/>
  </r>
  <r>
    <x v="10"/>
    <x v="5"/>
    <s v="F:\images\20210311\plaque 1/@10 Amantadine 0.1 mg_L/F10_03.tif "/>
    <s v=" 2617.2173 "/>
    <s v=" 65.5785 "/>
    <x v="0"/>
    <n v="171633"/>
    <m/>
    <m/>
    <m/>
  </r>
  <r>
    <x v="10"/>
    <x v="6"/>
    <s v="F:\images\20210311\plaque 1/@10 Amantadine 0.1 mg_L/G10_01.tif "/>
    <s v=" 3114.7048 "/>
    <s v=" 64.9583 "/>
    <x v="0"/>
    <n v="202326"/>
    <m/>
    <m/>
    <m/>
  </r>
  <r>
    <x v="10"/>
    <x v="6"/>
    <s v="F:\images\20210311\plaque 1/@10 Amantadine 0.1 mg_L/G10_02.tif "/>
    <s v=" 302.8185 "/>
    <s v=" 63.7857 "/>
    <x v="0"/>
    <n v="19315"/>
    <m/>
    <m/>
    <m/>
  </r>
  <r>
    <x v="10"/>
    <x v="6"/>
    <s v="F:\images\20210311\plaque 1/@10 Amantadine 0.1 mg_L/G10_03.tif "/>
    <s v=" 1405.9432 "/>
    <s v=" 64.9692 "/>
    <x v="0"/>
    <n v="91343"/>
    <m/>
    <m/>
    <m/>
  </r>
  <r>
    <x v="10"/>
    <x v="7"/>
    <s v="F:\images\20210311\plaque 1/@10 Amantadine 0.1 mg_L/H10_01.tif "/>
    <s v=" 3006.5554 "/>
    <s v=" 69.8489 "/>
    <x v="0"/>
    <n v="210005"/>
    <m/>
    <m/>
    <m/>
  </r>
  <r>
    <x v="10"/>
    <x v="7"/>
    <s v="F:\images\20210311\plaque 1/@10 Amantadine 0.1 mg_L/H10_02.tif "/>
    <s v=" 2206.2493 "/>
    <s v=" 63.8824 "/>
    <x v="0"/>
    <n v="140940"/>
    <m/>
    <m/>
    <m/>
  </r>
  <r>
    <x v="10"/>
    <x v="7"/>
    <s v="F:\images\20210311\plaque 1/@10 Amantadine 0.1 mg_L/H10_03.tif "/>
    <s v=" 3568.9326 "/>
    <s v=" 66.3455 "/>
    <x v="0"/>
    <n v="236782"/>
    <m/>
    <m/>
    <m/>
  </r>
  <r>
    <x v="1"/>
    <x v="8"/>
    <s v=" "/>
    <m/>
    <m/>
    <x v="1"/>
    <m/>
    <m/>
    <m/>
    <m/>
  </r>
  <r>
    <x v="1"/>
    <x v="8"/>
    <s v="group "/>
    <s v=" "/>
    <s v=" mean of mean fluo "/>
    <x v="2"/>
    <s v=" mean of total fluo "/>
    <s v=" SD total fluo "/>
    <s v=" n fluorescent "/>
    <s v=" n total"/>
  </r>
  <r>
    <x v="10"/>
    <x v="9"/>
    <s v="F:\images\20210311\plaque 1/@10 Amantadine 0.1 mg_L/ "/>
    <s v=" "/>
    <s v=" 65.0144 "/>
    <x v="12"/>
    <s v=" 134695.542 "/>
    <s v=" 85879.207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11\plaque 1/@11 Amantadine 1 mg_L/A11_01.tif "/>
    <s v=" 4672.0572 "/>
    <s v=" 67.5972 "/>
    <x v="0"/>
    <n v="315818"/>
    <m/>
    <m/>
    <m/>
  </r>
  <r>
    <x v="11"/>
    <x v="0"/>
    <s v="F:\images\20210311\plaque 1/@11 Amantadine 1 mg_L/A11_02.tif "/>
    <s v=" 5364.2139 "/>
    <s v=" 71.3226 "/>
    <x v="0"/>
    <n v="382590"/>
    <m/>
    <m/>
    <m/>
  </r>
  <r>
    <x v="11"/>
    <x v="0"/>
    <s v="F:\images\20210311\plaque 1/@11 Amantadine 1 mg_L/A11_03.tif "/>
    <s v=" 2660.477 "/>
    <s v=" 64.8699 "/>
    <x v="0"/>
    <n v="172585"/>
    <m/>
    <m/>
    <m/>
  </r>
  <r>
    <x v="11"/>
    <x v="1"/>
    <s v="F:\images\20210311\plaque 1/@11 Amantadine 1 mg_L/B11_01.tif "/>
    <s v=" 14297.3603 "/>
    <s v=" 69.4085 "/>
    <x v="0"/>
    <n v="992358"/>
    <m/>
    <m/>
    <m/>
  </r>
  <r>
    <x v="11"/>
    <x v="1"/>
    <s v="F:\images\20210311\plaque 1/@11 Amantadine 1 mg_L/B11_02.tif "/>
    <s v=" 7008.0859 "/>
    <s v=" 69.8333 "/>
    <x v="0"/>
    <n v="489398"/>
    <m/>
    <m/>
    <m/>
  </r>
  <r>
    <x v="11"/>
    <x v="1"/>
    <s v="F:\images\20210311\plaque 1/@11 Amantadine 1 mg_L/B11_03.tif "/>
    <s v=" 7289.2745 "/>
    <s v=" 69.2315 "/>
    <x v="0"/>
    <n v="504647"/>
    <m/>
    <m/>
    <m/>
  </r>
  <r>
    <x v="11"/>
    <x v="2"/>
    <s v="F:\images\20210311\plaque 1/@11 Amantadine 1 mg_L/C11_01.tif "/>
    <s v=" 1989.9503 "/>
    <s v=" 65.4674 "/>
    <x v="0"/>
    <n v="130277"/>
    <m/>
    <m/>
    <m/>
  </r>
  <r>
    <x v="11"/>
    <x v="2"/>
    <s v="F:\images\20210311\plaque 1/@11 Amantadine 1 mg_L/C11_02.tif "/>
    <s v=" 1081.4947 "/>
    <s v=" 66.52 "/>
    <x v="0"/>
    <n v="71941"/>
    <m/>
    <m/>
    <m/>
  </r>
  <r>
    <x v="11"/>
    <x v="2"/>
    <s v="F:\images\20210311\plaque 1/@11 Amantadine 1 mg_L/C11_03.tif "/>
    <s v=" 735.4164 "/>
    <n v="63"/>
    <x v="0"/>
    <n v="46331"/>
    <m/>
    <m/>
    <m/>
  </r>
  <r>
    <x v="11"/>
    <x v="3"/>
    <s v="F:\images\20210311\plaque 1/@11 Amantadine 1 mg_L/D11_01.tif "/>
    <s v=" 821.936 "/>
    <s v=" 63.4474 "/>
    <x v="0"/>
    <n v="52150"/>
    <m/>
    <m/>
    <m/>
  </r>
  <r>
    <x v="11"/>
    <x v="3"/>
    <s v="F:\images\20210311\plaque 1/@11 Amantadine 1 mg_L/D11_02.tif "/>
    <s v=" 648.8968 "/>
    <s v=" 63.1667 "/>
    <x v="0"/>
    <n v="40989"/>
    <m/>
    <m/>
    <m/>
  </r>
  <r>
    <x v="11"/>
    <x v="3"/>
    <s v="F:\images\20210311\plaque 1/@11 Amantadine 1 mg_L/D11_03.tif "/>
    <s v=" 1016.605 "/>
    <s v=" 65.0426 "/>
    <x v="0"/>
    <n v="66123"/>
    <m/>
    <m/>
    <m/>
  </r>
  <r>
    <x v="11"/>
    <x v="4"/>
    <s v="F:\images\20210311\plaque 1/@11 Amantadine 1 mg_L/E11_01.tif "/>
    <s v=" 1860.1709 "/>
    <s v=" 65.1163 "/>
    <x v="0"/>
    <n v="121127"/>
    <m/>
    <m/>
    <m/>
  </r>
  <r>
    <x v="11"/>
    <x v="4"/>
    <s v="F:\images\20210311\plaque 1/@11 Amantadine 1 mg_L/E11_02.tif "/>
    <s v=" 2725.3667 "/>
    <s v=" 65.2381 "/>
    <x v="0"/>
    <n v="177798"/>
    <m/>
    <m/>
    <m/>
  </r>
  <r>
    <x v="11"/>
    <x v="4"/>
    <s v="F:\images\20210311\plaque 1/@11 Amantadine 1 mg_L/E11_03.tif "/>
    <s v=" 1103.1246 "/>
    <s v=" 62.6275 "/>
    <x v="0"/>
    <n v="69086"/>
    <m/>
    <m/>
    <m/>
  </r>
  <r>
    <x v="11"/>
    <x v="5"/>
    <s v="F:\images\20210311\plaque 1/@11 Amantadine 1 mg_L/F11_01- exclu.tif"/>
    <m/>
    <m/>
    <x v="1"/>
    <m/>
    <m/>
    <m/>
    <m/>
  </r>
  <r>
    <x v="11"/>
    <x v="5"/>
    <s v="F:\images\20210311\plaque 1/@11 Amantadine 1 mg_L/F11_02.tif "/>
    <s v=" 8976.4063 "/>
    <s v=" 71.6217 "/>
    <x v="0"/>
    <n v="642905"/>
    <m/>
    <m/>
    <m/>
  </r>
  <r>
    <x v="11"/>
    <x v="5"/>
    <s v="F:\images\20210311\plaque 1/@11 Amantadine 1 mg_L/F11_03.tif "/>
    <s v=" 5623.7726 "/>
    <s v=" 70.9346 "/>
    <x v="0"/>
    <n v="398920"/>
    <m/>
    <m/>
    <m/>
  </r>
  <r>
    <x v="11"/>
    <x v="6"/>
    <s v="F:\images\20210311\plaque 1/@11 Amantadine 1 mg_L/G11_01.tif "/>
    <s v=" 4909.9861 "/>
    <s v=" 69.5154 "/>
    <x v="0"/>
    <n v="341320"/>
    <m/>
    <m/>
    <m/>
  </r>
  <r>
    <x v="11"/>
    <x v="6"/>
    <s v="F:\images\20210311\plaque 1/@11 Amantadine 1 mg_L/G11_02.tif "/>
    <s v=" 2811.8863 "/>
    <s v=" 64.5462 "/>
    <x v="0"/>
    <n v="181496"/>
    <m/>
    <m/>
    <m/>
  </r>
  <r>
    <x v="11"/>
    <x v="6"/>
    <s v="F:\images\20210311\plaque 1/@11 Amantadine 1 mg_L/G11_03.tif "/>
    <s v=" 930.0855 "/>
    <s v=" 64.8605 "/>
    <x v="0"/>
    <n v="60326"/>
    <m/>
    <m/>
    <m/>
  </r>
  <r>
    <x v="11"/>
    <x v="7"/>
    <s v="F:\images\20210311\plaque 1/@11 Amantadine 1 mg_L/H11_01.tif "/>
    <s v=" 994.9752 "/>
    <s v=" 63.7391 "/>
    <x v="0"/>
    <n v="63419"/>
    <m/>
    <m/>
    <m/>
  </r>
  <r>
    <x v="11"/>
    <x v="7"/>
    <s v="F:\images\20210311\plaque 1/@11 Amantadine 1 mg_L/H11_02.tif "/>
    <s v=" 367.7082 "/>
    <s v=" 65.3529 "/>
    <x v="0"/>
    <n v="24031"/>
    <m/>
    <m/>
    <m/>
  </r>
  <r>
    <x v="11"/>
    <x v="7"/>
    <s v="F:\images\20210311\plaque 1/@11 Amantadine 1 mg_L/H11_03.tif "/>
    <s v=" 367.7082 "/>
    <s v=" 62.2941 "/>
    <x v="0"/>
    <n v="22906"/>
    <m/>
    <m/>
    <m/>
  </r>
  <r>
    <x v="1"/>
    <x v="8"/>
    <s v=" "/>
    <m/>
    <m/>
    <x v="1"/>
    <m/>
    <m/>
    <m/>
    <m/>
  </r>
  <r>
    <x v="1"/>
    <x v="8"/>
    <s v="group "/>
    <s v=" "/>
    <s v=" mean of mean fluo "/>
    <x v="2"/>
    <s v=" mean of total fluo "/>
    <s v=" SD total fluo "/>
    <s v=" n fluorescent "/>
    <s v=" n total"/>
  </r>
  <r>
    <x v="11"/>
    <x v="9"/>
    <s v="F:\images\20210311\plaque 1/@11 Amantadine 1 mg_L/ "/>
    <s v=" "/>
    <s v=" 66.6983 "/>
    <x v="13"/>
    <s v=" 302054.333 "/>
    <s v=" 412691.6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11\plaque 1/@12 Amantadine 10 mg_L/A12_01.tif "/>
    <s v=" 562.3773 "/>
    <s v=" 62.9615 "/>
    <x v="0"/>
    <n v="35408"/>
    <m/>
    <m/>
    <m/>
  </r>
  <r>
    <x v="12"/>
    <x v="0"/>
    <s v="F:\images\20210311\plaque 1/@12 Amantadine 10 mg_L/A12_02.tif "/>
    <s v=" 5472.3633 "/>
    <s v=" 69.1265 "/>
    <x v="0"/>
    <n v="378285"/>
    <m/>
    <m/>
    <m/>
  </r>
  <r>
    <x v="12"/>
    <x v="0"/>
    <s v="F:\images\20210311\plaque 1/@12 Amantadine 10 mg_L/A12_03.tif "/>
    <s v=" 5147.9149 "/>
    <s v=" 70.3025 "/>
    <x v="0"/>
    <n v="361911"/>
    <m/>
    <m/>
    <m/>
  </r>
  <r>
    <x v="12"/>
    <x v="1"/>
    <s v="F:\images\20210311\plaque 1/@12 Amantadine 10 mg_L/B12_01.tif "/>
    <s v=" 1925.0606 "/>
    <s v=" 64.9326 "/>
    <x v="0"/>
    <n v="124999"/>
    <m/>
    <m/>
    <m/>
  </r>
  <r>
    <x v="12"/>
    <x v="1"/>
    <s v="F:\images\20210311\plaque 1/@12 Amantadine 10 mg_L/B12_02.tif "/>
    <s v=" 1038.2349 "/>
    <s v=" 64.6667 "/>
    <x v="0"/>
    <n v="67139"/>
    <m/>
    <m/>
    <m/>
  </r>
  <r>
    <x v="12"/>
    <x v="1"/>
    <s v="F:\images\20210311\plaque 1/@12 Amantadine 10 mg_L/B12_03.tif "/>
    <s v=" 1968.3204 "/>
    <s v=" 67.8571 "/>
    <x v="0"/>
    <n v="133565"/>
    <m/>
    <m/>
    <m/>
  </r>
  <r>
    <x v="12"/>
    <x v="2"/>
    <s v="F:\images\20210311\plaque 1/@12 Amantadine 10 mg_L/C12_01.tif "/>
    <s v=" 3828.4913 "/>
    <s v=" 70.4859 "/>
    <x v="0"/>
    <n v="269855"/>
    <m/>
    <m/>
    <m/>
  </r>
  <r>
    <x v="12"/>
    <x v="2"/>
    <s v="F:\images\20210311\plaque 1/@12 Amantadine 10 mg_L/C12_02- exclu.tif"/>
    <m/>
    <m/>
    <x v="1"/>
    <m/>
    <m/>
    <m/>
    <m/>
  </r>
  <r>
    <x v="12"/>
    <x v="2"/>
    <s v="F:\images\20210311\plaque 1/@12 Amantadine 10 mg_L/C12_03.tif "/>
    <s v=" 3806.8615 "/>
    <s v=" 67.5909 "/>
    <x v="0"/>
    <n v="257309"/>
    <m/>
    <m/>
    <m/>
  </r>
  <r>
    <x v="12"/>
    <x v="3"/>
    <s v="F:\images\20210311\plaque 1/@12 Amantadine 10 mg_L/D12_01.tif "/>
    <s v=" 281.1886 "/>
    <s v=" 64.0769 "/>
    <x v="0"/>
    <n v="18018"/>
    <m/>
    <m/>
    <m/>
  </r>
  <r>
    <x v="12"/>
    <x v="3"/>
    <s v="F:\images\20210311\plaque 1/@12 Amantadine 10 mg_L/D12_02.tif "/>
    <s v=" 6164.52 "/>
    <s v=" 73.2175 "/>
    <x v="0"/>
    <n v="451351"/>
    <m/>
    <m/>
    <m/>
  </r>
  <r>
    <x v="12"/>
    <x v="3"/>
    <s v="F:\images\20210311\plaque 1/@12 Amantadine 10 mg_L/D12_03.tif "/>
    <s v=" 216.2989 "/>
    <s v=" 63.4 "/>
    <x v="0"/>
    <n v="13713"/>
    <m/>
    <m/>
    <m/>
  </r>
  <r>
    <x v="12"/>
    <x v="4"/>
    <s v="F:\images\20210311\plaque 1/@12 Amantadine 10 mg_L/E12_01- exclu.tif"/>
    <m/>
    <m/>
    <x v="1"/>
    <m/>
    <m/>
    <m/>
    <m/>
  </r>
  <r>
    <x v="12"/>
    <x v="4"/>
    <s v="F:\images\20210311\plaque 1/@12 Amantadine 10 mg_L/E12_02- exclu.tif"/>
    <m/>
    <m/>
    <x v="1"/>
    <m/>
    <m/>
    <m/>
    <m/>
  </r>
  <r>
    <x v="12"/>
    <x v="4"/>
    <s v="F:\images\20210311\plaque 1/@12 Amantadine 10 mg_L/E12_03- exclu.tif"/>
    <m/>
    <m/>
    <x v="1"/>
    <m/>
    <m/>
    <m/>
    <m/>
  </r>
  <r>
    <x v="12"/>
    <x v="5"/>
    <s v="F:\images\20210311\plaque 1/@12 Amantadine 10 mg_L/F12_01.tif "/>
    <s v=" 237.9288 "/>
    <s v=" 63.5455 "/>
    <x v="0"/>
    <n v="15119"/>
    <m/>
    <m/>
    <m/>
  </r>
  <r>
    <x v="12"/>
    <x v="5"/>
    <s v="F:\images\20210311\plaque 1/@12 Amantadine 10 mg_L/F12_02- exclu.tif"/>
    <m/>
    <m/>
    <x v="1"/>
    <m/>
    <m/>
    <m/>
    <m/>
  </r>
  <r>
    <x v="12"/>
    <x v="5"/>
    <s v="F:\images\20210311\plaque 1/@12 Amantadine 10 mg_L/F12_03.tif "/>
    <s v=" 237.9288 "/>
    <s v=" 65.2727 "/>
    <x v="0"/>
    <n v="15530"/>
    <m/>
    <m/>
    <m/>
  </r>
  <r>
    <x v="12"/>
    <x v="6"/>
    <s v="F:\images\20210311\plaque 1/@12 Amantadine 10 mg_L/G12_01- exclu.tif"/>
    <m/>
    <m/>
    <x v="1"/>
    <m/>
    <m/>
    <m/>
    <m/>
  </r>
  <r>
    <x v="12"/>
    <x v="6"/>
    <s v="F:\images\20210311\plaque 1/@12 Amantadine 10 mg_L/G12_02- exclu.tif"/>
    <m/>
    <m/>
    <x v="1"/>
    <m/>
    <m/>
    <m/>
    <m/>
  </r>
  <r>
    <x v="12"/>
    <x v="6"/>
    <s v="F:\images\20210311\plaque 1/@12 Amantadine 10 mg_L/G12_03- exclu.tif"/>
    <m/>
    <m/>
    <x v="1"/>
    <m/>
    <m/>
    <m/>
    <m/>
  </r>
  <r>
    <x v="12"/>
    <x v="7"/>
    <s v="F:\images\20210311\plaque 1/@12 Amantadine 10 mg_L/H12_01- exclu.tif"/>
    <m/>
    <m/>
    <x v="1"/>
    <m/>
    <m/>
    <m/>
    <m/>
  </r>
  <r>
    <x v="12"/>
    <x v="7"/>
    <s v="F:\images\20210311\plaque 1/@12 Amantadine 10 mg_L/H12_02.tif "/>
    <s v=" 432.5979 "/>
    <s v=" 62.75 "/>
    <x v="0"/>
    <n v="27146"/>
    <m/>
    <m/>
    <m/>
  </r>
  <r>
    <x v="12"/>
    <x v="7"/>
    <s v="F:\images\20210311\plaque 1/@12 Amantadine 10 mg_L/H12_03.tif "/>
    <s v=" 454.2278 "/>
    <s v=" 61.8095 "/>
    <x v="0"/>
    <n v="28076"/>
    <m/>
    <m/>
    <m/>
  </r>
  <r>
    <x v="1"/>
    <x v="8"/>
    <s v=" "/>
    <m/>
    <m/>
    <x v="1"/>
    <m/>
    <m/>
    <m/>
    <m/>
  </r>
  <r>
    <x v="1"/>
    <x v="8"/>
    <s v="group "/>
    <s v=" "/>
    <s v=" mean of mean fluo "/>
    <x v="2"/>
    <s v=" mean of total fluo "/>
    <s v=" SD total fluo "/>
    <s v=" n fluorescent "/>
    <s v=" n total"/>
  </r>
  <r>
    <x v="12"/>
    <x v="9"/>
    <s v="F:\images\20210311\plaque 1/@12 Amantadine 10 mg_L/ "/>
    <s v=" "/>
    <s v=" 65.5472 "/>
    <x v="14"/>
    <s v=" 100747.583 "/>
    <s v=" 136150.1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11\plaque 2/@01 Testo 30/A1_01.tif "/>
    <s v=" 29957.4041 "/>
    <s v=" 69.2014 "/>
    <x v="0"/>
    <n v="2073096"/>
    <m/>
    <m/>
    <m/>
  </r>
  <r>
    <x v="13"/>
    <x v="0"/>
    <s v="F:\images\20210311\plaque 2/@01 Testo 30/A1_02.tif "/>
    <s v=" 29135.4681 "/>
    <s v=" 67.8077 "/>
    <x v="0"/>
    <n v="1975610"/>
    <m/>
    <m/>
    <m/>
  </r>
  <r>
    <x v="13"/>
    <x v="0"/>
    <s v="F:\images\20210311\plaque 2/@01 Testo 30/A1_03.tif "/>
    <s v=" 26691.29 "/>
    <s v=" 67.0357 "/>
    <x v="0"/>
    <n v="1789268"/>
    <m/>
    <m/>
    <m/>
  </r>
  <r>
    <x v="13"/>
    <x v="1"/>
    <s v="F:\images\20210311\plaque 2/@01 Testo 30/B1_01.tif "/>
    <s v=" 20980.9978 "/>
    <s v=" 66.7381 "/>
    <x v="0"/>
    <n v="1400233"/>
    <m/>
    <m/>
    <m/>
  </r>
  <r>
    <x v="13"/>
    <x v="1"/>
    <s v="F:\images\20210311\plaque 2/@01 Testo 30/B1_02.tif "/>
    <s v=" 22213.9018 "/>
    <s v=" 66.0078 "/>
    <x v="0"/>
    <n v="1466291"/>
    <m/>
    <m/>
    <m/>
  </r>
  <r>
    <x v="13"/>
    <x v="1"/>
    <s v="F:\images\20210311\plaque 2/@01 Testo 30/B1_03.tif "/>
    <s v=" 21521.7452 "/>
    <s v=" 66.8513 "/>
    <x v="0"/>
    <n v="1438756"/>
    <m/>
    <m/>
    <m/>
  </r>
  <r>
    <x v="13"/>
    <x v="2"/>
    <s v="F:\images\20210311\plaque 2/@01 Testo 30/C1_01.tif "/>
    <s v=" 11052.8762 "/>
    <s v=" 68.9804 "/>
    <x v="0"/>
    <n v="762432"/>
    <m/>
    <m/>
    <m/>
  </r>
  <r>
    <x v="13"/>
    <x v="2"/>
    <s v="F:\images\20210311\plaque 2/@01 Testo 30/C1_02.tif "/>
    <s v=" 2227.8791 "/>
    <s v=" 66.2524 "/>
    <x v="0"/>
    <n v="147602"/>
    <m/>
    <m/>
    <m/>
  </r>
  <r>
    <x v="13"/>
    <x v="2"/>
    <s v="F:\images\20210311\plaque 2/@01 Testo 30/C1_03.tif "/>
    <s v=" 5191.1747 "/>
    <s v=" 68.6667 "/>
    <x v="0"/>
    <n v="356461"/>
    <m/>
    <m/>
    <m/>
  </r>
  <r>
    <x v="13"/>
    <x v="3"/>
    <s v="F:\images\20210311\plaque 2/@01 Testo 30/D1_01.tif "/>
    <s v=" 28897.5392 "/>
    <s v=" 69.4394 "/>
    <x v="0"/>
    <n v="2006627"/>
    <m/>
    <m/>
    <m/>
  </r>
  <r>
    <x v="13"/>
    <x v="3"/>
    <s v="F:\images\20210311\plaque 2/@01 Testo 30/D1_02.tif "/>
    <s v=" 22451.8306 "/>
    <s v=" 68.7909 "/>
    <x v="0"/>
    <n v="1544483"/>
    <m/>
    <m/>
    <m/>
  </r>
  <r>
    <x v="13"/>
    <x v="3"/>
    <s v="F:\images\20210311\plaque 2/@01 Testo 30/D1_03.tif "/>
    <s v=" 25220.4571 "/>
    <s v=" 68.958 "/>
    <x v="0"/>
    <n v="1739152"/>
    <m/>
    <m/>
    <m/>
  </r>
  <r>
    <x v="13"/>
    <x v="4"/>
    <s v="F:\images\20210311\plaque 2/@01 Testo 30/E1_01.tif "/>
    <s v=" 6229.4097 "/>
    <s v=" 66.8611 "/>
    <x v="0"/>
    <n v="416505"/>
    <m/>
    <m/>
    <m/>
  </r>
  <r>
    <x v="13"/>
    <x v="4"/>
    <s v="F:\images\20210311\plaque 2/@01 Testo 30/E1_02.tif "/>
    <s v=" 9149.4454 "/>
    <s v=" 68.3215 "/>
    <x v="0"/>
    <n v="625104"/>
    <m/>
    <m/>
    <m/>
  </r>
  <r>
    <x v="13"/>
    <x v="4"/>
    <s v="F:\images\20210311\plaque 2/@01 Testo 30/E1_03.tif "/>
    <s v=" 8240.9899 "/>
    <s v=" 66.4252 "/>
    <x v="0"/>
    <n v="547409"/>
    <m/>
    <m/>
    <m/>
  </r>
  <r>
    <x v="13"/>
    <x v="5"/>
    <s v="F:\images\20210311\plaque 2/@01 Testo 30/F1_01.tif "/>
    <s v=" 26691.29 "/>
    <s v=" 72.5729 "/>
    <x v="0"/>
    <n v="1937065"/>
    <m/>
    <m/>
    <m/>
  </r>
  <r>
    <x v="13"/>
    <x v="5"/>
    <s v="F:\images\20210311\plaque 2/@01 Testo 30/F1_02.tif "/>
    <s v=" 23857.7738 "/>
    <s v=" 68.796 "/>
    <x v="0"/>
    <n v="1641320"/>
    <m/>
    <m/>
    <m/>
  </r>
  <r>
    <x v="13"/>
    <x v="5"/>
    <s v="F:\images\20210311\plaque 2/@01 Testo 30/F1_03.tif "/>
    <s v=" 19185.7165 "/>
    <s v=" 69.8681 "/>
    <x v="0"/>
    <n v="1340469"/>
    <m/>
    <m/>
    <m/>
  </r>
  <r>
    <x v="13"/>
    <x v="6"/>
    <s v="F:\images\20210311\plaque 2/@01 Testo 30/G1_01.tif "/>
    <s v=" 36316.5931 "/>
    <s v=" 69.0917 "/>
    <x v="0"/>
    <n v="2509176"/>
    <m/>
    <m/>
    <m/>
  </r>
  <r>
    <x v="13"/>
    <x v="6"/>
    <s v="F:\images\20210311\plaque 2/@01 Testo 30/G1_02.tif "/>
    <s v=" 25523.2757 "/>
    <s v=" 67.7415 "/>
    <x v="0"/>
    <n v="1728986"/>
    <m/>
    <m/>
    <m/>
  </r>
  <r>
    <x v="13"/>
    <x v="6"/>
    <s v="F:\images\20210311\plaque 2/@01 Testo 30/G1_03.tif "/>
    <s v=" 36987.1198 "/>
    <s v=" 69.3012 "/>
    <x v="0"/>
    <n v="2563251"/>
    <m/>
    <m/>
    <m/>
  </r>
  <r>
    <x v="13"/>
    <x v="7"/>
    <s v="F:\images\20210311\plaque 2/@01 Testo 30/H1_01.tif "/>
    <s v=" 23187.247 "/>
    <s v=" 66.4599 "/>
    <x v="0"/>
    <n v="1541022"/>
    <m/>
    <m/>
    <m/>
  </r>
  <r>
    <x v="13"/>
    <x v="7"/>
    <s v="F:\images\20210311\plaque 2/@01 Testo 30/H1_02.tif "/>
    <s v=" 25328.6066 "/>
    <s v=" 67.3629 "/>
    <x v="0"/>
    <n v="1706209"/>
    <m/>
    <m/>
    <m/>
  </r>
  <r>
    <x v="13"/>
    <x v="7"/>
    <s v="F:\images\20210311\plaque 2/@01 Testo 30/H1_03.tif "/>
    <s v=" 19358.7557 "/>
    <s v=" 65.762 "/>
    <x v="0"/>
    <n v="1273071"/>
    <m/>
    <m/>
    <m/>
  </r>
  <r>
    <x v="1"/>
    <x v="8"/>
    <s v=" "/>
    <m/>
    <m/>
    <x v="1"/>
    <m/>
    <m/>
    <m/>
    <m/>
  </r>
  <r>
    <x v="1"/>
    <x v="8"/>
    <s v="group "/>
    <s v=" "/>
    <s v=" mean of mean fluo "/>
    <x v="2"/>
    <s v=" mean of total fluo "/>
    <s v=" SD total fluo "/>
    <s v=" n fluorescent "/>
    <s v=" n total"/>
  </r>
  <r>
    <x v="13"/>
    <x v="9"/>
    <s v="F:\images\20210311\plaque 2/@01 Testo 30/ "/>
    <s v=" "/>
    <s v=" 68.0539 "/>
    <x v="15"/>
    <s v=" 1438733.25 "/>
    <s v=" 657397.4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11\plaque 2/@02 Testo 30/A2_01.tif "/>
    <s v=" 38241.6537 "/>
    <s v=" 74.3654 "/>
    <x v="0"/>
    <n v="2843855"/>
    <m/>
    <m/>
    <m/>
  </r>
  <r>
    <x v="14"/>
    <x v="0"/>
    <s v="F:\images\20210311\plaque 2/@02 Testo 30/A2_02.tif "/>
    <s v=" 37095.2693 "/>
    <s v=" 71.7802 "/>
    <x v="0"/>
    <n v="2662705"/>
    <m/>
    <m/>
    <m/>
  </r>
  <r>
    <x v="14"/>
    <x v="0"/>
    <s v="F:\images\20210311\plaque 2/@02 Testo 30/A2_03.tif "/>
    <s v=" 38933.8103 "/>
    <s v=" 72.2272 "/>
    <x v="0"/>
    <n v="2812081"/>
    <m/>
    <m/>
    <m/>
  </r>
  <r>
    <x v="14"/>
    <x v="1"/>
    <s v="F:\images\20210311\plaque 2/@02 Testo 30/B2_01.tif "/>
    <s v=" 25458.386 "/>
    <s v=" 67.0068 "/>
    <x v="0"/>
    <n v="1705885"/>
    <m/>
    <m/>
    <m/>
  </r>
  <r>
    <x v="14"/>
    <x v="1"/>
    <s v="F:\images\20210311\plaque 2/@02 Testo 30/B2_02.tif "/>
    <s v=" 25177.1973 "/>
    <s v=" 66.6778 "/>
    <x v="0"/>
    <n v="1678761"/>
    <m/>
    <m/>
    <m/>
  </r>
  <r>
    <x v="14"/>
    <x v="1"/>
    <s v="F:\images\20210311\plaque 2/@02 Testo 30/B2_03.tif "/>
    <s v=" 22430.2007 "/>
    <s v=" 68.0096 "/>
    <x v="0"/>
    <n v="1525470"/>
    <m/>
    <m/>
    <m/>
  </r>
  <r>
    <x v="14"/>
    <x v="2"/>
    <s v="F:\images\20210311\plaque 2/@02 Testo 30/C2_01.tif "/>
    <s v=" 26150.5426 "/>
    <s v=" 69.3797 "/>
    <x v="0"/>
    <n v="1814316"/>
    <m/>
    <m/>
    <m/>
  </r>
  <r>
    <x v="14"/>
    <x v="2"/>
    <s v="F:\images\20210311\plaque 2/@02 Testo 30/C2_02.tif "/>
    <s v=" 21586.6348 "/>
    <s v=" 71.3647 "/>
    <x v="0"/>
    <n v="1540524"/>
    <m/>
    <m/>
    <m/>
  </r>
  <r>
    <x v="14"/>
    <x v="2"/>
    <s v="F:\images\20210311\plaque 2/@02 Testo 30/C2_03.tif "/>
    <s v=" 25350.2365 "/>
    <s v=" 67.7594 "/>
    <x v="0"/>
    <n v="1717716"/>
    <m/>
    <m/>
    <m/>
  </r>
  <r>
    <x v="14"/>
    <x v="3"/>
    <s v="F:\images\20210311\plaque 2/@02 Testo 30/D2_01.tif "/>
    <s v=" 34694.351 "/>
    <s v=" 70.8541 "/>
    <x v="0"/>
    <n v="2458238"/>
    <m/>
    <m/>
    <m/>
  </r>
  <r>
    <x v="14"/>
    <x v="3"/>
    <s v="F:\images\20210311\plaque 2/@02 Testo 30/D2_02.tif "/>
    <s v=" 19185.7165 "/>
    <s v=" 67.9808 "/>
    <x v="0"/>
    <n v="1304261"/>
    <m/>
    <m/>
    <m/>
  </r>
  <r>
    <x v="14"/>
    <x v="3"/>
    <s v="F:\images\20210311\plaque 2/@02 Testo 30/D2_03.tif "/>
    <s v=" 26972.4786 "/>
    <s v=" 68.0465 "/>
    <x v="0"/>
    <n v="1835383"/>
    <m/>
    <m/>
    <m/>
  </r>
  <r>
    <x v="14"/>
    <x v="4"/>
    <s v="F:\images\20210311\plaque 2/@02 Testo 30/E2_01.tif "/>
    <s v=" 22797.9089 "/>
    <s v=" 70.722 "/>
    <x v="0"/>
    <n v="1612314"/>
    <m/>
    <m/>
    <m/>
  </r>
  <r>
    <x v="14"/>
    <x v="4"/>
    <s v="F:\images\20210311\plaque 2/@02 Testo 30/E2_02- exclu.tif"/>
    <m/>
    <m/>
    <x v="1"/>
    <m/>
    <m/>
    <m/>
    <m/>
  </r>
  <r>
    <x v="14"/>
    <x v="4"/>
    <s v="F:\images\20210311\plaque 2/@02 Testo 30/E2_03.tif "/>
    <s v=" 18212.3713 "/>
    <s v=" 70.7268 "/>
    <x v="0"/>
    <n v="1288103"/>
    <m/>
    <m/>
    <m/>
  </r>
  <r>
    <x v="14"/>
    <x v="5"/>
    <s v="F:\images\20210311\plaque 2/@02 Testo 30/F2_01.tif "/>
    <s v=" 3763.6017 "/>
    <s v=" 65.6954 "/>
    <x v="0"/>
    <n v="247251"/>
    <m/>
    <m/>
    <m/>
  </r>
  <r>
    <x v="14"/>
    <x v="5"/>
    <s v="F:\images\20210311\plaque 2/@02 Testo 30/F2_02.tif "/>
    <s v=" 5796.8118 "/>
    <s v=" 67.8097 "/>
    <x v="0"/>
    <n v="393080"/>
    <m/>
    <m/>
    <m/>
  </r>
  <r>
    <x v="14"/>
    <x v="5"/>
    <s v="F:\images\20210311\plaque 2/@02 Testo 30/F2_03.tif "/>
    <s v=" 4650.4273 "/>
    <s v=" 66.907 "/>
    <x v="0"/>
    <n v="311146"/>
    <m/>
    <m/>
    <m/>
  </r>
  <r>
    <x v="14"/>
    <x v="6"/>
    <s v="F:\images\20210311\plaque 2/@02 Testo 30/G2_01.tif "/>
    <s v=" 54139.6263 "/>
    <s v=" 74.4718 "/>
    <x v="0"/>
    <n v="4031877"/>
    <m/>
    <m/>
    <m/>
  </r>
  <r>
    <x v="14"/>
    <x v="6"/>
    <s v="F:\images\20210311\plaque 2/@02 Testo 30/G2_02.tif "/>
    <s v=" 58206.0464 "/>
    <s v=" 74.1289 "/>
    <x v="0"/>
    <n v="4314753"/>
    <m/>
    <m/>
    <m/>
  </r>
  <r>
    <x v="14"/>
    <x v="6"/>
    <s v="F:\images\20210311\plaque 2/@02 Testo 30/G2_03.tif "/>
    <s v=" 56562.1745 "/>
    <s v=" 74.5373 "/>
    <x v="0"/>
    <n v="4215991"/>
    <m/>
    <m/>
    <m/>
  </r>
  <r>
    <x v="14"/>
    <x v="7"/>
    <s v="F:\images\20210311\plaque 2/@02 Testo 30/H2_01.tif "/>
    <s v=" 15032.7768 "/>
    <s v=" 65.4777 "/>
    <x v="0"/>
    <n v="984312"/>
    <m/>
    <m/>
    <m/>
  </r>
  <r>
    <x v="14"/>
    <x v="7"/>
    <s v="F:\images\20210311\plaque 2/@02 Testo 30/H2_02.tif "/>
    <s v=" 12112.741 "/>
    <s v=" 65.4143 "/>
    <x v="0"/>
    <n v="792346"/>
    <m/>
    <m/>
    <m/>
  </r>
  <r>
    <x v="14"/>
    <x v="7"/>
    <s v="F:\images\20210311\plaque 2/@02 Testo 30/H2_03.tif "/>
    <s v=" 12372.2997 "/>
    <s v=" 66.1416 "/>
    <x v="0"/>
    <n v="818324"/>
    <m/>
    <m/>
    <m/>
  </r>
  <r>
    <x v="1"/>
    <x v="8"/>
    <s v=" "/>
    <m/>
    <m/>
    <x v="1"/>
    <m/>
    <m/>
    <m/>
    <m/>
  </r>
  <r>
    <x v="1"/>
    <x v="8"/>
    <s v="group "/>
    <s v=" "/>
    <s v=" mean of mean fluo "/>
    <x v="2"/>
    <s v=" mean of total fluo "/>
    <s v=" SD total fluo "/>
    <s v=" n fluorescent "/>
    <s v=" n total"/>
  </r>
  <r>
    <x v="14"/>
    <x v="9"/>
    <s v="F:\images\20210311\plaque 2/@02 Testo 30/ "/>
    <s v=" "/>
    <s v=" 69.4308 "/>
    <x v="16"/>
    <s v=" 1809705.67 "/>
    <s v=" 1180053.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11\plaque 2/@03 Testo+ EE2 64/A3_01.tif "/>
    <s v=" 39820.636 "/>
    <s v=" 72.5432 "/>
    <x v="0"/>
    <n v="2888716"/>
    <m/>
    <m/>
    <m/>
  </r>
  <r>
    <x v="15"/>
    <x v="0"/>
    <s v="F:\images\20210311\plaque 2/@03 Testo+ EE2 64/A3_02.tif "/>
    <s v=" 35018.7994 "/>
    <s v=" 72.1248 "/>
    <x v="0"/>
    <n v="2525723"/>
    <m/>
    <m/>
    <m/>
  </r>
  <r>
    <x v="15"/>
    <x v="0"/>
    <s v="F:\images\20210311\plaque 2/@03 Testo+ EE2 64/A3_03.tif "/>
    <s v=" 40166.7143 "/>
    <s v=" 74.6548 "/>
    <x v="0"/>
    <n v="2998639"/>
    <m/>
    <m/>
    <m/>
  </r>
  <r>
    <x v="15"/>
    <x v="1"/>
    <s v="F:\images\20210311\plaque 2/@03 Testo+ EE2 64/B3_01.tif "/>
    <s v=" 45055.0705 "/>
    <s v=" 75.5602 "/>
    <x v="0"/>
    <n v="3404372"/>
    <m/>
    <m/>
    <m/>
  </r>
  <r>
    <x v="15"/>
    <x v="1"/>
    <s v="F:\images\20210311\plaque 2/@03 Testo+ EE2 64/B3_02- exclu.tif"/>
    <m/>
    <m/>
    <x v="1"/>
    <m/>
    <m/>
    <m/>
    <m/>
  </r>
  <r>
    <x v="15"/>
    <x v="1"/>
    <s v="F:\images\20210311\plaque 2/@03 Testo+ EE2 64/B3_03.tif "/>
    <s v=" 40967.0204 "/>
    <s v=" 75.7022 "/>
    <x v="0"/>
    <n v="3101294"/>
    <m/>
    <m/>
    <m/>
  </r>
  <r>
    <x v="15"/>
    <x v="2"/>
    <s v="F:\images\20210311\plaque 2/@03 Testo+ EE2 64/C3_01.tif "/>
    <s v=" 52755.313 "/>
    <s v=" 81.1648 "/>
    <x v="0"/>
    <n v="4281876"/>
    <m/>
    <m/>
    <m/>
  </r>
  <r>
    <x v="15"/>
    <x v="2"/>
    <s v="F:\images\20210311\plaque 2/@03 Testo+ EE2 64/C3_02.tif "/>
    <s v=" 57189.4414 "/>
    <s v=" 77.4807 "/>
    <x v="0"/>
    <n v="4431079"/>
    <m/>
    <m/>
    <m/>
  </r>
  <r>
    <x v="15"/>
    <x v="2"/>
    <s v="F:\images\20210311\plaque 2/@03 Testo+ EE2 64/C3_03.tif "/>
    <s v=" 63613.5201 "/>
    <s v=" 77.8188 "/>
    <x v="0"/>
    <n v="4950326"/>
    <m/>
    <m/>
    <m/>
  </r>
  <r>
    <x v="15"/>
    <x v="3"/>
    <s v="F:\images\20210311\plaque 2/@03 Testo+ EE2 64/D3_01.tif "/>
    <s v=" 38760.7712 "/>
    <s v=" 76.5268 "/>
    <x v="0"/>
    <n v="2966237"/>
    <m/>
    <m/>
    <m/>
  </r>
  <r>
    <x v="15"/>
    <x v="3"/>
    <s v="F:\images\20210311\plaque 2/@03 Testo+ EE2 64/D3_02.tif "/>
    <s v=" 42610.8924 "/>
    <s v=" 78.6858 "/>
    <x v="0"/>
    <n v="3352872"/>
    <m/>
    <m/>
    <m/>
  </r>
  <r>
    <x v="15"/>
    <x v="3"/>
    <s v="F:\images\20210311\plaque 2/@03 Testo+ EE2 64/D3_03.tif "/>
    <s v=" 48386.0743 "/>
    <s v=" 77.2499 "/>
    <x v="0"/>
    <n v="3737819"/>
    <m/>
    <m/>
    <m/>
  </r>
  <r>
    <x v="15"/>
    <x v="4"/>
    <s v="F:\images\20210311\plaque 2/@03 Testo+ EE2 64/E3_01- exclu.tif"/>
    <m/>
    <m/>
    <x v="1"/>
    <m/>
    <m/>
    <m/>
    <m/>
  </r>
  <r>
    <x v="15"/>
    <x v="4"/>
    <s v="F:\images\20210311\plaque 2/@03 Testo+ EE2 64/E3_02- exclu.tif"/>
    <m/>
    <m/>
    <x v="1"/>
    <m/>
    <m/>
    <m/>
    <m/>
  </r>
  <r>
    <x v="15"/>
    <x v="4"/>
    <s v="F:\images\20210311\plaque 2/@03 Testo+ EE2 64/E3_03- exclu.tif"/>
    <m/>
    <m/>
    <x v="1"/>
    <m/>
    <m/>
    <m/>
    <m/>
  </r>
  <r>
    <x v="15"/>
    <x v="5"/>
    <s v="F:\images\20210311\plaque 2/@03 Testo+ EE2 64/F3_01.tif "/>
    <s v=" 40080.1947 "/>
    <s v=" 70.3643 "/>
    <x v="0"/>
    <n v="2820214"/>
    <m/>
    <m/>
    <m/>
  </r>
  <r>
    <x v="15"/>
    <x v="5"/>
    <s v="F:\images\20210311\plaque 2/@03 Testo+ EE2 64/F3_02.tif "/>
    <s v=" 42762.3017 "/>
    <s v=" 70.8715 "/>
    <x v="0"/>
    <n v="3030629"/>
    <m/>
    <m/>
    <m/>
  </r>
  <r>
    <x v="15"/>
    <x v="5"/>
    <s v="F:\images\20210311\plaque 2/@03 Testo+ EE2 64/F3_03.tif "/>
    <s v=" 39020.3299 "/>
    <s v=" 69.2938 "/>
    <x v="0"/>
    <n v="2703867"/>
    <m/>
    <m/>
    <m/>
  </r>
  <r>
    <x v="15"/>
    <x v="6"/>
    <s v="F:\images\20210311\plaque 2/@03 Testo+ EE2 64/G3_01.tif "/>
    <s v=" 51522.409 "/>
    <s v=" 72.6134 "/>
    <x v="0"/>
    <n v="3741215"/>
    <m/>
    <m/>
    <m/>
  </r>
  <r>
    <x v="15"/>
    <x v="6"/>
    <s v="F:\images\20210311\plaque 2/@03 Testo+ EE2 64/G3_02.tif "/>
    <s v=" 46915.2415 "/>
    <s v=" 73.7303 "/>
    <x v="0"/>
    <n v="3459074"/>
    <m/>
    <m/>
    <m/>
  </r>
  <r>
    <x v="15"/>
    <x v="6"/>
    <s v="F:\images\20210311\plaque 2/@03 Testo+ EE2 64/G3_03.tif "/>
    <s v=" 43584.2377 "/>
    <s v=" 71.1578 "/>
    <x v="0"/>
    <n v="3101359"/>
    <m/>
    <m/>
    <m/>
  </r>
  <r>
    <x v="15"/>
    <x v="7"/>
    <s v="F:\images\20210311\plaque 2/@03 Testo+ EE2 64/H3_01.tif "/>
    <s v=" 60390.6658 "/>
    <s v=" 73.6941 "/>
    <x v="0"/>
    <n v="4450437"/>
    <m/>
    <m/>
    <m/>
  </r>
  <r>
    <x v="15"/>
    <x v="7"/>
    <s v="F:\images\20210311\plaque 2/@03 Testo+ EE2 64/H3_02.tif "/>
    <s v=" 58011.3774 "/>
    <s v=" 72.3013 "/>
    <x v="0"/>
    <n v="4194296"/>
    <m/>
    <m/>
    <m/>
  </r>
  <r>
    <x v="15"/>
    <x v="7"/>
    <s v="F:\images\20210311\plaque 2/@03 Testo+ EE2 64/H3_03.tif "/>
    <s v=" 56475.6549 "/>
    <s v=" 73.7985 "/>
    <x v="0"/>
    <n v="4167821"/>
    <m/>
    <m/>
    <m/>
  </r>
  <r>
    <x v="1"/>
    <x v="8"/>
    <s v=" "/>
    <m/>
    <m/>
    <x v="1"/>
    <m/>
    <m/>
    <m/>
    <m/>
  </r>
  <r>
    <x v="1"/>
    <x v="8"/>
    <s v="group "/>
    <s v=" "/>
    <s v=" mean of mean fluo "/>
    <x v="2"/>
    <s v=" mean of total fluo "/>
    <s v=" SD total fluo "/>
    <s v=" n fluorescent "/>
    <s v=" n total"/>
  </r>
  <r>
    <x v="15"/>
    <x v="9"/>
    <s v="F:\images\20210311\plaque 2/@03 Testo+ EE2 64/ "/>
    <s v=" "/>
    <s v=" 73.1168 "/>
    <x v="17"/>
    <s v=" 3073015.96 "/>
    <s v=" 1296543.3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11\plaque 2/@04 Testo+ FAD/A4_01.tif "/>
    <s v=" 4174.5697 "/>
    <s v=" 69.4093 "/>
    <x v="0"/>
    <n v="289754"/>
    <m/>
    <m/>
    <m/>
  </r>
  <r>
    <x v="16"/>
    <x v="0"/>
    <s v="F:\images\20210311\plaque 2/@04 Testo+ FAD/A4_02.tif "/>
    <s v=" 908.4556 "/>
    <s v=" 63.3095 "/>
    <x v="0"/>
    <n v="57514"/>
    <m/>
    <m/>
    <m/>
  </r>
  <r>
    <x v="16"/>
    <x v="0"/>
    <s v="F:\images\20210311\plaque 2/@04 Testo+ FAD/A4_03.tif "/>
    <s v=" 3309.3739 "/>
    <s v=" 68.4837 "/>
    <x v="0"/>
    <n v="226638"/>
    <m/>
    <m/>
    <m/>
  </r>
  <r>
    <x v="16"/>
    <x v="1"/>
    <s v="F:\images\20210311\plaque 2/@04 Testo+ FAD/B4_01.tif "/>
    <s v=" 475.8577 "/>
    <s v=" 62.8636 "/>
    <x v="0"/>
    <n v="29914"/>
    <m/>
    <m/>
    <m/>
  </r>
  <r>
    <x v="16"/>
    <x v="1"/>
    <s v="F:\images\20210311\plaque 2/@04 Testo+ FAD/B4_02- exclu.tif"/>
    <m/>
    <m/>
    <x v="1"/>
    <m/>
    <m/>
    <m/>
    <m/>
  </r>
  <r>
    <x v="16"/>
    <x v="1"/>
    <s v="F:\images\20210311\plaque 2/@04 Testo+ FAD/B4_03.tif "/>
    <s v=" 389.3381 "/>
    <s v=" 62.8889 "/>
    <x v="0"/>
    <n v="24485"/>
    <m/>
    <m/>
    <m/>
  </r>
  <r>
    <x v="16"/>
    <x v="2"/>
    <s v="F:\images\20210311\plaque 2/@04 Testo+ FAD/C4_01.tif "/>
    <s v=" 2422.5482 "/>
    <s v=" 67.3482 "/>
    <x v="0"/>
    <n v="163154"/>
    <m/>
    <m/>
    <m/>
  </r>
  <r>
    <x v="16"/>
    <x v="2"/>
    <s v="F:\images\20210311\plaque 2/@04 Testo+ FAD/C4_02- exclu.tif"/>
    <m/>
    <m/>
    <x v="1"/>
    <m/>
    <m/>
    <m/>
    <m/>
  </r>
  <r>
    <x v="16"/>
    <x v="2"/>
    <s v="F:\images\20210311\plaque 2/@04 Testo+ FAD/C4_03.tif "/>
    <s v=" 5191.1747 "/>
    <s v=" 70.6583 "/>
    <x v="0"/>
    <n v="366800"/>
    <m/>
    <m/>
    <m/>
  </r>
  <r>
    <x v="16"/>
    <x v="3"/>
    <s v="F:\images\20210311\plaque 2/@04 Testo+ FAD/D4_01.tif "/>
    <s v=" 6964.8261 "/>
    <s v=" 75.9845 "/>
    <x v="0"/>
    <n v="529219"/>
    <m/>
    <m/>
    <m/>
  </r>
  <r>
    <x v="16"/>
    <x v="3"/>
    <s v="F:\images\20210311\plaque 2/@04 Testo+ FAD/D4_02.tif "/>
    <s v=" 3893.381 "/>
    <n v="69"/>
    <x v="0"/>
    <n v="268643"/>
    <m/>
    <m/>
    <m/>
  </r>
  <r>
    <x v="16"/>
    <x v="3"/>
    <s v="F:\images\20210311\plaque 2/@04 Testo+ FAD/D4_03.tif "/>
    <s v=" 151.4093 "/>
    <s v=" 63.8571 "/>
    <x v="0"/>
    <n v="9669"/>
    <m/>
    <m/>
    <m/>
  </r>
  <r>
    <x v="16"/>
    <x v="4"/>
    <s v="F:\images\20210311\plaque 2/@04 Testo+ FAD/E4_01.tif "/>
    <s v=" 865.1958 "/>
    <s v=" 63.825 "/>
    <x v="0"/>
    <n v="55221"/>
    <m/>
    <m/>
    <m/>
  </r>
  <r>
    <x v="16"/>
    <x v="4"/>
    <s v="F:\images\20210311\plaque 2/@04 Testo+ FAD/E4_02.tif "/>
    <s v=" 497.4876 "/>
    <s v=" 65.0435 "/>
    <x v="0"/>
    <n v="32358"/>
    <m/>
    <m/>
    <m/>
  </r>
  <r>
    <x v="16"/>
    <x v="4"/>
    <s v="F:\images\20210311\plaque 2/@04 Testo+ FAD/E4_03.tif "/>
    <s v=" 4520.648 "/>
    <s v=" 66.7799 "/>
    <x v="0"/>
    <n v="301888"/>
    <m/>
    <m/>
    <m/>
  </r>
  <r>
    <x v="16"/>
    <x v="5"/>
    <s v="F:\images\20210311\plaque 2/@04 Testo+ FAD/F4_01.tif "/>
    <s v=" 1687.1318 "/>
    <s v=" 65.0513 "/>
    <x v="0"/>
    <n v="109750"/>
    <m/>
    <m/>
    <m/>
  </r>
  <r>
    <x v="16"/>
    <x v="5"/>
    <s v="F:\images\20210311\plaque 2/@04 Testo+ FAD/F4_02.tif "/>
    <s v=" 3806.8615 "/>
    <s v=" 68.1307 "/>
    <x v="0"/>
    <n v="259364"/>
    <m/>
    <m/>
    <m/>
  </r>
  <r>
    <x v="16"/>
    <x v="5"/>
    <s v="F:\images\20210311\plaque 2/@04 Testo+ FAD/F4_03.tif "/>
    <s v=" 4131.3099 "/>
    <s v=" 69.4188 "/>
    <x v="0"/>
    <n v="286791"/>
    <m/>
    <m/>
    <m/>
  </r>
  <r>
    <x v="16"/>
    <x v="6"/>
    <s v="F:\images\20210311\plaque 2/@04 Testo+ FAD/G4_01.tif "/>
    <s v=" 1081.4947 "/>
    <s v=" 64.22 "/>
    <x v="0"/>
    <n v="69454"/>
    <m/>
    <m/>
    <m/>
  </r>
  <r>
    <x v="16"/>
    <x v="6"/>
    <s v="F:\images\20210311\plaque 2/@04 Testo+ FAD/G4_02.tif "/>
    <s v=" 3157.9646 "/>
    <s v=" 66.0411 "/>
    <x v="0"/>
    <n v="208555"/>
    <m/>
    <m/>
    <m/>
  </r>
  <r>
    <x v="16"/>
    <x v="6"/>
    <s v="F:\images\20210311\plaque 2/@04 Testo+ FAD/G4_03.tif "/>
    <s v=" 1535.7225 "/>
    <s v=" 66.0845 "/>
    <x v="0"/>
    <n v="101487"/>
    <m/>
    <m/>
    <m/>
  </r>
  <r>
    <x v="16"/>
    <x v="7"/>
    <s v="F:\images\20210311\plaque 2/@04 Testo+ FAD/H4_01.tif "/>
    <s v=" 6121.2602 "/>
    <s v=" 75.9788 "/>
    <x v="0"/>
    <n v="465086"/>
    <m/>
    <m/>
    <m/>
  </r>
  <r>
    <x v="16"/>
    <x v="7"/>
    <s v="F:\images\20210311\plaque 2/@04 Testo+ FAD/H4_02.tif "/>
    <s v=" 5667.0324 "/>
    <s v=" 67.4275 "/>
    <x v="0"/>
    <n v="382114"/>
    <m/>
    <m/>
    <m/>
  </r>
  <r>
    <x v="16"/>
    <x v="7"/>
    <s v="F:\images\20210311\plaque 2/@04 Testo+ FAD/H4_03.tif "/>
    <s v=" 1081.4947 "/>
    <s v=" 64.42 "/>
    <x v="0"/>
    <n v="69670"/>
    <m/>
    <m/>
    <m/>
  </r>
  <r>
    <x v="1"/>
    <x v="8"/>
    <s v=" "/>
    <m/>
    <m/>
    <x v="1"/>
    <m/>
    <m/>
    <m/>
    <m/>
  </r>
  <r>
    <x v="1"/>
    <x v="8"/>
    <s v="group "/>
    <s v=" "/>
    <s v=" mean of mean fluo "/>
    <x v="2"/>
    <s v=" mean of total fluo "/>
    <s v=" SD total fluo "/>
    <s v=" n fluorescent "/>
    <s v=" n total"/>
  </r>
  <r>
    <x v="16"/>
    <x v="9"/>
    <s v="F:\images\20210311\plaque 2/@04 Testo+ FAD/ "/>
    <s v=" "/>
    <s v=" 66.8121 "/>
    <x v="18"/>
    <s v=" 180112.083 "/>
    <s v=" 155724.6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11\plaque 2/@05 Amantadine 0.001 mg_L dopé/A5_01.tif "/>
    <s v=" 26561.5106 "/>
    <s v=" 69.2704 "/>
    <x v="0"/>
    <n v="1839925"/>
    <m/>
    <m/>
    <m/>
  </r>
  <r>
    <x v="17"/>
    <x v="0"/>
    <s v="F:\images\20210311\plaque 2/@05 Amantadine 0.001 mg_L dopé/A5_02.tif "/>
    <s v=" 24506.6706 "/>
    <s v=" 69.6372 "/>
    <x v="0"/>
    <n v="1706577"/>
    <m/>
    <m/>
    <m/>
  </r>
  <r>
    <x v="17"/>
    <x v="0"/>
    <s v="F:\images\20210311\plaque 2/@05 Amantadine 0.001 mg_L dopé/A5_03.tif "/>
    <s v=" 25393.4963 "/>
    <s v=" 71.7002 "/>
    <x v="0"/>
    <n v="1820718"/>
    <m/>
    <m/>
    <m/>
  </r>
  <r>
    <x v="17"/>
    <x v="1"/>
    <s v="F:\images\20210311\plaque 2/@05 Amantadine 0.001 mg_L dopé/B5_01.tif "/>
    <s v=" 34737.6108 "/>
    <s v=" 72.82 "/>
    <x v="0"/>
    <n v="2529595"/>
    <m/>
    <m/>
    <m/>
  </r>
  <r>
    <x v="17"/>
    <x v="1"/>
    <s v="F:\images\20210311\plaque 2/@05 Amantadine 0.001 mg_L dopé/B5_02.tif "/>
    <s v=" 36468.0023 "/>
    <s v=" 73.1246 "/>
    <x v="0"/>
    <n v="2666706"/>
    <m/>
    <m/>
    <m/>
  </r>
  <r>
    <x v="17"/>
    <x v="1"/>
    <s v="F:\images\20210311\plaque 2/@05 Amantadine 0.001 mg_L dopé/B5_03.tif "/>
    <s v=" 35754.2158 "/>
    <s v=" 73.2184 "/>
    <x v="0"/>
    <n v="2617866"/>
    <m/>
    <m/>
    <m/>
  </r>
  <r>
    <x v="17"/>
    <x v="2"/>
    <s v="F:\images\20210311\plaque 2/@05 Amantadine 0.001 mg_L dopé/C5_01.tif "/>
    <s v=" 30930.7493 "/>
    <s v=" 70.0552 "/>
    <x v="0"/>
    <n v="2166861"/>
    <m/>
    <m/>
    <m/>
  </r>
  <r>
    <x v="17"/>
    <x v="2"/>
    <s v="F:\images\20210311\plaque 2/@05 Amantadine 0.001 mg_L dopé/C5_02.tif "/>
    <s v=" 23749.6243 "/>
    <s v=" 71.0911 "/>
    <x v="0"/>
    <n v="1688386"/>
    <m/>
    <m/>
    <m/>
  </r>
  <r>
    <x v="17"/>
    <x v="2"/>
    <s v="F:\images\20210311\plaque 2/@05 Amantadine 0.001 mg_L dopé/C5_03.tif "/>
    <s v=" 21824.5637 "/>
    <s v=" 69.7334 "/>
    <x v="0"/>
    <n v="1521901"/>
    <m/>
    <m/>
    <m/>
  </r>
  <r>
    <x v="17"/>
    <x v="3"/>
    <s v="F:\images\20210311\plaque 2/@05 Amantadine 0.001 mg_L dopé/D5_01.tif "/>
    <s v=" 35343.2478 "/>
    <s v=" 73.694 "/>
    <x v="0"/>
    <n v="2604585"/>
    <m/>
    <m/>
    <m/>
  </r>
  <r>
    <x v="17"/>
    <x v="3"/>
    <s v="F:\images\20210311\plaque 2/@05 Amantadine 0.001 mg_L dopé/D5_02- exclu.tif"/>
    <m/>
    <m/>
    <x v="1"/>
    <m/>
    <m/>
    <m/>
    <m/>
  </r>
  <r>
    <x v="17"/>
    <x v="3"/>
    <s v="F:\images\20210311\plaque 2/@05 Amantadine 0.001 mg_L dopé/D5_03.tif "/>
    <s v=" 35689.3261 "/>
    <s v=" 73.9012 "/>
    <x v="0"/>
    <n v="2637484"/>
    <m/>
    <m/>
    <m/>
  </r>
  <r>
    <x v="17"/>
    <x v="4"/>
    <s v="F:\images\20210311\plaque 2/@05 Amantadine 0.001 mg_L dopé/E5_01.tif "/>
    <s v=" 59676.8793 "/>
    <s v=" 75.6829 "/>
    <x v="0"/>
    <n v="4516517"/>
    <m/>
    <m/>
    <m/>
  </r>
  <r>
    <x v="17"/>
    <x v="4"/>
    <s v="F:\images\20210311\plaque 2/@05 Amantadine 0.001 mg_L dopé/E5_02.tif "/>
    <s v=" 60931.4132 "/>
    <s v=" 76.0323 "/>
    <x v="0"/>
    <n v="4632756"/>
    <m/>
    <m/>
    <m/>
  </r>
  <r>
    <x v="17"/>
    <x v="4"/>
    <s v="F:\images\20210311\plaque 2/@05 Amantadine 0.001 mg_L dopé/E5_03.tif "/>
    <s v=" 60131.1071 "/>
    <s v=" 75.4928 "/>
    <x v="0"/>
    <n v="4539466"/>
    <m/>
    <m/>
    <m/>
  </r>
  <r>
    <x v="17"/>
    <x v="5"/>
    <s v="F:\images\20210311\plaque 2/@05 Amantadine 0.001 mg_L dopé/F5_01.tif "/>
    <s v=" 30152.0731 "/>
    <s v=" 67.0158 "/>
    <x v="0"/>
    <n v="2020665"/>
    <m/>
    <m/>
    <m/>
  </r>
  <r>
    <x v="17"/>
    <x v="5"/>
    <s v="F:\images\20210311\plaque 2/@05 Amantadine 0.001 mg_L dopé/F5_02.tif "/>
    <s v=" 18493.5599 "/>
    <s v=" 66.5626 "/>
    <x v="0"/>
    <n v="1230979"/>
    <m/>
    <m/>
    <m/>
  </r>
  <r>
    <x v="17"/>
    <x v="5"/>
    <s v="F:\images\20210311\plaque 2/@05 Amantadine 0.001 mg_L dopé/F5_03.tif "/>
    <s v=" 25371.8664 "/>
    <s v=" 66.9616 "/>
    <x v="0"/>
    <n v="1698942"/>
    <m/>
    <m/>
    <m/>
  </r>
  <r>
    <x v="17"/>
    <x v="6"/>
    <s v="F:\images\20210311\plaque 2/@05 Amantadine 0.001 mg_L dopé/G5_01.tif "/>
    <s v=" 44622.4726 "/>
    <s v=" 72.557 "/>
    <x v="0"/>
    <n v="3237671"/>
    <m/>
    <m/>
    <m/>
  </r>
  <r>
    <x v="17"/>
    <x v="6"/>
    <s v="F:\images\20210311\plaque 2/@05 Amantadine 0.001 mg_L dopé/G5_02.tif "/>
    <s v=" 44600.8427 "/>
    <s v=" 73.2105 "/>
    <x v="0"/>
    <n v="3265249"/>
    <m/>
    <m/>
    <m/>
  </r>
  <r>
    <x v="17"/>
    <x v="6"/>
    <s v="F:\images\20210311\plaque 2/@05 Amantadine 0.001 mg_L dopé/G5_03.tif "/>
    <s v=" 46871.9817 "/>
    <s v=" 72.0849 "/>
    <x v="0"/>
    <n v="3378763"/>
    <m/>
    <m/>
    <m/>
  </r>
  <r>
    <x v="17"/>
    <x v="7"/>
    <s v="F:\images\20210311\plaque 2/@05 Amantadine 0.001 mg_L dopé/H5_01.tif "/>
    <s v=" 25934.2437 "/>
    <s v=" 66.5555 "/>
    <x v="0"/>
    <n v="1726066"/>
    <m/>
    <m/>
    <m/>
  </r>
  <r>
    <x v="17"/>
    <x v="7"/>
    <s v="F:\images\20210311\plaque 2/@05 Amantadine 0.001 mg_L dopé/H5_02.tif "/>
    <s v=" 26345.2117 "/>
    <s v=" 66.3202 "/>
    <x v="0"/>
    <n v="1747220"/>
    <m/>
    <m/>
    <m/>
  </r>
  <r>
    <x v="17"/>
    <x v="7"/>
    <s v="F:\images\20210311\plaque 2/@05 Amantadine 0.001 mg_L dopé/H5_03.tif "/>
    <s v=" 25328.6066 "/>
    <s v=" 66.497 "/>
    <x v="0"/>
    <n v="1684277"/>
    <m/>
    <m/>
    <m/>
  </r>
  <r>
    <x v="1"/>
    <x v="8"/>
    <s v=" "/>
    <m/>
    <m/>
    <x v="1"/>
    <m/>
    <m/>
    <m/>
    <m/>
  </r>
  <r>
    <x v="1"/>
    <x v="8"/>
    <s v="group "/>
    <s v=" "/>
    <s v=" mean of mean fluo "/>
    <x v="2"/>
    <s v=" mean of total fluo "/>
    <s v=" SD total fluo "/>
    <s v=" n fluorescent "/>
    <s v=" n total"/>
  </r>
  <r>
    <x v="17"/>
    <x v="9"/>
    <s v="F:\images\20210311\plaque 2/@05 Amantadine 0.001 mg_L dopé/ "/>
    <s v=" "/>
    <s v=" 71.1651 "/>
    <x v="19"/>
    <s v=" 2469669.88 "/>
    <s v=" 995482.26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11\plaque 2/@06  Amantadine 0.01 mg_LLdopé/A6_01- exclu.tif"/>
    <m/>
    <m/>
    <x v="1"/>
    <m/>
    <m/>
    <m/>
    <m/>
  </r>
  <r>
    <x v="18"/>
    <x v="0"/>
    <s v="F:\images\20210311\plaque 2/@06  Amantadine 0.01 mg_LLdopé/A6_02.tif "/>
    <s v=" 237.9288 "/>
    <s v=" 63.6364 "/>
    <x v="0"/>
    <n v="15141"/>
    <m/>
    <m/>
    <m/>
  </r>
  <r>
    <x v="18"/>
    <x v="0"/>
    <s v="F:\images\20210311\plaque 2/@06  Amantadine 0.01 mg_LLdopé/A6_03.tif "/>
    <s v=" 540.7474 "/>
    <s v=" 66.28 "/>
    <x v="0"/>
    <n v="35841"/>
    <m/>
    <m/>
    <m/>
  </r>
  <r>
    <x v="18"/>
    <x v="1"/>
    <s v="F:\images\20210311\plaque 2/@06  Amantadine 0.01 mg_LLdopé/B6_01.tif "/>
    <s v=" 43670.7573 "/>
    <s v=" 72.6592 "/>
    <x v="0"/>
    <n v="3173084"/>
    <m/>
    <m/>
    <m/>
  </r>
  <r>
    <x v="18"/>
    <x v="1"/>
    <s v="F:\images\20210311\plaque 2/@06  Amantadine 0.01 mg_LLdopé/B6_02.tif "/>
    <s v=" 40166.7143 "/>
    <s v=" 71.9801 "/>
    <x v="0"/>
    <n v="2891203"/>
    <m/>
    <m/>
    <m/>
  </r>
  <r>
    <x v="18"/>
    <x v="1"/>
    <s v="F:\images\20210311\plaque 2/@06  Amantadine 0.01 mg_LLdopé/B6_03.tif "/>
    <s v=" 33201.8883 "/>
    <s v=" 70.9805 "/>
    <x v="0"/>
    <n v="2356685"/>
    <m/>
    <m/>
    <m/>
  </r>
  <r>
    <x v="18"/>
    <x v="2"/>
    <s v="F:\images\20210311\plaque 2/@06  Amantadine 0.01 mg_LLdopé/C6_01.tif "/>
    <s v=" 36749.191 "/>
    <s v=" 70.1254 "/>
    <x v="0"/>
    <n v="2577051"/>
    <m/>
    <m/>
    <m/>
  </r>
  <r>
    <x v="18"/>
    <x v="2"/>
    <s v="F:\images\20210311\plaque 2/@06  Amantadine 0.01 mg_LLdopé/C6_02.tif "/>
    <s v=" 44514.3231 "/>
    <s v=" 72.7303 "/>
    <x v="0"/>
    <n v="3237541"/>
    <m/>
    <m/>
    <m/>
  </r>
  <r>
    <x v="18"/>
    <x v="2"/>
    <s v="F:\images\20210311\plaque 2/@06  Amantadine 0.01 mg_LLdopé/C6_03.tif "/>
    <s v=" 42351.3337 "/>
    <s v=" 71.1558 "/>
    <x v="0"/>
    <n v="3013542"/>
    <m/>
    <m/>
    <m/>
  </r>
  <r>
    <x v="18"/>
    <x v="3"/>
    <s v="F:\images\20210311\plaque 2/@06  Amantadine 0.01 mg_LLdopé/D6_01.tif "/>
    <s v=" 25804.4643 "/>
    <s v=" 80.0956 "/>
    <x v="0"/>
    <n v="2066823"/>
    <m/>
    <m/>
    <m/>
  </r>
  <r>
    <x v="18"/>
    <x v="3"/>
    <s v="F:\images\20210311\plaque 2/@06  Amantadine 0.01 mg_LLdopé/D6_02.tif "/>
    <s v=" 25501.6458 "/>
    <s v=" 69.7142 "/>
    <x v="0"/>
    <n v="1777826"/>
    <m/>
    <m/>
    <m/>
  </r>
  <r>
    <x v="18"/>
    <x v="3"/>
    <s v="F:\images\20210311\plaque 2/@06  Amantadine 0.01 mg_LLdopé/D6_03.tif "/>
    <s v=" 22451.8306 "/>
    <s v=" 76.7476 "/>
    <x v="0"/>
    <n v="1723124"/>
    <m/>
    <m/>
    <m/>
  </r>
  <r>
    <x v="18"/>
    <x v="4"/>
    <s v="F:\images\20210311\plaque 2/@06  Amantadine 0.01 mg_LLdopé/E6_01.tif "/>
    <s v=" 32077.1337 "/>
    <s v=" 69.9063 "/>
    <x v="0"/>
    <n v="2242393"/>
    <m/>
    <m/>
    <m/>
  </r>
  <r>
    <x v="18"/>
    <x v="4"/>
    <s v="F:\images\20210311\plaque 2/@06  Amantadine 0.01 mg_LLdopé/E6_02.tif "/>
    <s v=" 32661.1409 "/>
    <s v=" 69.3159 "/>
    <x v="0"/>
    <n v="2263936"/>
    <m/>
    <m/>
    <m/>
  </r>
  <r>
    <x v="18"/>
    <x v="4"/>
    <s v="F:\images\20210311\plaque 2/@06  Amantadine 0.01 mg_LLdopé/E6_03.tif "/>
    <s v=" 34997.1695 "/>
    <s v=" 70.3294 "/>
    <x v="0"/>
    <n v="2461331"/>
    <m/>
    <m/>
    <m/>
  </r>
  <r>
    <x v="18"/>
    <x v="5"/>
    <s v="F:\images\20210311\plaque 2/@06  Amantadine 0.01 mg_LLdopé/F6_01.tif "/>
    <s v=" 52171.3058 "/>
    <s v=" 79.7056 "/>
    <x v="0"/>
    <n v="4158347"/>
    <m/>
    <m/>
    <m/>
  </r>
  <r>
    <x v="18"/>
    <x v="5"/>
    <s v="F:\images\20210311\plaque 2/@06  Amantadine 0.01 mg_LLdopé/F6_02.tif "/>
    <s v=" 57881.598 "/>
    <s v=" 81.6173 "/>
    <x v="0"/>
    <n v="4724142"/>
    <m/>
    <m/>
    <m/>
  </r>
  <r>
    <x v="18"/>
    <x v="5"/>
    <s v="F:\images\20210311\plaque 2/@06  Amantadine 0.01 mg_LLdopé/F6_03.tif "/>
    <s v=" 54442.4448 "/>
    <s v=" 81.7044 "/>
    <x v="0"/>
    <n v="4448188"/>
    <m/>
    <m/>
    <m/>
  </r>
  <r>
    <x v="18"/>
    <x v="6"/>
    <s v="F:\images\20210311\plaque 2/@06  Amantadine 0.01 mg_LLdopé/G6_01.tif "/>
    <s v=" 14340.6201 "/>
    <s v=" 67.5732 "/>
    <x v="0"/>
    <n v="969041"/>
    <m/>
    <m/>
    <m/>
  </r>
  <r>
    <x v="18"/>
    <x v="6"/>
    <s v="F:\images\20210311\plaque 2/@06  Amantadine 0.01 mg_LLdopé/G6_02.tif "/>
    <s v=" 9192.7052 "/>
    <s v=" 66.4024 "/>
    <x v="0"/>
    <n v="610417"/>
    <m/>
    <m/>
    <m/>
  </r>
  <r>
    <x v="18"/>
    <x v="6"/>
    <s v="F:\images\20210311\plaque 2/@06  Amantadine 0.01 mg_LLdopé/G6_03.tif "/>
    <s v=" 12653.4884 "/>
    <s v=" 67.5385 "/>
    <x v="0"/>
    <n v="854597"/>
    <m/>
    <m/>
    <m/>
  </r>
  <r>
    <x v="18"/>
    <x v="7"/>
    <s v="F:\images\20210311\plaque 2/@06  Amantadine 0.01 mg_LLdopé/H6_01.tif "/>
    <s v=" 28637.9805 "/>
    <s v=" 68.0929 "/>
    <x v="0"/>
    <n v="1950043"/>
    <m/>
    <m/>
    <m/>
  </r>
  <r>
    <x v="18"/>
    <x v="7"/>
    <s v="F:\images\20210311\plaque 2/@06  Amantadine 0.01 mg_LLdopé/H6_02.tif "/>
    <s v=" 27794.4146 "/>
    <s v=" 68.6615 "/>
    <x v="0"/>
    <n v="1908406"/>
    <m/>
    <m/>
    <m/>
  </r>
  <r>
    <x v="18"/>
    <x v="7"/>
    <s v="F:\images\20210311\plaque 2/@06  Amantadine 0.01 mg_LLdopé/H6_03.tif "/>
    <s v=" 27945.8239 "/>
    <s v=" 67.6587 "/>
    <x v="0"/>
    <n v="1890777"/>
    <m/>
    <m/>
    <m/>
  </r>
  <r>
    <x v="1"/>
    <x v="8"/>
    <s v=" "/>
    <m/>
    <m/>
    <x v="1"/>
    <m/>
    <m/>
    <m/>
    <m/>
  </r>
  <r>
    <x v="1"/>
    <x v="8"/>
    <s v="group "/>
    <s v=" "/>
    <s v=" mean of mean fluo "/>
    <x v="2"/>
    <s v=" mean of total fluo "/>
    <s v=" SD total fluo "/>
    <s v=" n fluorescent "/>
    <s v=" n total"/>
  </r>
  <r>
    <x v="18"/>
    <x v="9"/>
    <s v="F:\images\20210311\plaque 2/@06  Amantadine 0.01 mg_LLdopé/ "/>
    <s v=" "/>
    <s v=" 71.1921 "/>
    <x v="20"/>
    <s v=" 2139792.33 "/>
    <s v=" 1308320.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11\plaque 2/@07  Amantadine 0.1 mg_Ldopé/A7_01.tif "/>
    <s v=" 23295.3965 "/>
    <s v=" 68.6416 "/>
    <x v="0"/>
    <n v="1599033"/>
    <m/>
    <m/>
    <m/>
  </r>
  <r>
    <x v="19"/>
    <x v="0"/>
    <s v="F:\images\20210311\plaque 2/@07  Amantadine 0.1 mg_Ldopé/A7_02.tif "/>
    <s v=" 22841.1687 "/>
    <s v=" 69.1222 "/>
    <x v="0"/>
    <n v="1578831"/>
    <m/>
    <m/>
    <m/>
  </r>
  <r>
    <x v="19"/>
    <x v="0"/>
    <s v="F:\images\20210311\plaque 2/@07  Amantadine 0.1 mg_Ldopé/A7_03.tif "/>
    <s v=" 26821.0693 "/>
    <s v=" 68.5081 "/>
    <x v="0"/>
    <n v="1837460"/>
    <m/>
    <m/>
    <m/>
  </r>
  <r>
    <x v="19"/>
    <x v="1"/>
    <s v="F:\images\20210311\plaque 2/@07  Amantadine 0.1 mg_Ldopé/B7_01.tif "/>
    <s v=" 28205.3826 "/>
    <s v=" 67.5936 "/>
    <x v="0"/>
    <n v="1906502"/>
    <m/>
    <m/>
    <m/>
  </r>
  <r>
    <x v="19"/>
    <x v="1"/>
    <s v="F:\images\20210311\plaque 2/@07  Amantadine 0.1 mg_Ldopé/B7_02.tif "/>
    <s v=" 27707.895 "/>
    <s v=" 67.0812 "/>
    <x v="0"/>
    <n v="1858678"/>
    <m/>
    <m/>
    <m/>
  </r>
  <r>
    <x v="19"/>
    <x v="1"/>
    <s v="F:\images\20210311\plaque 2/@07  Amantadine 0.1 mg_Ldopé/B7_03.tif "/>
    <s v=" 25977.5034 "/>
    <s v=" 66.8152 "/>
    <x v="0"/>
    <n v="1735691"/>
    <m/>
    <m/>
    <m/>
  </r>
  <r>
    <x v="19"/>
    <x v="2"/>
    <s v="F:\images\20210311\plaque 2/@07  Amantadine 0.1 mg_Ldopé/C7_01.tif "/>
    <s v=" 28270.2723 "/>
    <s v=" 69.2181 "/>
    <x v="0"/>
    <n v="1956813"/>
    <m/>
    <m/>
    <m/>
  </r>
  <r>
    <x v="19"/>
    <x v="2"/>
    <s v="F:\images\20210311\plaque 2/@07  Amantadine 0.1 mg_Ldopé/C7_02.tif "/>
    <s v=" 29113.8382 "/>
    <s v=" 69.1152 "/>
    <x v="0"/>
    <n v="2012207"/>
    <m/>
    <m/>
    <m/>
  </r>
  <r>
    <x v="19"/>
    <x v="2"/>
    <s v="F:\images\20210311\plaque 2/@07  Amantadine 0.1 mg_Ldopé/C7_03.tif "/>
    <s v=" 24701.3397 "/>
    <s v=" 67.6629 "/>
    <x v="0"/>
    <n v="1671364"/>
    <m/>
    <m/>
    <m/>
  </r>
  <r>
    <x v="19"/>
    <x v="3"/>
    <s v="F:\images\20210311\plaque 2/@07  Amantadine 0.1 mg_Ldopé/D7_01.tif "/>
    <s v=" 46893.6116 "/>
    <s v=" 71.0235 "/>
    <x v="0"/>
    <n v="3330550"/>
    <m/>
    <m/>
    <m/>
  </r>
  <r>
    <x v="19"/>
    <x v="3"/>
    <s v="F:\images\20210311\plaque 2/@07  Amantadine 0.1 mg_Ldopé/D7_02.tif "/>
    <s v=" 44535.953 "/>
    <s v=" 71.2472 "/>
    <x v="0"/>
    <n v="3173062"/>
    <m/>
    <m/>
    <m/>
  </r>
  <r>
    <x v="19"/>
    <x v="3"/>
    <s v="F:\images\20210311\plaque 2/@07  Amantadine 0.1 mg_Ldopé/D7_03.tif "/>
    <s v=" 49683.868 "/>
    <s v=" 72.2769 "/>
    <x v="0"/>
    <n v="3590995"/>
    <m/>
    <m/>
    <m/>
  </r>
  <r>
    <x v="19"/>
    <x v="4"/>
    <s v="F:\images\20210311\plaque 2/@07  Amantadine 0.1 mg_Ldopé/E7_01.tif "/>
    <s v=" 41572.6575 "/>
    <s v=" 71.5219 "/>
    <x v="0"/>
    <n v="2973353"/>
    <m/>
    <m/>
    <m/>
  </r>
  <r>
    <x v="19"/>
    <x v="4"/>
    <s v="F:\images\20210311\plaque 2/@07  Amantadine 0.1 mg_Ldopé/E7_02.tif "/>
    <s v=" 42675.7821 "/>
    <s v=" 70.8925 "/>
    <x v="0"/>
    <n v="3025395"/>
    <m/>
    <m/>
    <m/>
  </r>
  <r>
    <x v="19"/>
    <x v="4"/>
    <s v="F:\images\20210311\plaque 2/@07  Amantadine 0.1 mg_Ldopé/E7_03.tif "/>
    <s v=" 38046.9847 "/>
    <s v=" 70.4696 "/>
    <x v="0"/>
    <n v="2681155"/>
    <m/>
    <m/>
    <m/>
  </r>
  <r>
    <x v="19"/>
    <x v="5"/>
    <s v="F:\images\20210311\plaque 2/@07  Amantadine 0.1 mg_Ldopé/F7_01.tif "/>
    <s v=" 34045.4541 "/>
    <s v=" 72.4524 "/>
    <x v="0"/>
    <n v="2466673"/>
    <m/>
    <m/>
    <m/>
  </r>
  <r>
    <x v="19"/>
    <x v="5"/>
    <s v="F:\images\20210311\plaque 2/@07  Amantadine 0.1 mg_Ldopé/F7_02.tif "/>
    <s v=" 31298.4575 "/>
    <s v=" 69.443 "/>
    <x v="0"/>
    <n v="2173458"/>
    <m/>
    <m/>
    <m/>
  </r>
  <r>
    <x v="19"/>
    <x v="5"/>
    <s v="F:\images\20210311\plaque 2/@07  Amantadine 0.1 mg_Ldopé/F7_03.tif "/>
    <s v=" 29762.735 "/>
    <s v=" 70.8343 "/>
    <x v="0"/>
    <n v="2108223"/>
    <m/>
    <m/>
    <m/>
  </r>
  <r>
    <x v="19"/>
    <x v="6"/>
    <s v="F:\images\20210311\plaque 2/@07  Amantadine 0.1 mg_Ldopé/G7_01.tif "/>
    <s v=" 27924.194 "/>
    <s v=" 66.9272 "/>
    <x v="0"/>
    <n v="1868888"/>
    <m/>
    <m/>
    <m/>
  </r>
  <r>
    <x v="19"/>
    <x v="6"/>
    <s v="F:\images\20210311\plaque 2/@07  Amantadine 0.1 mg_Ldopé/G7_02.tif "/>
    <s v=" 27621.3754 "/>
    <s v=" 66.6366 "/>
    <x v="0"/>
    <n v="1840596"/>
    <m/>
    <m/>
    <m/>
  </r>
  <r>
    <x v="19"/>
    <x v="6"/>
    <s v="F:\images\20210311\plaque 2/@07  Amantadine 0.1 mg_Ldopé/G7_03.tif "/>
    <s v=" 24312.0016 "/>
    <s v=" 66.0881 "/>
    <x v="0"/>
    <n v="1606733"/>
    <m/>
    <m/>
    <m/>
  </r>
  <r>
    <x v="19"/>
    <x v="7"/>
    <s v="F:\images\20210311\plaque 2/@07  Amantadine 0.1 mg_Ldopé/H7_01.tif "/>
    <s v=" 45076.7004 "/>
    <s v=" 71.0432 "/>
    <x v="0"/>
    <n v="3202392"/>
    <m/>
    <m/>
    <m/>
  </r>
  <r>
    <x v="19"/>
    <x v="7"/>
    <s v="F:\images\20210311\plaque 2/@07  Amantadine 0.1 mg_Ldopé/H7_02.tif "/>
    <s v=" 40209.9741 "/>
    <s v=" 71.7929 "/>
    <x v="0"/>
    <n v="2886791"/>
    <m/>
    <m/>
    <m/>
  </r>
  <r>
    <x v="19"/>
    <x v="7"/>
    <s v="F:\images\20210311\plaque 2/@07  Amantadine 0.1 mg_Ldopé/H7_03.tif "/>
    <s v=" 44860.4015 "/>
    <s v=" 70.9151 "/>
    <x v="0"/>
    <n v="3181282"/>
    <m/>
    <m/>
    <m/>
  </r>
  <r>
    <x v="1"/>
    <x v="8"/>
    <s v=" "/>
    <m/>
    <m/>
    <x v="1"/>
    <m/>
    <m/>
    <m/>
    <m/>
  </r>
  <r>
    <x v="1"/>
    <x v="8"/>
    <s v="group "/>
    <s v=" "/>
    <s v=" mean of mean fluo "/>
    <x v="2"/>
    <s v=" mean of total fluo "/>
    <s v=" SD total fluo "/>
    <s v=" n fluorescent "/>
    <s v=" n total"/>
  </r>
  <r>
    <x v="19"/>
    <x v="9"/>
    <s v="F:\images\20210311\plaque 2/@07  Amantadine 0.1 mg_Ldopé/ "/>
    <s v=" "/>
    <s v=" 69.4718 "/>
    <x v="21"/>
    <s v=" 2344421.88 "/>
    <s v=" 657765.3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11\plaque 2/@08  TAmantadine 1 mg_Ldopé/A8_01.tif "/>
    <s v=" 34413.1624 "/>
    <s v=" 70.2206 "/>
    <x v="0"/>
    <n v="2416513"/>
    <m/>
    <m/>
    <m/>
  </r>
  <r>
    <x v="20"/>
    <x v="0"/>
    <s v="F:\images\20210311\plaque 2/@08  TAmantadine 1 mg_Ldopé/A8_02.tif "/>
    <s v=" 36878.9703 "/>
    <s v=" 70.5519 "/>
    <x v="0"/>
    <n v="2601882"/>
    <m/>
    <m/>
    <m/>
  </r>
  <r>
    <x v="20"/>
    <x v="0"/>
    <s v="F:\images\20210311\plaque 2/@08  TAmantadine 1 mg_Ldopé/A8_03.tif "/>
    <s v=" 37700.9063 "/>
    <s v=" 69.7177 "/>
    <x v="0"/>
    <n v="2628422"/>
    <m/>
    <m/>
    <m/>
  </r>
  <r>
    <x v="20"/>
    <x v="1"/>
    <s v="F:\images\20210311\plaque 2/@08  TAmantadine 1 mg_Ldopé/B8_01.tif "/>
    <s v=" 40318.1236 "/>
    <s v=" 72.2403 "/>
    <x v="0"/>
    <n v="2912595"/>
    <m/>
    <m/>
    <m/>
  </r>
  <r>
    <x v="20"/>
    <x v="1"/>
    <s v="F:\images\20210311\plaque 2/@08  TAmantadine 1 mg_Ldopé/B8_02- exclu.tif"/>
    <m/>
    <m/>
    <x v="1"/>
    <m/>
    <m/>
    <m/>
    <m/>
  </r>
  <r>
    <x v="20"/>
    <x v="1"/>
    <s v="F:\images\20210311\plaque 2/@08  TAmantadine 1 mg_Ldopé/B8_03.tif "/>
    <s v=" 43086.7501 "/>
    <s v=" 70.6009 "/>
    <x v="0"/>
    <n v="3041963"/>
    <m/>
    <m/>
    <m/>
  </r>
  <r>
    <x v="20"/>
    <x v="2"/>
    <s v="F:\images\20210311\plaque 2/@08  TAmantadine 1 mg_Ldopé/C8_01.tif "/>
    <s v=" 40945.3905 "/>
    <s v=" 73.9699 "/>
    <x v="0"/>
    <n v="3028726"/>
    <m/>
    <m/>
    <m/>
  </r>
  <r>
    <x v="20"/>
    <x v="2"/>
    <s v="F:\images\20210311\plaque 2/@08  TAmantadine 1 mg_Ldopé/C8_02.tif "/>
    <s v=" 39150.1093 "/>
    <s v=" 73.9381 "/>
    <x v="0"/>
    <n v="2894686"/>
    <m/>
    <m/>
    <m/>
  </r>
  <r>
    <x v="20"/>
    <x v="2"/>
    <s v="F:\images\20210311\plaque 2/@08  TAmantadine 1 mg_Ldopé/C8_03.tif "/>
    <s v=" 39690.8566 "/>
    <s v=" 71.8332 "/>
    <x v="0"/>
    <n v="2851123"/>
    <m/>
    <m/>
    <m/>
  </r>
  <r>
    <x v="20"/>
    <x v="3"/>
    <s v="F:\images\20210311\plaque 2/@08  TAmantadine 1 mg_Ldopé/D8_01.tif "/>
    <s v=" 52322.7151 "/>
    <s v=" 74.5953 "/>
    <x v="0"/>
    <n v="3903028"/>
    <m/>
    <m/>
    <m/>
  </r>
  <r>
    <x v="20"/>
    <x v="3"/>
    <s v="F:\images\20210311\plaque 2/@08  TAmantadine 1 mg_Ldopé/D8_02.tif "/>
    <s v=" 49921.7968 "/>
    <s v=" 73.0741 "/>
    <x v="0"/>
    <n v="3647990"/>
    <m/>
    <m/>
    <m/>
  </r>
  <r>
    <x v="20"/>
    <x v="3"/>
    <s v="F:\images\20210311\plaque 2/@08  TAmantadine 1 mg_Ldopé/D8_03.tif "/>
    <s v=" 56994.7723 "/>
    <s v=" 75.0425 "/>
    <x v="0"/>
    <n v="4277030"/>
    <m/>
    <m/>
    <m/>
  </r>
  <r>
    <x v="20"/>
    <x v="4"/>
    <s v="F:\images\20210311\plaque 2/@08  TAmantadine 1 mg_Ldopé/E8_01.tif "/>
    <s v=" 38955.4402 "/>
    <s v=" 69.0911 "/>
    <x v="0"/>
    <n v="2691473"/>
    <m/>
    <m/>
    <m/>
  </r>
  <r>
    <x v="20"/>
    <x v="4"/>
    <s v="F:\images\20210311\plaque 2/@08  TAmantadine 1 mg_Ldopé/E8_02.tif "/>
    <s v=" 41832.2162 "/>
    <s v=" 69.803 "/>
    <x v="0"/>
    <n v="2920014"/>
    <m/>
    <m/>
    <m/>
  </r>
  <r>
    <x v="20"/>
    <x v="4"/>
    <s v="F:\images\20210311\plaque 2/@08  TAmantadine 1 mg_Ldopé/E8_03.tif "/>
    <s v=" 34845.7602 "/>
    <s v=" 68.4066 "/>
    <x v="0"/>
    <n v="2383679"/>
    <m/>
    <m/>
    <m/>
  </r>
  <r>
    <x v="20"/>
    <x v="5"/>
    <s v="F:\images\20210311\plaque 2/@08  TAmantadine 1 mg_Ldopé/F8_01.tif "/>
    <s v=" 1557.3524 "/>
    <s v=" 64.4861 "/>
    <x v="0"/>
    <n v="100428"/>
    <m/>
    <m/>
    <m/>
  </r>
  <r>
    <x v="20"/>
    <x v="5"/>
    <s v="F:\images\20210311\plaque 2/@08  TAmantadine 1 mg_Ldopé/F8_02- exclu.tif"/>
    <m/>
    <m/>
    <x v="1"/>
    <m/>
    <m/>
    <m/>
    <m/>
  </r>
  <r>
    <x v="20"/>
    <x v="5"/>
    <s v="F:\images\20210311\plaque 2/@08  TAmantadine 1 mg_Ldopé/F8_03- exclu.tif"/>
    <m/>
    <m/>
    <x v="1"/>
    <m/>
    <m/>
    <m/>
    <m/>
  </r>
  <r>
    <x v="20"/>
    <x v="6"/>
    <s v="F:\images\20210311\plaque 2/@08  TAmantadine 1 mg_Ldopé/G8_01.tif "/>
    <s v=" 52798.5728 "/>
    <s v=" 78.476 "/>
    <x v="0"/>
    <n v="4143423"/>
    <m/>
    <m/>
    <m/>
  </r>
  <r>
    <x v="20"/>
    <x v="6"/>
    <s v="F:\images\20210311\plaque 2/@08  TAmantadine 1 mg_Ldopé/G8_02.tif "/>
    <s v=" 48039.996 "/>
    <s v=" 79.3489 "/>
    <x v="0"/>
    <n v="3811923"/>
    <m/>
    <m/>
    <m/>
  </r>
  <r>
    <x v="20"/>
    <x v="6"/>
    <s v="F:\images\20210311\plaque 2/@08  TAmantadine 1 mg_Ldopé/G8_03.tif "/>
    <s v=" 54291.0355 "/>
    <s v=" 79.9996 "/>
    <x v="0"/>
    <n v="4343261"/>
    <m/>
    <m/>
    <m/>
  </r>
  <r>
    <x v="20"/>
    <x v="7"/>
    <s v="F:\images\20210311\plaque 2/@08  TAmantadine 1 mg_Ldopé/H8_01.tif "/>
    <s v=" 35819.1055 "/>
    <s v=" 68.8514 "/>
    <x v="0"/>
    <n v="2466197"/>
    <m/>
    <m/>
    <m/>
  </r>
  <r>
    <x v="20"/>
    <x v="7"/>
    <s v="F:\images\20210311\plaque 2/@08  TAmantadine 1 mg_Ldopé/H8_02.tif "/>
    <s v=" 29243.6175 "/>
    <s v=" 67.5607 "/>
    <x v="0"/>
    <n v="1975718"/>
    <m/>
    <m/>
    <m/>
  </r>
  <r>
    <x v="20"/>
    <x v="7"/>
    <s v="F:\images\20210311\plaque 2/@08  TAmantadine 1 mg_Ldopé/H8_03.tif "/>
    <s v=" 31904.0946 "/>
    <s v=" 67.24 "/>
    <x v="0"/>
    <n v="2145231"/>
    <m/>
    <m/>
    <m/>
  </r>
  <r>
    <x v="1"/>
    <x v="8"/>
    <s v=" "/>
    <m/>
    <m/>
    <x v="1"/>
    <m/>
    <m/>
    <m/>
    <m/>
  </r>
  <r>
    <x v="1"/>
    <x v="8"/>
    <s v="group "/>
    <s v=" "/>
    <s v=" mean of mean fluo "/>
    <x v="2"/>
    <s v=" mean of total fluo "/>
    <s v=" SD total fluo "/>
    <s v=" n fluorescent "/>
    <s v=" n total"/>
  </r>
  <r>
    <x v="20"/>
    <x v="9"/>
    <s v="F:\images\20210311\plaque 2/@08  TAmantadine 1 mg_Ldopé/ "/>
    <s v=" "/>
    <s v=" 70.939 "/>
    <x v="22"/>
    <n v="2618634"/>
    <s v=" 1221663.0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11\plaque 2/@09  Amantadine 10 mg_L dopé/A9_01.tif "/>
    <s v=" 56410.7652 "/>
    <s v=" 73.9417 "/>
    <x v="0"/>
    <n v="4171109"/>
    <m/>
    <m/>
    <m/>
  </r>
  <r>
    <x v="21"/>
    <x v="0"/>
    <s v="F:\images\20210311\plaque 2/@09  Amantadine 10 mg_L dopé/A9_02.tif "/>
    <s v=" 53815.1778 "/>
    <s v=" 72.8268 "/>
    <x v="0"/>
    <n v="3919185"/>
    <m/>
    <m/>
    <m/>
  </r>
  <r>
    <x v="21"/>
    <x v="0"/>
    <s v="F:\images\20210311\plaque 2/@09  Amantadine 10 mg_L dopé/A9_03.tif "/>
    <s v=" 53339.3202 "/>
    <s v=" 73.3861 "/>
    <x v="0"/>
    <n v="3914362"/>
    <m/>
    <m/>
    <m/>
  </r>
  <r>
    <x v="21"/>
    <x v="1"/>
    <s v="F:\images\20210311\plaque 2/@09  Amantadine 10 mg_L dopé/B9_01.tif "/>
    <s v=" 43562.6078 "/>
    <s v=" 76.859 "/>
    <x v="0"/>
    <n v="3348178"/>
    <m/>
    <m/>
    <m/>
  </r>
  <r>
    <x v="21"/>
    <x v="1"/>
    <s v="F:\images\20210311\plaque 2/@09  Amantadine 10 mg_L dopé/B9_02.tif "/>
    <s v=" 41183.3194 "/>
    <s v=" 76.1628 "/>
    <x v="0"/>
    <n v="3136638"/>
    <m/>
    <m/>
    <m/>
  </r>
  <r>
    <x v="21"/>
    <x v="1"/>
    <s v="F:\images\20210311\plaque 2/@09  Amantadine 10 mg_L dopé/B9_03.tif "/>
    <s v=" 44103.3551 "/>
    <s v=" 76.7366 "/>
    <x v="0"/>
    <n v="3384343"/>
    <m/>
    <m/>
    <m/>
  </r>
  <r>
    <x v="21"/>
    <x v="2"/>
    <s v="F:\images\20210311\plaque 2/@09  Amantadine 10 mg_L dopé/C9_01.tif "/>
    <s v=" 18861.2681 "/>
    <s v=" 67.0149 "/>
    <x v="0"/>
    <n v="1263986"/>
    <m/>
    <m/>
    <m/>
  </r>
  <r>
    <x v="21"/>
    <x v="2"/>
    <s v="F:\images\20210311\plaque 2/@09  Amantadine 10 mg_L dopé/C9_02.tif "/>
    <s v=" 20526.77 "/>
    <s v=" 69.157 "/>
    <x v="0"/>
    <n v="1419570"/>
    <m/>
    <m/>
    <m/>
  </r>
  <r>
    <x v="21"/>
    <x v="2"/>
    <s v="F:\images\20210311\plaque 2/@09  Amantadine 10 mg_L dopé/C9_03.tif "/>
    <s v=" 17952.8125 "/>
    <s v=" 69.3205 "/>
    <x v="0"/>
    <n v="1244498"/>
    <m/>
    <m/>
    <m/>
  </r>
  <r>
    <x v="21"/>
    <x v="3"/>
    <s v="F:\images\20210311\plaque 2/@09  Amantadine 10 mg_L dopé/D9_01.tif "/>
    <s v=" 29892.5144 "/>
    <s v=" 70.7547 "/>
    <x v="0"/>
    <n v="2115036"/>
    <m/>
    <m/>
    <m/>
  </r>
  <r>
    <x v="21"/>
    <x v="3"/>
    <s v="F:\images\20210311\plaque 2/@09  Amantadine 10 mg_L dopé/D9_02.tif "/>
    <s v=" 42070.1451 "/>
    <s v=" 74.5481 "/>
    <x v="0"/>
    <n v="3136248"/>
    <m/>
    <m/>
    <m/>
  </r>
  <r>
    <x v="21"/>
    <x v="3"/>
    <s v="F:\images\20210311\plaque 2/@09  Amantadine 10 mg_L dopé/D9_03.tif "/>
    <s v=" 25674.6849 "/>
    <s v=" 70.6773 "/>
    <x v="0"/>
    <n v="1814618"/>
    <m/>
    <m/>
    <m/>
  </r>
  <r>
    <x v="21"/>
    <x v="4"/>
    <s v="F:\images\20210311\plaque 2/@09  Amantadine 10 mg_L dopé/E9_01.tif "/>
    <s v=" 44990.1808 "/>
    <s v=" 80.8947 "/>
    <x v="0"/>
    <n v="3639468"/>
    <m/>
    <m/>
    <m/>
  </r>
  <r>
    <x v="21"/>
    <x v="4"/>
    <s v="F:\images\20210311\plaque 2/@09  Amantadine 10 mg_L dopé/E9_02.tif "/>
    <s v=" 44968.5509 "/>
    <s v=" 76.6123 "/>
    <x v="0"/>
    <n v="3445145"/>
    <m/>
    <m/>
    <m/>
  </r>
  <r>
    <x v="21"/>
    <x v="4"/>
    <s v="F:\images\20210311\plaque 2/@09  Amantadine 10 mg_L dopé/E9_03.tif "/>
    <s v=" 43735.6469 "/>
    <s v=" 79.1256 "/>
    <x v="0"/>
    <n v="3460610"/>
    <m/>
    <m/>
    <m/>
  </r>
  <r>
    <x v="21"/>
    <x v="5"/>
    <s v="F:\images\20210311\plaque 2/@09  Amantadine 10 mg_L dopé/F9_01- exclu.tif"/>
    <m/>
    <m/>
    <x v="1"/>
    <m/>
    <m/>
    <m/>
    <m/>
  </r>
  <r>
    <x v="21"/>
    <x v="5"/>
    <s v="F:\images\20210311\plaque 2/@09  Amantadine 10 mg_L dopé/F9_02.tif "/>
    <s v=" 47326.2094 "/>
    <s v=" 71.5818 "/>
    <x v="0"/>
    <n v="3387696"/>
    <m/>
    <m/>
    <m/>
  </r>
  <r>
    <x v="21"/>
    <x v="5"/>
    <s v="F:\images\20210311\plaque 2/@09  Amantadine 10 mg_L dopé/F9_03.tif "/>
    <s v=" 51284.4802 "/>
    <s v=" 73.6504 "/>
    <x v="0"/>
    <n v="3777120"/>
    <m/>
    <m/>
    <m/>
  </r>
  <r>
    <x v="21"/>
    <x v="6"/>
    <s v="F:\images\20210311\plaque 2/@09  Amantadine 10 mg_L dopé/G9_01.tif "/>
    <s v=" 38501.2124 "/>
    <s v=" 70.809 "/>
    <x v="0"/>
    <n v="2726232"/>
    <m/>
    <m/>
    <m/>
  </r>
  <r>
    <x v="21"/>
    <x v="6"/>
    <s v="F:\images\20210311\plaque 2/@09  Amantadine 10 mg_L dopé/G9_02.tif "/>
    <s v=" 37225.0487 "/>
    <s v=" 71.5793 "/>
    <x v="0"/>
    <n v="2664543"/>
    <m/>
    <m/>
    <m/>
  </r>
  <r>
    <x v="21"/>
    <x v="6"/>
    <s v="F:\images\20210311\plaque 2/@09  Amantadine 10 mg_L dopé/G9_03.tif "/>
    <s v=" 35299.988 "/>
    <s v=" 74.0392 "/>
    <x v="0"/>
    <n v="2613583"/>
    <m/>
    <m/>
    <m/>
  </r>
  <r>
    <x v="21"/>
    <x v="7"/>
    <s v="F:\images\20210311\plaque 2/@09  Amantadine 10 mg_L dopé/H9_01.tif "/>
    <s v=" 40469.5329 "/>
    <s v=" 70.349 "/>
    <x v="0"/>
    <n v="2846992"/>
    <m/>
    <m/>
    <m/>
  </r>
  <r>
    <x v="21"/>
    <x v="7"/>
    <s v="F:\images\20210311\plaque 2/@09  Amantadine 10 mg_L dopé/H9_02.tif "/>
    <s v=" 46136.5652 "/>
    <s v=" 71.3408 "/>
    <x v="0"/>
    <n v="3291421"/>
    <m/>
    <m/>
    <m/>
  </r>
  <r>
    <x v="21"/>
    <x v="7"/>
    <s v="F:\images\20210311\plaque 2/@09  Amantadine 10 mg_L dopé/H9_03.tif "/>
    <s v=" 38046.9847 "/>
    <s v=" 71.1006 "/>
    <x v="0"/>
    <n v="2705164"/>
    <m/>
    <m/>
    <m/>
  </r>
  <r>
    <x v="1"/>
    <x v="8"/>
    <s v=" "/>
    <m/>
    <m/>
    <x v="1"/>
    <m/>
    <m/>
    <m/>
    <m/>
  </r>
  <r>
    <x v="1"/>
    <x v="8"/>
    <s v="group "/>
    <s v=" "/>
    <s v=" mean of mean fluo "/>
    <x v="2"/>
    <s v=" mean of total fluo "/>
    <s v=" SD total fluo "/>
    <s v=" n fluorescent "/>
    <s v=" n total"/>
  </r>
  <r>
    <x v="21"/>
    <x v="9"/>
    <s v="F:\images\20210311\plaque 2/@09  Amantadine 10 mg_L dopé/ "/>
    <s v=" "/>
    <s v=" 73.0466 "/>
    <x v="23"/>
    <s v=" 2948785.46 "/>
    <s v=" 841889.428 "/>
    <n v="24"/>
    <n v="24"/>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mages\20210312\plaque 1/@01 Evian + 0.2% DMSO/A1_01.tif "/>
    <s v=" 4044.7903 "/>
    <s v=" 65.1658 "/>
    <x v="0"/>
    <n v="263582"/>
    <m/>
    <m/>
    <m/>
  </r>
  <r>
    <x v="0"/>
    <x v="0"/>
    <s v="F:\images\20210312\plaque 1/@01 Evian + 0.2% DMSO/A1_02.tif "/>
    <s v=" 2703.7368 "/>
    <s v=" 64.952 "/>
    <x v="0"/>
    <n v="175613"/>
    <m/>
    <m/>
    <m/>
  </r>
  <r>
    <x v="0"/>
    <x v="0"/>
    <s v="F:\images\20210312\plaque 1/@01 Evian + 0.2% DMSO/A1_03.tif "/>
    <s v=" 1038.2349 "/>
    <s v=" 63.2292 "/>
    <x v="0"/>
    <n v="65647"/>
    <m/>
    <m/>
    <m/>
  </r>
  <r>
    <x v="0"/>
    <x v="1"/>
    <s v="F:\images\20210312\plaque 1/@01 Evian + 0.2% DMSO/B1_01.tif "/>
    <s v=" 5991.4808 "/>
    <s v=" 74.574 "/>
    <x v="0"/>
    <n v="446809"/>
    <m/>
    <m/>
    <m/>
  </r>
  <r>
    <x v="0"/>
    <x v="1"/>
    <s v="F:\images\20210312\plaque 1/@01 Evian + 0.2% DMSO/B1_02.tif "/>
    <s v=" 6964.8261 "/>
    <s v=" 67.4037 "/>
    <x v="0"/>
    <n v="469455"/>
    <m/>
    <m/>
    <m/>
  </r>
  <r>
    <x v="0"/>
    <x v="1"/>
    <s v="F:\images\20210312\plaque 1/@01 Evian + 0.2% DMSO/B1_03.tif "/>
    <s v=" 7397.424 "/>
    <s v=" 71.6257 "/>
    <x v="0"/>
    <n v="529846"/>
    <m/>
    <m/>
    <m/>
  </r>
  <r>
    <x v="0"/>
    <x v="2"/>
    <s v="F:\images\20210312\plaque 1/@01 Evian + 0.2% DMSO/C1_01.tif "/>
    <s v=" 2984.9255 "/>
    <s v=" 66.8478 "/>
    <x v="0"/>
    <n v="199536"/>
    <m/>
    <m/>
    <m/>
  </r>
  <r>
    <x v="0"/>
    <x v="2"/>
    <s v="F:\images\20210312\plaque 1/@01 Evian + 0.2% DMSO/C1_02- exclu.tif"/>
    <m/>
    <m/>
    <x v="1"/>
    <m/>
    <m/>
    <m/>
    <m/>
  </r>
  <r>
    <x v="0"/>
    <x v="2"/>
    <s v="F:\images\20210312\plaque 1/@01 Evian + 0.2% DMSO/C1_03.tif "/>
    <s v=" 108.1495 "/>
    <s v=" 60.6 "/>
    <x v="0"/>
    <n v="6554"/>
    <m/>
    <m/>
    <m/>
  </r>
  <r>
    <x v="0"/>
    <x v="3"/>
    <s v="F:\images\20210312\plaque 1/@01 Evian + 0.2% DMSO/D1_01.tif "/>
    <s v=" 2206.2493 "/>
    <s v=" 66.0098 "/>
    <x v="0"/>
    <n v="145634"/>
    <m/>
    <m/>
    <m/>
  </r>
  <r>
    <x v="0"/>
    <x v="3"/>
    <s v="F:\images\20210312\plaque 1/@01 Evian + 0.2% DMSO/D1_02- exclu.tif"/>
    <m/>
    <m/>
    <x v="1"/>
    <m/>
    <m/>
    <m/>
    <m/>
  </r>
  <r>
    <x v="0"/>
    <x v="3"/>
    <s v="F:\images\20210312\plaque 1/@01 Evian + 0.2% DMSO/D1_03.tif "/>
    <s v=" 843.5659 "/>
    <s v=" 62.5641 "/>
    <x v="0"/>
    <n v="52777"/>
    <m/>
    <m/>
    <m/>
  </r>
  <r>
    <x v="0"/>
    <x v="4"/>
    <s v="F:\images\20210312\plaque 1/@01 Evian + 0.2% DMSO/E1_01.tif "/>
    <s v=" 3568.9326 "/>
    <s v=" 65.1273 "/>
    <x v="0"/>
    <n v="232435"/>
    <m/>
    <m/>
    <m/>
  </r>
  <r>
    <x v="0"/>
    <x v="4"/>
    <s v="F:\images\20210312\plaque 1/@01 Evian + 0.2% DMSO/E1_02.tif "/>
    <s v=" 3028.1852 "/>
    <s v=" 63.6857 "/>
    <x v="0"/>
    <n v="192852"/>
    <m/>
    <m/>
    <m/>
  </r>
  <r>
    <x v="0"/>
    <x v="4"/>
    <s v="F:\images\20210312\plaque 1/@01 Evian + 0.2% DMSO/E1_03.tif "/>
    <s v=" 994.9752 "/>
    <s v=" 67.3478 "/>
    <x v="0"/>
    <n v="67009"/>
    <m/>
    <m/>
    <m/>
  </r>
  <r>
    <x v="0"/>
    <x v="5"/>
    <s v="F:\images\20210312\plaque 1/@01 Evian + 0.2% DMSO/F1_01.tif "/>
    <s v=" 2963.2956 "/>
    <s v=" 66.8905 "/>
    <x v="0"/>
    <n v="198216"/>
    <m/>
    <m/>
    <m/>
  </r>
  <r>
    <x v="0"/>
    <x v="5"/>
    <s v="F:\images\20210312\plaque 1/@01 Evian + 0.2% DMSO/F1_02.tif "/>
    <s v=" 194.6691 "/>
    <s v=" 61.8889 "/>
    <x v="0"/>
    <n v="12048"/>
    <m/>
    <m/>
    <m/>
  </r>
  <r>
    <x v="0"/>
    <x v="5"/>
    <s v="F:\images\20210312\plaque 1/@01 Evian + 0.2% DMSO/F1_03.tif "/>
    <s v=" 4736.9469 "/>
    <s v=" 68.9772 "/>
    <x v="0"/>
    <n v="326741"/>
    <m/>
    <m/>
    <m/>
  </r>
  <r>
    <x v="0"/>
    <x v="6"/>
    <s v="F:\images\20210312\plaque 1/@01 Evian + 0.2% DMSO/G1_01.tif "/>
    <s v=" 1470.8328 "/>
    <s v=" 65.2059 "/>
    <x v="0"/>
    <n v="95907"/>
    <m/>
    <m/>
    <m/>
  </r>
  <r>
    <x v="0"/>
    <x v="6"/>
    <s v="F:\images\20210312\plaque 1/@01 Evian + 0.2% DMSO/G1_02.tif "/>
    <s v=" 2227.8791 "/>
    <s v=" 65.0777 "/>
    <x v="0"/>
    <n v="144985"/>
    <m/>
    <m/>
    <m/>
  </r>
  <r>
    <x v="0"/>
    <x v="6"/>
    <s v="F:\images\20210312\plaque 1/@01 Evian + 0.2% DMSO/G1_03.tif "/>
    <s v=" 432.5979 "/>
    <s v=" 63.15 "/>
    <x v="0"/>
    <n v="27319"/>
    <m/>
    <m/>
    <m/>
  </r>
  <r>
    <x v="0"/>
    <x v="7"/>
    <s v="F:\images\20210312\plaque 1/@01 Evian + 0.2% DMSO/H1_01.tif "/>
    <s v=" 3871.7511 "/>
    <s v=" 67.9441 "/>
    <x v="0"/>
    <n v="263063"/>
    <m/>
    <m/>
    <m/>
  </r>
  <r>
    <x v="0"/>
    <x v="7"/>
    <s v="F:\images\20210312\plaque 1/@01 Evian + 0.2% DMSO/H1_02.tif "/>
    <s v=" 281.1886 "/>
    <s v=" 64.2308 "/>
    <x v="0"/>
    <n v="18061"/>
    <m/>
    <m/>
    <m/>
  </r>
  <r>
    <x v="0"/>
    <x v="7"/>
    <s v="F:\images\20210312\plaque 1/@01 Evian + 0.2% DMSO/H1_03.tif "/>
    <s v=" 151.4093 "/>
    <n v="64"/>
    <x v="0"/>
    <n v="9690"/>
    <m/>
    <m/>
    <m/>
  </r>
  <r>
    <x v="1"/>
    <x v="8"/>
    <s v=" "/>
    <m/>
    <m/>
    <x v="1"/>
    <m/>
    <m/>
    <m/>
    <m/>
  </r>
  <r>
    <x v="1"/>
    <x v="8"/>
    <s v="group "/>
    <s v=" "/>
    <s v=" mean of mean fluo "/>
    <x v="2"/>
    <s v=" mean of total fluo "/>
    <s v=" SD total fluo "/>
    <s v=" n fluorescent "/>
    <s v=" n total"/>
  </r>
  <r>
    <x v="0"/>
    <x v="9"/>
    <s v="F:\images\20210312\plaque 1/@01 Evian + 0.2% DMSO/ "/>
    <s v=" "/>
    <s v=" 65.6028 "/>
    <x v="3"/>
    <s v=" 167301.875 "/>
    <s v=" 153735.6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312\plaque 1/@02 EE2 33.8/A2_01.tif "/>
    <s v=" 9257.5949 "/>
    <s v=" 68.8715 "/>
    <x v="0"/>
    <n v="637584"/>
    <m/>
    <m/>
    <m/>
  </r>
  <r>
    <x v="2"/>
    <x v="0"/>
    <s v="F:\images\20210312\plaque 1/@02 EE2 33.8/A2_02.tif "/>
    <s v=" 11961.3317 "/>
    <s v=" 77.9801 "/>
    <x v="0"/>
    <n v="932746"/>
    <m/>
    <m/>
    <m/>
  </r>
  <r>
    <x v="2"/>
    <x v="0"/>
    <s v="F:\images\20210312\plaque 1/@02 EE2 33.8/A2_03.tif "/>
    <s v=" 6943.1962 "/>
    <s v=" 75.1121 "/>
    <x v="0"/>
    <n v="521518"/>
    <m/>
    <m/>
    <m/>
  </r>
  <r>
    <x v="2"/>
    <x v="1"/>
    <s v="F:\images\20210312\plaque 1/@02 EE2 33.8/B2_01.tif "/>
    <s v=" 1600.6122 "/>
    <s v=" 65.8919 "/>
    <x v="0"/>
    <n v="105467"/>
    <m/>
    <m/>
    <m/>
  </r>
  <r>
    <x v="2"/>
    <x v="1"/>
    <s v="F:\images\20210312\plaque 1/@02 EE2 33.8/B2_02.tif "/>
    <s v=" 2336.0286 "/>
    <s v=" 64.7407 "/>
    <x v="0"/>
    <n v="151236"/>
    <m/>
    <m/>
    <m/>
  </r>
  <r>
    <x v="2"/>
    <x v="1"/>
    <s v="F:\images\20210312\plaque 1/@02 EE2 33.8/B2_03.tif "/>
    <s v=" 2271.1389 "/>
    <s v=" 66.6286 "/>
    <x v="0"/>
    <n v="151323"/>
    <m/>
    <m/>
    <m/>
  </r>
  <r>
    <x v="2"/>
    <x v="2"/>
    <s v="F:\images\20210312\plaque 1/@02 EE2 33.8/C2_01.tif "/>
    <s v=" 908.4556 "/>
    <s v=" 64.0714 "/>
    <x v="0"/>
    <n v="58206"/>
    <m/>
    <m/>
    <m/>
  </r>
  <r>
    <x v="2"/>
    <x v="2"/>
    <s v="F:\images\20210312\plaque 1/@02 EE2 33.8/C2_02.tif "/>
    <s v=" 1103.1246 "/>
    <s v=" 63.9608 "/>
    <x v="0"/>
    <n v="70557"/>
    <m/>
    <m/>
    <m/>
  </r>
  <r>
    <x v="2"/>
    <x v="2"/>
    <s v="F:\images\20210312\plaque 1/@02 EE2 33.8/C2_03.tif "/>
    <s v=" 757.0463 "/>
    <s v=" 62.5429 "/>
    <x v="0"/>
    <n v="47348"/>
    <m/>
    <m/>
    <m/>
  </r>
  <r>
    <x v="2"/>
    <x v="3"/>
    <s v="F:\images\20210312\plaque 1/@02 EE2 33.8/D2_01.tif "/>
    <s v=" 5191.1747 "/>
    <s v=" 67.5042 "/>
    <x v="0"/>
    <n v="350426"/>
    <m/>
    <m/>
    <m/>
  </r>
  <r>
    <x v="2"/>
    <x v="3"/>
    <s v="F:\images\20210312\plaque 1/@02 EE2 33.8/D2_02.tif "/>
    <s v=" 259.5587 "/>
    <s v=" 63.6667 "/>
    <x v="0"/>
    <n v="16525"/>
    <m/>
    <m/>
    <m/>
  </r>
  <r>
    <x v="2"/>
    <x v="3"/>
    <s v="F:\images\20210312\plaque 1/@02 EE2 33.8/D2_03.tif "/>
    <s v=" 281.1886 "/>
    <s v=" 65.3077 "/>
    <x v="0"/>
    <n v="18364"/>
    <m/>
    <m/>
    <m/>
  </r>
  <r>
    <x v="2"/>
    <x v="4"/>
    <s v="F:\images\20210312\plaque 1/@02 EE2 33.8/E2_01.tif "/>
    <s v=" 2141.3596 "/>
    <s v=" 64.4242 "/>
    <x v="0"/>
    <n v="137955"/>
    <m/>
    <m/>
    <m/>
  </r>
  <r>
    <x v="2"/>
    <x v="4"/>
    <s v="F:\images\20210312\plaque 1/@02 EE2 33.8/E2_02.tif "/>
    <s v=" 627.2669 "/>
    <s v=" 62.7241 "/>
    <x v="0"/>
    <n v="39345"/>
    <m/>
    <m/>
    <m/>
  </r>
  <r>
    <x v="2"/>
    <x v="4"/>
    <s v="F:\images\20210312\plaque 1/@02 EE2 33.8/E2_03.tif "/>
    <s v=" 2292.7688 "/>
    <s v=" 64.4245 "/>
    <x v="0"/>
    <n v="147711"/>
    <m/>
    <m/>
    <m/>
  </r>
  <r>
    <x v="2"/>
    <x v="5"/>
    <s v="F:\images\20210312\plaque 1/@02 EE2 33.8/F2_01.tif "/>
    <s v=" 3525.6728 "/>
    <s v=" 67.4417 "/>
    <x v="0"/>
    <n v="237777"/>
    <m/>
    <m/>
    <m/>
  </r>
  <r>
    <x v="2"/>
    <x v="5"/>
    <s v="F:\images\20210312\plaque 1/@02 EE2 33.8/F2_02.tif "/>
    <s v=" 1470.8328 "/>
    <s v=" 66.1618 "/>
    <x v="0"/>
    <n v="97313"/>
    <m/>
    <m/>
    <m/>
  </r>
  <r>
    <x v="2"/>
    <x v="5"/>
    <s v="F:\images\20210312\plaque 1/@02 EE2 33.8/F2_03.tif "/>
    <s v=" 4131.3099 "/>
    <s v=" 67.3141 "/>
    <x v="0"/>
    <n v="278096"/>
    <m/>
    <m/>
    <m/>
  </r>
  <r>
    <x v="2"/>
    <x v="6"/>
    <s v="F:\images\20210312\plaque 1/@02 EE2 33.8/G2_01.tif "/>
    <s v=" 1362.6834 "/>
    <s v=" 64.1905 "/>
    <x v="0"/>
    <n v="87471"/>
    <m/>
    <m/>
    <m/>
  </r>
  <r>
    <x v="2"/>
    <x v="6"/>
    <s v="F:\images\20210312\plaque 1/@02 EE2 33.8/G2_02.tif "/>
    <s v=" 367.7082 "/>
    <s v=" 62.4118 "/>
    <x v="0"/>
    <n v="22949"/>
    <m/>
    <m/>
    <m/>
  </r>
  <r>
    <x v="2"/>
    <x v="6"/>
    <s v="F:\images\20210312\plaque 1/@02 EE2 33.8/G2_03.tif "/>
    <s v=" 237.9288 "/>
    <s v=" 63.4545 "/>
    <x v="0"/>
    <n v="15098"/>
    <m/>
    <m/>
    <m/>
  </r>
  <r>
    <x v="2"/>
    <x v="7"/>
    <s v="F:\images\20210312\plaque 1/@02 EE2 33.8/H2_01.tif "/>
    <s v=" 8370.7692 "/>
    <s v=" 77.3256 "/>
    <x v="0"/>
    <n v="647275"/>
    <m/>
    <m/>
    <m/>
  </r>
  <r>
    <x v="2"/>
    <x v="7"/>
    <s v="F:\images\20210312\plaque 1/@02 EE2 33.8/H2_02.tif "/>
    <s v=" 7743.5023 "/>
    <s v=" 78.8575 "/>
    <x v="0"/>
    <n v="610634"/>
    <m/>
    <m/>
    <m/>
  </r>
  <r>
    <x v="2"/>
    <x v="7"/>
    <s v="F:\images\20210312\plaque 1/@02 EE2 33.8/H2_03.tif "/>
    <s v=" 4974.8758 "/>
    <s v=" 76.6348 "/>
    <x v="0"/>
    <n v="381249"/>
    <m/>
    <m/>
    <m/>
  </r>
  <r>
    <x v="1"/>
    <x v="8"/>
    <s v=" "/>
    <m/>
    <m/>
    <x v="1"/>
    <m/>
    <m/>
    <m/>
    <m/>
  </r>
  <r>
    <x v="1"/>
    <x v="8"/>
    <s v="group "/>
    <s v=" "/>
    <s v=" mean of mean fluo "/>
    <x v="2"/>
    <s v=" mean of total fluo "/>
    <s v=" SD total fluo "/>
    <s v=" n fluorescent "/>
    <s v=" n total"/>
  </r>
  <r>
    <x v="2"/>
    <x v="9"/>
    <s v="F:\images\20210312\plaque 1/@02 EE2 33.8/ "/>
    <s v=" "/>
    <s v=" 67.5685 "/>
    <x v="4"/>
    <s v=" 240173.875 "/>
    <s v=" 254212.79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312\plaque 1/@03 EE2 50.6/A3_01.tif "/>
    <s v=" 7008.0859 "/>
    <s v=" 71.1698 "/>
    <x v="0"/>
    <n v="498764"/>
    <m/>
    <m/>
    <m/>
  </r>
  <r>
    <x v="3"/>
    <x v="0"/>
    <s v="F:\images\20210312\plaque 1/@03 EE2 50.6/A3_02.tif "/>
    <s v=" 5580.5128 "/>
    <s v=" 68.7752 "/>
    <x v="0"/>
    <n v="383801"/>
    <m/>
    <m/>
    <m/>
  </r>
  <r>
    <x v="3"/>
    <x v="0"/>
    <s v="F:\images\20210312\plaque 1/@03 EE2 50.6/A3_03.tif "/>
    <s v=" 6013.1107 "/>
    <s v=" 69.518 "/>
    <x v="0"/>
    <n v="418019"/>
    <m/>
    <m/>
    <m/>
  </r>
  <r>
    <x v="3"/>
    <x v="1"/>
    <s v="F:\images\20210312\plaque 1/@03 EE2 50.6/B3_01- exclu.tif"/>
    <m/>
    <m/>
    <x v="1"/>
    <m/>
    <m/>
    <m/>
    <m/>
  </r>
  <r>
    <x v="3"/>
    <x v="1"/>
    <s v="F:\images\20210312\plaque 1/@03 EE2 50.6/B3_02- exclu.tif"/>
    <m/>
    <m/>
    <x v="1"/>
    <m/>
    <m/>
    <m/>
    <m/>
  </r>
  <r>
    <x v="3"/>
    <x v="1"/>
    <s v="F:\images\20210312\plaque 1/@03 EE2 50.6/B3_03.tif "/>
    <s v=" 7938.1713 "/>
    <s v=" 72.6022 "/>
    <x v="0"/>
    <n v="576329"/>
    <m/>
    <m/>
    <m/>
  </r>
  <r>
    <x v="3"/>
    <x v="2"/>
    <s v="F:\images\20210312\plaque 1/@03 EE2 50.6/C3_01.tif "/>
    <s v=" 475.8577 "/>
    <n v="64"/>
    <x v="0"/>
    <n v="30455"/>
    <m/>
    <m/>
    <m/>
  </r>
  <r>
    <x v="3"/>
    <x v="2"/>
    <s v="F:\images\20210312\plaque 1/@03 EE2 50.6/C3_02.tif "/>
    <s v=" 237.9288 "/>
    <s v=" 62.3636 "/>
    <x v="0"/>
    <n v="14838"/>
    <m/>
    <m/>
    <m/>
  </r>
  <r>
    <x v="3"/>
    <x v="2"/>
    <s v="F:\images\20210312\plaque 1/@03 EE2 50.6/C3_03.tif "/>
    <s v=" 389.3381 "/>
    <s v=" 62.6667 "/>
    <x v="0"/>
    <n v="24399"/>
    <m/>
    <m/>
    <m/>
  </r>
  <r>
    <x v="3"/>
    <x v="3"/>
    <s v="F:\images\20210312\plaque 1/@03 EE2 50.6/D3_01.tif "/>
    <s v=" 1622.2421 "/>
    <s v=" 64.1333 "/>
    <x v="0"/>
    <n v="104040"/>
    <m/>
    <m/>
    <m/>
  </r>
  <r>
    <x v="3"/>
    <x v="3"/>
    <s v="F:\images\20210312\plaque 1/@03 EE2 50.6/D3_02.tif "/>
    <s v=" 1881.8008 "/>
    <s v=" 64.5862 "/>
    <x v="0"/>
    <n v="121538"/>
    <m/>
    <m/>
    <m/>
  </r>
  <r>
    <x v="3"/>
    <x v="3"/>
    <s v="F:\images\20210312\plaque 1/@03 EE2 50.6/D3_03.tif "/>
    <s v=" 4455.7583 "/>
    <s v=" 65.6214 "/>
    <x v="0"/>
    <n v="292393"/>
    <m/>
    <m/>
    <m/>
  </r>
  <r>
    <x v="3"/>
    <x v="4"/>
    <s v="F:\images\20210312\plaque 1/@03 EE2 50.6/E3_01.tif "/>
    <s v=" 4477.3882 "/>
    <s v=" 66.0918 "/>
    <x v="0"/>
    <n v="295919"/>
    <m/>
    <m/>
    <m/>
  </r>
  <r>
    <x v="3"/>
    <x v="4"/>
    <s v="F:\images\20210312\plaque 1/@03 EE2 50.6/E3_02.tif "/>
    <s v=" 1860.1709 "/>
    <s v=" 63.8953 "/>
    <x v="0"/>
    <n v="118856"/>
    <m/>
    <m/>
    <m/>
  </r>
  <r>
    <x v="3"/>
    <x v="4"/>
    <s v="F:\images\20210312\plaque 1/@03 EE2 50.6/E3_03.tif "/>
    <s v=" 1643.872 "/>
    <s v=" 62.8421 "/>
    <x v="0"/>
    <n v="103304"/>
    <m/>
    <m/>
    <m/>
  </r>
  <r>
    <x v="3"/>
    <x v="5"/>
    <s v="F:\images\20210312\plaque 1/@03 EE2 50.6/F3_01.tif "/>
    <s v=" 4477.3882 "/>
    <s v=" 66.3913 "/>
    <x v="0"/>
    <n v="297260"/>
    <m/>
    <m/>
    <m/>
  </r>
  <r>
    <x v="3"/>
    <x v="5"/>
    <s v="F:\images\20210312\plaque 1/@03 EE2 50.6/F3_02.tif "/>
    <s v=" 1449.2029 "/>
    <s v=" 64.2537 "/>
    <x v="0"/>
    <n v="93117"/>
    <m/>
    <m/>
    <m/>
  </r>
  <r>
    <x v="3"/>
    <x v="5"/>
    <s v="F:\images\20210312\plaque 1/@03 EE2 50.6/F3_03.tif "/>
    <s v=" 281.1886 "/>
    <n v="64"/>
    <x v="0"/>
    <n v="17996"/>
    <m/>
    <m/>
    <m/>
  </r>
  <r>
    <x v="3"/>
    <x v="6"/>
    <s v="F:\images\20210312\plaque 1/@03 EE2 50.6/G3_01.tif "/>
    <s v=" 1189.6442 "/>
    <s v=" 66.2364 "/>
    <x v="0"/>
    <n v="78798"/>
    <m/>
    <m/>
    <m/>
  </r>
  <r>
    <x v="3"/>
    <x v="6"/>
    <s v="F:\images\20210312\plaque 1/@03 EE2 50.6/G3_02.tif "/>
    <s v=" 6640.3777 "/>
    <s v=" 73.4853 "/>
    <x v="0"/>
    <n v="487970"/>
    <m/>
    <m/>
    <m/>
  </r>
  <r>
    <x v="3"/>
    <x v="6"/>
    <s v="F:\images\20210312\plaque 1/@03 EE2 50.6/G3_03.tif "/>
    <s v=" 5667.0324 "/>
    <s v=" 72.9542 "/>
    <x v="0"/>
    <n v="413434"/>
    <m/>
    <m/>
    <m/>
  </r>
  <r>
    <x v="3"/>
    <x v="7"/>
    <s v="F:\images\20210312\plaque 1/@03 EE2 50.6/H3_01.tif "/>
    <s v=" 5991.4808 "/>
    <s v=" 69.9747 "/>
    <x v="0"/>
    <n v="419252"/>
    <m/>
    <m/>
    <m/>
  </r>
  <r>
    <x v="3"/>
    <x v="7"/>
    <s v="F:\images\20210312\plaque 1/@03 EE2 50.6/H3_02.tif "/>
    <s v=" 4736.9469 "/>
    <s v=" 69.0365 "/>
    <x v="0"/>
    <n v="327022"/>
    <m/>
    <m/>
    <m/>
  </r>
  <r>
    <x v="3"/>
    <x v="7"/>
    <s v="F:\images\20210312\plaque 1/@03 EE2 50.6/H3_03.tif "/>
    <s v=" 800.3061 "/>
    <s v=" 64.3514 "/>
    <x v="0"/>
    <n v="51501"/>
    <m/>
    <m/>
    <m/>
  </r>
  <r>
    <x v="1"/>
    <x v="8"/>
    <s v=" "/>
    <m/>
    <m/>
    <x v="1"/>
    <m/>
    <m/>
    <m/>
    <m/>
  </r>
  <r>
    <x v="1"/>
    <x v="8"/>
    <s v="group "/>
    <s v=" "/>
    <s v=" mean of mean fluo "/>
    <x v="2"/>
    <s v=" mean of total fluo "/>
    <s v=" SD total fluo "/>
    <s v=" n fluorescent "/>
    <s v=" n total"/>
  </r>
  <r>
    <x v="3"/>
    <x v="9"/>
    <s v="F:\images\20210312\plaque 1/@03 EE2 50.6/ "/>
    <s v=" "/>
    <s v=" 66.5372 "/>
    <x v="5"/>
    <s v=" 228659.542 "/>
    <s v=" 181595.8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312\plaque 1/@04 EE2 76/A4_01.tif "/>
    <s v=" 4801.8366 "/>
    <s v=" 63.9099 "/>
    <x v="0"/>
    <n v="306885"/>
    <m/>
    <m/>
    <m/>
  </r>
  <r>
    <x v="4"/>
    <x v="0"/>
    <s v="F:\images\20210312\plaque 1/@04 EE2 76/A4_02.tif "/>
    <s v=" 4369.2387 "/>
    <s v=" 63.9604 "/>
    <x v="0"/>
    <n v="279458"/>
    <m/>
    <m/>
    <m/>
  </r>
  <r>
    <x v="4"/>
    <x v="0"/>
    <s v="F:\images\20210312\plaque 1/@04 EE2 76/A4_03.tif "/>
    <s v=" 6034.7406 "/>
    <s v=" 64.147 "/>
    <x v="0"/>
    <n v="387110"/>
    <m/>
    <m/>
    <m/>
  </r>
  <r>
    <x v="4"/>
    <x v="1"/>
    <s v="F:\images\20210312\plaque 1/@04 EE2 76/B4_01.tif "/>
    <s v=" 5775.1819 "/>
    <s v=" 64.2135 "/>
    <x v="0"/>
    <n v="370845"/>
    <m/>
    <m/>
    <m/>
  </r>
  <r>
    <x v="4"/>
    <x v="1"/>
    <s v="F:\images\20210312\plaque 1/@04 EE2 76/B4_02.tif "/>
    <s v=" 5796.8118 "/>
    <s v=" 67.9328 "/>
    <x v="0"/>
    <n v="393794"/>
    <m/>
    <m/>
    <m/>
  </r>
  <r>
    <x v="4"/>
    <x v="1"/>
    <s v="F:\images\20210312\plaque 1/@04 EE2 76/B4_03.tif "/>
    <s v=" 2141.3596 "/>
    <s v=" 62.9899 "/>
    <x v="0"/>
    <n v="134884"/>
    <m/>
    <m/>
    <m/>
  </r>
  <r>
    <x v="4"/>
    <x v="2"/>
    <s v="F:\images\20210312\plaque 1/@04 EE2 76/C4_01.tif "/>
    <s v=" 7116.2353 "/>
    <s v=" 69.1125 "/>
    <x v="0"/>
    <n v="491821"/>
    <m/>
    <m/>
    <m/>
  </r>
  <r>
    <x v="4"/>
    <x v="2"/>
    <s v="F:\images\20210312\plaque 1/@04 EE2 76/C4_02.tif "/>
    <s v=" 4780.2067 "/>
    <s v=" 65.8009 "/>
    <x v="0"/>
    <n v="314542"/>
    <m/>
    <m/>
    <m/>
  </r>
  <r>
    <x v="4"/>
    <x v="2"/>
    <s v="F:\images\20210312\plaque 1/@04 EE2 76/C4_03.tif "/>
    <s v=" 6142.8901 "/>
    <s v=" 66.7958 "/>
    <x v="0"/>
    <n v="410319"/>
    <m/>
    <m/>
    <m/>
  </r>
  <r>
    <x v="4"/>
    <x v="3"/>
    <s v="F:\images\20210312\plaque 1/@04 EE2 76/D4_01.tif "/>
    <s v=" 5407.4737 "/>
    <s v=" 69.628 "/>
    <x v="0"/>
    <n v="376512"/>
    <m/>
    <m/>
    <m/>
  </r>
  <r>
    <x v="4"/>
    <x v="3"/>
    <s v="F:\images\20210312\plaque 1/@04 EE2 76/D4_02.tif "/>
    <s v=" 7938.1713 "/>
    <s v=" 70.2916 "/>
    <x v="0"/>
    <n v="557986"/>
    <m/>
    <m/>
    <m/>
  </r>
  <r>
    <x v="4"/>
    <x v="3"/>
    <s v="F:\images\20210312\plaque 1/@04 EE2 76/D4_03.tif "/>
    <s v=" 1081.4947 "/>
    <s v=" 62.88 "/>
    <x v="0"/>
    <n v="68004"/>
    <m/>
    <m/>
    <m/>
  </r>
  <r>
    <x v="4"/>
    <x v="4"/>
    <s v="F:\images\20210312\plaque 1/@04 EE2 76/E4_01.tif "/>
    <s v=" 8543.8084 "/>
    <s v=" 63.8633 "/>
    <x v="0"/>
    <n v="545636"/>
    <m/>
    <m/>
    <m/>
  </r>
  <r>
    <x v="4"/>
    <x v="4"/>
    <s v="F:\images\20210312\plaque 1/@04 EE2 76/E4_02.tif "/>
    <s v=" 11117.7658 "/>
    <s v=" 67.4553 "/>
    <x v="0"/>
    <n v="749952"/>
    <m/>
    <m/>
    <m/>
  </r>
  <r>
    <x v="4"/>
    <x v="4"/>
    <s v="F:\images\20210312\plaque 1/@04 EE2 76/E4_03.tif "/>
    <s v=" 13042.8265 "/>
    <s v=" 70.2438 "/>
    <x v="0"/>
    <n v="916177"/>
    <m/>
    <m/>
    <m/>
  </r>
  <r>
    <x v="4"/>
    <x v="5"/>
    <s v="F:\images\20210312\plaque 1/@04 EE2 76/F4_01.tif "/>
    <s v=" 7051.3456 "/>
    <s v=" 66.6626 "/>
    <x v="0"/>
    <n v="470061"/>
    <m/>
    <m/>
    <m/>
  </r>
  <r>
    <x v="4"/>
    <x v="5"/>
    <s v="F:\images\20210312\plaque 1/@04 EE2 76/F4_02.tif "/>
    <s v=" 4434.1284 "/>
    <s v=" 63.7659 "/>
    <x v="0"/>
    <n v="282746"/>
    <m/>
    <m/>
    <m/>
  </r>
  <r>
    <x v="4"/>
    <x v="5"/>
    <s v="F:\images\20210312\plaque 1/@04 EE2 76/F4_03.tif "/>
    <s v=" 6272.6694 "/>
    <s v=" 66.0345 "/>
    <x v="0"/>
    <n v="414212"/>
    <m/>
    <m/>
    <m/>
  </r>
  <r>
    <x v="4"/>
    <x v="6"/>
    <s v="F:\images\20210312\plaque 1/@04 EE2 76/G4_01.tif "/>
    <s v=" 5688.6623 "/>
    <s v=" 65.9848 "/>
    <x v="0"/>
    <n v="375365"/>
    <m/>
    <m/>
    <m/>
  </r>
  <r>
    <x v="4"/>
    <x v="6"/>
    <s v="F:\images\20210312\plaque 1/@04 EE2 76/G4_02.tif "/>
    <s v=" 2249.509 "/>
    <s v=" 63.5769 "/>
    <x v="0"/>
    <n v="143017"/>
    <m/>
    <m/>
    <m/>
  </r>
  <r>
    <x v="4"/>
    <x v="6"/>
    <s v="F:\images\20210312\plaque 1/@04 EE2 76/G4_03.tif "/>
    <s v=" 3698.712 "/>
    <s v=" 64.6082 "/>
    <x v="0"/>
    <n v="238967"/>
    <m/>
    <m/>
    <m/>
  </r>
  <r>
    <x v="4"/>
    <x v="7"/>
    <s v="F:\images\20210312\plaque 1/@04 EE2 76/H4_01.tif "/>
    <s v=" 7527.2033 "/>
    <s v=" 69.0517 "/>
    <x v="0"/>
    <n v="519766"/>
    <m/>
    <m/>
    <m/>
  </r>
  <r>
    <x v="4"/>
    <x v="7"/>
    <s v="F:\images\20210312\plaque 1/@04 EE2 76/H4_02.tif "/>
    <s v=" 4455.7583 "/>
    <s v=" 68.7233 "/>
    <x v="0"/>
    <n v="306214"/>
    <m/>
    <m/>
    <m/>
  </r>
  <r>
    <x v="4"/>
    <x v="7"/>
    <s v="F:\images\20210312\plaque 1/@04 EE2 76/H4_03.tif "/>
    <s v=" 6532.2282 "/>
    <s v=" 69.7517 "/>
    <x v="0"/>
    <n v="455634"/>
    <m/>
    <m/>
    <m/>
  </r>
  <r>
    <x v="1"/>
    <x v="8"/>
    <s v=" "/>
    <m/>
    <m/>
    <x v="1"/>
    <m/>
    <m/>
    <m/>
    <m/>
  </r>
  <r>
    <x v="1"/>
    <x v="8"/>
    <s v="group "/>
    <s v=" "/>
    <s v=" mean of mean fluo "/>
    <x v="2"/>
    <s v=" mean of total fluo "/>
    <s v=" SD total fluo "/>
    <s v=" n fluorescent "/>
    <s v=" n total"/>
  </r>
  <r>
    <x v="4"/>
    <x v="9"/>
    <s v="F:\images\20210312\plaque 1/@04 EE2 76/ "/>
    <s v=" "/>
    <s v=" 66.3077 "/>
    <x v="6"/>
    <s v=" 396246.125 "/>
    <s v=" 185749.3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312\plaque 1/@05 EE2 114/A5_01.tif "/>
    <s v=" 1687.1318 "/>
    <s v=" 66.2179 "/>
    <x v="0"/>
    <n v="111718"/>
    <m/>
    <m/>
    <m/>
  </r>
  <r>
    <x v="5"/>
    <x v="0"/>
    <s v="F:\images\20210312\plaque 1/@05 EE2 114/A5_02.tif "/>
    <s v=" 4412.4985 "/>
    <s v=" 64.9167 "/>
    <x v="0"/>
    <n v="286445"/>
    <m/>
    <m/>
    <m/>
  </r>
  <r>
    <x v="5"/>
    <x v="0"/>
    <s v="F:\images\20210312\plaque 1/@05 EE2 114/A5_03.tif "/>
    <s v=" 2357.6585 "/>
    <s v=" 64.0183 "/>
    <x v="0"/>
    <n v="150933"/>
    <m/>
    <m/>
    <m/>
  </r>
  <r>
    <x v="5"/>
    <x v="1"/>
    <s v="F:\images\20210312\plaque 1/@05 EE2 114/B5_01.tif "/>
    <s v=" 14081.0614 "/>
    <s v=" 65.1582 "/>
    <x v="0"/>
    <n v="917497"/>
    <m/>
    <m/>
    <m/>
  </r>
  <r>
    <x v="5"/>
    <x v="1"/>
    <s v="F:\images\20210312\plaque 1/@05 EE2 114/B5_02.tif "/>
    <s v=" 13475.4244 "/>
    <s v=" 64.923 "/>
    <x v="0"/>
    <n v="874864"/>
    <m/>
    <m/>
    <m/>
  </r>
  <r>
    <x v="5"/>
    <x v="1"/>
    <s v="F:\images\20210312\plaque 1/@05 EE2 114/B5_03.tif "/>
    <s v=" 7332.5343 "/>
    <s v=" 64.705 "/>
    <x v="0"/>
    <n v="474452"/>
    <m/>
    <m/>
    <m/>
  </r>
  <r>
    <x v="5"/>
    <x v="2"/>
    <s v="F:\images\20210312\plaque 1/@05 EE2 114/C5_01- exclu.tif"/>
    <m/>
    <m/>
    <x v="1"/>
    <m/>
    <m/>
    <m/>
    <m/>
  </r>
  <r>
    <x v="5"/>
    <x v="2"/>
    <s v="F:\images\20210312\plaque 1/@05 EE2 114/C5_02.tif "/>
    <s v=" 53404.2098 "/>
    <s v=" 84.0899 "/>
    <x v="0"/>
    <n v="4490755"/>
    <m/>
    <m/>
    <m/>
  </r>
  <r>
    <x v="5"/>
    <x v="2"/>
    <s v="F:\images\20210312\plaque 1/@05 EE2 114/C5_03.tif "/>
    <s v=" 43216.5295 "/>
    <s v=" 89.5626 "/>
    <x v="0"/>
    <n v="3870583"/>
    <m/>
    <m/>
    <m/>
  </r>
  <r>
    <x v="5"/>
    <x v="3"/>
    <s v="F:\images\20210312\plaque 1/@05 EE2 114/D5_01.tif "/>
    <s v=" 36727.5611 "/>
    <s v=" 72.4823 "/>
    <x v="0"/>
    <n v="2662099"/>
    <m/>
    <m/>
    <m/>
  </r>
  <r>
    <x v="5"/>
    <x v="3"/>
    <s v="F:\images\20210312\plaque 1/@05 EE2 114/D5_02.tif "/>
    <s v=" 37938.8352 "/>
    <s v=" 75.1625 "/>
    <x v="0"/>
    <n v="2851577"/>
    <m/>
    <m/>
    <m/>
  </r>
  <r>
    <x v="5"/>
    <x v="3"/>
    <s v="F:\images\20210312\plaque 1/@05 EE2 114/D5_03.tif "/>
    <s v=" 40166.7143 "/>
    <s v=" 73.9731 "/>
    <x v="0"/>
    <n v="2971255"/>
    <m/>
    <m/>
    <m/>
  </r>
  <r>
    <x v="5"/>
    <x v="4"/>
    <s v="F:\images\20210312\plaque 1/@05 EE2 114/E5_01.tif "/>
    <s v=" 26258.6921 "/>
    <s v=" 68.9423 "/>
    <x v="0"/>
    <n v="1810336"/>
    <m/>
    <m/>
    <m/>
  </r>
  <r>
    <x v="5"/>
    <x v="4"/>
    <s v="F:\images\20210312\plaque 1/@05 EE2 114/E5_02.tif "/>
    <s v=" 27772.7847 "/>
    <s v=" 68.4712 "/>
    <x v="0"/>
    <n v="1901635"/>
    <m/>
    <m/>
    <m/>
  </r>
  <r>
    <x v="5"/>
    <x v="4"/>
    <s v="F:\images\20210312\plaque 1/@05 EE2 114/E5_03.tif "/>
    <s v=" 27859.3043 "/>
    <s v=" 69.4488 "/>
    <x v="0"/>
    <n v="1934794"/>
    <m/>
    <m/>
    <m/>
  </r>
  <r>
    <x v="5"/>
    <x v="5"/>
    <s v="F:\images\20210312\plaque 1/@05 EE2 114/F5_01.tif "/>
    <s v=" 18688.229 "/>
    <s v=" 68.0694 "/>
    <x v="0"/>
    <n v="1272097"/>
    <m/>
    <m/>
    <m/>
  </r>
  <r>
    <x v="5"/>
    <x v="5"/>
    <s v="F:\images\20210312\plaque 1/@05 EE2 114/F5_02.tif "/>
    <s v=" 19921.133 "/>
    <s v=" 68.0163 "/>
    <x v="0"/>
    <n v="1354961"/>
    <m/>
    <m/>
    <m/>
  </r>
  <r>
    <x v="5"/>
    <x v="5"/>
    <s v="F:\images\20210312\plaque 1/@05 EE2 114/F5_03.tif "/>
    <s v=" 22906.0584 "/>
    <s v=" 68.4004 "/>
    <x v="0"/>
    <n v="1566783"/>
    <m/>
    <m/>
    <m/>
  </r>
  <r>
    <x v="5"/>
    <x v="6"/>
    <s v="F:\images\20210312\plaque 1/@05 EE2 114/G5_01.tif "/>
    <s v=" 22776.279 "/>
    <s v=" 67.094 "/>
    <x v="0"/>
    <n v="1528152"/>
    <m/>
    <m/>
    <m/>
  </r>
  <r>
    <x v="5"/>
    <x v="6"/>
    <s v="F:\images\20210312\plaque 1/@05 EE2 114/G5_02.tif "/>
    <s v=" 25306.9767 "/>
    <s v=" 67.3205 "/>
    <x v="0"/>
    <n v="1703679"/>
    <m/>
    <m/>
    <m/>
  </r>
  <r>
    <x v="5"/>
    <x v="6"/>
    <s v="F:\images\20210312\plaque 1/@05 EE2 114/G5_03- exclu.tif"/>
    <m/>
    <m/>
    <x v="1"/>
    <m/>
    <m/>
    <m/>
    <m/>
  </r>
  <r>
    <x v="5"/>
    <x v="7"/>
    <s v="F:\images\20210312\plaque 1/@05 EE2 114/H5_01.tif "/>
    <s v=" 7072.9755 "/>
    <s v=" 64.4373 "/>
    <x v="0"/>
    <n v="455764"/>
    <m/>
    <m/>
    <m/>
  </r>
  <r>
    <x v="5"/>
    <x v="7"/>
    <s v="F:\images\20210312\plaque 1/@05 EE2 114/H5_02.tif "/>
    <s v=" 6618.7478 "/>
    <s v=" 64.866 "/>
    <x v="0"/>
    <n v="429332"/>
    <m/>
    <m/>
    <m/>
  </r>
  <r>
    <x v="5"/>
    <x v="7"/>
    <s v="F:\images\20210312\plaque 1/@05 EE2 114/H5_03.tif "/>
    <s v=" 5320.9541 "/>
    <s v=" 64.9431 "/>
    <x v="0"/>
    <n v="345559"/>
    <m/>
    <m/>
    <m/>
  </r>
  <r>
    <x v="1"/>
    <x v="8"/>
    <s v=" "/>
    <m/>
    <m/>
    <x v="1"/>
    <m/>
    <m/>
    <m/>
    <m/>
  </r>
  <r>
    <x v="1"/>
    <x v="8"/>
    <s v="group "/>
    <s v=" "/>
    <s v=" mean of mean fluo "/>
    <x v="2"/>
    <s v=" mean of total fluo "/>
    <s v=" SD total fluo "/>
    <s v=" n fluorescent "/>
    <s v=" n total"/>
  </r>
  <r>
    <x v="5"/>
    <x v="9"/>
    <s v="F:\images\20210312\plaque 1/@05 EE2 114/ "/>
    <s v=" "/>
    <s v=" 69.3163 "/>
    <x v="7"/>
    <s v=" 1577592.5 "/>
    <s v=" 1201046.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312\plaque 1/@06 EE2 170.9/A6_01.tif "/>
    <s v=" 30022.2937 "/>
    <s v=" 80.0612 "/>
    <x v="0"/>
    <n v="2403622"/>
    <m/>
    <m/>
    <m/>
  </r>
  <r>
    <x v="6"/>
    <x v="0"/>
    <s v="F:\images\20210312\plaque 1/@06 EE2 170.9/A6_02.tif "/>
    <s v=" 25544.9056 "/>
    <s v=" 78.1973 "/>
    <x v="0"/>
    <n v="1997542"/>
    <m/>
    <m/>
    <m/>
  </r>
  <r>
    <x v="6"/>
    <x v="0"/>
    <s v="F:\images\20210312\plaque 1/@06 EE2 170.9/A6_03.tif "/>
    <s v=" 24722.9696 "/>
    <s v=" 76.8058 "/>
    <x v="0"/>
    <n v="1898867"/>
    <m/>
    <m/>
    <m/>
  </r>
  <r>
    <x v="6"/>
    <x v="1"/>
    <s v="F:\images\20210312\plaque 1/@06 EE2 170.9/B6_01.tif "/>
    <s v=" 45898.6364 "/>
    <s v=" 71.6107 "/>
    <x v="0"/>
    <n v="3286836"/>
    <m/>
    <m/>
    <m/>
  </r>
  <r>
    <x v="6"/>
    <x v="1"/>
    <s v="F:\images\20210312\plaque 1/@06 EE2 170.9/B6_02.tif "/>
    <s v=" 38717.5114 "/>
    <s v=" 67.9844 "/>
    <x v="0"/>
    <n v="2632185"/>
    <m/>
    <m/>
    <m/>
  </r>
  <r>
    <x v="6"/>
    <x v="1"/>
    <s v="F:\images\20210312\plaque 1/@06 EE2 170.9/B6_03.tif "/>
    <s v=" 41334.7286 "/>
    <s v=" 72.314 "/>
    <x v="0"/>
    <n v="2989078"/>
    <m/>
    <m/>
    <m/>
  </r>
  <r>
    <x v="6"/>
    <x v="2"/>
    <s v="F:\images\20210312\plaque 1/@06 EE2 170.9/C6_01.tif "/>
    <s v=" 20245.5814 "/>
    <s v=" 71.7447 "/>
    <x v="0"/>
    <n v="1452512"/>
    <m/>
    <m/>
    <m/>
  </r>
  <r>
    <x v="6"/>
    <x v="2"/>
    <s v="F:\images\20210312\plaque 1/@06 EE2 170.9/C6_02.tif "/>
    <s v=" 18558.4496 "/>
    <s v=" 73.7075 "/>
    <x v="0"/>
    <n v="1367896"/>
    <m/>
    <m/>
    <m/>
  </r>
  <r>
    <x v="6"/>
    <x v="2"/>
    <s v="F:\images\20210312\plaque 1/@06 EE2 170.9/C6_03.tif "/>
    <s v=" 19618.3144 "/>
    <s v=" 74.473 "/>
    <x v="0"/>
    <n v="1461034"/>
    <m/>
    <m/>
    <m/>
  </r>
  <r>
    <x v="6"/>
    <x v="3"/>
    <s v="F:\images\20210312\plaque 1/@06 EE2 170.9/D6_01.tif "/>
    <s v=" 14751.5881 "/>
    <s v=" 70.5293 "/>
    <x v="0"/>
    <n v="1040420"/>
    <m/>
    <m/>
    <m/>
  </r>
  <r>
    <x v="6"/>
    <x v="3"/>
    <s v="F:\images\20210312\plaque 1/@06 EE2 170.9/D6_02.tif "/>
    <s v=" 15962.8622 "/>
    <s v=" 68.6992 "/>
    <x v="0"/>
    <n v="1096636"/>
    <m/>
    <m/>
    <m/>
  </r>
  <r>
    <x v="6"/>
    <x v="3"/>
    <s v="F:\images\20210312\plaque 1/@06 EE2 170.9/D6_03.tif "/>
    <s v=" 7332.5343 "/>
    <s v=" 65.9351 "/>
    <x v="0"/>
    <n v="483471"/>
    <m/>
    <m/>
    <m/>
  </r>
  <r>
    <x v="6"/>
    <x v="4"/>
    <s v="F:\images\20210312\plaque 1/@06 EE2 170.9/E6_01.tif "/>
    <s v=" 33158.6285 "/>
    <s v=" 75.0568 "/>
    <x v="0"/>
    <n v="2488779"/>
    <m/>
    <m/>
    <m/>
  </r>
  <r>
    <x v="6"/>
    <x v="4"/>
    <s v="F:\images\20210312\plaque 1/@06 EE2 170.9/E6_02.tif "/>
    <s v=" 29611.3257 "/>
    <s v=" 76.179 "/>
    <x v="0"/>
    <n v="2255760"/>
    <m/>
    <m/>
    <m/>
  </r>
  <r>
    <x v="6"/>
    <x v="4"/>
    <s v="F:\images\20210312\plaque 1/@06 EE2 170.9/E6_03.tif "/>
    <s v=" 28486.5712 "/>
    <s v=" 79.6553 "/>
    <x v="0"/>
    <n v="2269106"/>
    <m/>
    <m/>
    <m/>
  </r>
  <r>
    <x v="6"/>
    <x v="5"/>
    <s v="F:\images\20210312\plaque 1/@06 EE2 170.9/F6_01.tif "/>
    <s v=" 46763.8322 "/>
    <s v=" 76.1674 "/>
    <x v="0"/>
    <n v="3561881"/>
    <m/>
    <m/>
    <m/>
  </r>
  <r>
    <x v="6"/>
    <x v="5"/>
    <s v="F:\images\20210312\plaque 1/@06 EE2 170.9/F6_02.tif "/>
    <s v=" 57254.3311 "/>
    <s v=" 76.7386 "/>
    <x v="0"/>
    <n v="4393616"/>
    <m/>
    <m/>
    <m/>
  </r>
  <r>
    <x v="6"/>
    <x v="5"/>
    <s v="F:\images\20210312\plaque 1/@06 EE2 170.9/F6_03.tif "/>
    <s v=" 53339.3202 "/>
    <s v=" 76.9205 "/>
    <x v="0"/>
    <n v="4102888"/>
    <m/>
    <m/>
    <m/>
  </r>
  <r>
    <x v="6"/>
    <x v="6"/>
    <s v="F:\images\20210312\plaque 1/@06 EE2 170.9/G6_01.tif "/>
    <s v=" 38068.6145 "/>
    <s v=" 74.0028 "/>
    <x v="0"/>
    <n v="2817186"/>
    <m/>
    <m/>
    <m/>
  </r>
  <r>
    <x v="6"/>
    <x v="6"/>
    <s v="F:\images\20210312\plaque 1/@06 EE2 170.9/G6_02.tif "/>
    <s v=" 37700.9063 "/>
    <s v=" 75.8153 "/>
    <x v="0"/>
    <n v="2858304"/>
    <m/>
    <m/>
    <m/>
  </r>
  <r>
    <x v="6"/>
    <x v="6"/>
    <s v="F:\images\20210312\plaque 1/@06 EE2 170.9/G6_03.tif "/>
    <s v=" 40188.3442 "/>
    <s v=" 74.7088 "/>
    <x v="0"/>
    <n v="3002424"/>
    <m/>
    <m/>
    <m/>
  </r>
  <r>
    <x v="6"/>
    <x v="7"/>
    <s v="F:\images\20210312\plaque 1/@06 EE2 170.9/H6_01.tif "/>
    <s v=" 61061.1925 "/>
    <s v=" 80.327 "/>
    <x v="0"/>
    <n v="4904860"/>
    <m/>
    <m/>
    <m/>
  </r>
  <r>
    <x v="6"/>
    <x v="7"/>
    <s v="F:\images\20210312\plaque 1/@06 EE2 170.9/H6_02.tif "/>
    <s v=" 55242.7509 "/>
    <s v=" 78.6629 "/>
    <x v="0"/>
    <n v="4345554"/>
    <m/>
    <m/>
    <m/>
  </r>
  <r>
    <x v="6"/>
    <x v="7"/>
    <s v="F:\images\20210312\plaque 1/@06 EE2 170.9/H6_03.tif "/>
    <s v=" 56821.7332 "/>
    <s v=" 79.4191 "/>
    <x v="0"/>
    <n v="4512731"/>
    <m/>
    <m/>
    <m/>
  </r>
  <r>
    <x v="1"/>
    <x v="8"/>
    <s v=" "/>
    <m/>
    <m/>
    <x v="1"/>
    <m/>
    <m/>
    <m/>
    <m/>
  </r>
  <r>
    <x v="1"/>
    <x v="8"/>
    <s v="group "/>
    <s v=" "/>
    <s v=" mean of mean fluo "/>
    <x v="2"/>
    <s v=" mean of total fluo "/>
    <s v=" SD total fluo "/>
    <s v=" n fluorescent "/>
    <s v=" n total"/>
  </r>
  <r>
    <x v="6"/>
    <x v="9"/>
    <s v="F:\images\20210312\plaque 1/@06 EE2 170.9/ "/>
    <s v=" "/>
    <s v=" 74.8215 "/>
    <x v="8"/>
    <s v=" 2650966.17 "/>
    <s v=" 1210355.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312\plaque 1/@07 EE2 488/A7_01.tif "/>
    <s v=" 40339.7535 "/>
    <s v=" 83.4005 "/>
    <x v="0"/>
    <n v="3364357"/>
    <m/>
    <m/>
    <m/>
  </r>
  <r>
    <x v="7"/>
    <x v="0"/>
    <s v="F:\images\20210312\plaque 1/@07 EE2 488/A7_02.tif "/>
    <s v=" 44384.5438 "/>
    <s v=" 82.1569 "/>
    <x v="0"/>
    <n v="3646497"/>
    <m/>
    <m/>
    <m/>
  </r>
  <r>
    <x v="7"/>
    <x v="0"/>
    <s v="F:\images\20210312\plaque 1/@07 EE2 488/A7_03.tif "/>
    <s v=" 42762.3017 "/>
    <s v=" 83.3414 "/>
    <x v="0"/>
    <n v="3563871"/>
    <m/>
    <m/>
    <m/>
  </r>
  <r>
    <x v="7"/>
    <x v="1"/>
    <s v="F:\images\20210312\plaque 1/@07 EE2 488/B7_01.tif "/>
    <s v=" 59958.0679 "/>
    <s v=" 88.0404 "/>
    <x v="0"/>
    <n v="5278733"/>
    <m/>
    <m/>
    <m/>
  </r>
  <r>
    <x v="7"/>
    <x v="1"/>
    <s v="F:\images\20210312\plaque 1/@07 EE2 488/B7_02.tif "/>
    <s v=" 61082.8224 "/>
    <s v=" 84.1601 "/>
    <x v="0"/>
    <n v="5140734"/>
    <m/>
    <m/>
    <m/>
  </r>
  <r>
    <x v="7"/>
    <x v="1"/>
    <s v="F:\images\20210312\plaque 1/@07 EE2 488/B7_03.tif "/>
    <s v=" 60953.0431 "/>
    <s v=" 84.9468 "/>
    <x v="0"/>
    <n v="5177764"/>
    <m/>
    <m/>
    <m/>
  </r>
  <r>
    <x v="7"/>
    <x v="2"/>
    <s v="F:\images\20210312\plaque 1/@07 EE2 488/C7_01.tif "/>
    <s v=" 51089.8111 "/>
    <s v=" 96.7519 "/>
    <x v="0"/>
    <n v="4943037"/>
    <m/>
    <m/>
    <m/>
  </r>
  <r>
    <x v="7"/>
    <x v="2"/>
    <s v="F:\images\20210312\plaque 1/@07 EE2 488/C7_02.tif "/>
    <s v=" 49272.9 "/>
    <s v=" 99.2608 "/>
    <x v="0"/>
    <n v="4890865"/>
    <m/>
    <m/>
    <m/>
  </r>
  <r>
    <x v="7"/>
    <x v="2"/>
    <s v="F:\images\20210312\plaque 1/@07 EE2 488/C7_03.tif "/>
    <s v=" 47823.697 "/>
    <s v=" 98.6413 "/>
    <x v="0"/>
    <n v="4717393"/>
    <m/>
    <m/>
    <m/>
  </r>
  <r>
    <x v="7"/>
    <x v="3"/>
    <s v="F:\images\20210312\plaque 1/@07 EE2 488/D7_01.tif "/>
    <s v=" 65473.691 "/>
    <s v=" 99.0714 "/>
    <x v="0"/>
    <n v="6486567"/>
    <m/>
    <m/>
    <m/>
  </r>
  <r>
    <x v="7"/>
    <x v="3"/>
    <s v="F:\images\20210312\plaque 1/@07 EE2 488/D7_02.tif "/>
    <s v=" 68847.9546 "/>
    <s v=" 98.2083 "/>
    <x v="0"/>
    <n v="6761440"/>
    <m/>
    <m/>
    <m/>
  </r>
  <r>
    <x v="7"/>
    <x v="3"/>
    <s v="F:\images\20210312\plaque 1/@07 EE2 488/D7_03- exclu.tif"/>
    <m/>
    <m/>
    <x v="1"/>
    <m/>
    <m/>
    <m/>
    <m/>
  </r>
  <r>
    <x v="7"/>
    <x v="4"/>
    <s v="F:\images\20210312\plaque 1/@07 EE2 488/E7_01.tif "/>
    <s v=" 59071.2422 "/>
    <s v=" 81.305 "/>
    <x v="0"/>
    <n v="4802788"/>
    <m/>
    <m/>
    <m/>
  </r>
  <r>
    <x v="7"/>
    <x v="4"/>
    <s v="F:\images\20210312\plaque 1/@07 EE2 488/E7_02.tif "/>
    <s v=" 56951.5126 "/>
    <s v=" 80.3035 "/>
    <x v="0"/>
    <n v="4573403"/>
    <m/>
    <m/>
    <m/>
  </r>
  <r>
    <x v="7"/>
    <x v="4"/>
    <s v="F:\images\20210312\plaque 1/@07 EE2 488/E7_03.tif "/>
    <s v=" 58854.9433 "/>
    <s v=" 83.3381 "/>
    <x v="0"/>
    <n v="4904860"/>
    <m/>
    <m/>
    <m/>
  </r>
  <r>
    <x v="7"/>
    <x v="5"/>
    <s v="F:\images\20210312\plaque 1/@07 EE2 488/F7_01.tif "/>
    <s v=" 59871.5483 "/>
    <s v=" 93.5614 "/>
    <x v="0"/>
    <n v="5601667"/>
    <m/>
    <m/>
    <m/>
  </r>
  <r>
    <x v="7"/>
    <x v="5"/>
    <s v="F:\images\20210312\plaque 1/@07 EE2 488/F7_02.tif "/>
    <s v=" 52171.3058 "/>
    <s v=" 98.2264 "/>
    <x v="0"/>
    <n v="5124598"/>
    <m/>
    <m/>
    <m/>
  </r>
  <r>
    <x v="7"/>
    <x v="5"/>
    <s v="F:\images\20210312\plaque 1/@07 EE2 488/F7_03.tif "/>
    <s v=" 57557.1496 "/>
    <s v=" 96.519 "/>
    <x v="0"/>
    <n v="5555357"/>
    <m/>
    <m/>
    <m/>
  </r>
  <r>
    <x v="7"/>
    <x v="6"/>
    <s v="F:\images\20210312\plaque 1/@07 EE2 488/G7_01.tif "/>
    <s v=" 61883.1285 "/>
    <s v=" 89.9944 "/>
    <x v="0"/>
    <n v="5569135"/>
    <m/>
    <m/>
    <m/>
  </r>
  <r>
    <x v="7"/>
    <x v="6"/>
    <s v="F:\images\20210312\plaque 1/@07 EE2 488/G7_02.tif "/>
    <s v=" 56843.3631 "/>
    <s v=" 91.7972 "/>
    <x v="0"/>
    <n v="5218061"/>
    <m/>
    <m/>
    <m/>
  </r>
  <r>
    <x v="7"/>
    <x v="6"/>
    <s v="F:\images\20210312\plaque 1/@07 EE2 488/G7_03.tif "/>
    <s v=" 63873.0788 "/>
    <s v=" 91.2767 "/>
    <x v="0"/>
    <n v="5830122"/>
    <m/>
    <m/>
    <m/>
  </r>
  <r>
    <x v="7"/>
    <x v="7"/>
    <s v="F:\images\20210312\plaque 1/@07 EE2 488/H7_01.tif "/>
    <s v=" 60953.0431 "/>
    <s v=" 99.4471 "/>
    <x v="0"/>
    <n v="6061605"/>
    <m/>
    <m/>
    <m/>
  </r>
  <r>
    <x v="7"/>
    <x v="7"/>
    <s v="F:\images\20210312\plaque 1/@07 EE2 488/H7_02.tif "/>
    <s v=" 57319.2208 "/>
    <s v=" 100.3845 "/>
    <x v="0"/>
    <n v="5753963"/>
    <m/>
    <m/>
    <m/>
  </r>
  <r>
    <x v="7"/>
    <x v="7"/>
    <s v="F:\images\20210312\plaque 1/@07 EE2 488/H7_03.tif "/>
    <s v=" 49445.9391 "/>
    <s v=" 109.255 "/>
    <x v="0"/>
    <n v="5402218"/>
    <m/>
    <m/>
    <m/>
  </r>
  <r>
    <x v="1"/>
    <x v="8"/>
    <s v=" "/>
    <m/>
    <m/>
    <x v="1"/>
    <m/>
    <m/>
    <m/>
    <m/>
  </r>
  <r>
    <x v="1"/>
    <x v="8"/>
    <s v="group "/>
    <s v=" "/>
    <s v=" mean of mean fluo "/>
    <x v="2"/>
    <s v=" mean of total fluo "/>
    <s v=" SD total fluo "/>
    <s v=" n fluorescent "/>
    <s v=" n total"/>
  </r>
  <r>
    <x v="7"/>
    <x v="9"/>
    <s v="F:\images\20210312\plaque 1/@07 EE2 488/ "/>
    <s v=" "/>
    <s v=" 92.0402 "/>
    <x v="9"/>
    <s v=" 5139120.54 "/>
    <s v=" 820300.2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312\plaque 1/@08 Amantadine 0.001 mg_L/A8_01.tif "/>
    <s v=" 2768.6265 "/>
    <s v=" 64.2734 "/>
    <x v="0"/>
    <n v="177949"/>
    <m/>
    <m/>
    <m/>
  </r>
  <r>
    <x v="8"/>
    <x v="0"/>
    <s v="F:\images\20210312\plaque 1/@08 Amantadine 0.001 mg_L/A8_02.tif "/>
    <s v=" 3374.2636 "/>
    <s v=" 63.7564 "/>
    <x v="0"/>
    <n v="215131"/>
    <m/>
    <m/>
    <m/>
  </r>
  <r>
    <x v="8"/>
    <x v="0"/>
    <s v="F:\images\20210312\plaque 1/@08 Amantadine 0.001 mg_L/A8_03.tif "/>
    <s v=" 6856.6766 "/>
    <s v=" 67.347 "/>
    <x v="0"/>
    <n v="461777"/>
    <m/>
    <m/>
    <m/>
  </r>
  <r>
    <x v="8"/>
    <x v="1"/>
    <s v="F:\images\20210312\plaque 1/@08 Amantadine 0.001 mg_L/B8_01.tif "/>
    <s v=" 3504.0429 "/>
    <s v=" 64.7284 "/>
    <x v="0"/>
    <n v="226811"/>
    <m/>
    <m/>
    <m/>
  </r>
  <r>
    <x v="8"/>
    <x v="1"/>
    <s v="F:\images\20210312\plaque 1/@08 Amantadine 0.001 mg_L/B8_02.tif "/>
    <s v=" 4736.9469 "/>
    <s v=" 66.5708 "/>
    <x v="0"/>
    <n v="315342"/>
    <m/>
    <m/>
    <m/>
  </r>
  <r>
    <x v="8"/>
    <x v="1"/>
    <s v="F:\images\20210312\plaque 1/@08 Amantadine 0.001 mg_L/B8_03.tif "/>
    <s v=" 475.8577 "/>
    <s v=" 62.3636 "/>
    <x v="0"/>
    <n v="29676"/>
    <m/>
    <m/>
    <m/>
  </r>
  <r>
    <x v="8"/>
    <x v="2"/>
    <s v="F:\images\20210312\plaque 1/@08 Amantadine 0.001 mg_L/C8_01.tif "/>
    <s v=" 8414.029 "/>
    <s v=" 68.9332 "/>
    <x v="0"/>
    <n v="580006"/>
    <m/>
    <m/>
    <m/>
  </r>
  <r>
    <x v="8"/>
    <x v="2"/>
    <s v="F:\images\20210312\plaque 1/@08 Amantadine 0.001 mg_L/C8_02.tif "/>
    <s v=" 1341.0535 "/>
    <s v=" 65.129 "/>
    <x v="0"/>
    <n v="87342"/>
    <m/>
    <m/>
    <m/>
  </r>
  <r>
    <x v="8"/>
    <x v="2"/>
    <s v="F:\images\20210312\plaque 1/@08 Amantadine 0.001 mg_L/C8_03.tif "/>
    <s v=" 2552.3276 "/>
    <s v=" 68.1186 "/>
    <x v="0"/>
    <n v="173861"/>
    <m/>
    <m/>
    <m/>
  </r>
  <r>
    <x v="8"/>
    <x v="3"/>
    <s v="F:\images\20210312\plaque 1/@08 Amantadine 0.001 mg_L/D8_01.tif "/>
    <s v=" 6121.2602 "/>
    <s v=" 76.9329 "/>
    <x v="0"/>
    <n v="470926"/>
    <m/>
    <m/>
    <m/>
  </r>
  <r>
    <x v="8"/>
    <x v="3"/>
    <s v="F:\images\20210312\plaque 1/@08 Amantadine 0.001 mg_L/D8_02.tif "/>
    <s v=" 6445.7086 "/>
    <s v=" 75.0134 "/>
    <x v="0"/>
    <n v="483515"/>
    <m/>
    <m/>
    <m/>
  </r>
  <r>
    <x v="8"/>
    <x v="3"/>
    <s v="F:\images\20210312\plaque 1/@08 Amantadine 0.001 mg_L/D8_03.tif "/>
    <s v=" 6986.456 "/>
    <s v=" 76.1827 "/>
    <x v="0"/>
    <n v="532247"/>
    <m/>
    <m/>
    <m/>
  </r>
  <r>
    <x v="8"/>
    <x v="4"/>
    <s v="F:\images\20210312\plaque 1/@08 Amantadine 0.001 mg_L/E8_01.tif "/>
    <s v=" 2314.3987 "/>
    <s v=" 66.4766 "/>
    <x v="0"/>
    <n v="153853"/>
    <m/>
    <m/>
    <m/>
  </r>
  <r>
    <x v="8"/>
    <x v="4"/>
    <s v="F:\images\20210312\plaque 1/@08 Amantadine 0.001 mg_L/E8_02.tif "/>
    <s v=" 2703.7368 "/>
    <s v=" 65.664 "/>
    <x v="0"/>
    <n v="177538"/>
    <m/>
    <m/>
    <m/>
  </r>
  <r>
    <x v="8"/>
    <x v="4"/>
    <s v="F:\images\20210312\plaque 1/@08 Amantadine 0.001 mg_L/E8_03.tif "/>
    <s v=" 2141.3596 "/>
    <n v="66"/>
    <x v="0"/>
    <n v="141330"/>
    <m/>
    <m/>
    <m/>
  </r>
  <r>
    <x v="8"/>
    <x v="5"/>
    <s v="F:\images\20210312\plaque 1/@08 Amantadine 0.001 mg_L/F8_01- exclu.tif"/>
    <m/>
    <m/>
    <x v="1"/>
    <m/>
    <m/>
    <m/>
    <m/>
  </r>
  <r>
    <x v="8"/>
    <x v="5"/>
    <s v="F:\images\20210312\plaque 1/@08 Amantadine 0.001 mg_L/F8_02- exclu.tif"/>
    <m/>
    <m/>
    <x v="1"/>
    <m/>
    <m/>
    <m/>
    <m/>
  </r>
  <r>
    <x v="8"/>
    <x v="5"/>
    <s v="F:\images\20210312\plaque 1/@08 Amantadine 0.001 mg_L/F8_03- exclu.tif"/>
    <m/>
    <m/>
    <x v="1"/>
    <m/>
    <m/>
    <m/>
    <m/>
  </r>
  <r>
    <x v="8"/>
    <x v="6"/>
    <s v="F:\images\20210312\plaque 1/@08 Amantadine 0.001 mg_L/G8_01.tif "/>
    <s v=" 4217.8295 "/>
    <s v=" 67.2359 "/>
    <x v="0"/>
    <n v="283590"/>
    <m/>
    <m/>
    <m/>
  </r>
  <r>
    <x v="8"/>
    <x v="6"/>
    <s v="F:\images\20210312\plaque 1/@08 Amantadine 0.001 mg_L/G8_02.tif "/>
    <s v=" 8111.2105 "/>
    <s v=" 71.32 "/>
    <x v="0"/>
    <n v="578492"/>
    <m/>
    <m/>
    <m/>
  </r>
  <r>
    <x v="8"/>
    <x v="6"/>
    <s v="F:\images\20210312\plaque 1/@08 Amantadine 0.001 mg_L/G8_03- exclu.tif"/>
    <m/>
    <m/>
    <x v="1"/>
    <m/>
    <m/>
    <m/>
    <m/>
  </r>
  <r>
    <x v="8"/>
    <x v="7"/>
    <s v="F:\images\20210312\plaque 1/@08 Amantadine 0.001 mg_L/H8_01.tif "/>
    <s v=" 6986.456 "/>
    <s v=" 71.548 "/>
    <x v="0"/>
    <n v="499867"/>
    <m/>
    <m/>
    <m/>
  </r>
  <r>
    <x v="8"/>
    <x v="7"/>
    <s v="F:\images\20210312\plaque 1/@08 Amantadine 0.001 mg_L/H8_02.tif "/>
    <s v=" 7786.7621 "/>
    <s v=" 70.7667 "/>
    <x v="0"/>
    <n v="551043"/>
    <m/>
    <m/>
    <m/>
  </r>
  <r>
    <x v="8"/>
    <x v="7"/>
    <s v="F:\images\20210312\plaque 1/@08 Amantadine 0.001 mg_L/H8_03.tif "/>
    <s v=" 475.8577 "/>
    <s v=" 62.8182 "/>
    <x v="0"/>
    <n v="29893"/>
    <m/>
    <m/>
    <m/>
  </r>
  <r>
    <x v="1"/>
    <x v="8"/>
    <s v=" "/>
    <m/>
    <m/>
    <x v="1"/>
    <m/>
    <m/>
    <m/>
    <m/>
  </r>
  <r>
    <x v="1"/>
    <x v="8"/>
    <s v="group "/>
    <s v=" "/>
    <s v=" mean of mean fluo "/>
    <x v="2"/>
    <s v=" mean of total fluo "/>
    <s v=" SD total fluo "/>
    <s v=" n fluorescent "/>
    <s v=" n total"/>
  </r>
  <r>
    <x v="8"/>
    <x v="9"/>
    <s v="F:\images\20210312\plaque 1/@08 Amantadine 0.001 mg_L/ "/>
    <s v=" "/>
    <s v=" 68.4145 "/>
    <x v="10"/>
    <s v=" 329116.042 "/>
    <s v=" 250866.7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312\plaque 1/@09 Amantadine 0.01 mg_L/A9_01.tif "/>
    <s v=" 1470.8328 "/>
    <s v=" 65.7941 "/>
    <x v="0"/>
    <n v="96772"/>
    <m/>
    <m/>
    <m/>
  </r>
  <r>
    <x v="9"/>
    <x v="0"/>
    <s v="F:\images\20210312\plaque 1/@09 Amantadine 0.01 mg_L/A9_02.tif "/>
    <s v=" 2682.1069 "/>
    <s v=" 65.3387 "/>
    <x v="0"/>
    <n v="175245"/>
    <m/>
    <m/>
    <m/>
  </r>
  <r>
    <x v="9"/>
    <x v="0"/>
    <s v="F:\images\20210312\plaque 1/@09 Amantadine 0.01 mg_L/A9_03.tif "/>
    <s v=" 3266.1141 "/>
    <s v=" 65.6755 "/>
    <x v="0"/>
    <n v="214504"/>
    <m/>
    <m/>
    <m/>
  </r>
  <r>
    <x v="9"/>
    <x v="1"/>
    <s v="F:\images\20210312\plaque 1/@09 Amantadine 0.01 mg_L/B9_01.tif "/>
    <s v=" 821.936 "/>
    <s v=" 62.1842 "/>
    <x v="0"/>
    <n v="51111"/>
    <m/>
    <m/>
    <m/>
  </r>
  <r>
    <x v="9"/>
    <x v="1"/>
    <s v="F:\images\20210312\plaque 1/@09 Amantadine 0.01 mg_L/B9_02.tif "/>
    <s v=" 1038.2349 "/>
    <s v=" 63.7917 "/>
    <x v="0"/>
    <n v="66231"/>
    <m/>
    <m/>
    <m/>
  </r>
  <r>
    <x v="9"/>
    <x v="1"/>
    <s v="F:\images\20210312\plaque 1/@09 Amantadine 0.01 mg_L/B9_03.tif "/>
    <s v=" 1968.3204 "/>
    <s v=" 67.6484 "/>
    <x v="0"/>
    <n v="133154"/>
    <m/>
    <m/>
    <m/>
  </r>
  <r>
    <x v="9"/>
    <x v="2"/>
    <s v="F:\images\20210312\plaque 1/@09 Amantadine 0.01 mg_L/C9_01.tif "/>
    <s v=" 2984.9255 "/>
    <s v=" 67.2971 "/>
    <x v="0"/>
    <n v="200877"/>
    <m/>
    <m/>
    <m/>
  </r>
  <r>
    <x v="9"/>
    <x v="2"/>
    <s v="F:\images\20210312\plaque 1/@09 Amantadine 0.01 mg_L/C9_02.tif "/>
    <s v=" 627.2669 "/>
    <s v=" 63.2414 "/>
    <x v="0"/>
    <n v="39669"/>
    <m/>
    <m/>
    <m/>
  </r>
  <r>
    <x v="9"/>
    <x v="2"/>
    <s v="F:\images\20210312\plaque 1/@09 Amantadine 0.01 mg_L/C9_03.tif "/>
    <s v=" 865.1958 "/>
    <s v=" 63.325 "/>
    <x v="0"/>
    <n v="54789"/>
    <m/>
    <m/>
    <m/>
  </r>
  <r>
    <x v="9"/>
    <x v="3"/>
    <s v="F:\images\20210312\plaque 1/@09 Amantadine 0.01 mg_L/D9_01.tif "/>
    <s v=" 6337.5591 "/>
    <s v=" 68.6689 "/>
    <x v="0"/>
    <n v="435193"/>
    <m/>
    <m/>
    <m/>
  </r>
  <r>
    <x v="9"/>
    <x v="3"/>
    <s v="F:\images\20210312\plaque 1/@09 Amantadine 0.01 mg_L/D9_02.tif "/>
    <s v=" 713.7865 "/>
    <s v=" 63.4848 "/>
    <x v="0"/>
    <n v="45315"/>
    <m/>
    <m/>
    <m/>
  </r>
  <r>
    <x v="9"/>
    <x v="3"/>
    <s v="F:\images\20210312\plaque 1/@09 Amantadine 0.01 mg_L/D9_03.tif "/>
    <s v=" 237.9288 "/>
    <s v=" 64.4545 "/>
    <x v="0"/>
    <n v="15336"/>
    <m/>
    <m/>
    <m/>
  </r>
  <r>
    <x v="9"/>
    <x v="4"/>
    <s v="F:\images\20210312\plaque 1/@09 Amantadine 0.01 mg_L/E9_01.tif "/>
    <s v=" 497.4876 "/>
    <s v=" 61.6957 "/>
    <x v="0"/>
    <n v="30693"/>
    <m/>
    <m/>
    <m/>
  </r>
  <r>
    <x v="9"/>
    <x v="4"/>
    <s v="F:\images\20210312\plaque 1/@09 Amantadine 0.01 mg_L/E9_02.tif "/>
    <s v=" 1492.4627 "/>
    <s v=" 62.9855 "/>
    <x v="0"/>
    <n v="94004"/>
    <m/>
    <m/>
    <m/>
  </r>
  <r>
    <x v="9"/>
    <x v="4"/>
    <s v="F:\images\20210312\plaque 1/@09 Amantadine 0.01 mg_L/E9_03.tif "/>
    <s v=" 735.4164 "/>
    <s v=" 64.5882 "/>
    <x v="0"/>
    <n v="47499"/>
    <m/>
    <m/>
    <m/>
  </r>
  <r>
    <x v="9"/>
    <x v="5"/>
    <s v="F:\images\20210312\plaque 1/@09 Amantadine 0.01 mg_L/F9_01.tif "/>
    <s v=" 994.9752 "/>
    <s v=" 65.2609 "/>
    <x v="0"/>
    <n v="64933"/>
    <m/>
    <m/>
    <m/>
  </r>
  <r>
    <x v="9"/>
    <x v="5"/>
    <s v="F:\images\20210312\plaque 1/@09 Amantadine 0.01 mg_L/F9_02.tif "/>
    <s v=" 6251.0395 "/>
    <s v=" 73.2491 "/>
    <x v="0"/>
    <n v="457883"/>
    <m/>
    <m/>
    <m/>
  </r>
  <r>
    <x v="9"/>
    <x v="5"/>
    <s v="F:\images\20210312\plaque 1/@09 Amantadine 0.01 mg_L/F9_03.tif "/>
    <s v=" 2963.2956 "/>
    <s v=" 65.6423 "/>
    <x v="0"/>
    <n v="194518"/>
    <m/>
    <m/>
    <m/>
  </r>
  <r>
    <x v="9"/>
    <x v="6"/>
    <s v="F:\images\20210312\plaque 1/@09 Amantadine 0.01 mg_L/G9_01.tif "/>
    <s v=" 129.7794 "/>
    <n v="64"/>
    <x v="0"/>
    <n v="8306"/>
    <m/>
    <m/>
    <m/>
  </r>
  <r>
    <x v="9"/>
    <x v="6"/>
    <s v="F:\images\20210312\plaque 1/@09 Amantadine 0.01 mg_L/G9_02.tif "/>
    <s v=" 410.968 "/>
    <s v=" 63.9474 "/>
    <x v="0"/>
    <n v="26280"/>
    <m/>
    <m/>
    <m/>
  </r>
  <r>
    <x v="9"/>
    <x v="6"/>
    <s v="F:\images\20210312\plaque 1/@09 Amantadine 0.01 mg_L/G9_03.tif "/>
    <s v=" 194.6691 "/>
    <s v=" 61.7778 "/>
    <x v="0"/>
    <n v="12026"/>
    <m/>
    <m/>
    <m/>
  </r>
  <r>
    <x v="9"/>
    <x v="7"/>
    <s v="F:\images\20210312\plaque 1/@09 Amantadine 0.01 mg_L/H9_01.tif "/>
    <s v=" 1622.2421 "/>
    <s v=" 65.4667 "/>
    <x v="0"/>
    <n v="106203"/>
    <m/>
    <m/>
    <m/>
  </r>
  <r>
    <x v="9"/>
    <x v="7"/>
    <s v="F:\images\20210312\plaque 1/@09 Amantadine 0.01 mg_L/H9_02.tif "/>
    <s v=" 2336.0286 "/>
    <s v=" 67.463 "/>
    <x v="0"/>
    <n v="157595"/>
    <m/>
    <m/>
    <m/>
  </r>
  <r>
    <x v="9"/>
    <x v="7"/>
    <s v="F:\images\20210312\plaque 1/@09 Amantadine 0.01 mg_L/H9_03.tif "/>
    <s v=" 4390.8686 "/>
    <s v=" 70.5862 "/>
    <x v="0"/>
    <n v="309935"/>
    <m/>
    <m/>
    <m/>
  </r>
  <r>
    <x v="1"/>
    <x v="8"/>
    <s v=" "/>
    <m/>
    <m/>
    <x v="1"/>
    <m/>
    <m/>
    <m/>
    <m/>
  </r>
  <r>
    <x v="1"/>
    <x v="8"/>
    <s v="group "/>
    <s v=" "/>
    <s v=" mean of mean fluo "/>
    <x v="2"/>
    <s v=" mean of total fluo "/>
    <s v=" SD total fluo "/>
    <s v=" n fluorescent "/>
    <s v=" n total"/>
  </r>
  <r>
    <x v="9"/>
    <x v="9"/>
    <s v="F:\images\20210312\plaque 1/@09 Amantadine 0.01 mg_L/ "/>
    <s v=" "/>
    <s v=" 65.3153 "/>
    <x v="11"/>
    <s v=" 126586.292 "/>
    <s v=" 125051.55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312\plaque 1/@10 Amantadine 0.1 mg_L/A10_01- exclu.tif"/>
    <m/>
    <m/>
    <x v="1"/>
    <m/>
    <m/>
    <m/>
    <m/>
  </r>
  <r>
    <x v="10"/>
    <x v="0"/>
    <s v="F:\images\20210312\plaque 1/@10 Amantadine 0.1 mg_L/A10_02- exclu.tif"/>
    <m/>
    <m/>
    <x v="1"/>
    <m/>
    <m/>
    <m/>
    <m/>
  </r>
  <r>
    <x v="10"/>
    <x v="0"/>
    <s v="F:\images\20210312\plaque 1/@10 Amantadine 0.1 mg_L/A10_03- exclu.tif"/>
    <m/>
    <m/>
    <x v="1"/>
    <m/>
    <m/>
    <m/>
    <m/>
  </r>
  <r>
    <x v="10"/>
    <x v="1"/>
    <s v="F:\images\20210312\plaque 1/@10 Amantadine 0.1 mg_L/B10_01.tif "/>
    <s v=" 1405.9432 "/>
    <s v=" 64.5538 "/>
    <x v="0"/>
    <n v="90759"/>
    <m/>
    <m/>
    <m/>
  </r>
  <r>
    <x v="10"/>
    <x v="1"/>
    <s v="F:\images\20210312\plaque 1/@10 Amantadine 0.1 mg_L/B10_02.tif "/>
    <s v=" 1211.2741 "/>
    <s v=" 63.0357 "/>
    <x v="0"/>
    <n v="76354"/>
    <m/>
    <m/>
    <m/>
  </r>
  <r>
    <x v="10"/>
    <x v="1"/>
    <s v="F:\images\20210312\plaque 1/@10 Amantadine 0.1 mg_L/B10_03.tif "/>
    <s v=" 843.5659 "/>
    <s v=" 62.641 "/>
    <x v="0"/>
    <n v="52842"/>
    <m/>
    <m/>
    <m/>
  </r>
  <r>
    <x v="10"/>
    <x v="2"/>
    <s v="F:\images\20210312\plaque 1/@10 Amantadine 0.1 mg_L/C10_01- exclu.tif"/>
    <m/>
    <m/>
    <x v="1"/>
    <m/>
    <m/>
    <m/>
    <m/>
  </r>
  <r>
    <x v="10"/>
    <x v="2"/>
    <s v="F:\images\20210312\plaque 1/@10 Amantadine 0.1 mg_L/C10_02- exclu.tif"/>
    <m/>
    <m/>
    <x v="1"/>
    <m/>
    <m/>
    <m/>
    <m/>
  </r>
  <r>
    <x v="10"/>
    <x v="2"/>
    <s v="F:\images\20210312\plaque 1/@10 Amantadine 0.1 mg_L/C10_03- exclu.tif"/>
    <m/>
    <m/>
    <x v="1"/>
    <m/>
    <m/>
    <m/>
    <m/>
  </r>
  <r>
    <x v="10"/>
    <x v="3"/>
    <s v="F:\images\20210312\plaque 1/@10 Amantadine 0.1 mg_L/D10_01.tif "/>
    <s v=" 237.9288 "/>
    <n v="64"/>
    <x v="0"/>
    <n v="15227"/>
    <m/>
    <m/>
    <m/>
  </r>
  <r>
    <x v="10"/>
    <x v="3"/>
    <s v="F:\images\20210312\plaque 1/@10 Amantadine 0.1 mg_L/D10_02.tif "/>
    <s v=" 346.0783 "/>
    <s v=" 65.1875 "/>
    <x v="0"/>
    <n v="22560"/>
    <m/>
    <m/>
    <m/>
  </r>
  <r>
    <x v="10"/>
    <x v="3"/>
    <s v="F:\images\20210312\plaque 1/@10 Amantadine 0.1 mg_L/D10_03.tif "/>
    <s v=" 410.968 "/>
    <s v=" 63.6316 "/>
    <x v="0"/>
    <n v="26151"/>
    <m/>
    <m/>
    <m/>
  </r>
  <r>
    <x v="10"/>
    <x v="4"/>
    <s v="F:\images\20210312\plaque 1/@10 Amantadine 0.1 mg_L/E10_01.tif "/>
    <s v=" 9409.0042 "/>
    <s v=" 74.3172 "/>
    <x v="0"/>
    <n v="699251"/>
    <m/>
    <m/>
    <m/>
  </r>
  <r>
    <x v="10"/>
    <x v="4"/>
    <s v="F:\images\20210312\plaque 1/@10 Amantadine 0.1 mg_L/E10_02.tif "/>
    <s v=" 1038.2349 "/>
    <s v=" 63.3542 "/>
    <x v="0"/>
    <n v="65777"/>
    <m/>
    <m/>
    <m/>
  </r>
  <r>
    <x v="10"/>
    <x v="4"/>
    <s v="F:\images\20210312\plaque 1/@10 Amantadine 0.1 mg_L/E10_03.tif "/>
    <s v=" 627.2669 "/>
    <s v=" 62.3448 "/>
    <x v="0"/>
    <n v="39107"/>
    <m/>
    <m/>
    <m/>
  </r>
  <r>
    <x v="10"/>
    <x v="5"/>
    <s v="F:\images\20210312\plaque 1/@10 Amantadine 0.1 mg_L/F10_01.tif "/>
    <s v=" 6337.5591 "/>
    <s v=" 72.0853 "/>
    <x v="0"/>
    <n v="456845"/>
    <m/>
    <m/>
    <m/>
  </r>
  <r>
    <x v="10"/>
    <x v="5"/>
    <s v="F:\images\20210312\plaque 1/@10 Amantadine 0.1 mg_L/F10_02.tif "/>
    <s v=" 5515.6231 "/>
    <s v=" 68.102 "/>
    <x v="0"/>
    <n v="375625"/>
    <m/>
    <m/>
    <m/>
  </r>
  <r>
    <x v="10"/>
    <x v="5"/>
    <s v="F:\images\20210312\plaque 1/@10 Amantadine 0.1 mg_L/F10_03.tif "/>
    <s v=" 5212.8046 "/>
    <s v=" 70.6598 "/>
    <x v="0"/>
    <n v="368335"/>
    <m/>
    <m/>
    <m/>
  </r>
  <r>
    <x v="10"/>
    <x v="6"/>
    <s v="F:\images\20210312\plaque 1/@10 Amantadine 0.1 mg_L/G10_01.tif "/>
    <s v=" 670.5267 "/>
    <s v=" 66.1935 "/>
    <x v="0"/>
    <n v="44385"/>
    <m/>
    <m/>
    <m/>
  </r>
  <r>
    <x v="10"/>
    <x v="6"/>
    <s v="F:\images\20210312\plaque 1/@10 Amantadine 0.1 mg_L/G10_02.tif "/>
    <s v=" 1384.3133 "/>
    <s v=" 62.5469 "/>
    <x v="0"/>
    <n v="86584"/>
    <m/>
    <m/>
    <m/>
  </r>
  <r>
    <x v="10"/>
    <x v="6"/>
    <s v="F:\images\20210312\plaque 1/@10 Amantadine 0.1 mg_L/G10_03.tif "/>
    <s v=" 584.0072 "/>
    <s v=" 64.6667 "/>
    <x v="0"/>
    <n v="37766"/>
    <m/>
    <m/>
    <m/>
  </r>
  <r>
    <x v="10"/>
    <x v="7"/>
    <s v="F:\images\20210312\plaque 1/@10 Amantadine 0.1 mg_L/H10_01.tif "/>
    <s v=" 605.637 "/>
    <s v=" 66.6429 "/>
    <x v="0"/>
    <n v="40361"/>
    <m/>
    <m/>
    <m/>
  </r>
  <r>
    <x v="10"/>
    <x v="7"/>
    <s v="F:\images\20210312\plaque 1/@10 Amantadine 0.1 mg_L/H10_02- exclu.tif"/>
    <m/>
    <m/>
    <x v="1"/>
    <m/>
    <m/>
    <m/>
    <m/>
  </r>
  <r>
    <x v="10"/>
    <x v="7"/>
    <s v="F:\images\20210312\plaque 1/@10 Amantadine 0.1 mg_L/H10_03- exclu.tif"/>
    <m/>
    <m/>
    <x v="1"/>
    <m/>
    <m/>
    <m/>
    <m/>
  </r>
  <r>
    <x v="1"/>
    <x v="8"/>
    <s v=" "/>
    <m/>
    <m/>
    <x v="1"/>
    <m/>
    <m/>
    <m/>
    <m/>
  </r>
  <r>
    <x v="1"/>
    <x v="8"/>
    <s v="group "/>
    <s v=" "/>
    <s v=" mean of mean fluo "/>
    <x v="2"/>
    <s v=" mean of total fluo "/>
    <s v=" SD total fluo "/>
    <s v=" n fluorescent "/>
    <s v=" n total"/>
  </r>
  <r>
    <x v="10"/>
    <x v="9"/>
    <s v="F:\images\20210312\plaque 1/@10 Amantadine 0.1 mg_L/ "/>
    <s v=" "/>
    <s v=" 67.5573 "/>
    <x v="12"/>
    <s v=" 284134.833 "/>
    <s v=" 40352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312\plaque 1/@11 Amantadine 1 mg_L/A11_01.tif "/>
    <s v=" 367.7082 "/>
    <s v=" 63.2941 "/>
    <x v="0"/>
    <n v="23274"/>
    <m/>
    <m/>
    <m/>
  </r>
  <r>
    <x v="11"/>
    <x v="0"/>
    <s v="F:\images\20210312\plaque 1/@11 Amantadine 1 mg_L/A11_02.tif "/>
    <s v=" 497.4876 "/>
    <s v=" 63.4348 "/>
    <x v="0"/>
    <n v="31558"/>
    <m/>
    <m/>
    <m/>
  </r>
  <r>
    <x v="11"/>
    <x v="0"/>
    <s v="F:\images\20210312\plaque 1/@11 Amantadine 1 mg_L/A11_03- exclu.tif"/>
    <m/>
    <m/>
    <x v="1"/>
    <m/>
    <m/>
    <m/>
    <m/>
  </r>
  <r>
    <x v="11"/>
    <x v="1"/>
    <s v="F:\images\20210312\plaque 1/@11 Amantadine 1 mg_L/B11_01.tif "/>
    <s v=" 5904.9612 "/>
    <s v=" 66.5055 "/>
    <x v="0"/>
    <n v="392712"/>
    <m/>
    <m/>
    <m/>
  </r>
  <r>
    <x v="11"/>
    <x v="1"/>
    <s v="F:\images\20210312\plaque 1/@11 Amantadine 1 mg_L/B11_02.tif "/>
    <s v=" 5126.285 "/>
    <s v=" 66.4557 "/>
    <x v="0"/>
    <n v="340671"/>
    <m/>
    <m/>
    <m/>
  </r>
  <r>
    <x v="11"/>
    <x v="1"/>
    <s v="F:\images\20210312\plaque 1/@11 Amantadine 1 mg_L/B11_03.tif "/>
    <s v=" 1968.3204 "/>
    <s v=" 64.6923 "/>
    <x v="0"/>
    <n v="127335"/>
    <m/>
    <m/>
    <m/>
  </r>
  <r>
    <x v="11"/>
    <x v="2"/>
    <s v="F:\images\20210312\plaque 1/@11 Amantadine 1 mg_L/C11_01.tif "/>
    <s v=" 6899.9364 "/>
    <s v=" 70.0815 "/>
    <x v="0"/>
    <n v="483558"/>
    <m/>
    <m/>
    <m/>
  </r>
  <r>
    <x v="11"/>
    <x v="2"/>
    <s v="F:\images\20210312\plaque 1/@11 Amantadine 1 mg_L/C11_02.tif "/>
    <s v=" 994.9752 "/>
    <s v=" 64.913 "/>
    <x v="0"/>
    <n v="64587"/>
    <m/>
    <m/>
    <m/>
  </r>
  <r>
    <x v="11"/>
    <x v="2"/>
    <s v="F:\images\20210312\plaque 1/@11 Amantadine 1 mg_L/C11_03.tif "/>
    <s v=" 1903.4307 "/>
    <s v=" 69.1136 "/>
    <x v="0"/>
    <n v="131553"/>
    <m/>
    <m/>
    <m/>
  </r>
  <r>
    <x v="11"/>
    <x v="3"/>
    <s v="F:\images\20210312\plaque 1/@11 Amantadine 1 mg_L/D11_01.tif "/>
    <s v=" 497.4876 "/>
    <s v=" 65.6522 "/>
    <x v="0"/>
    <n v="32661"/>
    <m/>
    <m/>
    <m/>
  </r>
  <r>
    <x v="11"/>
    <x v="3"/>
    <s v="F:\images\20210312\plaque 1/@11 Amantadine 1 mg_L/D11_02.tif "/>
    <s v=" 540.7474 "/>
    <s v=" 65.08 "/>
    <x v="0"/>
    <n v="35192"/>
    <m/>
    <m/>
    <m/>
  </r>
  <r>
    <x v="11"/>
    <x v="3"/>
    <s v="F:\images\20210312\plaque 1/@11 Amantadine 1 mg_L/D11_03.tif "/>
    <s v=" 886.8257 "/>
    <s v=" 66.1707 "/>
    <x v="0"/>
    <n v="58682"/>
    <m/>
    <m/>
    <m/>
  </r>
  <r>
    <x v="11"/>
    <x v="4"/>
    <s v="F:\images\20210312\plaque 1/@11 Amantadine 1 mg_L/E11_01.tif "/>
    <s v=" 713.7865 "/>
    <s v=" 62.0909 "/>
    <x v="0"/>
    <n v="44320"/>
    <m/>
    <m/>
    <m/>
  </r>
  <r>
    <x v="11"/>
    <x v="4"/>
    <s v="F:\images\20210312\plaque 1/@11 Amantadine 1 mg_L/E11_02.tif "/>
    <s v=" 302.8185 "/>
    <s v=" 62.5714 "/>
    <x v="0"/>
    <n v="18948"/>
    <m/>
    <m/>
    <m/>
  </r>
  <r>
    <x v="11"/>
    <x v="4"/>
    <s v="F:\images\20210312\plaque 1/@11 Amantadine 1 mg_L/E11_03.tif "/>
    <s v=" 281.1886 "/>
    <s v=" 63.6154 "/>
    <x v="0"/>
    <n v="17888"/>
    <m/>
    <m/>
    <m/>
  </r>
  <r>
    <x v="11"/>
    <x v="5"/>
    <s v="F:\images\20210312\plaque 1/@11 Amantadine 1 mg_L/F11_01.tif "/>
    <s v=" 7094.6054 "/>
    <s v=" 67.7713 "/>
    <x v="0"/>
    <n v="480811"/>
    <m/>
    <m/>
    <m/>
  </r>
  <r>
    <x v="11"/>
    <x v="5"/>
    <s v="F:\images\20210312\plaque 1/@11 Amantadine 1 mg_L/F11_02.tif "/>
    <s v=" 1124.7545 "/>
    <s v=" 64.3654 "/>
    <x v="0"/>
    <n v="72395"/>
    <m/>
    <m/>
    <m/>
  </r>
  <r>
    <x v="11"/>
    <x v="5"/>
    <s v="F:\images\20210312\plaque 1/@11 Amantadine 1 mg_L/F11_03.tif "/>
    <s v=" 6121.2602 "/>
    <s v=" 67.7915 "/>
    <x v="0"/>
    <n v="414970"/>
    <m/>
    <m/>
    <m/>
  </r>
  <r>
    <x v="11"/>
    <x v="6"/>
    <s v="F:\images\20210312\plaque 1/@11 Amantadine 1 mg_L/G11_01.tif "/>
    <s v=" 5883.3313 "/>
    <s v=" 64.7022 "/>
    <x v="0"/>
    <n v="380665"/>
    <m/>
    <m/>
    <m/>
  </r>
  <r>
    <x v="11"/>
    <x v="6"/>
    <s v="F:\images\20210312\plaque 1/@11 Amantadine 1 mg_L/G11_02.tif "/>
    <s v=" 5234.4345 "/>
    <s v=" 65.186 "/>
    <x v="0"/>
    <n v="341212"/>
    <m/>
    <m/>
    <m/>
  </r>
  <r>
    <x v="11"/>
    <x v="6"/>
    <s v="F:\images\20210312\plaque 1/@11 Amantadine 1 mg_L/G11_03.tif "/>
    <s v=" 3893.381 "/>
    <s v=" 66.2556 "/>
    <x v="0"/>
    <n v="257958"/>
    <m/>
    <m/>
    <m/>
  </r>
  <r>
    <x v="11"/>
    <x v="7"/>
    <s v="F:\images\20210312\plaque 1/@11 Amantadine 1 mg_L/H11_01.tif "/>
    <s v=" 5602.1427 "/>
    <s v=" 68.0077 "/>
    <x v="0"/>
    <n v="380989"/>
    <m/>
    <m/>
    <m/>
  </r>
  <r>
    <x v="11"/>
    <x v="7"/>
    <s v="F:\images\20210312\plaque 1/@11 Amantadine 1 mg_L/H11_02.tif "/>
    <s v=" 1016.605 "/>
    <s v=" 63.6809 "/>
    <x v="0"/>
    <n v="64738"/>
    <m/>
    <m/>
    <m/>
  </r>
  <r>
    <x v="11"/>
    <x v="7"/>
    <s v="F:\images\20210312\plaque 1/@11 Amantadine 1 mg_L/H11_03.tif "/>
    <s v=" 1968.3204 "/>
    <s v=" 64.1099 "/>
    <x v="0"/>
    <n v="126189"/>
    <m/>
    <m/>
    <m/>
  </r>
  <r>
    <x v="1"/>
    <x v="8"/>
    <s v=" "/>
    <m/>
    <m/>
    <x v="1"/>
    <m/>
    <m/>
    <m/>
    <m/>
  </r>
  <r>
    <x v="1"/>
    <x v="8"/>
    <s v="group "/>
    <s v=" "/>
    <s v=" mean of mean fluo "/>
    <x v="2"/>
    <s v=" mean of total fluo "/>
    <s v=" SD total fluo "/>
    <s v=" n fluorescent "/>
    <s v=" n total"/>
  </r>
  <r>
    <x v="11"/>
    <x v="9"/>
    <s v="F:\images\20210312\plaque 1/@11 Amantadine 1 mg_L/ "/>
    <s v=" "/>
    <s v=" 65.3038 "/>
    <x v="13"/>
    <s v=" 180564.625 "/>
    <s v=" 170818.8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312\plaque 1/@12 Amantadine 10 mg_L/A12_01.tif "/>
    <s v=" 4563.9078 "/>
    <s v=" 68.5829 "/>
    <x v="0"/>
    <n v="313006"/>
    <m/>
    <m/>
    <m/>
  </r>
  <r>
    <x v="12"/>
    <x v="0"/>
    <s v="F:\images\20210312\plaque 1/@12 Amantadine 10 mg_L/A12_02.tif "/>
    <s v=" 4909.9861 "/>
    <s v=" 67.8326 "/>
    <x v="0"/>
    <n v="333057"/>
    <m/>
    <m/>
    <m/>
  </r>
  <r>
    <x v="12"/>
    <x v="0"/>
    <s v="F:\images\20210312\plaque 1/@12 Amantadine 10 mg_L/A12_03.tif "/>
    <s v=" 4931.616 "/>
    <s v=" 70.7675 "/>
    <x v="0"/>
    <n v="348998"/>
    <m/>
    <m/>
    <m/>
  </r>
  <r>
    <x v="12"/>
    <x v="1"/>
    <s v="F:\images\20210312\plaque 1/@12 Amantadine 10 mg_L/B12_01.tif "/>
    <s v=" 5320.9541 "/>
    <s v=" 64.9553 "/>
    <x v="0"/>
    <n v="345624"/>
    <m/>
    <m/>
    <m/>
  </r>
  <r>
    <x v="12"/>
    <x v="1"/>
    <s v="F:\images\20210312\plaque 1/@12 Amantadine 10 mg_L/B12_02.tif "/>
    <s v=" 3222.8543 "/>
    <s v=" 65.0201 "/>
    <x v="0"/>
    <n v="209550"/>
    <m/>
    <m/>
    <m/>
  </r>
  <r>
    <x v="12"/>
    <x v="1"/>
    <s v="F:\images\20210312\plaque 1/@12 Amantadine 10 mg_L/B12_03.tif "/>
    <s v=" 432.5979 "/>
    <s v=" 64.3 "/>
    <x v="0"/>
    <n v="27816"/>
    <m/>
    <m/>
    <m/>
  </r>
  <r>
    <x v="12"/>
    <x v="2"/>
    <s v="F:\images\20210312\plaque 1/@12 Amantadine 10 mg_L/C12_01.tif "/>
    <s v=" 86.5196 "/>
    <s v=" 66.75 "/>
    <x v="0"/>
    <n v="5775"/>
    <m/>
    <m/>
    <m/>
  </r>
  <r>
    <x v="12"/>
    <x v="2"/>
    <s v="F:\images\20210312\plaque 1/@12 Amantadine 10 mg_L/C12_02.tif "/>
    <s v=" 216.2989 "/>
    <s v=" 62.8 "/>
    <x v="0"/>
    <n v="13584"/>
    <m/>
    <m/>
    <m/>
  </r>
  <r>
    <x v="12"/>
    <x v="2"/>
    <s v="F:\images\20210312\plaque 1/@12 Amantadine 10 mg_L/C12_03.tif "/>
    <s v=" 108.1495 "/>
    <s v=" 62.6 "/>
    <x v="0"/>
    <n v="6770"/>
    <m/>
    <m/>
    <m/>
  </r>
  <r>
    <x v="12"/>
    <x v="3"/>
    <s v="F:\images\20210312\plaque 1/@12 Amantadine 10 mg_L/D12_01.tif "/>
    <s v=" 8760.1073 "/>
    <s v=" 66.7679 "/>
    <x v="0"/>
    <n v="584894"/>
    <m/>
    <m/>
    <m/>
  </r>
  <r>
    <x v="12"/>
    <x v="3"/>
    <s v="F:\images\20210312\plaque 1/@12 Amantadine 10 mg_L/D12_02.tif "/>
    <s v=" 389.3381 "/>
    <s v=" 63.0556 "/>
    <x v="0"/>
    <n v="24550"/>
    <m/>
    <m/>
    <m/>
  </r>
  <r>
    <x v="12"/>
    <x v="3"/>
    <s v="F:\images\20210312\plaque 1/@12 Amantadine 10 mg_L/D12_03- exclu.tif"/>
    <m/>
    <m/>
    <x v="1"/>
    <m/>
    <m/>
    <m/>
    <m/>
  </r>
  <r>
    <x v="12"/>
    <x v="4"/>
    <s v="F:\images\20210312\plaque 1/@12 Amantadine 10 mg_L/E12_01.tif "/>
    <s v=" 5039.7654 "/>
    <s v=" 67.3476 "/>
    <x v="0"/>
    <n v="339416"/>
    <m/>
    <m/>
    <m/>
  </r>
  <r>
    <x v="12"/>
    <x v="4"/>
    <s v="F:\images\20210312\plaque 1/@12 Amantadine 10 mg_L/E12_02.tif "/>
    <s v=" 1665.5019 "/>
    <s v=" 65.7143 "/>
    <x v="0"/>
    <n v="109447"/>
    <m/>
    <m/>
    <m/>
  </r>
  <r>
    <x v="12"/>
    <x v="4"/>
    <s v="F:\images\20210312\plaque 1/@12 Amantadine 10 mg_L/E12_03.tif "/>
    <s v=" 1384.3133 "/>
    <s v=" 63.4531 "/>
    <x v="0"/>
    <n v="87839"/>
    <m/>
    <m/>
    <m/>
  </r>
  <r>
    <x v="12"/>
    <x v="5"/>
    <s v="F:\images\20210312\plaque 1/@12 Amantadine 10 mg_L/F12_01.tif "/>
    <s v=" 454.2278 "/>
    <s v=" 63.2857 "/>
    <x v="0"/>
    <n v="28746"/>
    <m/>
    <m/>
    <m/>
  </r>
  <r>
    <x v="12"/>
    <x v="5"/>
    <s v="F:\images\20210312\plaque 1/@12 Amantadine 10 mg_L/F12_02.tif "/>
    <s v=" 86.5196 "/>
    <s v=" 64.25 "/>
    <x v="0"/>
    <n v="5559"/>
    <m/>
    <m/>
    <m/>
  </r>
  <r>
    <x v="12"/>
    <x v="5"/>
    <s v="F:\images\20210312\plaque 1/@12 Amantadine 10 mg_L/F12_03.tif "/>
    <s v=" 216.2989 "/>
    <s v=" 62.8 "/>
    <x v="0"/>
    <n v="13584"/>
    <m/>
    <m/>
    <m/>
  </r>
  <r>
    <x v="12"/>
    <x v="6"/>
    <s v="F:\images\20210312\plaque 1/@12 Amantadine 10 mg_L/G12_01- exclu.tif"/>
    <m/>
    <m/>
    <x v="1"/>
    <m/>
    <m/>
    <m/>
    <m/>
  </r>
  <r>
    <x v="12"/>
    <x v="6"/>
    <s v="F:\images\20210312\plaque 1/@12 Amantadine 10 mg_L/G12_02.tif "/>
    <s v=" 2184.6194 "/>
    <s v=" 64.4158 "/>
    <x v="0"/>
    <n v="140724"/>
    <m/>
    <m/>
    <m/>
  </r>
  <r>
    <x v="12"/>
    <x v="6"/>
    <s v="F:\images\20210312\plaque 1/@12 Amantadine 10 mg_L/G12_03.tif "/>
    <s v=" 259.5587 "/>
    <s v=" 65.1667 "/>
    <x v="0"/>
    <n v="16915"/>
    <m/>
    <m/>
    <m/>
  </r>
  <r>
    <x v="12"/>
    <x v="7"/>
    <s v="F:\images\20210312\plaque 1/@12 Amantadine 10 mg_L/H12_01.tif "/>
    <s v=" 778.6762 "/>
    <s v=" 61.9722 "/>
    <x v="0"/>
    <n v="48256"/>
    <m/>
    <m/>
    <m/>
  </r>
  <r>
    <x v="12"/>
    <x v="7"/>
    <s v="F:\images\20210312\plaque 1/@12 Amantadine 10 mg_L/H12_02.tif "/>
    <s v=" 757.0463 "/>
    <s v=" 63.4 "/>
    <x v="0"/>
    <n v="47997"/>
    <m/>
    <m/>
    <m/>
  </r>
  <r>
    <x v="12"/>
    <x v="7"/>
    <s v="F:\images\20210312\plaque 1/@12 Amantadine 10 mg_L/H12_03.tif "/>
    <s v=" 540.7474 "/>
    <s v=" 63.56 "/>
    <x v="0"/>
    <n v="34370"/>
    <m/>
    <m/>
    <m/>
  </r>
  <r>
    <x v="1"/>
    <x v="8"/>
    <s v=" "/>
    <m/>
    <m/>
    <x v="1"/>
    <m/>
    <m/>
    <m/>
    <m/>
  </r>
  <r>
    <x v="1"/>
    <x v="8"/>
    <s v="group "/>
    <s v=" "/>
    <s v=" mean of mean fluo "/>
    <x v="2"/>
    <s v=" mean of total fluo "/>
    <s v=" SD total fluo "/>
    <s v=" n fluorescent "/>
    <s v=" n total"/>
  </r>
  <r>
    <x v="12"/>
    <x v="9"/>
    <s v="F:\images\20210312\plaque 1/@12 Amantadine 10 mg_L/ "/>
    <s v=" "/>
    <s v=" 64.8719 "/>
    <x v="14"/>
    <s v=" 134701.042 "/>
    <s v=" 159404.84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312\plaque 2/@01 Testo 30/A1_01.tif "/>
    <s v=" 3222.8543 "/>
    <s v=" 63.8054 "/>
    <x v="0"/>
    <n v="205635"/>
    <m/>
    <m/>
    <m/>
  </r>
  <r>
    <x v="13"/>
    <x v="0"/>
    <s v="F:\images\20210312\plaque 2/@01 Testo 30/A1_02.tif "/>
    <s v=" 4996.5057 "/>
    <s v=" 64.0909 "/>
    <x v="0"/>
    <n v="320231"/>
    <m/>
    <m/>
    <m/>
  </r>
  <r>
    <x v="13"/>
    <x v="0"/>
    <s v="F:\images\20210312\plaque 2/@01 Testo 30/A1_03.tif "/>
    <s v=" 4196.1996 "/>
    <s v=" 65.1753 "/>
    <x v="0"/>
    <n v="273488"/>
    <m/>
    <m/>
    <m/>
  </r>
  <r>
    <x v="13"/>
    <x v="1"/>
    <s v="F:\images\20210312\plaque 2/@01 Testo 30/B1_01.tif "/>
    <s v=" 18471.93 "/>
    <s v=" 70.8478 "/>
    <x v="0"/>
    <n v="1308695"/>
    <m/>
    <m/>
    <m/>
  </r>
  <r>
    <x v="13"/>
    <x v="1"/>
    <s v="F:\images\20210312\plaque 2/@01 Testo 30/B1_02.tif "/>
    <s v=" 20418.6205 "/>
    <s v=" 70.8655 "/>
    <x v="0"/>
    <n v="1446975"/>
    <m/>
    <m/>
    <m/>
  </r>
  <r>
    <x v="13"/>
    <x v="1"/>
    <s v="F:\images\20210312\plaque 2/@01 Testo 30/B1_03.tif "/>
    <s v=" 22213.9018 "/>
    <s v=" 72.0691 "/>
    <x v="0"/>
    <n v="1600937"/>
    <m/>
    <m/>
    <m/>
  </r>
  <r>
    <x v="13"/>
    <x v="2"/>
    <s v="F:\images\20210312\plaque 2/@01 Testo 30/C1_01.tif "/>
    <s v=" 35429.7674 "/>
    <s v=" 77.0574 "/>
    <x v="0"/>
    <n v="2730125"/>
    <m/>
    <m/>
    <m/>
  </r>
  <r>
    <x v="13"/>
    <x v="2"/>
    <s v="F:\images\20210312\plaque 2/@01 Testo 30/C1_02.tif "/>
    <s v=" 38804.031 "/>
    <s v=" 75.7191 "/>
    <x v="0"/>
    <n v="2938205"/>
    <m/>
    <m/>
    <m/>
  </r>
  <r>
    <x v="13"/>
    <x v="2"/>
    <s v="F:\images\20210312\plaque 2/@01 Testo 30/C1_03.tif "/>
    <s v=" 36684.3013 "/>
    <s v=" 74.4233 "/>
    <x v="0"/>
    <n v="2730169"/>
    <m/>
    <m/>
    <m/>
  </r>
  <r>
    <x v="13"/>
    <x v="3"/>
    <s v="F:\images\20210312\plaque 2/@01 Testo 30/D1_01.tif "/>
    <s v=" 9322.4846 "/>
    <s v=" 68.3643 "/>
    <x v="0"/>
    <n v="637325"/>
    <m/>
    <m/>
    <m/>
  </r>
  <r>
    <x v="13"/>
    <x v="3"/>
    <s v="F:\images\20210312\plaque 2/@01 Testo 30/D1_02.tif "/>
    <s v=" 8327.5094 "/>
    <s v=" 66.0675 "/>
    <x v="0"/>
    <n v="550178"/>
    <m/>
    <m/>
    <m/>
  </r>
  <r>
    <x v="13"/>
    <x v="3"/>
    <s v="F:\images\20210312\plaque 2/@01 Testo 30/D1_03.tif "/>
    <s v=" 8349.1393 "/>
    <s v=" 67.6244 "/>
    <x v="0"/>
    <n v="564605"/>
    <m/>
    <m/>
    <m/>
  </r>
  <r>
    <x v="13"/>
    <x v="4"/>
    <s v="F:\images\20210312\plaque 2/@01 Testo 30/E1_01.tif "/>
    <s v=" 3850.1212 "/>
    <s v=" 64.809 "/>
    <x v="0"/>
    <n v="249522"/>
    <m/>
    <m/>
    <m/>
  </r>
  <r>
    <x v="13"/>
    <x v="4"/>
    <s v="F:\images\20210312\plaque 2/@01 Testo 30/E1_02.tif "/>
    <s v=" 1514.0926 "/>
    <s v=" 64.5571 "/>
    <x v="0"/>
    <n v="97745"/>
    <m/>
    <m/>
    <m/>
  </r>
  <r>
    <x v="13"/>
    <x v="4"/>
    <s v="F:\images\20210312\plaque 2/@01 Testo 30/E1_03.tif "/>
    <s v=" 2487.4379 "/>
    <s v=" 63.4 "/>
    <x v="0"/>
    <n v="157704"/>
    <m/>
    <m/>
    <m/>
  </r>
  <r>
    <x v="13"/>
    <x v="5"/>
    <s v="F:\images\20210312\plaque 2/@01 Testo 30/F1_01.tif "/>
    <s v=" 18277.261 "/>
    <s v=" 69.1751 "/>
    <x v="0"/>
    <n v="1264332"/>
    <m/>
    <m/>
    <m/>
  </r>
  <r>
    <x v="13"/>
    <x v="5"/>
    <s v="F:\images\20210312\plaque 2/@01 Testo 30/F1_02.tif "/>
    <s v=" 12285.7801 "/>
    <s v=" 68.875 "/>
    <x v="0"/>
    <n v="846183"/>
    <m/>
    <m/>
    <m/>
  </r>
  <r>
    <x v="13"/>
    <x v="5"/>
    <s v="F:\images\20210312\plaque 2/@01 Testo 30/F1_03.tif "/>
    <s v=" 15703.3035 "/>
    <s v=" 68.5992 "/>
    <x v="0"/>
    <n v="1077234"/>
    <m/>
    <m/>
    <m/>
  </r>
  <r>
    <x v="13"/>
    <x v="6"/>
    <s v="F:\images\20210312\plaque 2/@01 Testo 30/G1_01.tif "/>
    <s v=" 26064.023 "/>
    <s v=" 83.4382 "/>
    <x v="0"/>
    <n v="2174734"/>
    <m/>
    <m/>
    <m/>
  </r>
  <r>
    <x v="13"/>
    <x v="6"/>
    <s v="F:\images\20210312\plaque 2/@01 Testo 30/G1_02.tif "/>
    <s v=" 27772.7847 "/>
    <s v=" 82.0249 "/>
    <x v="0"/>
    <n v="2278061"/>
    <m/>
    <m/>
    <m/>
  </r>
  <r>
    <x v="13"/>
    <x v="6"/>
    <s v="F:\images\20210312\plaque 2/@01 Testo 30/G1_03.tif "/>
    <s v=" 28919.1691 "/>
    <s v=" 83.4338 "/>
    <x v="0"/>
    <n v="2412836"/>
    <m/>
    <m/>
    <m/>
  </r>
  <r>
    <x v="13"/>
    <x v="7"/>
    <s v="F:\images\20210312\plaque 2/@01 Testo 30/H1_01- exclu.tif"/>
    <m/>
    <m/>
    <x v="1"/>
    <m/>
    <m/>
    <m/>
    <m/>
  </r>
  <r>
    <x v="13"/>
    <x v="7"/>
    <s v="F:\images\20210312\plaque 2/@01 Testo 30/H1_02- exclu.tif"/>
    <m/>
    <m/>
    <x v="1"/>
    <m/>
    <m/>
    <m/>
    <m/>
  </r>
  <r>
    <x v="13"/>
    <x v="7"/>
    <s v="F:\images\20210312\plaque 2/@01 Testo 30/H1_03- exclu.tif"/>
    <m/>
    <m/>
    <x v="1"/>
    <m/>
    <m/>
    <m/>
    <m/>
  </r>
  <r>
    <x v="1"/>
    <x v="8"/>
    <s v=" "/>
    <m/>
    <m/>
    <x v="1"/>
    <m/>
    <m/>
    <m/>
    <m/>
  </r>
  <r>
    <x v="1"/>
    <x v="8"/>
    <s v="group "/>
    <s v=" "/>
    <s v=" mean of mean fluo "/>
    <x v="2"/>
    <s v=" mean of total fluo "/>
    <s v=" SD total fluo "/>
    <s v=" n fluorescent "/>
    <s v=" n total"/>
  </r>
  <r>
    <x v="13"/>
    <x v="9"/>
    <s v="F:\images\20210312\plaque 2/@01 Testo 30/ "/>
    <s v=" "/>
    <s v=" 69.7705 "/>
    <x v="15"/>
    <s v=" 1078800.83 "/>
    <s v=" 989915.7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312\plaque 2/@02 Testo 30/A2_01.tif "/>
    <s v=" 29459.9165 "/>
    <s v=" 68.3906 "/>
    <x v="0"/>
    <n v="2014781"/>
    <m/>
    <m/>
    <m/>
  </r>
  <r>
    <x v="14"/>
    <x v="0"/>
    <s v="F:\images\20210312\plaque 2/@02 Testo 30/A2_02.tif "/>
    <s v=" 23381.9161 "/>
    <s v=" 66.8807 "/>
    <x v="0"/>
    <n v="1563798"/>
    <m/>
    <m/>
    <m/>
  </r>
  <r>
    <x v="14"/>
    <x v="0"/>
    <s v="F:\images\20210312\plaque 2/@02 Testo 30/A2_03.tif "/>
    <s v=" 27729.5249 "/>
    <s v=" 68.6716 "/>
    <x v="0"/>
    <n v="1904231"/>
    <m/>
    <m/>
    <m/>
  </r>
  <r>
    <x v="14"/>
    <x v="1"/>
    <s v="F:\images\20210312\plaque 2/@02 Testo 30/B2_01.tif "/>
    <s v=" 36662.6714 "/>
    <s v=" 71.0985 "/>
    <x v="0"/>
    <n v="2606662"/>
    <m/>
    <m/>
    <m/>
  </r>
  <r>
    <x v="14"/>
    <x v="1"/>
    <s v="F:\images\20210312\plaque 2/@02 Testo 30/B2_02.tif "/>
    <s v=" 36316.5931 "/>
    <s v=" 72.3186 "/>
    <x v="0"/>
    <n v="2626367"/>
    <m/>
    <m/>
    <m/>
  </r>
  <r>
    <x v="14"/>
    <x v="1"/>
    <s v="F:\images\20210312\plaque 2/@02 Testo 30/B2_03.tif "/>
    <s v=" 30411.6318 "/>
    <s v=" 73.0313 "/>
    <x v="0"/>
    <n v="2221001"/>
    <m/>
    <m/>
    <m/>
  </r>
  <r>
    <x v="14"/>
    <x v="2"/>
    <s v="F:\images\20210312\plaque 2/@02 Testo 30/C2_01- exclu.tif"/>
    <m/>
    <m/>
    <x v="1"/>
    <m/>
    <m/>
    <m/>
    <m/>
  </r>
  <r>
    <x v="14"/>
    <x v="2"/>
    <s v="F:\images\20210312\plaque 2/@02 Testo 30/C2_02.tif "/>
    <s v=" 42221.5543 "/>
    <s v=" 74.9693 "/>
    <x v="0"/>
    <n v="3165319"/>
    <m/>
    <m/>
    <m/>
  </r>
  <r>
    <x v="14"/>
    <x v="2"/>
    <s v="F:\images\20210312\plaque 2/@02 Testo 30/C2_03.tif "/>
    <s v=" 45055.0705 "/>
    <s v=" 75.1008 "/>
    <x v="0"/>
    <n v="3383673"/>
    <m/>
    <m/>
    <m/>
  </r>
  <r>
    <x v="14"/>
    <x v="3"/>
    <s v="F:\images\20210312\plaque 2/@02 Testo 30/D2_01.tif "/>
    <s v=" 6532.2282 "/>
    <s v=" 69.0596 "/>
    <x v="0"/>
    <n v="451113"/>
    <m/>
    <m/>
    <m/>
  </r>
  <r>
    <x v="14"/>
    <x v="3"/>
    <s v="F:\images\20210312\plaque 2/@02 Testo 30/D2_02.tif "/>
    <s v=" 2184.6194 "/>
    <s v=" 64.4851 "/>
    <x v="0"/>
    <n v="140876"/>
    <m/>
    <m/>
    <m/>
  </r>
  <r>
    <x v="14"/>
    <x v="3"/>
    <s v="F:\images\20210312\plaque 2/@02 Testo 30/D2_03.tif "/>
    <s v=" 1816.9111 "/>
    <s v=" 63.381 "/>
    <x v="0"/>
    <n v="115158"/>
    <m/>
    <m/>
    <m/>
  </r>
  <r>
    <x v="14"/>
    <x v="4"/>
    <s v="F:\images\20210312\plaque 2/@02 Testo 30/E2_01.tif "/>
    <s v=" 32812.5502 "/>
    <s v=" 79.1668 "/>
    <x v="0"/>
    <n v="2597664"/>
    <m/>
    <m/>
    <m/>
  </r>
  <r>
    <x v="14"/>
    <x v="4"/>
    <s v="F:\images\20210312\plaque 2/@02 Testo 30/E2_02.tif "/>
    <s v=" 28443.3114 "/>
    <s v=" 76.984 "/>
    <x v="0"/>
    <n v="2189681"/>
    <m/>
    <m/>
    <m/>
  </r>
  <r>
    <x v="14"/>
    <x v="4"/>
    <s v="F:\images\20210312\plaque 2/@02 Testo 30/E2_03.tif "/>
    <s v=" 32336.6925 "/>
    <s v=" 76.0448 "/>
    <x v="0"/>
    <n v="2459038"/>
    <m/>
    <m/>
    <m/>
  </r>
  <r>
    <x v="14"/>
    <x v="5"/>
    <s v="F:\images\20210312\plaque 2/@02 Testo 30/F2_01.tif "/>
    <s v=" 16027.7519 "/>
    <s v=" 71.1525 "/>
    <x v="0"/>
    <n v="1140415"/>
    <m/>
    <m/>
    <m/>
  </r>
  <r>
    <x v="14"/>
    <x v="5"/>
    <s v="F:\images\20210312\plaque 2/@02 Testo 30/F2_02.tif "/>
    <s v=" 14924.6273 "/>
    <s v=" 70.613 "/>
    <x v="0"/>
    <n v="1053873"/>
    <m/>
    <m/>
    <m/>
  </r>
  <r>
    <x v="14"/>
    <x v="5"/>
    <s v="F:\images\20210312\plaque 2/@02 Testo 30/F2_03.tif "/>
    <s v=" 14448.7696 "/>
    <s v=" 68.524 "/>
    <x v="0"/>
    <n v="990087"/>
    <m/>
    <m/>
    <m/>
  </r>
  <r>
    <x v="14"/>
    <x v="6"/>
    <s v="F:\images\20210312\plaque 2/@02 Testo 30/G2_01.tif "/>
    <s v=" 19877.8732 "/>
    <s v=" 69.8966 "/>
    <x v="0"/>
    <n v="1389396"/>
    <m/>
    <m/>
    <m/>
  </r>
  <r>
    <x v="14"/>
    <x v="6"/>
    <s v="F:\images\20210312\plaque 2/@02 Testo 30/G2_02.tif "/>
    <s v=" 19250.6062 "/>
    <s v=" 73.7989 "/>
    <x v="0"/>
    <n v="1420673"/>
    <m/>
    <m/>
    <m/>
  </r>
  <r>
    <x v="14"/>
    <x v="6"/>
    <s v="F:\images\20210312\plaque 2/@02 Testo 30/G2_03.tif "/>
    <s v=" 11463.8442 "/>
    <s v=" 71.9849 "/>
    <x v="0"/>
    <n v="825224"/>
    <m/>
    <m/>
    <m/>
  </r>
  <r>
    <x v="14"/>
    <x v="7"/>
    <s v="F:\images\20210312\plaque 2/@02 Testo 30/H2_01.tif "/>
    <s v=" 42935.3408 "/>
    <s v=" 71.6161 "/>
    <x v="0"/>
    <n v="3074863"/>
    <m/>
    <m/>
    <m/>
  </r>
  <r>
    <x v="14"/>
    <x v="7"/>
    <s v="F:\images\20210312\plaque 2/@02 Testo 30/H2_02.tif "/>
    <s v=" 42740.6718 "/>
    <s v=" 70.6559 "/>
    <x v="0"/>
    <n v="3019879"/>
    <m/>
    <m/>
    <m/>
  </r>
  <r>
    <x v="14"/>
    <x v="7"/>
    <s v="F:\images\20210312\plaque 2/@02 Testo 30/H2_03.tif "/>
    <s v=" 38955.4402 "/>
    <s v=" 70.7202 "/>
    <x v="0"/>
    <n v="2754935"/>
    <m/>
    <m/>
    <m/>
  </r>
  <r>
    <x v="1"/>
    <x v="8"/>
    <s v=" "/>
    <m/>
    <m/>
    <x v="1"/>
    <m/>
    <m/>
    <m/>
    <m/>
  </r>
  <r>
    <x v="1"/>
    <x v="8"/>
    <s v="group "/>
    <s v=" "/>
    <s v=" mean of mean fluo "/>
    <x v="2"/>
    <s v=" mean of total fluo "/>
    <s v=" SD total fluo "/>
    <s v=" n fluorescent "/>
    <s v=" n total"/>
  </r>
  <r>
    <x v="14"/>
    <x v="9"/>
    <s v="F:\images\20210312\plaque 2/@02 Testo 30/ "/>
    <s v=" "/>
    <s v=" 71.4331 "/>
    <x v="16"/>
    <s v=" 1926694.67 "/>
    <s v=" 998991.37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312\plaque 2/@03 Testo+ EE2 64/A3_01.tif "/>
    <s v=" 35624.4365 "/>
    <s v=" 83.119 "/>
    <x v="0"/>
    <n v="2961068"/>
    <m/>
    <m/>
    <m/>
  </r>
  <r>
    <x v="15"/>
    <x v="0"/>
    <s v="F:\images\20210312\plaque 2/@03 Testo+ EE2 64/A3_02.tif "/>
    <s v=" 39799.0061 "/>
    <s v=" 79.3054 "/>
    <x v="0"/>
    <n v="3156277"/>
    <m/>
    <m/>
    <m/>
  </r>
  <r>
    <x v="15"/>
    <x v="0"/>
    <s v="F:\images\20210312\plaque 2/@03 Testo+ EE2 64/A3_03.tif "/>
    <s v=" 39366.4082 "/>
    <s v=" 77.1841 "/>
    <x v="0"/>
    <n v="3038459"/>
    <m/>
    <m/>
    <m/>
  </r>
  <r>
    <x v="15"/>
    <x v="1"/>
    <s v="F:\images\20210312\plaque 2/@03 Testo+ EE2 64/B3_01.tif "/>
    <s v=" 15184.186 "/>
    <s v=" 68.3789 "/>
    <x v="0"/>
    <n v="1038278"/>
    <m/>
    <m/>
    <m/>
  </r>
  <r>
    <x v="15"/>
    <x v="1"/>
    <s v="F:\images\20210312\plaque 2/@03 Testo+ EE2 64/B3_02.tif "/>
    <s v=" 14643.4387 "/>
    <s v=" 67.3205 "/>
    <x v="0"/>
    <n v="985804"/>
    <m/>
    <m/>
    <m/>
  </r>
  <r>
    <x v="15"/>
    <x v="1"/>
    <s v="F:\images\20210312\plaque 2/@03 Testo+ EE2 64/B3_03.tif "/>
    <s v=" 11766.6627 "/>
    <s v=" 68.3566 "/>
    <x v="0"/>
    <n v="804329"/>
    <m/>
    <m/>
    <m/>
  </r>
  <r>
    <x v="15"/>
    <x v="2"/>
    <s v="F:\images\20210312\plaque 2/@03 Testo+ EE2 64/C3_01.tif "/>
    <s v=" 17931.1826 "/>
    <s v=" 67.8878 "/>
    <x v="0"/>
    <n v="1217309"/>
    <m/>
    <m/>
    <m/>
  </r>
  <r>
    <x v="15"/>
    <x v="2"/>
    <s v="F:\images\20210312\plaque 2/@03 Testo+ EE2 64/C3_02.tif "/>
    <s v=" 13021.1966 "/>
    <s v=" 67.3721 "/>
    <x v="0"/>
    <n v="877265"/>
    <m/>
    <m/>
    <m/>
  </r>
  <r>
    <x v="15"/>
    <x v="2"/>
    <s v="F:\images\20210312\plaque 2/@03 Testo+ EE2 64/C3_03.tif "/>
    <s v=" 13453.7945 "/>
    <s v=" 69.5932 "/>
    <x v="0"/>
    <n v="936293"/>
    <m/>
    <m/>
    <m/>
  </r>
  <r>
    <x v="15"/>
    <x v="3"/>
    <s v="F:\images\20210312\plaque 2/@03 Testo+ EE2 64/D3_01.tif "/>
    <s v=" 23879.4037 "/>
    <s v=" 82.2219 "/>
    <x v="0"/>
    <n v="1963410"/>
    <m/>
    <m/>
    <m/>
  </r>
  <r>
    <x v="15"/>
    <x v="3"/>
    <s v="F:\images\20210312\plaque 2/@03 Testo+ EE2 64/D3_02.tif "/>
    <s v=" 23360.2862 "/>
    <s v=" 82.5574 "/>
    <x v="0"/>
    <n v="1928565"/>
    <m/>
    <m/>
    <m/>
  </r>
  <r>
    <x v="15"/>
    <x v="3"/>
    <s v="F:\images\20210312\plaque 2/@03 Testo+ EE2 64/D3_03.tif "/>
    <s v=" 24463.4108 "/>
    <s v=" 83.2785 "/>
    <x v="0"/>
    <n v="2037277"/>
    <m/>
    <m/>
    <m/>
  </r>
  <r>
    <x v="15"/>
    <x v="4"/>
    <s v="F:\images\20210312\plaque 2/@03 Testo+ EE2 64/E3_01.tif "/>
    <s v=" 68869.5845 "/>
    <s v=" 77.8153 "/>
    <x v="0"/>
    <n v="5359109"/>
    <m/>
    <m/>
    <m/>
  </r>
  <r>
    <x v="15"/>
    <x v="4"/>
    <s v="F:\images\20210312\plaque 2/@03 Testo+ EE2 64/E3_02.tif "/>
    <s v=" 57600.4094 "/>
    <s v=" 76.7597 "/>
    <x v="0"/>
    <n v="4421388"/>
    <m/>
    <m/>
    <m/>
  </r>
  <r>
    <x v="15"/>
    <x v="4"/>
    <s v="F:\images\20210312\plaque 2/@03 Testo+ EE2 64/E3_03.tif "/>
    <s v=" 57557.1496 "/>
    <s v=" 78.0428 "/>
    <x v="0"/>
    <n v="4491923"/>
    <m/>
    <m/>
    <m/>
  </r>
  <r>
    <x v="15"/>
    <x v="5"/>
    <s v="F:\images\20210312\plaque 2/@03 Testo+ EE2 64/F3_01.tif "/>
    <s v=" 54528.9644 "/>
    <s v=" 74.002 "/>
    <x v="0"/>
    <n v="4035252"/>
    <m/>
    <m/>
    <m/>
  </r>
  <r>
    <x v="15"/>
    <x v="5"/>
    <s v="F:\images\20210312\plaque 2/@03 Testo+ EE2 64/F3_02.tif "/>
    <s v=" 50657.2132 "/>
    <s v=" 73.4415 "/>
    <x v="0"/>
    <n v="3720342"/>
    <m/>
    <m/>
    <m/>
  </r>
  <r>
    <x v="15"/>
    <x v="5"/>
    <s v="F:\images\20210312\plaque 2/@03 Testo+ EE2 64/F3_03.tif "/>
    <s v=" 59914.8081 "/>
    <s v=" 79.5859 "/>
    <x v="0"/>
    <n v="4768375"/>
    <m/>
    <m/>
    <m/>
  </r>
  <r>
    <x v="15"/>
    <x v="6"/>
    <s v="F:\images\20210312\plaque 2/@03 Testo+ EE2 64/G3_01.tif "/>
    <s v=" 43216.5295 "/>
    <s v=" 79.3113 "/>
    <x v="0"/>
    <n v="3427560"/>
    <m/>
    <m/>
    <m/>
  </r>
  <r>
    <x v="15"/>
    <x v="6"/>
    <s v="F:\images\20210312\plaque 2/@03 Testo+ EE2 64/G3_02.tif "/>
    <s v=" 43843.7964 "/>
    <s v=" 79.779 "/>
    <x v="0"/>
    <n v="3497814"/>
    <m/>
    <m/>
    <m/>
  </r>
  <r>
    <x v="15"/>
    <x v="6"/>
    <s v="F:\images\20210312\plaque 2/@03 Testo+ EE2 64/G3_03.tif "/>
    <s v=" 42589.2625 "/>
    <s v=" 78.4474 "/>
    <x v="0"/>
    <n v="3341018"/>
    <m/>
    <m/>
    <m/>
  </r>
  <r>
    <x v="15"/>
    <x v="7"/>
    <s v="F:\images\20210312\plaque 2/@03 Testo+ EE2 64/H3_01.tif "/>
    <s v=" 21283.8163 "/>
    <s v=" 75.9614 "/>
    <x v="0"/>
    <n v="1616748"/>
    <m/>
    <m/>
    <m/>
  </r>
  <r>
    <x v="15"/>
    <x v="7"/>
    <s v="F:\images\20210312\plaque 2/@03 Testo+ EE2 64/H3_02.tif "/>
    <s v=" 23014.2079 "/>
    <s v=" 73.11 "/>
    <x v="0"/>
    <n v="1682568"/>
    <m/>
    <m/>
    <m/>
  </r>
  <r>
    <x v="15"/>
    <x v="7"/>
    <s v="F:\images\20210312\plaque 2/@03 Testo+ EE2 64/H3_03.tif "/>
    <s v=" 23857.7738 "/>
    <s v=" 75.1523 "/>
    <x v="0"/>
    <n v="1792967"/>
    <m/>
    <m/>
    <m/>
  </r>
  <r>
    <x v="1"/>
    <x v="8"/>
    <s v=" "/>
    <m/>
    <m/>
    <x v="1"/>
    <m/>
    <m/>
    <m/>
    <m/>
  </r>
  <r>
    <x v="1"/>
    <x v="8"/>
    <s v="group "/>
    <s v=" "/>
    <s v=" mean of mean fluo "/>
    <x v="2"/>
    <s v=" mean of total fluo "/>
    <s v=" SD total fluo "/>
    <s v=" n fluorescent "/>
    <s v=" n total"/>
  </r>
  <r>
    <x v="15"/>
    <x v="9"/>
    <s v="F:\images\20210312\plaque 2/@03 Testo+ EE2 64/ "/>
    <s v=" "/>
    <s v=" 75.7493 "/>
    <x v="17"/>
    <s v=" 2629141.58 "/>
    <s v=" 1394512.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312\plaque 2/@04 Testo+ FAD/A4_01.tif "/>
    <s v=" 4996.5057 "/>
    <s v=" 69.8398 "/>
    <x v="0"/>
    <n v="348955"/>
    <m/>
    <m/>
    <m/>
  </r>
  <r>
    <x v="16"/>
    <x v="0"/>
    <s v="F:\images\20210312\plaque 2/@04 Testo+ FAD/A4_02- exclu.tif"/>
    <m/>
    <m/>
    <x v="1"/>
    <m/>
    <m/>
    <m/>
    <m/>
  </r>
  <r>
    <x v="16"/>
    <x v="0"/>
    <s v="F:\images\20210312\plaque 2/@04 Testo+ FAD/A4_03.tif "/>
    <s v=" 1059.8648 "/>
    <s v=" 65.4082 "/>
    <x v="0"/>
    <n v="69324"/>
    <m/>
    <m/>
    <m/>
  </r>
  <r>
    <x v="16"/>
    <x v="1"/>
    <s v="F:\images\20210312\plaque 2/@04 Testo+ FAD/B4_01.tif "/>
    <s v=" 6640.3777 "/>
    <s v=" 72.0684 "/>
    <x v="0"/>
    <n v="478561"/>
    <m/>
    <m/>
    <m/>
  </r>
  <r>
    <x v="16"/>
    <x v="1"/>
    <s v="F:\images\20210312\plaque 2/@04 Testo+ FAD/B4_02.tif "/>
    <s v=" 173.0392 "/>
    <n v="63"/>
    <x v="0"/>
    <n v="10901"/>
    <m/>
    <m/>
    <m/>
  </r>
  <r>
    <x v="16"/>
    <x v="1"/>
    <s v="F:\images\20210312\plaque 2/@04 Testo+ FAD/B4_03.tif "/>
    <s v=" 5580.5128 "/>
    <s v=" 68.6822 "/>
    <x v="0"/>
    <n v="383282"/>
    <m/>
    <m/>
    <m/>
  </r>
  <r>
    <x v="16"/>
    <x v="2"/>
    <s v="F:\images\20210312\plaque 2/@04 Testo+ FAD/C4_01.tif "/>
    <s v=" 713.7865 "/>
    <s v=" 62.9697 "/>
    <x v="0"/>
    <n v="44947"/>
    <m/>
    <m/>
    <m/>
  </r>
  <r>
    <x v="16"/>
    <x v="2"/>
    <s v="F:\images\20210312\plaque 2/@04 Testo+ FAD/C4_02.tif "/>
    <s v=" 865.1958 "/>
    <s v=" 63.05 "/>
    <x v="0"/>
    <n v="54551"/>
    <m/>
    <m/>
    <m/>
  </r>
  <r>
    <x v="16"/>
    <x v="2"/>
    <s v="F:\images\20210312\plaque 2/@04 Testo+ FAD/C4_03.tif "/>
    <s v=" 367.7082 "/>
    <s v=" 62.9412 "/>
    <x v="0"/>
    <n v="23144"/>
    <m/>
    <m/>
    <m/>
  </r>
  <r>
    <x v="16"/>
    <x v="3"/>
    <s v="F:\images\20210312\plaque 2/@04 Testo+ FAD/D4_01.tif "/>
    <s v=" 2833.5162 "/>
    <s v=" 64.4656 "/>
    <x v="0"/>
    <n v="182664"/>
    <m/>
    <m/>
    <m/>
  </r>
  <r>
    <x v="16"/>
    <x v="3"/>
    <s v="F:\images\20210312\plaque 2/@04 Testo+ FAD/D4_02.tif "/>
    <s v=" 3352.6337 "/>
    <s v=" 70.4323 "/>
    <x v="0"/>
    <n v="236134"/>
    <m/>
    <m/>
    <m/>
  </r>
  <r>
    <x v="16"/>
    <x v="3"/>
    <s v="F:\images\20210312\plaque 2/@04 Testo+ FAD/D4_03.tif "/>
    <s v=" 173.0392 "/>
    <n v="63"/>
    <x v="0"/>
    <n v="10901"/>
    <m/>
    <m/>
    <m/>
  </r>
  <r>
    <x v="16"/>
    <x v="4"/>
    <s v="F:\images\20210312\plaque 2/@04 Testo+ FAD/E4_01- exclu.tif"/>
    <m/>
    <m/>
    <x v="1"/>
    <m/>
    <m/>
    <m/>
    <m/>
  </r>
  <r>
    <x v="16"/>
    <x v="4"/>
    <s v="F:\images\20210312\plaque 2/@04 Testo+ FAD/E4_02.tif "/>
    <s v=" 1773.6514 "/>
    <s v=" 63.4878 "/>
    <x v="0"/>
    <n v="112605"/>
    <m/>
    <m/>
    <m/>
  </r>
  <r>
    <x v="16"/>
    <x v="4"/>
    <s v="F:\images\20210312\plaque 2/@04 Testo+ FAD/E4_03.tif "/>
    <s v=" 5602.1427 "/>
    <s v=" 68.4363 "/>
    <x v="0"/>
    <n v="383390"/>
    <m/>
    <m/>
    <m/>
  </r>
  <r>
    <x v="16"/>
    <x v="5"/>
    <s v="F:\images\20210312\plaque 2/@04 Testo+ FAD/F4_01- exclu.tif"/>
    <m/>
    <m/>
    <x v="1"/>
    <m/>
    <m/>
    <m/>
    <m/>
  </r>
  <r>
    <x v="16"/>
    <x v="5"/>
    <s v="F:\images\20210312\plaque 2/@04 Testo+ FAD/F4_02.tif "/>
    <s v=" 930.0855 "/>
    <s v=" 67.1628 "/>
    <x v="0"/>
    <n v="62467"/>
    <m/>
    <m/>
    <m/>
  </r>
  <r>
    <x v="16"/>
    <x v="5"/>
    <s v="F:\images\20210312\plaque 2/@04 Testo+ FAD/F4_03.tif "/>
    <s v=" 2141.3596 "/>
    <s v=" 65.0202 "/>
    <x v="0"/>
    <n v="139232"/>
    <m/>
    <m/>
    <m/>
  </r>
  <r>
    <x v="16"/>
    <x v="6"/>
    <s v="F:\images\20210312\plaque 2/@04 Testo+ FAD/G4_01.tif "/>
    <s v=" 2141.3596 "/>
    <s v=" 65.5859 "/>
    <x v="0"/>
    <n v="140443"/>
    <m/>
    <m/>
    <m/>
  </r>
  <r>
    <x v="16"/>
    <x v="6"/>
    <s v="F:\images\20210312\plaque 2/@04 Testo+ FAD/G4_02.tif "/>
    <s v=" 454.2278 "/>
    <s v=" 66.9048 "/>
    <x v="0"/>
    <n v="30390"/>
    <m/>
    <m/>
    <m/>
  </r>
  <r>
    <x v="16"/>
    <x v="6"/>
    <s v="F:\images\20210312\plaque 2/@04 Testo+ FAD/G4_03.tif "/>
    <s v=" 194.6691 "/>
    <s v=" 64.5556 "/>
    <x v="0"/>
    <n v="12567"/>
    <m/>
    <m/>
    <m/>
  </r>
  <r>
    <x v="16"/>
    <x v="7"/>
    <s v="F:\images\20210312\plaque 2/@04 Testo+ FAD/H4_01.tif "/>
    <s v=" 4996.5057 "/>
    <s v=" 66.7706 "/>
    <x v="0"/>
    <n v="333619"/>
    <m/>
    <m/>
    <m/>
  </r>
  <r>
    <x v="16"/>
    <x v="7"/>
    <s v="F:\images\20210312\plaque 2/@04 Testo+ FAD/H4_02.tif "/>
    <s v=" 6229.4097 "/>
    <s v=" 68.25 "/>
    <x v="0"/>
    <n v="425157"/>
    <m/>
    <m/>
    <m/>
  </r>
  <r>
    <x v="16"/>
    <x v="7"/>
    <s v="F:\images\20210312\plaque 2/@04 Testo+ FAD/H4_03.tif "/>
    <s v=" 5667.0324 "/>
    <s v=" 70.2176 "/>
    <x v="0"/>
    <n v="397925"/>
    <m/>
    <m/>
    <m/>
  </r>
  <r>
    <x v="1"/>
    <x v="8"/>
    <s v=" "/>
    <m/>
    <m/>
    <x v="1"/>
    <m/>
    <m/>
    <m/>
    <m/>
  </r>
  <r>
    <x v="1"/>
    <x v="8"/>
    <s v="group "/>
    <s v=" "/>
    <s v=" mean of mean fluo "/>
    <x v="2"/>
    <s v=" mean of total fluo "/>
    <s v=" SD total fluo "/>
    <s v=" n fluorescent "/>
    <s v=" n total"/>
  </r>
  <r>
    <x v="16"/>
    <x v="9"/>
    <s v="F:\images\20210312\plaque 2/@04 Testo+ FAD/ "/>
    <s v=" "/>
    <s v=" 66.5133 "/>
    <x v="18"/>
    <n v="213533"/>
    <s v=" 189132.62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312\plaque 2/@05 Amantadine 0.001 mg_L dopé/A5_01.tif "/>
    <s v=" 37679.2764 "/>
    <s v=" 70.624 "/>
    <x v="0"/>
    <n v="2661061"/>
    <m/>
    <m/>
    <m/>
  </r>
  <r>
    <x v="17"/>
    <x v="0"/>
    <s v="F:\images\20210312\plaque 2/@05 Amantadine 0.001 mg_L dopé/A5_02.tif "/>
    <s v=" 40058.5649 "/>
    <s v=" 70.906 "/>
    <x v="0"/>
    <n v="2840395"/>
    <m/>
    <m/>
    <m/>
  </r>
  <r>
    <x v="17"/>
    <x v="0"/>
    <s v="F:\images\20210312\plaque 2/@05 Amantadine 0.001 mg_L dopé/A5_03.tif "/>
    <s v=" 35321.6179 "/>
    <s v=" 69.2107 "/>
    <x v="0"/>
    <n v="2444632"/>
    <m/>
    <m/>
    <m/>
  </r>
  <r>
    <x v="17"/>
    <x v="1"/>
    <s v="F:\images\20210312\plaque 2/@05 Amantadine 0.001 mg_L dopé/B5_01.tif "/>
    <s v=" 28486.5712 "/>
    <s v=" 69.7077 "/>
    <x v="0"/>
    <n v="1985732"/>
    <m/>
    <m/>
    <m/>
  </r>
  <r>
    <x v="17"/>
    <x v="1"/>
    <s v="F:\images\20210312\plaque 2/@05 Amantadine 0.001 mg_L dopé/B5_02.tif "/>
    <s v=" 26712.9199 "/>
    <s v=" 69.4648 "/>
    <x v="0"/>
    <n v="1855607"/>
    <m/>
    <m/>
    <m/>
  </r>
  <r>
    <x v="17"/>
    <x v="1"/>
    <s v="F:\images\20210312\plaque 2/@05 Amantadine 0.001 mg_L dopé/B5_03.tif "/>
    <s v=" 29459.9165 "/>
    <s v=" 69.928 "/>
    <x v="0"/>
    <n v="2060074"/>
    <m/>
    <m/>
    <m/>
  </r>
  <r>
    <x v="17"/>
    <x v="2"/>
    <s v="F:\images\20210312\plaque 2/@05 Amantadine 0.001 mg_L dopé/C5_01.tif "/>
    <s v=" 4282.7191 "/>
    <s v=" 64.3636 "/>
    <x v="0"/>
    <n v="275651"/>
    <m/>
    <m/>
    <m/>
  </r>
  <r>
    <x v="17"/>
    <x v="2"/>
    <s v="F:\images\20210312\plaque 2/@05 Amantadine 0.001 mg_L dopé/C5_02.tif "/>
    <s v=" 5429.1036 "/>
    <s v=" 66.4064 "/>
    <x v="0"/>
    <n v="360527"/>
    <m/>
    <m/>
    <m/>
  </r>
  <r>
    <x v="17"/>
    <x v="2"/>
    <s v="F:\images\20210312\plaque 2/@05 Amantadine 0.001 mg_L dopé/C5_03.tif "/>
    <s v=" 5429.1036 "/>
    <s v=" 63.6494 "/>
    <x v="0"/>
    <n v="345559"/>
    <m/>
    <m/>
    <m/>
  </r>
  <r>
    <x v="17"/>
    <x v="3"/>
    <s v="F:\images\20210312\plaque 2/@05 Amantadine 0.001 mg_L dopé/D5_01.tif "/>
    <s v=" 18190.7414 "/>
    <s v=" 68.2723 "/>
    <x v="0"/>
    <n v="1241924"/>
    <m/>
    <m/>
    <m/>
  </r>
  <r>
    <x v="17"/>
    <x v="3"/>
    <s v="F:\images\20210312\plaque 2/@05 Amantadine 0.001 mg_L dopé/D5_02.tif "/>
    <s v=" 16373.8302 "/>
    <s v=" 67.1189 "/>
    <x v="0"/>
    <n v="1098993"/>
    <m/>
    <m/>
    <m/>
  </r>
  <r>
    <x v="17"/>
    <x v="3"/>
    <s v="F:\images\20210312\plaque 2/@05 Amantadine 0.001 mg_L dopé/D5_03.tif "/>
    <s v=" 14448.7696 "/>
    <s v=" 67.4731 "/>
    <x v="0"/>
    <n v="974903"/>
    <m/>
    <m/>
    <m/>
  </r>
  <r>
    <x v="17"/>
    <x v="4"/>
    <s v="F:\images\20210312\plaque 2/@05 Amantadine 0.001 mg_L dopé/E5_01.tif "/>
    <s v=" 9776.7124 "/>
    <s v=" 69.0376 "/>
    <x v="0"/>
    <n v="674961"/>
    <m/>
    <m/>
    <m/>
  </r>
  <r>
    <x v="17"/>
    <x v="4"/>
    <s v="F:\images\20210312\plaque 2/@05 Amantadine 0.001 mg_L dopé/E5_02.tif "/>
    <s v=" 10728.4277 "/>
    <s v=" 69.5423 "/>
    <x v="0"/>
    <n v="746080"/>
    <m/>
    <m/>
    <m/>
  </r>
  <r>
    <x v="17"/>
    <x v="4"/>
    <s v="F:\images\20210312\plaque 2/@05 Amantadine 0.001 mg_L dopé/E5_03.tif "/>
    <s v=" 12134.3709 "/>
    <s v=" 68.1889 "/>
    <x v="0"/>
    <n v="827430"/>
    <m/>
    <m/>
    <m/>
  </r>
  <r>
    <x v="17"/>
    <x v="5"/>
    <s v="F:\images\20210312\plaque 2/@05 Amantadine 0.001 mg_L dopé/F5_01.tif "/>
    <s v=" 10836.5772 "/>
    <s v=" 68.2794 "/>
    <x v="0"/>
    <n v="739915"/>
    <m/>
    <m/>
    <m/>
  </r>
  <r>
    <x v="17"/>
    <x v="5"/>
    <s v="F:\images\20210312\plaque 2/@05 Amantadine 0.001 mg_L dopé/F5_02.tif "/>
    <s v=" 8543.8084 "/>
    <s v=" 67.2304 "/>
    <x v="0"/>
    <n v="574403"/>
    <m/>
    <m/>
    <m/>
  </r>
  <r>
    <x v="17"/>
    <x v="5"/>
    <s v="F:\images\20210312\plaque 2/@05 Amantadine 0.001 mg_L dopé/F5_03.tif "/>
    <s v=" 4628.7975 "/>
    <s v=" 64.2196 "/>
    <x v="0"/>
    <n v="297260"/>
    <m/>
    <m/>
    <m/>
  </r>
  <r>
    <x v="17"/>
    <x v="6"/>
    <s v="F:\images\20210312\plaque 2/@05 Amantadine 0.001 mg_L dopé/G5_01.tif "/>
    <s v=" 38933.8103 "/>
    <s v=" 74.9217 "/>
    <x v="0"/>
    <n v="2916986"/>
    <m/>
    <m/>
    <m/>
  </r>
  <r>
    <x v="17"/>
    <x v="6"/>
    <s v="F:\images\20210312\plaque 2/@05 Amantadine 0.001 mg_L dopé/G5_02.tif "/>
    <s v=" 36857.3404 "/>
    <s v=" 76.3292 "/>
    <x v="0"/>
    <n v="2813292"/>
    <m/>
    <m/>
    <m/>
  </r>
  <r>
    <x v="17"/>
    <x v="6"/>
    <s v="F:\images\20210312\plaque 2/@05 Amantadine 0.001 mg_L dopé/G5_03.tif "/>
    <s v=" 35862.3653 "/>
    <s v=" 73.7714 "/>
    <x v="0"/>
    <n v="2645617"/>
    <m/>
    <m/>
    <m/>
  </r>
  <r>
    <x v="17"/>
    <x v="7"/>
    <s v="F:\images\20210312\plaque 2/@05 Amantadine 0.001 mg_L dopé/H5_01.tif "/>
    <s v=" 35862.3653 "/>
    <s v=" 72.3758 "/>
    <x v="0"/>
    <n v="2595566"/>
    <m/>
    <m/>
    <m/>
  </r>
  <r>
    <x v="17"/>
    <x v="7"/>
    <s v="F:\images\20210312\plaque 2/@05 Amantadine 0.001 mg_L dopé/H5_02.tif "/>
    <s v=" 30692.8205 "/>
    <s v=" 72.1247 "/>
    <x v="0"/>
    <n v="2213712"/>
    <m/>
    <m/>
    <m/>
  </r>
  <r>
    <x v="17"/>
    <x v="7"/>
    <s v="F:\images\20210312\plaque 2/@05 Amantadine 0.001 mg_L dopé/H5_03.tif "/>
    <s v=" 33158.6285 "/>
    <s v=" 71.4436 "/>
    <x v="0"/>
    <n v="2368971"/>
    <m/>
    <m/>
    <m/>
  </r>
  <r>
    <x v="1"/>
    <x v="8"/>
    <s v=" "/>
    <m/>
    <m/>
    <x v="1"/>
    <m/>
    <m/>
    <m/>
    <m/>
  </r>
  <r>
    <x v="1"/>
    <x v="8"/>
    <s v="group "/>
    <s v=" "/>
    <s v=" mean of mean fluo "/>
    <x v="2"/>
    <s v=" mean of total fluo "/>
    <s v=" SD total fluo "/>
    <s v=" n fluorescent "/>
    <s v=" n total"/>
  </r>
  <r>
    <x v="17"/>
    <x v="9"/>
    <s v="F:\images\20210312\plaque 2/@05 Amantadine 0.001 mg_L dopé/ "/>
    <s v=" "/>
    <s v=" 69.3579 "/>
    <x v="19"/>
    <s v=" 1564968.79 "/>
    <s v=" 963178.26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312\plaque 2/@06  Amantadine 0.01 mg_LLdopé/A6_01.tif "/>
    <s v=" 53880.0675 "/>
    <s v=" 75.5765 "/>
    <x v="0"/>
    <n v="4072066"/>
    <m/>
    <m/>
    <m/>
  </r>
  <r>
    <x v="18"/>
    <x v="0"/>
    <s v="F:\images\20210312\plaque 2/@06  Amantadine 0.01 mg_LLdopé/A6_02.tif "/>
    <s v=" 53404.2098 "/>
    <s v=" 74.2438 "/>
    <x v="0"/>
    <n v="3964933"/>
    <m/>
    <m/>
    <m/>
  </r>
  <r>
    <x v="18"/>
    <x v="0"/>
    <s v="F:\images\20210312\plaque 2/@06  Amantadine 0.01 mg_LLdopé/A6_03.tif "/>
    <s v=" 53793.5479 "/>
    <s v=" 75.7117 "/>
    <x v="0"/>
    <n v="4072801"/>
    <m/>
    <m/>
    <m/>
  </r>
  <r>
    <x v="18"/>
    <x v="1"/>
    <s v="F:\images\20210312\plaque 2/@06  Amantadine 0.01 mg_LLdopé/B6_01.tif "/>
    <s v=" 3698.712 "/>
    <s v=" 64.5789 "/>
    <x v="0"/>
    <n v="238859"/>
    <m/>
    <m/>
    <m/>
  </r>
  <r>
    <x v="18"/>
    <x v="1"/>
    <s v="F:\images\20210312\plaque 2/@06  Amantadine 0.01 mg_LLdopé/B6_02.tif "/>
    <s v=" 5926.5911 "/>
    <s v=" 66.3905 "/>
    <x v="0"/>
    <n v="393469"/>
    <m/>
    <m/>
    <m/>
  </r>
  <r>
    <x v="18"/>
    <x v="1"/>
    <s v="F:\images\20210312\plaque 2/@06  Amantadine 0.01 mg_LLdopé/B6_03.tif "/>
    <s v=" 2876.776 "/>
    <s v=" 62.9398 "/>
    <x v="0"/>
    <n v="181064"/>
    <m/>
    <m/>
    <m/>
  </r>
  <r>
    <x v="18"/>
    <x v="2"/>
    <s v="F:\images\20210312\plaque 2/@06  Amantadine 0.01 mg_LLdopé/C6_01.tif "/>
    <s v=" 41161.6895 "/>
    <s v=" 73.2533 "/>
    <x v="0"/>
    <n v="3015229"/>
    <m/>
    <m/>
    <m/>
  </r>
  <r>
    <x v="18"/>
    <x v="2"/>
    <s v="F:\images\20210312\plaque 2/@06  Amantadine 0.01 mg_LLdopé/C6_02.tif "/>
    <s v=" 41594.2874 "/>
    <s v=" 75.9496 "/>
    <x v="0"/>
    <n v="3159068"/>
    <m/>
    <m/>
    <m/>
  </r>
  <r>
    <x v="18"/>
    <x v="2"/>
    <s v="F:\images\20210312\plaque 2/@06  Amantadine 0.01 mg_LLdopé/C6_03.tif "/>
    <s v=" 43692.3872 "/>
    <s v=" 72.8767 "/>
    <x v="0"/>
    <n v="3184158"/>
    <m/>
    <m/>
    <m/>
  </r>
  <r>
    <x v="18"/>
    <x v="3"/>
    <s v="F:\images\20210312\plaque 2/@06  Amantadine 0.01 mg_LLdopé/D6_01.tif "/>
    <s v=" 14729.9582 "/>
    <s v=" 67.373 "/>
    <x v="0"/>
    <n v="992401"/>
    <m/>
    <m/>
    <m/>
  </r>
  <r>
    <x v="18"/>
    <x v="3"/>
    <s v="F:\images\20210312\plaque 2/@06  Amantadine 0.01 mg_LLdopé/D6_02.tif "/>
    <s v=" 15292.3355 "/>
    <s v=" 67.7595 "/>
    <x v="0"/>
    <n v="1036202"/>
    <m/>
    <m/>
    <m/>
  </r>
  <r>
    <x v="18"/>
    <x v="3"/>
    <s v="F:\images\20210312\plaque 2/@06  Amantadine 0.01 mg_LLdopé/D6_03.tif "/>
    <s v=" 17498.5848 "/>
    <s v=" 68.4549 "/>
    <x v="0"/>
    <n v="1197864"/>
    <m/>
    <m/>
    <m/>
  </r>
  <r>
    <x v="18"/>
    <x v="4"/>
    <s v="F:\images\20210312\plaque 2/@06  Amantadine 0.01 mg_LLdopé/E6_01- exclu.tif"/>
    <m/>
    <m/>
    <x v="1"/>
    <m/>
    <m/>
    <m/>
    <m/>
  </r>
  <r>
    <x v="18"/>
    <x v="4"/>
    <s v="F:\images\20210312\plaque 2/@06  Amantadine 0.01 mg_LLdopé/E6_02.tif "/>
    <s v=" 36013.7746 "/>
    <s v=" 71.17 "/>
    <x v="0"/>
    <n v="2563099"/>
    <m/>
    <m/>
    <m/>
  </r>
  <r>
    <x v="18"/>
    <x v="4"/>
    <s v="F:\images\20210312\plaque 2/@06  Amantadine 0.01 mg_LLdopé/E6_03.tif "/>
    <s v=" 37917.2053 "/>
    <s v=" 72.7062 "/>
    <x v="0"/>
    <n v="2756817"/>
    <m/>
    <m/>
    <m/>
  </r>
  <r>
    <x v="18"/>
    <x v="5"/>
    <s v="F:\images\20210312\plaque 2/@06  Amantadine 0.01 mg_LLdopé/F6_01- exclu.tif"/>
    <m/>
    <m/>
    <x v="1"/>
    <m/>
    <m/>
    <m/>
    <m/>
  </r>
  <r>
    <x v="18"/>
    <x v="5"/>
    <s v="F:\images\20210312\plaque 2/@06  Amantadine 0.01 mg_LLdopé/F6_02.tif "/>
    <s v=" 5320.9541 "/>
    <s v=" 65.687 "/>
    <x v="0"/>
    <n v="349517"/>
    <m/>
    <m/>
    <m/>
  </r>
  <r>
    <x v="18"/>
    <x v="5"/>
    <s v="F:\images\20210312\plaque 2/@06  Amantadine 0.01 mg_LLdopé/F6_03.tif "/>
    <s v=" 9387.3743 "/>
    <s v=" 65.6843 "/>
    <x v="0"/>
    <n v="616603"/>
    <m/>
    <m/>
    <m/>
  </r>
  <r>
    <x v="18"/>
    <x v="6"/>
    <s v="F:\images\20210312\plaque 2/@06  Amantadine 0.01 mg_LLdopé/G6_01.tif "/>
    <s v=" 9906.4917 "/>
    <s v=" 67.0742 "/>
    <x v="0"/>
    <n v="664470"/>
    <m/>
    <m/>
    <m/>
  </r>
  <r>
    <x v="18"/>
    <x v="6"/>
    <s v="F:\images\20210312\plaque 2/@06  Amantadine 0.01 mg_LLdopé/G6_02- exclu.tif"/>
    <m/>
    <m/>
    <x v="1"/>
    <m/>
    <m/>
    <m/>
    <m/>
  </r>
  <r>
    <x v="18"/>
    <x v="6"/>
    <s v="F:\images\20210312\plaque 2/@06  Amantadine 0.01 mg_LLdopé/G6_03.tif "/>
    <s v=" 16438.7199 "/>
    <s v=" 68.2447 "/>
    <x v="0"/>
    <n v="1121856"/>
    <m/>
    <m/>
    <m/>
  </r>
  <r>
    <x v="18"/>
    <x v="7"/>
    <s v="F:\images\20210312\plaque 2/@06  Amantadine 0.01 mg_LLdopé/H6_01- exclu.tif"/>
    <m/>
    <m/>
    <x v="1"/>
    <m/>
    <m/>
    <m/>
    <m/>
  </r>
  <r>
    <x v="18"/>
    <x v="7"/>
    <s v="F:\images\20210312\plaque 2/@06  Amantadine 0.01 mg_LLdopé/H6_02- exclu.tif"/>
    <m/>
    <m/>
    <x v="1"/>
    <m/>
    <m/>
    <m/>
    <m/>
  </r>
  <r>
    <x v="18"/>
    <x v="7"/>
    <s v="F:\images\20210312\plaque 2/@06  Amantadine 0.01 mg_LLdopé/H6_03- exclu.tif"/>
    <m/>
    <m/>
    <x v="1"/>
    <m/>
    <m/>
    <m/>
    <m/>
  </r>
  <r>
    <x v="1"/>
    <x v="8"/>
    <s v=" "/>
    <m/>
    <m/>
    <x v="1"/>
    <m/>
    <m/>
    <m/>
    <m/>
  </r>
  <r>
    <x v="1"/>
    <x v="8"/>
    <s v="group "/>
    <s v=" "/>
    <s v=" mean of mean fluo "/>
    <x v="2"/>
    <s v=" mean of total fluo "/>
    <s v=" SD total fluo "/>
    <s v=" n fluorescent "/>
    <s v=" n total"/>
  </r>
  <r>
    <x v="18"/>
    <x v="9"/>
    <s v="F:\images\20210312\plaque 2/@06  Amantadine 0.01 mg_LLdopé/ "/>
    <s v=" "/>
    <s v=" 70.6051 "/>
    <x v="20"/>
    <s v=" 1531403.75 "/>
    <s v=" 1380396.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312\plaque 2/@07  Amantadine 0.1 mg_Ldopé/A7_01.tif "/>
    <s v=" 6207.7798 "/>
    <s v=" 66.2578 "/>
    <x v="0"/>
    <n v="411314"/>
    <m/>
    <m/>
    <m/>
  </r>
  <r>
    <x v="19"/>
    <x v="0"/>
    <s v="F:\images\20210312\plaque 2/@07  Amantadine 0.1 mg_Ldopé/A7_02.tif "/>
    <s v=" 1946.6905 "/>
    <s v=" 63.4111 "/>
    <x v="0"/>
    <n v="123442"/>
    <m/>
    <m/>
    <m/>
  </r>
  <r>
    <x v="19"/>
    <x v="0"/>
    <s v="F:\images\20210312\plaque 2/@07  Amantadine 0.1 mg_Ldopé/A7_03.tif "/>
    <s v=" 1449.2029 "/>
    <s v=" 63.6269 "/>
    <x v="0"/>
    <n v="92208"/>
    <m/>
    <m/>
    <m/>
  </r>
  <r>
    <x v="19"/>
    <x v="1"/>
    <s v="F:\images\20210312\plaque 2/@07  Amantadine 0.1 mg_Ldopé/B7_01.tif "/>
    <s v=" 908.4556 "/>
    <s v=" 62.2143 "/>
    <x v="0"/>
    <n v="56519"/>
    <m/>
    <m/>
    <m/>
  </r>
  <r>
    <x v="19"/>
    <x v="1"/>
    <s v="F:\images\20210312\plaque 2/@07  Amantadine 0.1 mg_Ldopé/B7_02.tif "/>
    <s v=" 1427.573 "/>
    <s v=" 65.9242 "/>
    <x v="0"/>
    <n v="94112"/>
    <m/>
    <m/>
    <m/>
  </r>
  <r>
    <x v="19"/>
    <x v="1"/>
    <s v="F:\images\20210312\plaque 2/@07  Amantadine 0.1 mg_Ldopé/B7_03.tif "/>
    <s v=" 1038.2349 "/>
    <s v=" 64.0417 "/>
    <x v="0"/>
    <n v="66490"/>
    <m/>
    <m/>
    <m/>
  </r>
  <r>
    <x v="19"/>
    <x v="2"/>
    <s v="F:\images\20210312\plaque 2/@07  Amantadine 0.1 mg_Ldopé/C7_01.tif "/>
    <s v=" 1059.8648 "/>
    <s v=" 63.0408 "/>
    <x v="0"/>
    <n v="66815"/>
    <m/>
    <m/>
    <m/>
  </r>
  <r>
    <x v="19"/>
    <x v="2"/>
    <s v="F:\images\20210312\plaque 2/@07  Amantadine 0.1 mg_Ldopé/C7_02.tif "/>
    <s v=" 1665.5019 "/>
    <n v="65"/>
    <x v="0"/>
    <n v="108258"/>
    <m/>
    <m/>
    <m/>
  </r>
  <r>
    <x v="19"/>
    <x v="2"/>
    <s v="F:\images\20210312\plaque 2/@07  Amantadine 0.1 mg_Ldopé/C7_03.tif "/>
    <s v=" 2811.8863 "/>
    <s v=" 63.9462 "/>
    <x v="0"/>
    <n v="179809"/>
    <m/>
    <m/>
    <m/>
  </r>
  <r>
    <x v="19"/>
    <x v="3"/>
    <s v="F:\images\20210312\plaque 2/@07  Amantadine 0.1 mg_Ldopé/D7_01.tif "/>
    <s v=" 15724.9334 "/>
    <s v=" 69.4525 "/>
    <x v="0"/>
    <n v="1092137"/>
    <m/>
    <m/>
    <m/>
  </r>
  <r>
    <x v="19"/>
    <x v="3"/>
    <s v="F:\images\20210312\plaque 2/@07  Amantadine 0.1 mg_Ldopé/D7_02.tif "/>
    <s v=" 16849.6879 "/>
    <s v=" 68.6367 "/>
    <x v="0"/>
    <n v="1156507"/>
    <m/>
    <m/>
    <m/>
  </r>
  <r>
    <x v="19"/>
    <x v="3"/>
    <s v="F:\images\20210312\plaque 2/@07  Amantadine 0.1 mg_Ldopé/D7_03.tif "/>
    <s v=" 6488.9684 "/>
    <s v=" 65.5567 "/>
    <x v="0"/>
    <n v="425395"/>
    <m/>
    <m/>
    <m/>
  </r>
  <r>
    <x v="19"/>
    <x v="4"/>
    <s v="F:\images\20210312\plaque 2/@07  Amantadine 0.1 mg_Ldopé/E7_01.tif "/>
    <s v=" 20461.8803 "/>
    <s v=" 69.6501 "/>
    <x v="0"/>
    <n v="1425172"/>
    <m/>
    <m/>
    <m/>
  </r>
  <r>
    <x v="19"/>
    <x v="4"/>
    <s v="F:\images\20210312\plaque 2/@07  Amantadine 0.1 mg_Ldopé/E7_02.tif "/>
    <s v=" 24290.3717 "/>
    <s v=" 70.6046 "/>
    <x v="0"/>
    <n v="1715013"/>
    <m/>
    <m/>
    <m/>
  </r>
  <r>
    <x v="19"/>
    <x v="4"/>
    <s v="F:\images\20210312\plaque 2/@07  Amantadine 0.1 mg_Ldopé/E7_03.tif "/>
    <s v=" 24333.6315 "/>
    <s v=" 70.0622 "/>
    <x v="0"/>
    <n v="1704868"/>
    <m/>
    <m/>
    <m/>
  </r>
  <r>
    <x v="19"/>
    <x v="5"/>
    <s v="F:\images\20210312\plaque 2/@07  Amantadine 0.1 mg_Ldopé/F7_01.tif "/>
    <s v=" 2530.6977 "/>
    <s v=" 63.6667 "/>
    <x v="0"/>
    <n v="161121"/>
    <m/>
    <m/>
    <m/>
  </r>
  <r>
    <x v="19"/>
    <x v="5"/>
    <s v="F:\images\20210312\plaque 2/@07  Amantadine 0.1 mg_Ldopé/F7_02.tif "/>
    <s v=" 5515.6231 "/>
    <s v=" 63.9725 "/>
    <x v="0"/>
    <n v="352848"/>
    <m/>
    <m/>
    <m/>
  </r>
  <r>
    <x v="19"/>
    <x v="5"/>
    <s v="F:\images\20210312\plaque 2/@07  Amantadine 0.1 mg_Ldopé/F7_03.tif "/>
    <s v=" 1795.2813 "/>
    <s v=" 62.9759 "/>
    <x v="0"/>
    <n v="113059"/>
    <m/>
    <m/>
    <m/>
  </r>
  <r>
    <x v="19"/>
    <x v="6"/>
    <s v="F:\images\20210312\plaque 2/@07  Amantadine 0.1 mg_Ldopé/G7_01.tif "/>
    <s v=" 3071.445 "/>
    <s v=" 65.2394 "/>
    <x v="0"/>
    <n v="200379"/>
    <m/>
    <m/>
    <m/>
  </r>
  <r>
    <x v="19"/>
    <x v="6"/>
    <s v="F:\images\20210312\plaque 2/@07  Amantadine 0.1 mg_Ldopé/G7_02.tif "/>
    <s v=" 4390.8686 "/>
    <s v=" 65.1773 "/>
    <x v="0"/>
    <n v="286185"/>
    <m/>
    <m/>
    <m/>
  </r>
  <r>
    <x v="19"/>
    <x v="6"/>
    <s v="F:\images\20210312\plaque 2/@07  Amantadine 0.1 mg_Ldopé/G7_03.tif "/>
    <s v=" 1795.2813 "/>
    <s v=" 63.6506 "/>
    <x v="0"/>
    <n v="114271"/>
    <m/>
    <m/>
    <m/>
  </r>
  <r>
    <x v="19"/>
    <x v="7"/>
    <s v="F:\images\20210312\plaque 2/@07  Amantadine 0.1 mg_Ldopé/H7_01.tif "/>
    <s v=" 32639.511 "/>
    <s v=" 68.6355 "/>
    <x v="0"/>
    <n v="2240230"/>
    <m/>
    <m/>
    <m/>
  </r>
  <r>
    <x v="19"/>
    <x v="7"/>
    <s v="F:\images\20210312\plaque 2/@07  Amantadine 0.1 mg_Ldopé/H7_02.tif "/>
    <s v=" 33072.1089 "/>
    <s v=" 69.0988 "/>
    <x v="0"/>
    <n v="2285242"/>
    <m/>
    <m/>
    <m/>
  </r>
  <r>
    <x v="19"/>
    <x v="7"/>
    <s v="F:\images\20210312\plaque 2/@07  Amantadine 0.1 mg_Ldopé/H7_03.tif "/>
    <s v=" 30844.2297 "/>
    <s v=" 68.7209 "/>
    <x v="0"/>
    <n v="2119643"/>
    <m/>
    <m/>
    <m/>
  </r>
  <r>
    <x v="1"/>
    <x v="8"/>
    <s v=" "/>
    <m/>
    <m/>
    <x v="1"/>
    <m/>
    <m/>
    <m/>
    <m/>
  </r>
  <r>
    <x v="1"/>
    <x v="8"/>
    <s v="group "/>
    <s v=" "/>
    <s v=" mean of mean fluo "/>
    <x v="2"/>
    <s v=" mean of total fluo "/>
    <s v=" SD total fluo "/>
    <s v=" n fluorescent "/>
    <s v=" n total"/>
  </r>
  <r>
    <x v="19"/>
    <x v="9"/>
    <s v="F:\images\20210312\plaque 2/@07  Amantadine 0.1 mg_Ldopé/ "/>
    <s v=" "/>
    <s v=" 65.9401 "/>
    <x v="21"/>
    <s v=" 691293.208 "/>
    <s v=" 791559.5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312\plaque 2/@08  TAmantadine 1 mg_Ldopé/A8_01.tif "/>
    <s v=" 324.4484 "/>
    <s v=" 63.3333 "/>
    <x v="0"/>
    <n v="20548"/>
    <m/>
    <m/>
    <m/>
  </r>
  <r>
    <x v="20"/>
    <x v="0"/>
    <s v="F:\images\20210312\plaque 2/@08  TAmantadine 1 mg_Ldopé/A8_02.tif "/>
    <s v=" 4931.616 "/>
    <s v=" 71.5965 "/>
    <x v="0"/>
    <n v="353086"/>
    <m/>
    <m/>
    <m/>
  </r>
  <r>
    <x v="20"/>
    <x v="0"/>
    <s v="F:\images\20210312\plaque 2/@08  TAmantadine 1 mg_Ldopé/A8_03.tif "/>
    <s v=" 3828.4913 "/>
    <s v=" 66.1073 "/>
    <x v="0"/>
    <n v="253091"/>
    <m/>
    <m/>
    <m/>
  </r>
  <r>
    <x v="20"/>
    <x v="1"/>
    <s v="F:\images\20210312\plaque 2/@08  TAmantadine 1 mg_Ldopé/B8_01.tif "/>
    <s v=" 21283.8163 "/>
    <s v=" 68.9868 "/>
    <x v="0"/>
    <n v="1468302"/>
    <m/>
    <m/>
    <m/>
  </r>
  <r>
    <x v="20"/>
    <x v="1"/>
    <s v="F:\images\20210312\plaque 2/@08  TAmantadine 1 mg_Ldopé/B8_02.tif "/>
    <s v=" 18277.261 "/>
    <s v=" 67.7645 "/>
    <x v="0"/>
    <n v="1238549"/>
    <m/>
    <m/>
    <m/>
  </r>
  <r>
    <x v="20"/>
    <x v="1"/>
    <s v="F:\images\20210312\plaque 2/@08  TAmantadine 1 mg_Ldopé/B8_03.tif "/>
    <s v=" 19553.4247 "/>
    <s v=" 67.969 "/>
    <x v="0"/>
    <n v="1329027"/>
    <m/>
    <m/>
    <m/>
  </r>
  <r>
    <x v="20"/>
    <x v="2"/>
    <s v="F:\images\20210312\plaque 2/@08  TAmantadine 1 mg_Ldopé/C8_01- exclu.tif"/>
    <m/>
    <m/>
    <x v="1"/>
    <m/>
    <m/>
    <m/>
    <m/>
  </r>
  <r>
    <x v="20"/>
    <x v="2"/>
    <s v="F:\images\20210312\plaque 2/@08  TAmantadine 1 mg_Ldopé/C8_02.tif "/>
    <s v=" 259.5587 "/>
    <s v=" 67.25 "/>
    <x v="0"/>
    <n v="17455"/>
    <m/>
    <m/>
    <m/>
  </r>
  <r>
    <x v="20"/>
    <x v="2"/>
    <s v="F:\images\20210312\plaque 2/@08  TAmantadine 1 mg_Ldopé/C8_03.tif "/>
    <s v=" 4066.4202 "/>
    <s v=" 65.7926 "/>
    <x v="0"/>
    <n v="267540"/>
    <m/>
    <m/>
    <m/>
  </r>
  <r>
    <x v="20"/>
    <x v="3"/>
    <s v="F:\images\20210312\plaque 2/@08  TAmantadine 1 mg_Ldopé/D8_01.tif "/>
    <s v=" 52690.4233 "/>
    <s v=" 74.5168 "/>
    <x v="0"/>
    <n v="3926323"/>
    <m/>
    <m/>
    <m/>
  </r>
  <r>
    <x v="20"/>
    <x v="3"/>
    <s v="F:\images\20210312\plaque 2/@08  TAmantadine 1 mg_Ldopé/D8_02.tif "/>
    <s v=" 53058.1315 "/>
    <s v=" 75.0012 "/>
    <x v="0"/>
    <n v="3979425"/>
    <m/>
    <m/>
    <m/>
  </r>
  <r>
    <x v="20"/>
    <x v="3"/>
    <s v="F:\images\20210312\plaque 2/@08  TAmantadine 1 mg_Ldopé/D8_03.tif "/>
    <s v=" 42243.1842 "/>
    <s v=" 76.6733 "/>
    <x v="0"/>
    <n v="3238925"/>
    <m/>
    <m/>
    <m/>
  </r>
  <r>
    <x v="20"/>
    <x v="4"/>
    <s v="F:\images\20210312\plaque 2/@08  TAmantadine 1 mg_Ldopé/E8_01.tif "/>
    <s v=" 20656.5494 "/>
    <s v=" 68.0513 "/>
    <x v="0"/>
    <n v="1405705"/>
    <m/>
    <m/>
    <m/>
  </r>
  <r>
    <x v="20"/>
    <x v="4"/>
    <s v="F:\images\20210312\plaque 2/@08  TAmantadine 1 mg_Ldopé/E8_02.tif "/>
    <s v=" 18277.261 "/>
    <s v=" 68.8166 "/>
    <x v="0"/>
    <n v="1257778"/>
    <m/>
    <m/>
    <m/>
  </r>
  <r>
    <x v="20"/>
    <x v="4"/>
    <s v="F:\images\20210312\plaque 2/@08  TAmantadine 1 mg_Ldopé/E8_03.tif "/>
    <s v=" 20050.9123 "/>
    <s v=" 67.4962 "/>
    <x v="0"/>
    <n v="1353361"/>
    <m/>
    <m/>
    <m/>
  </r>
  <r>
    <x v="20"/>
    <x v="5"/>
    <s v="F:\images\20210312\plaque 2/@08  TAmantadine 1 mg_Ldopé/F8_01.tif "/>
    <s v=" 18839.6382 "/>
    <s v=" 66.6728 "/>
    <x v="0"/>
    <n v="1256091"/>
    <m/>
    <m/>
    <m/>
  </r>
  <r>
    <x v="20"/>
    <x v="5"/>
    <s v="F:\images\20210312\plaque 2/@08  TAmantadine 1 mg_Ldopé/F8_02.tif "/>
    <s v=" 17823.0332 "/>
    <s v=" 65.6286 "/>
    <x v="0"/>
    <n v="1169701"/>
    <m/>
    <m/>
    <m/>
  </r>
  <r>
    <x v="20"/>
    <x v="5"/>
    <s v="F:\images\20210312\plaque 2/@08  TAmantadine 1 mg_Ldopé/F8_03.tif "/>
    <s v=" 20180.6917 "/>
    <s v=" 66.7899 "/>
    <x v="0"/>
    <n v="1347867"/>
    <m/>
    <m/>
    <m/>
  </r>
  <r>
    <x v="20"/>
    <x v="6"/>
    <s v="F:\images\20210312\plaque 2/@08  TAmantadine 1 mg_Ldopé/G8_01.tif "/>
    <s v=" 6597.1179 "/>
    <s v=" 65.0721 "/>
    <x v="0"/>
    <n v="429289"/>
    <m/>
    <m/>
    <m/>
  </r>
  <r>
    <x v="20"/>
    <x v="6"/>
    <s v="F:\images\20210312\plaque 2/@08  TAmantadine 1 mg_Ldopé/G8_02.tif "/>
    <s v=" 7592.093 "/>
    <s v=" 64.8291 "/>
    <x v="0"/>
    <n v="492188"/>
    <m/>
    <m/>
    <m/>
  </r>
  <r>
    <x v="20"/>
    <x v="6"/>
    <s v="F:\images\20210312\plaque 2/@08  TAmantadine 1 mg_Ldopé/G8_03.tif "/>
    <s v=" 5537.253 "/>
    <s v=" 64.3047 "/>
    <x v="0"/>
    <n v="356071"/>
    <m/>
    <m/>
    <m/>
  </r>
  <r>
    <x v="20"/>
    <x v="7"/>
    <s v="F:\images\20210312\plaque 2/@08  TAmantadine 1 mg_Ldopé/H8_01.tif "/>
    <s v=" 36359.8529 "/>
    <s v=" 70.7585 "/>
    <x v="0"/>
    <n v="2572768"/>
    <m/>
    <m/>
    <m/>
  </r>
  <r>
    <x v="20"/>
    <x v="7"/>
    <s v="F:\images\20210312\plaque 2/@08  TAmantadine 1 mg_Ldopé/H8_02.tif "/>
    <s v=" 33785.8954 "/>
    <s v=" 69.233 "/>
    <x v="0"/>
    <n v="2339100"/>
    <m/>
    <m/>
    <m/>
  </r>
  <r>
    <x v="20"/>
    <x v="7"/>
    <s v="F:\images\20210312\plaque 2/@08  TAmantadine 1 mg_Ldopé/H8_03.tif "/>
    <s v=" 34932.2798 "/>
    <s v=" 69.7833 "/>
    <x v="0"/>
    <n v="2437689"/>
    <m/>
    <m/>
    <m/>
  </r>
  <r>
    <x v="1"/>
    <x v="8"/>
    <s v=" "/>
    <m/>
    <m/>
    <x v="1"/>
    <m/>
    <m/>
    <m/>
    <m/>
  </r>
  <r>
    <x v="1"/>
    <x v="8"/>
    <s v="group "/>
    <s v=" "/>
    <s v=" mean of mean fluo "/>
    <x v="2"/>
    <s v=" mean of total fluo "/>
    <s v=" SD total fluo "/>
    <s v=" n fluorescent "/>
    <s v=" n total"/>
  </r>
  <r>
    <x v="20"/>
    <x v="9"/>
    <s v="F:\images\20210312\plaque 2/@08  TAmantadine 1 mg_Ldopé/ "/>
    <s v=" "/>
    <s v=" 68.4715 "/>
    <x v="22"/>
    <s v=" 1374256.08 "/>
    <s v=" 1162742.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312\plaque 2/@09  Amantadine 10 mg_L dopé/A9_01.tif "/>
    <s v=" 9560.4134 "/>
    <s v=" 76.2285 "/>
    <x v="0"/>
    <n v="728776"/>
    <m/>
    <m/>
    <m/>
  </r>
  <r>
    <x v="21"/>
    <x v="0"/>
    <s v="F:\images\20210312\plaque 2/@09  Amantadine 10 mg_L dopé/A9_02.tif "/>
    <s v=" 10750.0576 "/>
    <s v=" 78.9819 "/>
    <x v="0"/>
    <n v="849060"/>
    <m/>
    <m/>
    <m/>
  </r>
  <r>
    <x v="21"/>
    <x v="0"/>
    <s v="F:\images\20210312\plaque 2/@09  Amantadine 10 mg_L dopé/A9_03.tif "/>
    <s v=" 10879.837 "/>
    <s v=" 77.6123 "/>
    <x v="0"/>
    <n v="844409"/>
    <m/>
    <m/>
    <m/>
  </r>
  <r>
    <x v="21"/>
    <x v="1"/>
    <s v="F:\images\20210312\plaque 2/@09  Amantadine 10 mg_L dopé/B9_01.tif "/>
    <s v=" 27123.8879 "/>
    <s v=" 70.5215 "/>
    <x v="0"/>
    <n v="1912818"/>
    <m/>
    <m/>
    <m/>
  </r>
  <r>
    <x v="21"/>
    <x v="1"/>
    <s v="F:\images\20210312\plaque 2/@09  Amantadine 10 mg_L dopé/B9_02.tif "/>
    <s v=" 20634.9195 "/>
    <s v=" 70.108 "/>
    <x v="0"/>
    <n v="1446672"/>
    <m/>
    <m/>
    <m/>
  </r>
  <r>
    <x v="21"/>
    <x v="1"/>
    <s v="F:\images\20210312\plaque 2/@09  Amantadine 10 mg_L dopé/B9_03.tif "/>
    <s v=" 21435.2256 "/>
    <s v=" 70.3744 "/>
    <x v="0"/>
    <n v="1508490"/>
    <m/>
    <m/>
    <m/>
  </r>
  <r>
    <x v="21"/>
    <x v="2"/>
    <s v="F:\images\20210312\plaque 2/@09  Amantadine 10 mg_L dopé/C9_01.tif "/>
    <s v=" 20894.4782 "/>
    <s v=" 67.8106 "/>
    <x v="0"/>
    <n v="1416866"/>
    <m/>
    <m/>
    <m/>
  </r>
  <r>
    <x v="21"/>
    <x v="2"/>
    <s v="F:\images\20210312\plaque 2/@09  Amantadine 10 mg_L dopé/C9_02.tif "/>
    <s v=" 13367.2749 "/>
    <s v=" 67.2443 "/>
    <x v="0"/>
    <n v="898874"/>
    <m/>
    <m/>
    <m/>
  </r>
  <r>
    <x v="21"/>
    <x v="2"/>
    <s v="F:\images\20210312\plaque 2/@09  Amantadine 10 mg_L dopé/C9_03.tif "/>
    <s v=" 16287.3107 "/>
    <s v=" 66.741 "/>
    <x v="0"/>
    <n v="1087032"/>
    <m/>
    <m/>
    <m/>
  </r>
  <r>
    <x v="21"/>
    <x v="3"/>
    <s v="F:\images\20210312\plaque 2/@09  Amantadine 10 mg_L dopé/D9_01.tif "/>
    <s v=" 33504.7068 "/>
    <s v=" 70.1607 "/>
    <x v="0"/>
    <n v="2350715"/>
    <m/>
    <m/>
    <m/>
  </r>
  <r>
    <x v="21"/>
    <x v="3"/>
    <s v="F:\images\20210312\plaque 2/@09  Amantadine 10 mg_L dopé/D9_02.tif "/>
    <s v=" 28378.4218 "/>
    <s v=" 71.4718 "/>
    <x v="0"/>
    <n v="2028257"/>
    <m/>
    <m/>
    <m/>
  </r>
  <r>
    <x v="21"/>
    <x v="3"/>
    <s v="F:\images\20210312\plaque 2/@09  Amantadine 10 mg_L dopé/D9_03.tif "/>
    <s v=" 23857.7738 "/>
    <s v=" 68.9302 "/>
    <x v="0"/>
    <n v="1644521"/>
    <m/>
    <m/>
    <m/>
  </r>
  <r>
    <x v="21"/>
    <x v="4"/>
    <s v="F:\images\20210312\plaque 2/@09  Amantadine 10 mg_L dopé/E9_01.tif "/>
    <s v=" 39863.8958 "/>
    <s v=" 70.4107 "/>
    <x v="0"/>
    <n v="2806847"/>
    <m/>
    <m/>
    <m/>
  </r>
  <r>
    <x v="21"/>
    <x v="4"/>
    <s v="F:\images\20210312\plaque 2/@09  Amantadine 10 mg_L dopé/E9_02.tif "/>
    <s v=" 40274.8638 "/>
    <s v=" 72.9409 "/>
    <x v="0"/>
    <n v="2937686"/>
    <m/>
    <m/>
    <m/>
  </r>
  <r>
    <x v="21"/>
    <x v="4"/>
    <s v="F:\images\20210312\plaque 2/@09  Amantadine 10 mg_L dopé/E9_03.tif "/>
    <s v=" 38457.9527 "/>
    <s v=" 73.9871 "/>
    <x v="0"/>
    <n v="2845391"/>
    <m/>
    <m/>
    <m/>
  </r>
  <r>
    <x v="21"/>
    <x v="5"/>
    <s v="F:\images\20210312\plaque 2/@09  Amantadine 10 mg_L dopé/F9_01.tif "/>
    <s v=" 7116.2353 "/>
    <s v=" 67.8784 "/>
    <x v="0"/>
    <n v="483039"/>
    <m/>
    <m/>
    <m/>
  </r>
  <r>
    <x v="21"/>
    <x v="5"/>
    <s v="F:\images\20210312\plaque 2/@09  Amantadine 10 mg_L dopé/F9_02.tif "/>
    <s v=" 2271.1389 "/>
    <s v=" 63.7238 "/>
    <x v="0"/>
    <n v="144726"/>
    <m/>
    <m/>
    <m/>
  </r>
  <r>
    <x v="21"/>
    <x v="5"/>
    <s v="F:\images\20210312\plaque 2/@09  Amantadine 10 mg_L dopé/F9_03.tif "/>
    <s v=" 5883.3313 "/>
    <s v=" 66.2684 "/>
    <x v="0"/>
    <n v="389879"/>
    <m/>
    <m/>
    <m/>
  </r>
  <r>
    <x v="21"/>
    <x v="6"/>
    <s v="F:\images\20210312\plaque 2/@09  Amantadine 10 mg_L dopé/G9_01.tif "/>
    <s v=" 10339.0896 "/>
    <s v=" 65.0921 "/>
    <x v="0"/>
    <n v="672993"/>
    <m/>
    <m/>
    <m/>
  </r>
  <r>
    <x v="21"/>
    <x v="6"/>
    <s v="F:\images\20210312\plaque 2/@09  Amantadine 10 mg_L dopé/G9_02.tif "/>
    <s v=" 9322.4846 "/>
    <s v=" 64.1694 "/>
    <x v="0"/>
    <n v="598218"/>
    <m/>
    <m/>
    <m/>
  </r>
  <r>
    <x v="21"/>
    <x v="6"/>
    <s v="F:\images\20210312\plaque 2/@09  Amantadine 10 mg_L dopé/G9_03.tif "/>
    <s v=" 4953.2459 "/>
    <s v=" 64.0961 "/>
    <x v="0"/>
    <n v="317484"/>
    <m/>
    <m/>
    <m/>
  </r>
  <r>
    <x v="21"/>
    <x v="7"/>
    <s v="F:\images\20210312\plaque 2/@09  Amantadine 10 mg_L dopé/H9_01.tif "/>
    <s v=" 19942.7628 "/>
    <s v=" 67.9989 "/>
    <x v="0"/>
    <n v="1356086"/>
    <m/>
    <m/>
    <m/>
  </r>
  <r>
    <x v="21"/>
    <x v="7"/>
    <s v="F:\images\20210312\plaque 2/@09  Amantadine 10 mg_L dopé/H9_02.tif "/>
    <s v=" 16352.2003 "/>
    <s v=" 68.0913 "/>
    <x v="0"/>
    <n v="1113442"/>
    <m/>
    <m/>
    <m/>
  </r>
  <r>
    <x v="21"/>
    <x v="7"/>
    <s v="F:\images\20210312\plaque 2/@09  Amantadine 10 mg_L dopé/H9_03.tif "/>
    <s v=" 16244.0509 "/>
    <s v=" 67.9081 "/>
    <x v="0"/>
    <n v="1103103"/>
    <m/>
    <m/>
    <m/>
  </r>
  <r>
    <x v="1"/>
    <x v="8"/>
    <s v=" "/>
    <m/>
    <m/>
    <x v="1"/>
    <m/>
    <m/>
    <m/>
    <m/>
  </r>
  <r>
    <x v="1"/>
    <x v="8"/>
    <s v="group "/>
    <s v=" "/>
    <s v=" mean of mean fluo "/>
    <x v="2"/>
    <s v=" mean of total fluo "/>
    <s v=" SD total fluo "/>
    <s v=" n fluorescent "/>
    <s v=" n total"/>
  </r>
  <r>
    <x v="21"/>
    <x v="9"/>
    <s v="F:\images\20210312\plaque 2/@09  Amantadine 10 mg_L dopé/ "/>
    <s v=" "/>
    <s v=" 69.5313 "/>
    <x v="23"/>
    <n v="1311891"/>
    <s v=" 814174.475 "/>
    <n v="24"/>
    <n v="24"/>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7666A4B2-69D2-47EC-843B-C203E3CD4524}"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D77D6CBA-24AD-484A-9405-7D6627CDA3D6}"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E3271EDB-3D75-4F28-ABE3-6812607EFE62}"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abSelected="1" topLeftCell="A7" zoomScale="55" zoomScaleNormal="55" workbookViewId="0">
      <selection activeCell="E49" sqref="E49"/>
    </sheetView>
  </sheetViews>
  <sheetFormatPr baseColWidth="10"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59"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98" t="s">
        <v>36</v>
      </c>
      <c r="B1" s="199"/>
      <c r="C1" s="199"/>
      <c r="D1" s="199"/>
      <c r="E1" s="199"/>
      <c r="F1" s="199"/>
      <c r="G1" s="199"/>
      <c r="H1" s="199"/>
      <c r="I1" s="200"/>
    </row>
    <row r="2" spans="1:9" ht="21" x14ac:dyDescent="0.35">
      <c r="A2" s="188" t="s">
        <v>17</v>
      </c>
      <c r="B2" s="42" t="s">
        <v>115</v>
      </c>
      <c r="C2" s="201"/>
      <c r="D2" s="202"/>
      <c r="E2" s="42" t="s">
        <v>21</v>
      </c>
      <c r="F2" s="213"/>
      <c r="G2" s="214"/>
      <c r="H2" s="214"/>
      <c r="I2" s="215"/>
    </row>
    <row r="3" spans="1:9" ht="21" x14ac:dyDescent="0.35">
      <c r="A3" s="189" t="s">
        <v>18</v>
      </c>
      <c r="B3" s="43" t="s">
        <v>115</v>
      </c>
      <c r="C3" s="203"/>
      <c r="D3" s="204"/>
      <c r="E3" s="43" t="s">
        <v>21</v>
      </c>
      <c r="F3" s="210"/>
      <c r="G3" s="211"/>
      <c r="H3" s="211"/>
      <c r="I3" s="212"/>
    </row>
    <row r="4" spans="1:9" ht="21.75" thickBot="1" x14ac:dyDescent="0.4">
      <c r="A4" s="190" t="s">
        <v>22</v>
      </c>
      <c r="B4" s="178" t="s">
        <v>115</v>
      </c>
      <c r="C4" s="205"/>
      <c r="D4" s="206"/>
      <c r="E4" s="178" t="s">
        <v>21</v>
      </c>
      <c r="F4" s="207"/>
      <c r="G4" s="208"/>
      <c r="H4" s="208"/>
      <c r="I4" s="209"/>
    </row>
    <row r="5" spans="1:9" s="1" customFormat="1" ht="65.25" customHeight="1" thickBot="1" x14ac:dyDescent="0.3">
      <c r="A5" s="198" t="s">
        <v>37</v>
      </c>
      <c r="B5" s="199"/>
      <c r="C5" s="199"/>
      <c r="D5" s="199"/>
      <c r="E5" s="199"/>
      <c r="F5" s="199"/>
      <c r="G5" s="199"/>
      <c r="H5" s="199"/>
      <c r="I5" s="200"/>
    </row>
    <row r="6" spans="1:9" s="109" customFormat="1" ht="39" customHeight="1" x14ac:dyDescent="0.35">
      <c r="A6" s="75" t="s">
        <v>35</v>
      </c>
      <c r="B6" s="100" t="s">
        <v>7</v>
      </c>
      <c r="C6" s="64" t="s">
        <v>19</v>
      </c>
      <c r="D6" s="64" t="s">
        <v>75</v>
      </c>
      <c r="E6" s="156" t="s">
        <v>51</v>
      </c>
      <c r="F6" s="108" t="s">
        <v>78</v>
      </c>
    </row>
    <row r="7" spans="1:9" s="165" customFormat="1" ht="39" customHeight="1" x14ac:dyDescent="0.35">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35">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35">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35">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35">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35">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35">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35">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35">
      <c r="A15"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Amantadine-0,001mg/L</v>
      </c>
      <c r="B15" s="161" t="s">
        <v>4247</v>
      </c>
      <c r="C15" s="162">
        <v>1E-3</v>
      </c>
      <c r="D15" s="163" t="s">
        <v>129</v>
      </c>
      <c r="E15" s="164" t="s">
        <v>4246</v>
      </c>
      <c r="F15" s="110"/>
    </row>
    <row r="16" spans="1:9" s="111" customFormat="1" ht="39" customHeight="1" x14ac:dyDescent="0.2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Amantadine-0,01mg/L</v>
      </c>
      <c r="B16" s="40" t="s">
        <v>4247</v>
      </c>
      <c r="C16" s="162">
        <v>0.01</v>
      </c>
      <c r="D16" s="163" t="s">
        <v>129</v>
      </c>
      <c r="E16" s="164" t="s">
        <v>4246</v>
      </c>
      <c r="F16" s="110"/>
    </row>
    <row r="17" spans="1:6" s="111" customFormat="1" ht="39" customHeight="1" x14ac:dyDescent="0.2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Amantadine-0,1mg/L</v>
      </c>
      <c r="B17" s="101" t="s">
        <v>4247</v>
      </c>
      <c r="C17" s="162">
        <v>0.1</v>
      </c>
      <c r="D17" s="163" t="s">
        <v>129</v>
      </c>
      <c r="E17" s="164" t="s">
        <v>4246</v>
      </c>
      <c r="F17" s="110"/>
    </row>
    <row r="18" spans="1:6" s="111" customFormat="1" ht="39" customHeight="1" x14ac:dyDescent="0.2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Amantadine-1mg/L</v>
      </c>
      <c r="B18" s="40" t="s">
        <v>4247</v>
      </c>
      <c r="C18" s="162">
        <v>1</v>
      </c>
      <c r="D18" s="163" t="s">
        <v>129</v>
      </c>
      <c r="E18" s="164" t="s">
        <v>4246</v>
      </c>
      <c r="F18" s="110"/>
    </row>
    <row r="19" spans="1:6" s="111" customFormat="1" ht="39" customHeight="1" x14ac:dyDescent="0.2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Amantadine-10mg/L</v>
      </c>
      <c r="B19" s="101" t="s">
        <v>4247</v>
      </c>
      <c r="C19" s="162">
        <v>10</v>
      </c>
      <c r="D19" s="163" t="s">
        <v>129</v>
      </c>
      <c r="E19" s="164" t="s">
        <v>4246</v>
      </c>
      <c r="F19" s="110"/>
    </row>
    <row r="20" spans="1:6" s="111" customFormat="1" ht="39" customHeight="1" x14ac:dyDescent="0.2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2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2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2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2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2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2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2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2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2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2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2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2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2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2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67"/>
      <c r="D35" s="115"/>
      <c r="E35" s="166"/>
      <c r="F35" s="110"/>
    </row>
    <row r="36" spans="1:6" s="111" customFormat="1" ht="39" customHeight="1" x14ac:dyDescent="0.25">
      <c r="A36"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9"/>
    </row>
    <row r="37" spans="1:6" s="111" customFormat="1" ht="39" customHeight="1" x14ac:dyDescent="0.25">
      <c r="A37"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1"/>
    </row>
    <row r="38" spans="1:6" s="111" customFormat="1" ht="39" customHeight="1" thickBot="1" x14ac:dyDescent="0.3">
      <c r="A38"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3" t="s">
        <v>123</v>
      </c>
      <c r="C38" s="174">
        <v>10</v>
      </c>
      <c r="D38" s="175" t="s">
        <v>127</v>
      </c>
      <c r="E38" s="176" t="s">
        <v>130</v>
      </c>
      <c r="F38" s="177"/>
    </row>
    <row r="39" spans="1:6" s="111" customFormat="1" ht="39" customHeight="1" x14ac:dyDescent="0.2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Amantadine-0,001mg/L + Testostérone</v>
      </c>
      <c r="B39" s="191" t="str">
        <f>B15</f>
        <v>x</v>
      </c>
      <c r="C39" s="197">
        <f t="shared" ref="C39:E39" si="0">C15</f>
        <v>1E-3</v>
      </c>
      <c r="D39" s="197" t="str">
        <f t="shared" si="0"/>
        <v>mg/L</v>
      </c>
      <c r="E39" s="197" t="str">
        <f t="shared" si="0"/>
        <v>Amantadine</v>
      </c>
      <c r="F39" s="112" t="s">
        <v>50</v>
      </c>
    </row>
    <row r="40" spans="1:6" s="111" customFormat="1" ht="39" customHeight="1" x14ac:dyDescent="0.2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Amantadine-0,01mg/L + Testostérone</v>
      </c>
      <c r="B40" s="193" t="str">
        <f t="shared" ref="B40:E40" si="1">B16</f>
        <v>x</v>
      </c>
      <c r="C40" s="107">
        <f t="shared" si="1"/>
        <v>0.01</v>
      </c>
      <c r="D40" s="107" t="str">
        <f t="shared" si="1"/>
        <v>mg/L</v>
      </c>
      <c r="E40" s="107" t="str">
        <f t="shared" si="1"/>
        <v>Amantadine</v>
      </c>
      <c r="F40" s="113" t="s">
        <v>50</v>
      </c>
    </row>
    <row r="41" spans="1:6" s="111" customFormat="1" ht="39" customHeight="1" x14ac:dyDescent="0.2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Amantadine-0,1mg/L + Testostérone</v>
      </c>
      <c r="B41" s="193" t="str">
        <f t="shared" ref="B41:E41" si="2">B17</f>
        <v>x</v>
      </c>
      <c r="C41" s="107">
        <f t="shared" si="2"/>
        <v>0.1</v>
      </c>
      <c r="D41" s="107" t="str">
        <f t="shared" si="2"/>
        <v>mg/L</v>
      </c>
      <c r="E41" s="107" t="str">
        <f t="shared" si="2"/>
        <v>Amantadine</v>
      </c>
      <c r="F41" s="113" t="s">
        <v>50</v>
      </c>
    </row>
    <row r="42" spans="1:6" s="111" customFormat="1" ht="39" customHeight="1" x14ac:dyDescent="0.2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Amantadine-1mg/L + Testostérone</v>
      </c>
      <c r="B42" s="193" t="str">
        <f t="shared" ref="B42:E42" si="3">B18</f>
        <v>x</v>
      </c>
      <c r="C42" s="107">
        <f t="shared" si="3"/>
        <v>1</v>
      </c>
      <c r="D42" s="107" t="str">
        <f t="shared" si="3"/>
        <v>mg/L</v>
      </c>
      <c r="E42" s="107" t="str">
        <f t="shared" si="3"/>
        <v>Amantadine</v>
      </c>
      <c r="F42" s="113" t="s">
        <v>50</v>
      </c>
    </row>
    <row r="43" spans="1:6" s="111" customFormat="1" ht="39" customHeight="1" x14ac:dyDescent="0.2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Amantadine-10mg/L + Testostérone</v>
      </c>
      <c r="B43" s="193" t="str">
        <f t="shared" ref="B43:E43" si="4">B19</f>
        <v>x</v>
      </c>
      <c r="C43" s="107">
        <f t="shared" si="4"/>
        <v>10</v>
      </c>
      <c r="D43" s="107" t="str">
        <f t="shared" si="4"/>
        <v>mg/L</v>
      </c>
      <c r="E43" s="107" t="str">
        <f t="shared" si="4"/>
        <v>Amantadine</v>
      </c>
      <c r="F43" s="113" t="s">
        <v>50</v>
      </c>
    </row>
    <row r="44" spans="1:6" s="111" customFormat="1" ht="39" customHeight="1" x14ac:dyDescent="0.2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2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2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2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2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2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2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2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2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2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2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2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2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2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2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C20: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153</v>
      </c>
      <c r="B2" t="s">
        <v>164</v>
      </c>
      <c r="C2" t="s">
        <v>144</v>
      </c>
      <c r="D2" t="s">
        <v>147</v>
      </c>
      <c r="E2" t="s">
        <v>148</v>
      </c>
      <c r="F2" t="s">
        <v>112</v>
      </c>
      <c r="G2">
        <v>360268</v>
      </c>
    </row>
    <row r="3" spans="1:9" x14ac:dyDescent="0.25">
      <c r="A3" t="s">
        <v>153</v>
      </c>
      <c r="B3" t="s">
        <v>164</v>
      </c>
      <c r="C3" t="s">
        <v>145</v>
      </c>
      <c r="D3" t="s">
        <v>149</v>
      </c>
      <c r="E3" t="s">
        <v>150</v>
      </c>
      <c r="F3" t="s">
        <v>112</v>
      </c>
      <c r="G3">
        <v>372315</v>
      </c>
    </row>
    <row r="4" spans="1:9" x14ac:dyDescent="0.25">
      <c r="A4" t="s">
        <v>153</v>
      </c>
      <c r="B4" t="s">
        <v>164</v>
      </c>
      <c r="C4" t="s">
        <v>146</v>
      </c>
      <c r="D4" t="s">
        <v>151</v>
      </c>
      <c r="E4" t="s">
        <v>152</v>
      </c>
      <c r="F4" t="s">
        <v>112</v>
      </c>
      <c r="G4">
        <v>237626</v>
      </c>
    </row>
    <row r="5" spans="1:9" x14ac:dyDescent="0.25">
      <c r="A5" t="s">
        <v>153</v>
      </c>
      <c r="B5" t="s">
        <v>164</v>
      </c>
      <c r="C5" t="s">
        <v>161</v>
      </c>
      <c r="D5" t="s">
        <v>162</v>
      </c>
      <c r="E5" t="s">
        <v>163</v>
      </c>
      <c r="F5" t="s">
        <v>112</v>
      </c>
      <c r="G5">
        <v>1439015</v>
      </c>
    </row>
    <row r="6" spans="1:9" x14ac:dyDescent="0.25">
      <c r="A6" t="s">
        <v>153</v>
      </c>
      <c r="B6" t="s">
        <v>164</v>
      </c>
      <c r="C6" t="s">
        <v>158</v>
      </c>
      <c r="D6" t="s">
        <v>159</v>
      </c>
      <c r="E6" t="s">
        <v>160</v>
      </c>
      <c r="F6" t="s">
        <v>112</v>
      </c>
      <c r="G6">
        <v>1433586</v>
      </c>
    </row>
    <row r="7" spans="1:9" x14ac:dyDescent="0.2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I1" zoomScale="70" zoomScaleNormal="70" workbookViewId="0">
      <selection activeCell="AB5" sqref="AB5:AF12"/>
    </sheetView>
  </sheetViews>
  <sheetFormatPr baseColWidth="10"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1608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166</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167</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168</v>
      </c>
      <c r="D4" s="1" t="s">
        <v>169</v>
      </c>
      <c r="E4" s="1" t="s">
        <v>170</v>
      </c>
      <c r="F4" s="1" t="s">
        <v>112</v>
      </c>
      <c r="G4" s="1">
        <v>563091</v>
      </c>
      <c r="K4" s="118" t="s">
        <v>100</v>
      </c>
      <c r="L4" s="1" t="s">
        <v>1609</v>
      </c>
      <c r="M4" s="1" t="s">
        <v>1610</v>
      </c>
      <c r="N4" s="1" t="s">
        <v>1611</v>
      </c>
      <c r="O4" s="1" t="s">
        <v>1612</v>
      </c>
      <c r="P4" s="1" t="s">
        <v>1613</v>
      </c>
      <c r="Q4" s="1" t="s">
        <v>1614</v>
      </c>
      <c r="R4" s="1" t="s">
        <v>1615</v>
      </c>
      <c r="S4" s="1" t="s">
        <v>1616</v>
      </c>
      <c r="T4" s="1" t="s">
        <v>1617</v>
      </c>
      <c r="U4" s="1" t="s">
        <v>1618</v>
      </c>
      <c r="V4" s="1" t="s">
        <v>1619</v>
      </c>
      <c r="W4" s="1" t="s">
        <v>1620</v>
      </c>
      <c r="X4" s="1" t="s">
        <v>1621</v>
      </c>
      <c r="Y4" s="1" t="s">
        <v>1622</v>
      </c>
      <c r="Z4" s="1" t="s">
        <v>1623</v>
      </c>
      <c r="AA4" s="1" t="s">
        <v>1624</v>
      </c>
      <c r="AB4" s="1" t="s">
        <v>1625</v>
      </c>
      <c r="AC4" s="1" t="s">
        <v>1626</v>
      </c>
      <c r="AD4" s="1" t="s">
        <v>1627</v>
      </c>
      <c r="AE4" s="1" t="s">
        <v>1628</v>
      </c>
      <c r="AF4" s="1" t="s">
        <v>1629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171</v>
      </c>
      <c r="D5" s="1" t="s">
        <v>172</v>
      </c>
      <c r="E5" s="1" t="s">
        <v>173</v>
      </c>
      <c r="F5" s="1" t="s">
        <v>112</v>
      </c>
      <c r="G5" s="1">
        <v>216018</v>
      </c>
      <c r="K5" s="145" t="s">
        <v>164</v>
      </c>
      <c r="L5" s="44">
        <v>563091</v>
      </c>
      <c r="M5" s="44">
        <v>113319</v>
      </c>
      <c r="N5" s="44">
        <v>109339</v>
      </c>
      <c r="O5" s="44">
        <v>519600.66666666669</v>
      </c>
      <c r="P5" s="44">
        <v>2017669</v>
      </c>
      <c r="Q5" s="44">
        <v>4427250</v>
      </c>
      <c r="R5" s="44">
        <v>8803064</v>
      </c>
      <c r="S5" s="44">
        <v>391436</v>
      </c>
      <c r="T5" s="44">
        <v>23115.333333333332</v>
      </c>
      <c r="U5" s="44">
        <v>191684</v>
      </c>
      <c r="V5" s="44">
        <v>475634</v>
      </c>
      <c r="W5" s="44">
        <v>805584</v>
      </c>
      <c r="X5" s="44">
        <v>2009078.3333333333</v>
      </c>
      <c r="Y5" s="44">
        <v>2477207</v>
      </c>
      <c r="Z5" s="44">
        <v>3682821.3333333335</v>
      </c>
      <c r="AA5" s="44">
        <v>232975.66666666666</v>
      </c>
      <c r="AB5" s="44">
        <v>965241.66666666663</v>
      </c>
      <c r="AC5" s="44">
        <v>3807279.3333333335</v>
      </c>
      <c r="AD5" s="44">
        <v>1627656.6666666667</v>
      </c>
      <c r="AE5" s="44">
        <v>2460545</v>
      </c>
      <c r="AF5" s="44">
        <v>939624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174</v>
      </c>
      <c r="D6" s="1" t="s">
        <v>175</v>
      </c>
      <c r="E6" s="1" t="s">
        <v>176</v>
      </c>
      <c r="F6" s="1" t="s">
        <v>112</v>
      </c>
      <c r="G6" s="1">
        <v>15184</v>
      </c>
      <c r="K6" s="145" t="s">
        <v>1630</v>
      </c>
      <c r="L6" s="44">
        <v>108712</v>
      </c>
      <c r="M6" s="44">
        <v>166881.66666666666</v>
      </c>
      <c r="N6" s="44">
        <v>333576.5</v>
      </c>
      <c r="O6" s="44">
        <v>375365.33333333331</v>
      </c>
      <c r="P6" s="44">
        <v>1161568.6666666667</v>
      </c>
      <c r="Q6" s="44">
        <v>3245731.6666666665</v>
      </c>
      <c r="R6" s="44">
        <v>4559783.666666667</v>
      </c>
      <c r="S6" s="44">
        <v>194279.66666666666</v>
      </c>
      <c r="T6" s="44">
        <v>161640</v>
      </c>
      <c r="U6" s="44">
        <v>336316</v>
      </c>
      <c r="V6" s="44">
        <v>338529.66666666669</v>
      </c>
      <c r="W6" s="44">
        <v>114725</v>
      </c>
      <c r="X6" s="44">
        <v>3422617</v>
      </c>
      <c r="Y6" s="44">
        <v>981420.33333333337</v>
      </c>
      <c r="Z6" s="44">
        <v>1631038.3333333333</v>
      </c>
      <c r="AA6" s="44">
        <v>291845</v>
      </c>
      <c r="AB6" s="44">
        <v>2530294</v>
      </c>
      <c r="AC6" s="44">
        <v>392906.66666666669</v>
      </c>
      <c r="AD6" s="44">
        <v>3458678</v>
      </c>
      <c r="AE6" s="44">
        <v>2925775</v>
      </c>
      <c r="AF6" s="44"/>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177</v>
      </c>
      <c r="D7" s="1" t="s">
        <v>178</v>
      </c>
      <c r="E7" s="1" t="s">
        <v>179</v>
      </c>
      <c r="F7" s="1" t="s">
        <v>112</v>
      </c>
      <c r="G7" s="1">
        <v>94934</v>
      </c>
      <c r="K7" s="145" t="s">
        <v>1631</v>
      </c>
      <c r="L7" s="44">
        <v>311110</v>
      </c>
      <c r="M7" s="44">
        <v>13691.666666666666</v>
      </c>
      <c r="N7" s="44">
        <v>110521.66666666667</v>
      </c>
      <c r="O7" s="44">
        <v>241281.66666666666</v>
      </c>
      <c r="P7" s="44">
        <v>189305</v>
      </c>
      <c r="Q7" s="44">
        <v>3550518.3333333335</v>
      </c>
      <c r="R7" s="44">
        <v>4213568.5</v>
      </c>
      <c r="S7" s="44">
        <v>579789</v>
      </c>
      <c r="T7" s="44">
        <v>94274</v>
      </c>
      <c r="U7" s="44">
        <v>117709.66666666667</v>
      </c>
      <c r="V7" s="44">
        <v>26691</v>
      </c>
      <c r="W7" s="44">
        <v>239154.33333333334</v>
      </c>
      <c r="X7" s="44">
        <v>2075316.3333333333</v>
      </c>
      <c r="Y7" s="44">
        <v>4075735.6666666665</v>
      </c>
      <c r="Z7" s="44">
        <v>3730205.3333333335</v>
      </c>
      <c r="AA7" s="44">
        <v>356511</v>
      </c>
      <c r="AB7" s="44">
        <v>3533697.5</v>
      </c>
      <c r="AC7" s="44">
        <v>205873.33333333334</v>
      </c>
      <c r="AD7" s="44">
        <v>2759073.3333333335</v>
      </c>
      <c r="AE7" s="44">
        <v>4025683.6666666665</v>
      </c>
      <c r="AF7" s="44">
        <v>868274.33333333337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180</v>
      </c>
      <c r="D8" s="1" t="s">
        <v>181</v>
      </c>
      <c r="E8" s="1" t="s">
        <v>182</v>
      </c>
      <c r="F8" s="1" t="s">
        <v>112</v>
      </c>
      <c r="G8" s="1">
        <v>295378</v>
      </c>
      <c r="K8" s="145" t="s">
        <v>1632</v>
      </c>
      <c r="L8" s="44">
        <v>182124</v>
      </c>
      <c r="M8" s="44">
        <v>106001</v>
      </c>
      <c r="N8" s="44">
        <v>75596.666666666672</v>
      </c>
      <c r="O8" s="44">
        <v>1002805</v>
      </c>
      <c r="P8" s="44">
        <v>2174301.6666666665</v>
      </c>
      <c r="Q8" s="44">
        <v>5018006</v>
      </c>
      <c r="R8" s="44">
        <v>6155565.5</v>
      </c>
      <c r="S8" s="44">
        <v>121790.66666666667</v>
      </c>
      <c r="T8" s="44">
        <v>316661.66666666669</v>
      </c>
      <c r="U8" s="44">
        <v>248037.33333333334</v>
      </c>
      <c r="V8" s="44">
        <v>77406</v>
      </c>
      <c r="W8" s="44">
        <v>386266.66666666669</v>
      </c>
      <c r="X8" s="44">
        <v>1270432</v>
      </c>
      <c r="Y8" s="44">
        <v>701598</v>
      </c>
      <c r="Z8" s="44">
        <v>3141936.6666666665</v>
      </c>
      <c r="AA8" s="44">
        <v>227406</v>
      </c>
      <c r="AB8" s="44">
        <v>3721639.6666666665</v>
      </c>
      <c r="AC8" s="44"/>
      <c r="AD8" s="44">
        <v>3367954.6666666665</v>
      </c>
      <c r="AE8" s="44">
        <v>3737501.3333333335</v>
      </c>
      <c r="AF8" s="44">
        <v>1621564.3333333333</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183</v>
      </c>
      <c r="D9" s="1" t="s">
        <v>184</v>
      </c>
      <c r="E9" s="1" t="s">
        <v>185</v>
      </c>
      <c r="F9" s="1" t="s">
        <v>112</v>
      </c>
      <c r="G9" s="1">
        <v>53426</v>
      </c>
      <c r="K9" s="145" t="s">
        <v>1633</v>
      </c>
      <c r="L9" s="44">
        <v>70542.333333333328</v>
      </c>
      <c r="M9" s="44">
        <v>298197</v>
      </c>
      <c r="N9" s="44">
        <v>719049.66666666663</v>
      </c>
      <c r="O9" s="44">
        <v>512470</v>
      </c>
      <c r="P9" s="44">
        <v>1533811.6666666667</v>
      </c>
      <c r="Q9" s="44"/>
      <c r="R9" s="44">
        <v>3529011.3333333335</v>
      </c>
      <c r="S9" s="44">
        <v>245326.33333333334</v>
      </c>
      <c r="T9" s="44">
        <v>21709.333333333332</v>
      </c>
      <c r="U9" s="44">
        <v>20865.666666666668</v>
      </c>
      <c r="V9" s="44">
        <v>149621</v>
      </c>
      <c r="W9" s="44">
        <v>682726</v>
      </c>
      <c r="X9" s="44">
        <v>1112025</v>
      </c>
      <c r="Y9" s="44">
        <v>3603086.3333333335</v>
      </c>
      <c r="Z9" s="44">
        <v>2215838.3333333335</v>
      </c>
      <c r="AA9" s="44">
        <v>108769.66666666667</v>
      </c>
      <c r="AB9" s="44">
        <v>260842.33333333334</v>
      </c>
      <c r="AC9" s="44">
        <v>3591809.6666666665</v>
      </c>
      <c r="AD9" s="44">
        <v>1473803</v>
      </c>
      <c r="AE9" s="44">
        <v>4666397.333333333</v>
      </c>
      <c r="AF9" s="44">
        <v>235254</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186</v>
      </c>
      <c r="D10" s="1" t="s">
        <v>187</v>
      </c>
      <c r="E10" s="1" t="s">
        <v>188</v>
      </c>
      <c r="F10" s="1" t="s">
        <v>112</v>
      </c>
      <c r="G10" s="1">
        <v>584526</v>
      </c>
      <c r="K10" s="145" t="s">
        <v>1634</v>
      </c>
      <c r="L10" s="44"/>
      <c r="M10" s="44">
        <v>161892.66666666666</v>
      </c>
      <c r="N10" s="44">
        <v>102619.66666666667</v>
      </c>
      <c r="O10" s="44">
        <v>115467.66666666667</v>
      </c>
      <c r="P10" s="44">
        <v>3292459</v>
      </c>
      <c r="Q10" s="44">
        <v>2678775.5</v>
      </c>
      <c r="R10" s="44">
        <v>6114785.666666667</v>
      </c>
      <c r="S10" s="44">
        <v>416779.33333333331</v>
      </c>
      <c r="T10" s="44">
        <v>65084.333333333336</v>
      </c>
      <c r="U10" s="44">
        <v>395877.33333333331</v>
      </c>
      <c r="V10" s="44">
        <v>48451</v>
      </c>
      <c r="W10" s="44">
        <v>20375.5</v>
      </c>
      <c r="X10" s="44">
        <v>122540.66666666667</v>
      </c>
      <c r="Y10" s="44">
        <v>2866101.5</v>
      </c>
      <c r="Z10" s="44">
        <v>3174180</v>
      </c>
      <c r="AA10" s="44">
        <v>283834.33333333331</v>
      </c>
      <c r="AB10" s="44">
        <v>3715223</v>
      </c>
      <c r="AC10" s="44">
        <v>3069411.5</v>
      </c>
      <c r="AD10" s="44">
        <v>2995149.3333333335</v>
      </c>
      <c r="AE10" s="44">
        <v>4074142.3333333335</v>
      </c>
      <c r="AF10" s="44">
        <v>1194554</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189</v>
      </c>
      <c r="K11" s="145" t="s">
        <v>1635</v>
      </c>
      <c r="L11" s="44">
        <v>183717</v>
      </c>
      <c r="M11" s="44">
        <v>459484</v>
      </c>
      <c r="N11" s="44">
        <v>415308.33333333331</v>
      </c>
      <c r="O11" s="44">
        <v>354225.66666666669</v>
      </c>
      <c r="P11" s="44">
        <v>1379695</v>
      </c>
      <c r="Q11" s="44">
        <v>2841483</v>
      </c>
      <c r="R11" s="44">
        <v>5321444.333333333</v>
      </c>
      <c r="S11" s="44">
        <v>532556.66666666663</v>
      </c>
      <c r="T11" s="44">
        <v>47427.333333333336</v>
      </c>
      <c r="U11" s="44">
        <v>144228</v>
      </c>
      <c r="V11" s="44">
        <v>309589</v>
      </c>
      <c r="W11" s="44">
        <v>266221</v>
      </c>
      <c r="X11" s="44">
        <v>4646242</v>
      </c>
      <c r="Y11" s="44">
        <v>2145058.3333333335</v>
      </c>
      <c r="Z11" s="44">
        <v>4456767.666666667</v>
      </c>
      <c r="AA11" s="44">
        <v>89872.333333333328</v>
      </c>
      <c r="AB11" s="44">
        <v>2069865.6666666667</v>
      </c>
      <c r="AC11" s="44">
        <v>2098207.6666666665</v>
      </c>
      <c r="AD11" s="44">
        <v>1754804.6666666667</v>
      </c>
      <c r="AE11" s="44">
        <v>224006.66666666666</v>
      </c>
      <c r="AF11" s="44">
        <v>3716427</v>
      </c>
      <c r="AG11"/>
    </row>
    <row r="12" spans="1:144" x14ac:dyDescent="0.25">
      <c r="A12" s="1" t="str">
        <f t="shared" si="0"/>
        <v>01 Evian + 0.2% DMSO</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190</v>
      </c>
      <c r="D12" s="1" t="s">
        <v>191</v>
      </c>
      <c r="E12" s="1" t="s">
        <v>192</v>
      </c>
      <c r="F12" s="1" t="s">
        <v>112</v>
      </c>
      <c r="G12" s="1">
        <v>291701</v>
      </c>
      <c r="K12" s="145" t="s">
        <v>1636</v>
      </c>
      <c r="L12" s="44">
        <v>160659.33333333334</v>
      </c>
      <c r="M12" s="44">
        <v>134617.33333333334</v>
      </c>
      <c r="N12" s="44">
        <v>100701.66666666667</v>
      </c>
      <c r="O12" s="44">
        <v>448438.33333333331</v>
      </c>
      <c r="P12" s="44">
        <v>4309886.333333333</v>
      </c>
      <c r="Q12" s="44">
        <v>3269892</v>
      </c>
      <c r="R12" s="44">
        <v>6021157.333333333</v>
      </c>
      <c r="S12" s="44">
        <v>316185.66666666669</v>
      </c>
      <c r="T12" s="44">
        <v>326323</v>
      </c>
      <c r="U12" s="44">
        <v>181842.5</v>
      </c>
      <c r="V12" s="44">
        <v>313990.5</v>
      </c>
      <c r="W12" s="44">
        <v>115301.66666666667</v>
      </c>
      <c r="X12" s="44">
        <v>185447.33333333334</v>
      </c>
      <c r="Y12" s="44">
        <v>4242437</v>
      </c>
      <c r="Z12" s="44">
        <v>5756025</v>
      </c>
      <c r="AA12" s="44">
        <v>455687.5</v>
      </c>
      <c r="AB12" s="44">
        <v>268744.33333333331</v>
      </c>
      <c r="AC12" s="44">
        <v>4408403.333333333</v>
      </c>
      <c r="AD12" s="44">
        <v>2921449</v>
      </c>
      <c r="AE12" s="44">
        <v>2867172.3333333335</v>
      </c>
      <c r="AF12" s="44">
        <v>2228279</v>
      </c>
      <c r="AG12"/>
    </row>
    <row r="13" spans="1:144" x14ac:dyDescent="0.25">
      <c r="A13" s="1" t="str">
        <f t="shared" si="0"/>
        <v>01 Evian + 0.2% DMSO</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193</v>
      </c>
      <c r="D13" s="1" t="s">
        <v>194</v>
      </c>
      <c r="E13" s="1" t="s">
        <v>195</v>
      </c>
      <c r="F13" s="1" t="s">
        <v>112</v>
      </c>
      <c r="G13" s="1">
        <v>72547</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196</v>
      </c>
      <c r="D14" s="1" t="s">
        <v>184</v>
      </c>
      <c r="E14" s="1" t="s">
        <v>197</v>
      </c>
      <c r="F14" s="1" t="s">
        <v>112</v>
      </c>
      <c r="G14" s="1">
        <v>55113</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198</v>
      </c>
      <c r="D15" s="1" t="s">
        <v>199</v>
      </c>
      <c r="E15" s="1" t="s">
        <v>200</v>
      </c>
      <c r="F15" s="1" t="s">
        <v>112</v>
      </c>
      <c r="G15" s="1">
        <v>140162</v>
      </c>
    </row>
    <row r="16" spans="1:144" x14ac:dyDescent="0.25">
      <c r="A16" s="1" t="str">
        <f t="shared" si="0"/>
        <v>01 Evian + 0.2% DMSO</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201</v>
      </c>
      <c r="D16" s="1" t="s">
        <v>202</v>
      </c>
      <c r="E16" s="1">
        <v>63</v>
      </c>
      <c r="F16" s="1" t="s">
        <v>112</v>
      </c>
      <c r="G16" s="1">
        <v>16352</v>
      </c>
      <c r="M16"/>
      <c r="N16"/>
      <c r="O16"/>
      <c r="P16"/>
      <c r="Q16"/>
      <c r="R16"/>
      <c r="S16"/>
      <c r="T16"/>
      <c r="U16"/>
      <c r="V16"/>
      <c r="W16"/>
      <c r="X16"/>
      <c r="Y16"/>
      <c r="Z16"/>
      <c r="AA16"/>
      <c r="AB16"/>
      <c r="AC16"/>
      <c r="AD16"/>
      <c r="AE16"/>
      <c r="AF16"/>
      <c r="AG16"/>
      <c r="AH16"/>
    </row>
    <row r="17" spans="1:34" x14ac:dyDescent="0.25">
      <c r="A17" s="1" t="str">
        <f t="shared" si="0"/>
        <v>01 Evian + 0.2% DMSO</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203</v>
      </c>
      <c r="M17"/>
      <c r="N17"/>
      <c r="O17"/>
      <c r="P17"/>
      <c r="Q17"/>
      <c r="R17"/>
      <c r="S17"/>
      <c r="T17"/>
      <c r="U17"/>
      <c r="V17"/>
      <c r="W17"/>
      <c r="X17"/>
      <c r="Y17"/>
      <c r="Z17"/>
      <c r="AA17"/>
      <c r="AB17"/>
      <c r="AC17"/>
      <c r="AD17"/>
      <c r="AE17"/>
      <c r="AF17"/>
      <c r="AG17"/>
      <c r="AH17"/>
    </row>
    <row r="18" spans="1:34" x14ac:dyDescent="0.25">
      <c r="A18" s="1" t="str">
        <f t="shared" si="0"/>
        <v>01 Evian + 0.2% DMSO</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204</v>
      </c>
      <c r="M18"/>
      <c r="N18"/>
      <c r="O18"/>
      <c r="P18"/>
      <c r="Q18"/>
      <c r="R18"/>
      <c r="S18"/>
      <c r="T18"/>
      <c r="U18"/>
      <c r="V18"/>
      <c r="W18"/>
      <c r="X18"/>
      <c r="Y18"/>
      <c r="Z18"/>
      <c r="AA18"/>
      <c r="AB18"/>
      <c r="AC18"/>
      <c r="AD18"/>
      <c r="AE18"/>
      <c r="AF18"/>
      <c r="AG18"/>
      <c r="AH18"/>
    </row>
    <row r="19" spans="1:34" x14ac:dyDescent="0.25">
      <c r="A19" s="1" t="str">
        <f t="shared" si="0"/>
        <v>01 Evian + 0.2% DMSO</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205</v>
      </c>
      <c r="K19"/>
      <c r="L19"/>
      <c r="M19"/>
      <c r="N19"/>
      <c r="O19"/>
      <c r="P19"/>
      <c r="Q19"/>
      <c r="R19"/>
      <c r="S19"/>
      <c r="T19"/>
      <c r="U19"/>
      <c r="V19"/>
      <c r="W19"/>
      <c r="X19"/>
      <c r="Y19"/>
      <c r="Z19"/>
      <c r="AA19"/>
      <c r="AB19"/>
      <c r="AC19"/>
      <c r="AD19"/>
      <c r="AE19"/>
      <c r="AF19"/>
      <c r="AG19"/>
      <c r="AH19"/>
    </row>
    <row r="20" spans="1:34" x14ac:dyDescent="0.25">
      <c r="A20" s="1" t="str">
        <f t="shared" si="0"/>
        <v>01 Evian + 0.2% DMSO</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206</v>
      </c>
      <c r="D20" s="1" t="s">
        <v>207</v>
      </c>
      <c r="E20" s="1" t="s">
        <v>208</v>
      </c>
      <c r="F20" s="1" t="s">
        <v>112</v>
      </c>
      <c r="G20" s="1">
        <v>90802</v>
      </c>
      <c r="K20"/>
      <c r="L20"/>
      <c r="M20"/>
      <c r="N20"/>
      <c r="O20"/>
      <c r="P20"/>
      <c r="Q20"/>
      <c r="R20"/>
      <c r="S20"/>
      <c r="T20"/>
      <c r="U20"/>
      <c r="V20"/>
      <c r="W20"/>
      <c r="X20"/>
      <c r="Y20"/>
      <c r="Z20"/>
      <c r="AA20"/>
      <c r="AB20"/>
      <c r="AC20"/>
      <c r="AD20"/>
      <c r="AE20"/>
      <c r="AF20"/>
      <c r="AG20"/>
      <c r="AH20"/>
    </row>
    <row r="21" spans="1:34" x14ac:dyDescent="0.25">
      <c r="A21" s="1" t="str">
        <f t="shared" si="0"/>
        <v>01 Evian + 0.2% DMSO</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209</v>
      </c>
      <c r="D21" s="1" t="s">
        <v>210</v>
      </c>
      <c r="E21" s="1" t="s">
        <v>211</v>
      </c>
      <c r="F21" s="1" t="s">
        <v>112</v>
      </c>
      <c r="G21" s="1">
        <v>429462</v>
      </c>
      <c r="K21"/>
      <c r="L21"/>
      <c r="M21"/>
      <c r="N21"/>
      <c r="O21"/>
      <c r="P21"/>
      <c r="Q21"/>
      <c r="R21"/>
      <c r="S21"/>
      <c r="T21"/>
      <c r="U21"/>
      <c r="V21"/>
      <c r="W21"/>
      <c r="X21"/>
      <c r="Y21"/>
      <c r="Z21"/>
      <c r="AA21"/>
      <c r="AB21"/>
      <c r="AC21"/>
      <c r="AD21"/>
      <c r="AE21"/>
      <c r="AF21"/>
      <c r="AG21"/>
      <c r="AH21"/>
    </row>
    <row r="22" spans="1:34" x14ac:dyDescent="0.25">
      <c r="A22" s="1" t="str">
        <f t="shared" si="0"/>
        <v>01 Evian + 0.2% DMSO</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212</v>
      </c>
      <c r="D22" s="1" t="s">
        <v>213</v>
      </c>
      <c r="E22" s="1" t="s">
        <v>214</v>
      </c>
      <c r="F22" s="1" t="s">
        <v>112</v>
      </c>
      <c r="G22" s="1">
        <v>30887</v>
      </c>
      <c r="K22"/>
      <c r="L22"/>
      <c r="M22"/>
      <c r="N22"/>
      <c r="O22"/>
      <c r="P22"/>
      <c r="Q22"/>
      <c r="R22"/>
      <c r="S22"/>
      <c r="T22"/>
      <c r="U22"/>
      <c r="V22"/>
      <c r="W22"/>
      <c r="X22"/>
      <c r="Y22"/>
      <c r="Z22"/>
      <c r="AA22"/>
      <c r="AB22"/>
      <c r="AC22"/>
      <c r="AD22"/>
      <c r="AE22"/>
      <c r="AF22"/>
      <c r="AG22"/>
      <c r="AH22"/>
    </row>
    <row r="23" spans="1:34" x14ac:dyDescent="0.25">
      <c r="A23" s="1" t="str">
        <f t="shared" si="0"/>
        <v>01 Evian + 0.2% DMSO</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215</v>
      </c>
      <c r="D23" s="1" t="s">
        <v>175</v>
      </c>
      <c r="E23" s="1" t="s">
        <v>216</v>
      </c>
      <c r="F23" s="1" t="s">
        <v>112</v>
      </c>
      <c r="G23" s="1">
        <v>15357</v>
      </c>
      <c r="K23"/>
      <c r="L23"/>
      <c r="M23"/>
      <c r="N23"/>
      <c r="O23"/>
      <c r="P23"/>
      <c r="Q23"/>
      <c r="R23"/>
      <c r="S23"/>
      <c r="T23"/>
      <c r="U23"/>
      <c r="V23"/>
      <c r="W23"/>
      <c r="X23"/>
      <c r="Y23"/>
      <c r="Z23"/>
      <c r="AA23"/>
      <c r="AB23"/>
      <c r="AC23"/>
      <c r="AD23"/>
      <c r="AE23"/>
      <c r="AF23"/>
      <c r="AG23"/>
      <c r="AH23"/>
    </row>
    <row r="24" spans="1:34" x14ac:dyDescent="0.25">
      <c r="A24" s="1" t="str">
        <f t="shared" si="0"/>
        <v>01 Evian + 0.2% DMSO</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217</v>
      </c>
      <c r="D24" s="1" t="s">
        <v>218</v>
      </c>
      <c r="E24" s="1" t="s">
        <v>219</v>
      </c>
      <c r="F24" s="1" t="s">
        <v>112</v>
      </c>
      <c r="G24" s="1">
        <v>282789</v>
      </c>
      <c r="K24"/>
      <c r="L24"/>
      <c r="M24"/>
      <c r="N24"/>
      <c r="O24"/>
      <c r="P24"/>
      <c r="Q24"/>
      <c r="R24"/>
      <c r="S24"/>
      <c r="T24"/>
      <c r="U24"/>
      <c r="V24"/>
      <c r="W24"/>
      <c r="X24"/>
      <c r="Y24"/>
      <c r="Z24"/>
      <c r="AA24"/>
      <c r="AB24"/>
      <c r="AC24"/>
      <c r="AD24"/>
      <c r="AE24"/>
      <c r="AF24"/>
      <c r="AG24"/>
      <c r="AH24"/>
    </row>
    <row r="25" spans="1:34" x14ac:dyDescent="0.25">
      <c r="A25" s="1" t="str">
        <f t="shared" si="0"/>
        <v>01 Evian + 0.2% DMSO</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220</v>
      </c>
      <c r="D25" s="1" t="s">
        <v>221</v>
      </c>
      <c r="E25" s="1" t="s">
        <v>222</v>
      </c>
      <c r="F25" s="1" t="s">
        <v>112</v>
      </c>
      <c r="G25" s="1">
        <v>183832</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223</v>
      </c>
      <c r="D27" s="1" t="s">
        <v>112</v>
      </c>
      <c r="E27" s="1" t="s">
        <v>224</v>
      </c>
      <c r="F27" s="1" t="s">
        <v>225</v>
      </c>
      <c r="G27" s="1" t="s">
        <v>226</v>
      </c>
      <c r="H27" s="1" t="s">
        <v>227</v>
      </c>
      <c r="I27" s="1" t="s">
        <v>228</v>
      </c>
      <c r="J27" s="1" t="s">
        <v>229</v>
      </c>
      <c r="K27"/>
      <c r="L27"/>
      <c r="M27"/>
      <c r="N27"/>
      <c r="O27"/>
      <c r="P27"/>
      <c r="Q27"/>
      <c r="R27"/>
      <c r="S27"/>
      <c r="T27"/>
      <c r="U27"/>
      <c r="V27"/>
      <c r="W27"/>
      <c r="X27"/>
      <c r="Y27"/>
      <c r="Z27"/>
      <c r="AA27"/>
      <c r="AB27"/>
      <c r="AC27"/>
      <c r="AD27"/>
      <c r="AE27"/>
      <c r="AF27"/>
      <c r="AG27"/>
      <c r="AH27"/>
    </row>
    <row r="28" spans="1:34" x14ac:dyDescent="0.25">
      <c r="A28" s="1" t="str">
        <f t="shared" si="0"/>
        <v>01 Evian + 0.2% DMSO</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230</v>
      </c>
      <c r="D28" s="1" t="s">
        <v>112</v>
      </c>
      <c r="E28" s="1" t="s">
        <v>231</v>
      </c>
      <c r="F28" s="1" t="s">
        <v>232</v>
      </c>
      <c r="G28" s="1" t="s">
        <v>233</v>
      </c>
      <c r="H28" s="1" t="s">
        <v>234</v>
      </c>
      <c r="I28" s="1">
        <v>24</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235</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02 EE2 33.8</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236</v>
      </c>
      <c r="D35" s="1" t="s">
        <v>237</v>
      </c>
      <c r="E35" s="1" t="s">
        <v>238</v>
      </c>
      <c r="F35" s="1" t="s">
        <v>112</v>
      </c>
      <c r="G35" s="1">
        <v>62986</v>
      </c>
      <c r="K35"/>
      <c r="L35"/>
      <c r="M35"/>
      <c r="N35"/>
      <c r="O35"/>
      <c r="P35"/>
      <c r="Q35"/>
      <c r="R35"/>
      <c r="S35"/>
      <c r="T35"/>
      <c r="U35"/>
      <c r="V35"/>
      <c r="W35"/>
      <c r="X35"/>
      <c r="Y35"/>
      <c r="Z35"/>
      <c r="AA35"/>
      <c r="AB35"/>
      <c r="AC35"/>
      <c r="AD35"/>
      <c r="AE35"/>
      <c r="AF35"/>
      <c r="AG35"/>
      <c r="AH35"/>
    </row>
    <row r="36" spans="1:34" x14ac:dyDescent="0.25">
      <c r="A36" s="1" t="str">
        <f t="shared" si="0"/>
        <v>02 EE2 33.8</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239</v>
      </c>
      <c r="D36" s="1" t="s">
        <v>240</v>
      </c>
      <c r="E36" s="1" t="s">
        <v>241</v>
      </c>
      <c r="F36" s="1" t="s">
        <v>112</v>
      </c>
      <c r="G36" s="1">
        <v>18364</v>
      </c>
      <c r="K36"/>
      <c r="L36"/>
      <c r="M36"/>
      <c r="N36"/>
      <c r="O36"/>
      <c r="P36"/>
      <c r="Q36"/>
      <c r="R36"/>
      <c r="S36"/>
      <c r="T36"/>
      <c r="U36"/>
      <c r="V36"/>
      <c r="W36"/>
      <c r="X36"/>
      <c r="Y36"/>
      <c r="Z36"/>
      <c r="AA36"/>
      <c r="AB36"/>
      <c r="AC36"/>
      <c r="AD36"/>
      <c r="AE36"/>
      <c r="AF36"/>
      <c r="AG36"/>
      <c r="AH36"/>
    </row>
    <row r="37" spans="1:34" x14ac:dyDescent="0.25">
      <c r="A37" s="1" t="str">
        <f t="shared" si="0"/>
        <v>02 EE2 33.8</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242</v>
      </c>
      <c r="D37" s="1" t="s">
        <v>243</v>
      </c>
      <c r="E37" s="1" t="s">
        <v>244</v>
      </c>
      <c r="F37" s="1" t="s">
        <v>112</v>
      </c>
      <c r="G37" s="1">
        <v>258607</v>
      </c>
      <c r="K37"/>
      <c r="L37"/>
      <c r="M37"/>
      <c r="N37"/>
      <c r="O37"/>
      <c r="P37"/>
      <c r="Q37"/>
      <c r="R37"/>
      <c r="S37"/>
      <c r="T37"/>
      <c r="U37"/>
      <c r="V37"/>
      <c r="W37"/>
      <c r="X37"/>
      <c r="Y37"/>
      <c r="Z37"/>
      <c r="AA37"/>
      <c r="AB37"/>
      <c r="AC37"/>
      <c r="AD37"/>
      <c r="AE37"/>
      <c r="AF37"/>
      <c r="AG37"/>
      <c r="AH37"/>
    </row>
    <row r="38" spans="1:34" x14ac:dyDescent="0.25">
      <c r="A38" s="1" t="str">
        <f t="shared" si="0"/>
        <v>02 EE2 33.8</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245</v>
      </c>
      <c r="D38" s="1" t="s">
        <v>246</v>
      </c>
      <c r="E38" s="1" t="s">
        <v>247</v>
      </c>
      <c r="F38" s="1" t="s">
        <v>112</v>
      </c>
      <c r="G38" s="1">
        <v>29568</v>
      </c>
      <c r="K38"/>
      <c r="L38"/>
      <c r="M38"/>
      <c r="N38"/>
      <c r="O38"/>
      <c r="P38"/>
      <c r="Q38"/>
      <c r="R38"/>
      <c r="S38"/>
      <c r="T38"/>
      <c r="U38"/>
      <c r="V38"/>
      <c r="W38"/>
      <c r="X38"/>
      <c r="Y38"/>
      <c r="Z38"/>
      <c r="AA38"/>
      <c r="AB38"/>
      <c r="AC38"/>
      <c r="AD38"/>
      <c r="AE38"/>
      <c r="AF38"/>
      <c r="AG38"/>
      <c r="AH38"/>
    </row>
    <row r="39" spans="1:34" x14ac:dyDescent="0.25">
      <c r="A39" s="1" t="str">
        <f t="shared" si="0"/>
        <v>02 EE2 33.8</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248</v>
      </c>
      <c r="D39" s="1" t="s">
        <v>249</v>
      </c>
      <c r="E39" s="1" t="s">
        <v>250</v>
      </c>
      <c r="F39" s="1" t="s">
        <v>112</v>
      </c>
      <c r="G39" s="1">
        <v>169881</v>
      </c>
    </row>
    <row r="40" spans="1:34" x14ac:dyDescent="0.25">
      <c r="A40" s="1" t="str">
        <f t="shared" si="0"/>
        <v>02 EE2 33.8</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251</v>
      </c>
      <c r="D40" s="1" t="s">
        <v>252</v>
      </c>
      <c r="E40" s="1" t="s">
        <v>253</v>
      </c>
      <c r="F40" s="1" t="s">
        <v>112</v>
      </c>
      <c r="G40" s="1">
        <v>301196</v>
      </c>
    </row>
    <row r="41" spans="1:34" x14ac:dyDescent="0.25">
      <c r="A41" s="1" t="str">
        <f t="shared" si="0"/>
        <v>02 EE2 33.8</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254</v>
      </c>
      <c r="D41" s="1" t="s">
        <v>255</v>
      </c>
      <c r="E41" s="1" t="s">
        <v>256</v>
      </c>
      <c r="F41" s="1" t="s">
        <v>112</v>
      </c>
      <c r="G41" s="1">
        <v>19315</v>
      </c>
    </row>
    <row r="42" spans="1:34" x14ac:dyDescent="0.25">
      <c r="A42" s="1" t="str">
        <f t="shared" si="0"/>
        <v>02 EE2 33.8</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257</v>
      </c>
      <c r="D42" s="1" t="s">
        <v>258</v>
      </c>
      <c r="E42" s="1" t="s">
        <v>259</v>
      </c>
      <c r="F42" s="1" t="s">
        <v>112</v>
      </c>
      <c r="G42" s="1">
        <v>10837</v>
      </c>
    </row>
    <row r="43" spans="1:34" x14ac:dyDescent="0.25">
      <c r="A43" s="1" t="str">
        <f t="shared" si="0"/>
        <v>02 EE2 33.8</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260</v>
      </c>
      <c r="D43" s="1" t="s">
        <v>258</v>
      </c>
      <c r="E43" s="1" t="s">
        <v>261</v>
      </c>
      <c r="F43" s="1" t="s">
        <v>112</v>
      </c>
      <c r="G43" s="1">
        <v>10923</v>
      </c>
    </row>
    <row r="44" spans="1:34" x14ac:dyDescent="0.25">
      <c r="A44" s="1" t="str">
        <f t="shared" si="0"/>
        <v>02 EE2 33.8</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262</v>
      </c>
      <c r="D44" s="1" t="s">
        <v>263</v>
      </c>
      <c r="E44" s="1" t="s">
        <v>264</v>
      </c>
      <c r="F44" s="1" t="s">
        <v>112</v>
      </c>
      <c r="G44" s="1">
        <v>198281</v>
      </c>
    </row>
    <row r="45" spans="1:34" x14ac:dyDescent="0.25">
      <c r="A45" s="1" t="str">
        <f t="shared" si="0"/>
        <v>02 EE2 33.8</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265</v>
      </c>
      <c r="D45" s="1" t="s">
        <v>178</v>
      </c>
      <c r="E45" s="1" t="s">
        <v>266</v>
      </c>
      <c r="F45" s="1" t="s">
        <v>112</v>
      </c>
      <c r="G45" s="1">
        <v>96145</v>
      </c>
    </row>
    <row r="46" spans="1:34" x14ac:dyDescent="0.25">
      <c r="A46" s="1" t="str">
        <f t="shared" si="0"/>
        <v>02 EE2 33.8</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267</v>
      </c>
      <c r="D46" s="1" t="s">
        <v>268</v>
      </c>
      <c r="E46" s="1" t="s">
        <v>269</v>
      </c>
      <c r="F46" s="1" t="s">
        <v>112</v>
      </c>
      <c r="G46" s="1">
        <v>23577</v>
      </c>
    </row>
    <row r="47" spans="1:34" x14ac:dyDescent="0.25">
      <c r="A47" s="1" t="str">
        <f t="shared" si="0"/>
        <v>02 EE2 33.8</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270</v>
      </c>
      <c r="D47" s="1" t="s">
        <v>210</v>
      </c>
      <c r="E47" s="1" t="s">
        <v>271</v>
      </c>
      <c r="F47" s="1" t="s">
        <v>112</v>
      </c>
      <c r="G47" s="1">
        <v>419166</v>
      </c>
    </row>
    <row r="48" spans="1:34" x14ac:dyDescent="0.25">
      <c r="A48" s="1" t="str">
        <f t="shared" si="0"/>
        <v>02 EE2 33.8</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272</v>
      </c>
      <c r="D48" s="1" t="s">
        <v>273</v>
      </c>
      <c r="E48" s="1" t="s">
        <v>274</v>
      </c>
      <c r="F48" s="1" t="s">
        <v>112</v>
      </c>
      <c r="G48" s="1">
        <v>218354</v>
      </c>
    </row>
    <row r="49" spans="1:10" x14ac:dyDescent="0.25">
      <c r="A49" s="1" t="str">
        <f t="shared" si="0"/>
        <v>02 EE2 33.8</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275</v>
      </c>
      <c r="D49" s="1" t="s">
        <v>276</v>
      </c>
      <c r="E49" s="1" t="s">
        <v>277</v>
      </c>
      <c r="F49" s="1" t="s">
        <v>112</v>
      </c>
      <c r="G49" s="1">
        <v>257071</v>
      </c>
    </row>
    <row r="50" spans="1:10" x14ac:dyDescent="0.25">
      <c r="A50" s="1" t="str">
        <f t="shared" si="0"/>
        <v>02 EE2 33.8</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278</v>
      </c>
      <c r="D50" s="1" t="s">
        <v>279</v>
      </c>
      <c r="E50" s="1" t="s">
        <v>280</v>
      </c>
      <c r="F50" s="1" t="s">
        <v>112</v>
      </c>
      <c r="G50" s="1">
        <v>410103</v>
      </c>
    </row>
    <row r="51" spans="1:10" x14ac:dyDescent="0.25">
      <c r="A51" s="1" t="str">
        <f t="shared" si="0"/>
        <v>02 EE2 33.8</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281</v>
      </c>
      <c r="D51" s="1" t="s">
        <v>282</v>
      </c>
      <c r="E51" s="1" t="s">
        <v>283</v>
      </c>
      <c r="F51" s="1" t="s">
        <v>112</v>
      </c>
      <c r="G51" s="1">
        <v>53988</v>
      </c>
    </row>
    <row r="52" spans="1:10" x14ac:dyDescent="0.25">
      <c r="A52" s="1" t="str">
        <f t="shared" si="0"/>
        <v>02 EE2 33.8</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284</v>
      </c>
      <c r="D52" s="1" t="s">
        <v>285</v>
      </c>
      <c r="E52" s="1" t="s">
        <v>286</v>
      </c>
      <c r="F52" s="1" t="s">
        <v>112</v>
      </c>
      <c r="G52" s="1">
        <v>21587</v>
      </c>
    </row>
    <row r="53" spans="1:10" x14ac:dyDescent="0.25">
      <c r="A53" s="1" t="str">
        <f t="shared" si="0"/>
        <v>02 EE2 33.8</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287</v>
      </c>
      <c r="D53" s="1" t="s">
        <v>288</v>
      </c>
      <c r="E53" s="1" t="s">
        <v>289</v>
      </c>
      <c r="F53" s="1" t="s">
        <v>112</v>
      </c>
      <c r="G53" s="1">
        <v>479794</v>
      </c>
    </row>
    <row r="54" spans="1:10" x14ac:dyDescent="0.25">
      <c r="A54" s="1" t="str">
        <f t="shared" si="0"/>
        <v>02 EE2 33.8</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290</v>
      </c>
      <c r="D54" s="1" t="s">
        <v>291</v>
      </c>
      <c r="E54" s="1" t="s">
        <v>292</v>
      </c>
      <c r="F54" s="1" t="s">
        <v>112</v>
      </c>
      <c r="G54" s="1">
        <v>352546</v>
      </c>
    </row>
    <row r="55" spans="1:10" x14ac:dyDescent="0.25">
      <c r="A55" s="1" t="str">
        <f t="shared" si="0"/>
        <v>02 EE2 33.8</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293</v>
      </c>
      <c r="D55" s="1" t="s">
        <v>294</v>
      </c>
      <c r="E55" s="1" t="s">
        <v>295</v>
      </c>
      <c r="F55" s="1" t="s">
        <v>112</v>
      </c>
      <c r="G55" s="1">
        <v>546112</v>
      </c>
    </row>
    <row r="56" spans="1:10" x14ac:dyDescent="0.25">
      <c r="A56" s="1" t="str">
        <f t="shared" si="0"/>
        <v>02 EE2 33.8</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296</v>
      </c>
      <c r="D56" s="1" t="s">
        <v>297</v>
      </c>
      <c r="E56" s="1" t="s">
        <v>298</v>
      </c>
      <c r="F56" s="1" t="s">
        <v>112</v>
      </c>
      <c r="G56" s="1">
        <v>20419</v>
      </c>
    </row>
    <row r="57" spans="1:10" x14ac:dyDescent="0.25">
      <c r="A57" s="1" t="str">
        <f t="shared" si="0"/>
        <v>02 EE2 33.8</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299</v>
      </c>
      <c r="D57" s="1" t="s">
        <v>300</v>
      </c>
      <c r="E57" s="1" t="s">
        <v>301</v>
      </c>
      <c r="F57" s="1" t="s">
        <v>112</v>
      </c>
      <c r="G57" s="1">
        <v>186277</v>
      </c>
    </row>
    <row r="58" spans="1:10" x14ac:dyDescent="0.25">
      <c r="A58" s="1" t="str">
        <f t="shared" si="0"/>
        <v>02 EE2 33.8</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302</v>
      </c>
      <c r="D58" s="1" t="s">
        <v>303</v>
      </c>
      <c r="E58" s="1" t="s">
        <v>304</v>
      </c>
      <c r="F58" s="1" t="s">
        <v>112</v>
      </c>
      <c r="G58" s="1">
        <v>197156</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223</v>
      </c>
      <c r="D60" s="1" t="s">
        <v>112</v>
      </c>
      <c r="E60" s="1" t="s">
        <v>224</v>
      </c>
      <c r="F60" s="1" t="s">
        <v>225</v>
      </c>
      <c r="G60" s="1" t="s">
        <v>226</v>
      </c>
      <c r="H60" s="1" t="s">
        <v>227</v>
      </c>
      <c r="I60" s="1" t="s">
        <v>228</v>
      </c>
      <c r="J60" s="1" t="s">
        <v>229</v>
      </c>
    </row>
    <row r="61" spans="1:10" x14ac:dyDescent="0.25">
      <c r="A61" s="1" t="str">
        <f t="shared" si="0"/>
        <v>02 EE2 33.8</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305</v>
      </c>
      <c r="D61" s="1" t="s">
        <v>112</v>
      </c>
      <c r="E61" s="1" t="s">
        <v>306</v>
      </c>
      <c r="F61" s="1" t="s">
        <v>307</v>
      </c>
      <c r="G61" s="1" t="s">
        <v>308</v>
      </c>
      <c r="H61" s="1" t="s">
        <v>309</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235</v>
      </c>
      <c r="D67" s="1" t="s">
        <v>110</v>
      </c>
      <c r="E67" s="1" t="s">
        <v>111</v>
      </c>
      <c r="F67" s="1" t="s">
        <v>112</v>
      </c>
      <c r="G67" s="1" t="s">
        <v>113</v>
      </c>
    </row>
    <row r="68" spans="1:7" x14ac:dyDescent="0.25">
      <c r="A68" s="1" t="str">
        <f t="shared" si="1"/>
        <v>03 EE2 50.6</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310</v>
      </c>
      <c r="D68" s="1" t="s">
        <v>311</v>
      </c>
      <c r="E68" s="1" t="s">
        <v>312</v>
      </c>
      <c r="F68" s="1" t="s">
        <v>112</v>
      </c>
      <c r="G68" s="1">
        <v>83643</v>
      </c>
    </row>
    <row r="69" spans="1:7" x14ac:dyDescent="0.25">
      <c r="A69" s="1" t="str">
        <f t="shared" si="1"/>
        <v>03 EE2 50.6</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313</v>
      </c>
      <c r="D69" s="1" t="s">
        <v>314</v>
      </c>
      <c r="E69" s="1" t="s">
        <v>315</v>
      </c>
      <c r="F69" s="1" t="s">
        <v>112</v>
      </c>
      <c r="G69" s="1">
        <v>135035</v>
      </c>
    </row>
    <row r="70" spans="1:7" x14ac:dyDescent="0.25">
      <c r="A70" s="1" t="str">
        <f t="shared" si="1"/>
        <v>03 EE2 50.6</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316</v>
      </c>
    </row>
    <row r="71" spans="1:7" x14ac:dyDescent="0.25">
      <c r="A71" s="1" t="str">
        <f t="shared" si="1"/>
        <v>03 EE2 50.6</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317</v>
      </c>
    </row>
    <row r="72" spans="1:7" x14ac:dyDescent="0.25">
      <c r="A72" s="1" t="str">
        <f t="shared" si="1"/>
        <v>03 EE2 50.6</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318</v>
      </c>
      <c r="D72" s="1" t="s">
        <v>319</v>
      </c>
      <c r="E72" s="1" t="s">
        <v>320</v>
      </c>
      <c r="F72" s="1" t="s">
        <v>112</v>
      </c>
      <c r="G72" s="1">
        <v>426174</v>
      </c>
    </row>
    <row r="73" spans="1:7" x14ac:dyDescent="0.25">
      <c r="A73" s="1" t="str">
        <f t="shared" si="1"/>
        <v>03 EE2 50.6</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321</v>
      </c>
      <c r="D73" s="1" t="s">
        <v>322</v>
      </c>
      <c r="E73" s="1" t="s">
        <v>323</v>
      </c>
      <c r="F73" s="1" t="s">
        <v>112</v>
      </c>
      <c r="G73" s="1">
        <v>240979</v>
      </c>
    </row>
    <row r="74" spans="1:7" x14ac:dyDescent="0.25">
      <c r="A74" s="1" t="str">
        <f t="shared" si="1"/>
        <v>03 EE2 50.6</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324</v>
      </c>
      <c r="D74" s="1" t="s">
        <v>325</v>
      </c>
      <c r="E74" s="1" t="s">
        <v>326</v>
      </c>
      <c r="F74" s="1" t="s">
        <v>112</v>
      </c>
      <c r="G74" s="1">
        <v>75834</v>
      </c>
    </row>
    <row r="75" spans="1:7" x14ac:dyDescent="0.25">
      <c r="A75" s="1" t="str">
        <f t="shared" si="1"/>
        <v>03 EE2 50.6</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327</v>
      </c>
      <c r="D75" s="1" t="s">
        <v>328</v>
      </c>
      <c r="E75" s="1" t="s">
        <v>329</v>
      </c>
      <c r="F75" s="1" t="s">
        <v>112</v>
      </c>
      <c r="G75" s="1">
        <v>115742</v>
      </c>
    </row>
    <row r="76" spans="1:7" x14ac:dyDescent="0.25">
      <c r="A76" s="1" t="str">
        <f t="shared" si="1"/>
        <v>03 EE2 50.6</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330</v>
      </c>
      <c r="D76" s="1" t="s">
        <v>331</v>
      </c>
      <c r="E76" s="1" t="s">
        <v>332</v>
      </c>
      <c r="F76" s="1" t="s">
        <v>112</v>
      </c>
      <c r="G76" s="1">
        <v>139989</v>
      </c>
    </row>
    <row r="77" spans="1:7" x14ac:dyDescent="0.25">
      <c r="A77" s="1" t="str">
        <f t="shared" si="1"/>
        <v>03 EE2 50.6</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333</v>
      </c>
      <c r="D77" s="1" t="s">
        <v>334</v>
      </c>
      <c r="E77" s="1" t="s">
        <v>335</v>
      </c>
      <c r="F77" s="1" t="s">
        <v>112</v>
      </c>
      <c r="G77" s="1">
        <v>41140</v>
      </c>
    </row>
    <row r="78" spans="1:7" x14ac:dyDescent="0.25">
      <c r="A78" s="1" t="str">
        <f t="shared" si="1"/>
        <v>03 EE2 50.6</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336</v>
      </c>
      <c r="D78" s="1" t="s">
        <v>337</v>
      </c>
      <c r="E78" s="1" t="s">
        <v>338</v>
      </c>
      <c r="F78" s="1" t="s">
        <v>112</v>
      </c>
      <c r="G78" s="1">
        <v>13692</v>
      </c>
    </row>
    <row r="79" spans="1:7" x14ac:dyDescent="0.25">
      <c r="A79" s="1" t="str">
        <f t="shared" si="1"/>
        <v>03 EE2 50.6</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339</v>
      </c>
      <c r="D79" s="1" t="s">
        <v>249</v>
      </c>
      <c r="E79" s="1" t="s">
        <v>340</v>
      </c>
      <c r="F79" s="1" t="s">
        <v>112</v>
      </c>
      <c r="G79" s="1">
        <v>171958</v>
      </c>
    </row>
    <row r="80" spans="1:7" x14ac:dyDescent="0.25">
      <c r="A80" s="1" t="str">
        <f t="shared" si="1"/>
        <v>03 EE2 50.6</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341</v>
      </c>
      <c r="D80" s="1" t="s">
        <v>187</v>
      </c>
      <c r="E80" s="1" t="s">
        <v>342</v>
      </c>
      <c r="F80" s="1" t="s">
        <v>112</v>
      </c>
      <c r="G80" s="1">
        <v>597504</v>
      </c>
    </row>
    <row r="81" spans="1:10" x14ac:dyDescent="0.25">
      <c r="A81" s="1" t="str">
        <f t="shared" si="1"/>
        <v>03 EE2 50.6</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343</v>
      </c>
      <c r="D81" s="1" t="s">
        <v>344</v>
      </c>
      <c r="E81" s="1" t="s">
        <v>345</v>
      </c>
      <c r="F81" s="1" t="s">
        <v>112</v>
      </c>
      <c r="G81" s="1">
        <v>784170</v>
      </c>
    </row>
    <row r="82" spans="1:10" x14ac:dyDescent="0.25">
      <c r="A82" s="1" t="str">
        <f t="shared" si="1"/>
        <v>03 EE2 50.6</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346</v>
      </c>
      <c r="D82" s="1" t="s">
        <v>347</v>
      </c>
      <c r="E82" s="1" t="s">
        <v>348</v>
      </c>
      <c r="F82" s="1" t="s">
        <v>112</v>
      </c>
      <c r="G82" s="1">
        <v>775475</v>
      </c>
    </row>
    <row r="83" spans="1:10" x14ac:dyDescent="0.25">
      <c r="A83" s="1" t="str">
        <f t="shared" si="1"/>
        <v>03 EE2 50.6</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349</v>
      </c>
      <c r="D83" s="1" t="s">
        <v>350</v>
      </c>
      <c r="E83" s="1" t="s">
        <v>351</v>
      </c>
      <c r="F83" s="1" t="s">
        <v>112</v>
      </c>
      <c r="G83" s="1">
        <v>160321</v>
      </c>
    </row>
    <row r="84" spans="1:10" x14ac:dyDescent="0.25">
      <c r="A84" s="1" t="str">
        <f t="shared" si="1"/>
        <v>03 EE2 50.6</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352</v>
      </c>
      <c r="D84" s="1" t="s">
        <v>353</v>
      </c>
      <c r="E84" s="1" t="s">
        <v>354</v>
      </c>
      <c r="F84" s="1" t="s">
        <v>112</v>
      </c>
      <c r="G84" s="1">
        <v>68697</v>
      </c>
    </row>
    <row r="85" spans="1:10" x14ac:dyDescent="0.25">
      <c r="A85" s="1" t="str">
        <f t="shared" si="1"/>
        <v>03 EE2 50.6</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355</v>
      </c>
      <c r="D85" s="1" t="s">
        <v>356</v>
      </c>
      <c r="E85" s="1" t="s">
        <v>357</v>
      </c>
      <c r="F85" s="1" t="s">
        <v>112</v>
      </c>
      <c r="G85" s="1">
        <v>78841</v>
      </c>
    </row>
    <row r="86" spans="1:10" x14ac:dyDescent="0.25">
      <c r="A86" s="1" t="str">
        <f t="shared" si="1"/>
        <v>03 EE2 50.6</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358</v>
      </c>
      <c r="D86" s="1" t="s">
        <v>359</v>
      </c>
      <c r="E86" s="1" t="s">
        <v>360</v>
      </c>
      <c r="F86" s="1" t="s">
        <v>112</v>
      </c>
      <c r="G86" s="1">
        <v>553379</v>
      </c>
    </row>
    <row r="87" spans="1:10" x14ac:dyDescent="0.25">
      <c r="A87" s="1" t="str">
        <f t="shared" si="1"/>
        <v>03 EE2 50.6</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361</v>
      </c>
      <c r="D87" s="1" t="s">
        <v>362</v>
      </c>
      <c r="E87" s="1" t="s">
        <v>363</v>
      </c>
      <c r="F87" s="1" t="s">
        <v>112</v>
      </c>
      <c r="G87" s="1">
        <v>266935</v>
      </c>
    </row>
    <row r="88" spans="1:10" x14ac:dyDescent="0.25">
      <c r="A88" s="1" t="str">
        <f t="shared" si="1"/>
        <v>03 EE2 50.6</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364</v>
      </c>
      <c r="D88" s="1" t="s">
        <v>365</v>
      </c>
      <c r="E88" s="1" t="s">
        <v>366</v>
      </c>
      <c r="F88" s="1" t="s">
        <v>112</v>
      </c>
      <c r="G88" s="1">
        <v>425611</v>
      </c>
    </row>
    <row r="89" spans="1:10" x14ac:dyDescent="0.25">
      <c r="A89" s="1" t="str">
        <f t="shared" si="1"/>
        <v>03 EE2 50.6</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367</v>
      </c>
      <c r="D89" s="1" t="s">
        <v>368</v>
      </c>
      <c r="E89" s="1" t="s">
        <v>261</v>
      </c>
      <c r="F89" s="1" t="s">
        <v>112</v>
      </c>
      <c r="G89" s="1">
        <v>131077</v>
      </c>
    </row>
    <row r="90" spans="1:10" x14ac:dyDescent="0.25">
      <c r="A90" s="1" t="str">
        <f t="shared" si="1"/>
        <v>03 EE2 50.6</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369</v>
      </c>
      <c r="D90" s="1" t="s">
        <v>370</v>
      </c>
      <c r="E90" s="1" t="s">
        <v>371</v>
      </c>
      <c r="F90" s="1" t="s">
        <v>112</v>
      </c>
      <c r="G90" s="1">
        <v>62143</v>
      </c>
    </row>
    <row r="91" spans="1:10" x14ac:dyDescent="0.25">
      <c r="A91" s="1" t="str">
        <f t="shared" si="1"/>
        <v>03 EE2 50.6</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372</v>
      </c>
      <c r="D91" s="1" t="s">
        <v>373</v>
      </c>
      <c r="E91" s="1" t="s">
        <v>374</v>
      </c>
      <c r="F91" s="1" t="s">
        <v>112</v>
      </c>
      <c r="G91" s="1">
        <v>108885</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223</v>
      </c>
      <c r="D93" s="1" t="s">
        <v>112</v>
      </c>
      <c r="E93" s="1" t="s">
        <v>224</v>
      </c>
      <c r="F93" s="1" t="s">
        <v>225</v>
      </c>
      <c r="G93" s="1" t="s">
        <v>226</v>
      </c>
      <c r="H93" s="1" t="s">
        <v>227</v>
      </c>
      <c r="I93" s="1" t="s">
        <v>228</v>
      </c>
      <c r="J93" s="1" t="s">
        <v>229</v>
      </c>
    </row>
    <row r="94" spans="1:10" x14ac:dyDescent="0.25">
      <c r="A94" s="1" t="str">
        <f t="shared" si="1"/>
        <v>03 EE2 50.6</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375</v>
      </c>
      <c r="D94" s="1" t="s">
        <v>112</v>
      </c>
      <c r="E94" s="1" t="s">
        <v>376</v>
      </c>
      <c r="F94" s="1" t="s">
        <v>377</v>
      </c>
      <c r="G94" s="1" t="s">
        <v>378</v>
      </c>
      <c r="H94" s="1" t="s">
        <v>379</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235</v>
      </c>
      <c r="D100" s="1" t="s">
        <v>110</v>
      </c>
      <c r="E100" s="1" t="s">
        <v>111</v>
      </c>
      <c r="F100" s="1" t="s">
        <v>112</v>
      </c>
      <c r="G100" s="1" t="s">
        <v>113</v>
      </c>
    </row>
    <row r="101" spans="1:7" x14ac:dyDescent="0.2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380</v>
      </c>
      <c r="D101" s="1" t="s">
        <v>381</v>
      </c>
      <c r="E101" s="1" t="s">
        <v>382</v>
      </c>
      <c r="F101" s="1" t="s">
        <v>112</v>
      </c>
      <c r="G101" s="1">
        <v>508021</v>
      </c>
    </row>
    <row r="102" spans="1:7" x14ac:dyDescent="0.2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383</v>
      </c>
      <c r="D102" s="1" t="s">
        <v>384</v>
      </c>
      <c r="E102" s="1" t="s">
        <v>385</v>
      </c>
      <c r="F102" s="1" t="s">
        <v>112</v>
      </c>
      <c r="G102" s="1">
        <v>515960</v>
      </c>
    </row>
    <row r="103" spans="1:7" x14ac:dyDescent="0.2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386</v>
      </c>
      <c r="D103" s="1" t="s">
        <v>387</v>
      </c>
      <c r="E103" s="1" t="s">
        <v>388</v>
      </c>
      <c r="F103" s="1" t="s">
        <v>112</v>
      </c>
      <c r="G103" s="1">
        <v>534821</v>
      </c>
    </row>
    <row r="104" spans="1:7" x14ac:dyDescent="0.2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389</v>
      </c>
      <c r="D104" s="1" t="s">
        <v>390</v>
      </c>
      <c r="E104" s="1" t="s">
        <v>391</v>
      </c>
      <c r="F104" s="1" t="s">
        <v>112</v>
      </c>
      <c r="G104" s="1">
        <v>359792</v>
      </c>
    </row>
    <row r="105" spans="1:7" x14ac:dyDescent="0.2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392</v>
      </c>
      <c r="D105" s="1" t="s">
        <v>393</v>
      </c>
      <c r="E105" s="1" t="s">
        <v>394</v>
      </c>
      <c r="F105" s="1" t="s">
        <v>112</v>
      </c>
      <c r="G105" s="1">
        <v>615133</v>
      </c>
    </row>
    <row r="106" spans="1:7" x14ac:dyDescent="0.2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395</v>
      </c>
      <c r="D106" s="1" t="s">
        <v>350</v>
      </c>
      <c r="E106" s="1" t="s">
        <v>396</v>
      </c>
      <c r="F106" s="1" t="s">
        <v>112</v>
      </c>
      <c r="G106" s="1">
        <v>151171</v>
      </c>
    </row>
    <row r="107" spans="1:7" x14ac:dyDescent="0.2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397</v>
      </c>
      <c r="D107" s="1" t="s">
        <v>398</v>
      </c>
      <c r="E107" s="1" t="s">
        <v>399</v>
      </c>
      <c r="F107" s="1" t="s">
        <v>112</v>
      </c>
      <c r="G107" s="1">
        <v>322437</v>
      </c>
    </row>
    <row r="108" spans="1:7" x14ac:dyDescent="0.2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400</v>
      </c>
      <c r="D108" s="1" t="s">
        <v>401</v>
      </c>
      <c r="E108" s="1" t="s">
        <v>402</v>
      </c>
      <c r="F108" s="1" t="s">
        <v>112</v>
      </c>
      <c r="G108" s="1">
        <v>265226</v>
      </c>
    </row>
    <row r="109" spans="1:7" x14ac:dyDescent="0.2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403</v>
      </c>
      <c r="D109" s="1" t="s">
        <v>404</v>
      </c>
      <c r="E109" s="1" t="s">
        <v>405</v>
      </c>
      <c r="F109" s="1" t="s">
        <v>112</v>
      </c>
      <c r="G109" s="1">
        <v>136182</v>
      </c>
    </row>
    <row r="110" spans="1:7" x14ac:dyDescent="0.2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406</v>
      </c>
      <c r="D110" s="1" t="s">
        <v>407</v>
      </c>
      <c r="E110" s="1" t="s">
        <v>408</v>
      </c>
      <c r="F110" s="1" t="s">
        <v>112</v>
      </c>
      <c r="G110" s="1">
        <v>988205</v>
      </c>
    </row>
    <row r="111" spans="1:7" x14ac:dyDescent="0.2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409</v>
      </c>
      <c r="D111" s="1" t="s">
        <v>407</v>
      </c>
      <c r="E111" s="1" t="s">
        <v>410</v>
      </c>
      <c r="F111" s="1" t="s">
        <v>112</v>
      </c>
      <c r="G111" s="1">
        <v>1017405</v>
      </c>
    </row>
    <row r="112" spans="1:7" x14ac:dyDescent="0.2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411</v>
      </c>
    </row>
    <row r="113" spans="1:10" x14ac:dyDescent="0.2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412</v>
      </c>
      <c r="D113" s="1" t="s">
        <v>413</v>
      </c>
      <c r="E113" s="1" t="s">
        <v>414</v>
      </c>
      <c r="F113" s="1" t="s">
        <v>112</v>
      </c>
      <c r="G113" s="1">
        <v>607995</v>
      </c>
    </row>
    <row r="114" spans="1:10" x14ac:dyDescent="0.2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415</v>
      </c>
      <c r="D114" s="1" t="s">
        <v>416</v>
      </c>
      <c r="E114" s="1" t="s">
        <v>417</v>
      </c>
      <c r="F114" s="1" t="s">
        <v>112</v>
      </c>
      <c r="G114" s="1">
        <v>528808</v>
      </c>
    </row>
    <row r="115" spans="1:10" x14ac:dyDescent="0.2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418</v>
      </c>
      <c r="D115" s="1" t="s">
        <v>419</v>
      </c>
      <c r="E115" s="1" t="s">
        <v>420</v>
      </c>
      <c r="F115" s="1" t="s">
        <v>112</v>
      </c>
      <c r="G115" s="1">
        <v>400607</v>
      </c>
    </row>
    <row r="116" spans="1:10" x14ac:dyDescent="0.2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421</v>
      </c>
      <c r="D116" s="1" t="s">
        <v>422</v>
      </c>
      <c r="E116" s="1" t="s">
        <v>423</v>
      </c>
      <c r="F116" s="1" t="s">
        <v>112</v>
      </c>
      <c r="G116" s="1">
        <v>129996</v>
      </c>
    </row>
    <row r="117" spans="1:10" x14ac:dyDescent="0.2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424</v>
      </c>
      <c r="D117" s="1" t="s">
        <v>425</v>
      </c>
      <c r="E117" s="1" t="s">
        <v>426</v>
      </c>
      <c r="F117" s="1" t="s">
        <v>112</v>
      </c>
      <c r="G117" s="1">
        <v>103845</v>
      </c>
    </row>
    <row r="118" spans="1:10" x14ac:dyDescent="0.2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427</v>
      </c>
      <c r="D118" s="1" t="s">
        <v>428</v>
      </c>
      <c r="E118" s="1" t="s">
        <v>429</v>
      </c>
      <c r="F118" s="1" t="s">
        <v>112</v>
      </c>
      <c r="G118" s="1">
        <v>112562</v>
      </c>
    </row>
    <row r="119" spans="1:10" x14ac:dyDescent="0.2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430</v>
      </c>
      <c r="D119" s="1" t="s">
        <v>431</v>
      </c>
      <c r="E119" s="1">
        <v>62</v>
      </c>
      <c r="F119" s="1" t="s">
        <v>112</v>
      </c>
      <c r="G119" s="1">
        <v>48278</v>
      </c>
    </row>
    <row r="120" spans="1:10" x14ac:dyDescent="0.2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432</v>
      </c>
      <c r="D120" s="1" t="s">
        <v>433</v>
      </c>
      <c r="E120" s="1" t="s">
        <v>434</v>
      </c>
      <c r="F120" s="1" t="s">
        <v>112</v>
      </c>
      <c r="G120" s="1">
        <v>438611</v>
      </c>
    </row>
    <row r="121" spans="1:10" x14ac:dyDescent="0.2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435</v>
      </c>
      <c r="D121" s="1" t="s">
        <v>436</v>
      </c>
      <c r="E121" s="1" t="s">
        <v>437</v>
      </c>
      <c r="F121" s="1" t="s">
        <v>112</v>
      </c>
      <c r="G121" s="1">
        <v>575788</v>
      </c>
    </row>
    <row r="122" spans="1:10" x14ac:dyDescent="0.2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438</v>
      </c>
      <c r="D122" s="1" t="s">
        <v>439</v>
      </c>
      <c r="E122" s="1" t="s">
        <v>440</v>
      </c>
      <c r="F122" s="1" t="s">
        <v>112</v>
      </c>
      <c r="G122" s="1">
        <v>696872</v>
      </c>
    </row>
    <row r="123" spans="1:10" x14ac:dyDescent="0.2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441</v>
      </c>
      <c r="D123" s="1" t="s">
        <v>442</v>
      </c>
      <c r="E123" s="1" t="s">
        <v>443</v>
      </c>
      <c r="F123" s="1" t="s">
        <v>112</v>
      </c>
      <c r="G123" s="1">
        <v>366605</v>
      </c>
    </row>
    <row r="124" spans="1:10" x14ac:dyDescent="0.2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444</v>
      </c>
      <c r="D124" s="1" t="s">
        <v>445</v>
      </c>
      <c r="E124" s="1" t="s">
        <v>446</v>
      </c>
      <c r="F124" s="1" t="s">
        <v>112</v>
      </c>
      <c r="G124" s="1">
        <v>281838</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223</v>
      </c>
      <c r="D126" s="1" t="s">
        <v>112</v>
      </c>
      <c r="E126" s="1" t="s">
        <v>224</v>
      </c>
      <c r="F126" s="1" t="s">
        <v>225</v>
      </c>
      <c r="G126" s="1" t="s">
        <v>226</v>
      </c>
      <c r="H126" s="1" t="s">
        <v>227</v>
      </c>
      <c r="I126" s="1" t="s">
        <v>228</v>
      </c>
      <c r="J126" s="1" t="s">
        <v>229</v>
      </c>
    </row>
    <row r="127" spans="1:10" x14ac:dyDescent="0.2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447</v>
      </c>
      <c r="D127" s="1" t="s">
        <v>112</v>
      </c>
      <c r="E127" s="1" t="s">
        <v>448</v>
      </c>
      <c r="F127" s="1" t="s">
        <v>449</v>
      </c>
      <c r="G127" s="1">
        <v>439853</v>
      </c>
      <c r="H127" s="1" t="s">
        <v>450</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235</v>
      </c>
      <c r="D133" s="1" t="s">
        <v>110</v>
      </c>
      <c r="E133" s="1" t="s">
        <v>111</v>
      </c>
      <c r="F133" s="1" t="s">
        <v>112</v>
      </c>
      <c r="G133" s="1" t="s">
        <v>113</v>
      </c>
    </row>
    <row r="134" spans="1:7" x14ac:dyDescent="0.2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451</v>
      </c>
      <c r="D134" s="1" t="s">
        <v>452</v>
      </c>
      <c r="E134" s="1" t="s">
        <v>453</v>
      </c>
      <c r="F134" s="1" t="s">
        <v>112</v>
      </c>
      <c r="G134" s="1">
        <v>2121828</v>
      </c>
    </row>
    <row r="135" spans="1:7" x14ac:dyDescent="0.2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454</v>
      </c>
      <c r="D135" s="1" t="s">
        <v>455</v>
      </c>
      <c r="E135" s="1" t="s">
        <v>456</v>
      </c>
      <c r="F135" s="1" t="s">
        <v>112</v>
      </c>
      <c r="G135" s="1">
        <v>1913510</v>
      </c>
    </row>
    <row r="136" spans="1:7" x14ac:dyDescent="0.2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457</v>
      </c>
    </row>
    <row r="137" spans="1:7" x14ac:dyDescent="0.2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458</v>
      </c>
      <c r="D137" s="1" t="s">
        <v>459</v>
      </c>
      <c r="E137" s="1" t="s">
        <v>460</v>
      </c>
      <c r="F137" s="1" t="s">
        <v>112</v>
      </c>
      <c r="G137" s="1">
        <v>1229162</v>
      </c>
    </row>
    <row r="138" spans="1:7" x14ac:dyDescent="0.2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461</v>
      </c>
      <c r="D138" s="1" t="s">
        <v>462</v>
      </c>
      <c r="E138" s="1" t="s">
        <v>463</v>
      </c>
      <c r="F138" s="1" t="s">
        <v>112</v>
      </c>
      <c r="G138" s="1">
        <v>1273979</v>
      </c>
    </row>
    <row r="139" spans="1:7" x14ac:dyDescent="0.2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464</v>
      </c>
      <c r="D139" s="1" t="s">
        <v>465</v>
      </c>
      <c r="E139" s="1" t="s">
        <v>466</v>
      </c>
      <c r="F139" s="1" t="s">
        <v>112</v>
      </c>
      <c r="G139" s="1">
        <v>981565</v>
      </c>
    </row>
    <row r="140" spans="1:7" x14ac:dyDescent="0.2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467</v>
      </c>
      <c r="D140" s="1" t="s">
        <v>468</v>
      </c>
      <c r="E140" s="1" t="s">
        <v>469</v>
      </c>
      <c r="F140" s="1" t="s">
        <v>112</v>
      </c>
      <c r="G140" s="1">
        <v>123312</v>
      </c>
    </row>
    <row r="141" spans="1:7" x14ac:dyDescent="0.2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470</v>
      </c>
      <c r="D141" s="1" t="s">
        <v>471</v>
      </c>
      <c r="E141" s="1" t="s">
        <v>472</v>
      </c>
      <c r="F141" s="1" t="s">
        <v>112</v>
      </c>
      <c r="G141" s="1">
        <v>86044</v>
      </c>
    </row>
    <row r="142" spans="1:7" x14ac:dyDescent="0.2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473</v>
      </c>
      <c r="D142" s="1" t="s">
        <v>474</v>
      </c>
      <c r="E142" s="1" t="s">
        <v>475</v>
      </c>
      <c r="F142" s="1" t="s">
        <v>112</v>
      </c>
      <c r="G142" s="1">
        <v>358559</v>
      </c>
    </row>
    <row r="143" spans="1:7" x14ac:dyDescent="0.2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476</v>
      </c>
      <c r="D143" s="1" t="s">
        <v>477</v>
      </c>
      <c r="E143" s="1" t="s">
        <v>478</v>
      </c>
      <c r="F143" s="1" t="s">
        <v>112</v>
      </c>
      <c r="G143" s="1">
        <v>2387032</v>
      </c>
    </row>
    <row r="144" spans="1:7" x14ac:dyDescent="0.2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479</v>
      </c>
      <c r="D144" s="1" t="s">
        <v>480</v>
      </c>
      <c r="E144" s="1" t="s">
        <v>481</v>
      </c>
      <c r="F144" s="1" t="s">
        <v>112</v>
      </c>
      <c r="G144" s="1">
        <v>1828937</v>
      </c>
    </row>
    <row r="145" spans="1:10" x14ac:dyDescent="0.2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482</v>
      </c>
      <c r="D145" s="1" t="s">
        <v>483</v>
      </c>
      <c r="E145" s="1" t="s">
        <v>484</v>
      </c>
      <c r="F145" s="1" t="s">
        <v>112</v>
      </c>
      <c r="G145" s="1">
        <v>2306936</v>
      </c>
    </row>
    <row r="146" spans="1:10" x14ac:dyDescent="0.2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485</v>
      </c>
      <c r="D146" s="1" t="s">
        <v>486</v>
      </c>
      <c r="E146" s="1" t="s">
        <v>487</v>
      </c>
      <c r="F146" s="1" t="s">
        <v>112</v>
      </c>
      <c r="G146" s="1">
        <v>1982142</v>
      </c>
    </row>
    <row r="147" spans="1:10" x14ac:dyDescent="0.2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488</v>
      </c>
      <c r="D147" s="1" t="s">
        <v>489</v>
      </c>
      <c r="E147" s="1" t="s">
        <v>490</v>
      </c>
      <c r="F147" s="1" t="s">
        <v>112</v>
      </c>
      <c r="G147" s="1">
        <v>1400146</v>
      </c>
    </row>
    <row r="148" spans="1:10" x14ac:dyDescent="0.2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491</v>
      </c>
      <c r="D148" s="1" t="s">
        <v>492</v>
      </c>
      <c r="E148" s="1" t="s">
        <v>493</v>
      </c>
      <c r="F148" s="1" t="s">
        <v>112</v>
      </c>
      <c r="G148" s="1">
        <v>1219147</v>
      </c>
    </row>
    <row r="149" spans="1:10" x14ac:dyDescent="0.2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494</v>
      </c>
      <c r="D149" s="1" t="s">
        <v>495</v>
      </c>
      <c r="E149" s="1" t="s">
        <v>496</v>
      </c>
      <c r="F149" s="1" t="s">
        <v>112</v>
      </c>
      <c r="G149" s="1">
        <v>3292459</v>
      </c>
    </row>
    <row r="150" spans="1:10" x14ac:dyDescent="0.2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497</v>
      </c>
    </row>
    <row r="151" spans="1:10" x14ac:dyDescent="0.2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498</v>
      </c>
    </row>
    <row r="152" spans="1:10" x14ac:dyDescent="0.2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499</v>
      </c>
    </row>
    <row r="153" spans="1:10" x14ac:dyDescent="0.2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500</v>
      </c>
      <c r="D153" s="1" t="s">
        <v>501</v>
      </c>
      <c r="E153" s="1" t="s">
        <v>502</v>
      </c>
      <c r="F153" s="1" t="s">
        <v>112</v>
      </c>
      <c r="G153" s="1">
        <v>1266495</v>
      </c>
    </row>
    <row r="154" spans="1:10" x14ac:dyDescent="0.2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503</v>
      </c>
      <c r="D154" s="1" t="s">
        <v>504</v>
      </c>
      <c r="E154" s="1" t="s">
        <v>505</v>
      </c>
      <c r="F154" s="1" t="s">
        <v>112</v>
      </c>
      <c r="G154" s="1">
        <v>1492895</v>
      </c>
    </row>
    <row r="155" spans="1:10" x14ac:dyDescent="0.2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506</v>
      </c>
      <c r="D155" s="1" t="s">
        <v>507</v>
      </c>
      <c r="E155" s="1" t="s">
        <v>508</v>
      </c>
      <c r="F155" s="1" t="s">
        <v>112</v>
      </c>
      <c r="G155" s="1">
        <v>3920332</v>
      </c>
    </row>
    <row r="156" spans="1:10" x14ac:dyDescent="0.2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509</v>
      </c>
      <c r="D156" s="1" t="s">
        <v>510</v>
      </c>
      <c r="E156" s="1" t="s">
        <v>511</v>
      </c>
      <c r="F156" s="1" t="s">
        <v>112</v>
      </c>
      <c r="G156" s="1">
        <v>4763054</v>
      </c>
    </row>
    <row r="157" spans="1:10" x14ac:dyDescent="0.2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512</v>
      </c>
      <c r="D157" s="1" t="s">
        <v>513</v>
      </c>
      <c r="E157" s="1" t="s">
        <v>514</v>
      </c>
      <c r="F157" s="1" t="s">
        <v>112</v>
      </c>
      <c r="G157" s="1">
        <v>4246273</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223</v>
      </c>
      <c r="D159" s="1" t="s">
        <v>112</v>
      </c>
      <c r="E159" s="1" t="s">
        <v>224</v>
      </c>
      <c r="F159" s="1" t="s">
        <v>225</v>
      </c>
      <c r="G159" s="1" t="s">
        <v>226</v>
      </c>
      <c r="H159" s="1" t="s">
        <v>227</v>
      </c>
      <c r="I159" s="1" t="s">
        <v>228</v>
      </c>
      <c r="J159" s="1" t="s">
        <v>229</v>
      </c>
    </row>
    <row r="160" spans="1:10" x14ac:dyDescent="0.2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515</v>
      </c>
      <c r="D160" s="1" t="s">
        <v>112</v>
      </c>
      <c r="E160" s="1" t="s">
        <v>516</v>
      </c>
      <c r="F160" s="1" t="s">
        <v>517</v>
      </c>
      <c r="G160" s="1" t="s">
        <v>518</v>
      </c>
      <c r="H160" s="1">
        <v>1248334</v>
      </c>
      <c r="I160" s="1">
        <v>24</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235</v>
      </c>
      <c r="D166" s="1" t="s">
        <v>110</v>
      </c>
      <c r="E166" s="1" t="s">
        <v>111</v>
      </c>
      <c r="F166" s="1" t="s">
        <v>112</v>
      </c>
      <c r="G166" s="1" t="s">
        <v>113</v>
      </c>
    </row>
    <row r="167" spans="1:7" x14ac:dyDescent="0.25">
      <c r="A167" s="1" t="str">
        <f t="shared" si="2"/>
        <v>06 EE2 170.9</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519</v>
      </c>
      <c r="D167" s="1" t="s">
        <v>520</v>
      </c>
      <c r="E167" s="1" t="s">
        <v>521</v>
      </c>
      <c r="F167" s="1" t="s">
        <v>112</v>
      </c>
      <c r="G167" s="1">
        <v>4374192</v>
      </c>
    </row>
    <row r="168" spans="1:7" x14ac:dyDescent="0.25">
      <c r="A168" s="1" t="str">
        <f t="shared" si="2"/>
        <v>06 EE2 170.9</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522</v>
      </c>
      <c r="D168" s="1" t="s">
        <v>523</v>
      </c>
      <c r="E168" s="1" t="s">
        <v>524</v>
      </c>
      <c r="F168" s="1" t="s">
        <v>112</v>
      </c>
      <c r="G168" s="1">
        <v>4611342</v>
      </c>
    </row>
    <row r="169" spans="1:7" x14ac:dyDescent="0.25">
      <c r="A169" s="1" t="str">
        <f t="shared" si="2"/>
        <v>06 EE2 170.9</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525</v>
      </c>
      <c r="D169" s="1" t="s">
        <v>526</v>
      </c>
      <c r="E169" s="1" t="s">
        <v>527</v>
      </c>
      <c r="F169" s="1" t="s">
        <v>112</v>
      </c>
      <c r="G169" s="1">
        <v>4296216</v>
      </c>
    </row>
    <row r="170" spans="1:7" x14ac:dyDescent="0.25">
      <c r="A170" s="1" t="str">
        <f t="shared" si="2"/>
        <v>06 EE2 170.9</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528</v>
      </c>
      <c r="D170" s="1" t="s">
        <v>529</v>
      </c>
      <c r="E170" s="1" t="s">
        <v>530</v>
      </c>
      <c r="F170" s="1" t="s">
        <v>112</v>
      </c>
      <c r="G170" s="1">
        <v>3138195</v>
      </c>
    </row>
    <row r="171" spans="1:7" x14ac:dyDescent="0.25">
      <c r="A171" s="1" t="str">
        <f t="shared" si="2"/>
        <v>06 EE2 170.9</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531</v>
      </c>
      <c r="D171" s="1" t="s">
        <v>532</v>
      </c>
      <c r="E171" s="1" t="s">
        <v>533</v>
      </c>
      <c r="F171" s="1" t="s">
        <v>112</v>
      </c>
      <c r="G171" s="1">
        <v>3338466</v>
      </c>
    </row>
    <row r="172" spans="1:7" x14ac:dyDescent="0.25">
      <c r="A172" s="1" t="str">
        <f t="shared" si="2"/>
        <v>06 EE2 170.9</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534</v>
      </c>
      <c r="D172" s="1" t="s">
        <v>535</v>
      </c>
      <c r="E172" s="1" t="s">
        <v>536</v>
      </c>
      <c r="F172" s="1" t="s">
        <v>112</v>
      </c>
      <c r="G172" s="1">
        <v>3260534</v>
      </c>
    </row>
    <row r="173" spans="1:7" x14ac:dyDescent="0.25">
      <c r="A173" s="1" t="str">
        <f t="shared" si="2"/>
        <v>06 EE2 170.9</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537</v>
      </c>
      <c r="D173" s="1" t="s">
        <v>538</v>
      </c>
      <c r="E173" s="1" t="s">
        <v>539</v>
      </c>
      <c r="F173" s="1" t="s">
        <v>112</v>
      </c>
      <c r="G173" s="1">
        <v>3746146</v>
      </c>
    </row>
    <row r="174" spans="1:7" x14ac:dyDescent="0.25">
      <c r="A174" s="1" t="str">
        <f t="shared" si="2"/>
        <v>06 EE2 170.9</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540</v>
      </c>
      <c r="D174" s="1" t="s">
        <v>541</v>
      </c>
      <c r="E174" s="1" t="s">
        <v>542</v>
      </c>
      <c r="F174" s="1" t="s">
        <v>112</v>
      </c>
      <c r="G174" s="1">
        <v>3341884</v>
      </c>
    </row>
    <row r="175" spans="1:7" x14ac:dyDescent="0.25">
      <c r="A175" s="1" t="str">
        <f t="shared" si="2"/>
        <v>06 EE2 170.9</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543</v>
      </c>
      <c r="D175" s="1" t="s">
        <v>544</v>
      </c>
      <c r="E175" s="1" t="s">
        <v>545</v>
      </c>
      <c r="F175" s="1" t="s">
        <v>112</v>
      </c>
      <c r="G175" s="1">
        <v>3563525</v>
      </c>
    </row>
    <row r="176" spans="1:7" x14ac:dyDescent="0.25">
      <c r="A176" s="1" t="str">
        <f t="shared" si="2"/>
        <v>06 EE2 170.9</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546</v>
      </c>
      <c r="D176" s="1" t="s">
        <v>547</v>
      </c>
      <c r="E176" s="1" t="s">
        <v>548</v>
      </c>
      <c r="F176" s="1" t="s">
        <v>112</v>
      </c>
      <c r="G176" s="1">
        <v>4505096</v>
      </c>
    </row>
    <row r="177" spans="1:10" x14ac:dyDescent="0.25">
      <c r="A177" s="1" t="str">
        <f t="shared" si="2"/>
        <v>06 EE2 170.9</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549</v>
      </c>
      <c r="D177" s="1" t="s">
        <v>550</v>
      </c>
      <c r="E177" s="1" t="s">
        <v>551</v>
      </c>
      <c r="F177" s="1" t="s">
        <v>112</v>
      </c>
      <c r="G177" s="1">
        <v>5424021</v>
      </c>
    </row>
    <row r="178" spans="1:10" x14ac:dyDescent="0.25">
      <c r="A178" s="1" t="str">
        <f t="shared" si="2"/>
        <v>06 EE2 170.9</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552</v>
      </c>
      <c r="D178" s="1" t="s">
        <v>553</v>
      </c>
      <c r="E178" s="1" t="s">
        <v>554</v>
      </c>
      <c r="F178" s="1" t="s">
        <v>112</v>
      </c>
      <c r="G178" s="1">
        <v>5124901</v>
      </c>
    </row>
    <row r="179" spans="1:10" x14ac:dyDescent="0.25">
      <c r="A179" s="1" t="str">
        <f t="shared" si="2"/>
        <v>06 EE2 170.9</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555</v>
      </c>
    </row>
    <row r="180" spans="1:10" x14ac:dyDescent="0.25">
      <c r="A180" s="1" t="str">
        <f t="shared" si="2"/>
        <v>06 EE2 170.9</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556</v>
      </c>
    </row>
    <row r="181" spans="1:10" x14ac:dyDescent="0.25">
      <c r="A181" s="1" t="str">
        <f t="shared" si="2"/>
        <v>06 EE2 170.9</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557</v>
      </c>
    </row>
    <row r="182" spans="1:10" x14ac:dyDescent="0.25">
      <c r="A182" s="1" t="str">
        <f t="shared" si="2"/>
        <v>06 EE2 170.9</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558</v>
      </c>
      <c r="D182" s="1" t="s">
        <v>559</v>
      </c>
      <c r="E182" s="1" t="s">
        <v>560</v>
      </c>
      <c r="F182" s="1" t="s">
        <v>112</v>
      </c>
      <c r="G182" s="1">
        <v>2759282</v>
      </c>
    </row>
    <row r="183" spans="1:10" x14ac:dyDescent="0.25">
      <c r="A183" s="1" t="str">
        <f t="shared" si="2"/>
        <v>06 EE2 170.9</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561</v>
      </c>
    </row>
    <row r="184" spans="1:10" x14ac:dyDescent="0.25">
      <c r="A184" s="1" t="str">
        <f t="shared" si="2"/>
        <v>06 EE2 170.9</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562</v>
      </c>
      <c r="D184" s="1" t="s">
        <v>563</v>
      </c>
      <c r="E184" s="1" t="s">
        <v>564</v>
      </c>
      <c r="F184" s="1" t="s">
        <v>112</v>
      </c>
      <c r="G184" s="1">
        <v>2598269</v>
      </c>
    </row>
    <row r="185" spans="1:10" x14ac:dyDescent="0.25">
      <c r="A185" s="1" t="str">
        <f t="shared" si="2"/>
        <v>06 EE2 170.9</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565</v>
      </c>
      <c r="D185" s="1" t="s">
        <v>566</v>
      </c>
      <c r="E185" s="1" t="s">
        <v>567</v>
      </c>
      <c r="F185" s="1" t="s">
        <v>112</v>
      </c>
      <c r="G185" s="1">
        <v>2879112</v>
      </c>
    </row>
    <row r="186" spans="1:10" x14ac:dyDescent="0.25">
      <c r="A186" s="1" t="str">
        <f t="shared" si="2"/>
        <v>06 EE2 170.9</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568</v>
      </c>
      <c r="D186" s="1" t="s">
        <v>569</v>
      </c>
      <c r="E186" s="1" t="s">
        <v>570</v>
      </c>
      <c r="F186" s="1" t="s">
        <v>112</v>
      </c>
      <c r="G186" s="1">
        <v>2657838</v>
      </c>
    </row>
    <row r="187" spans="1:10" x14ac:dyDescent="0.25">
      <c r="A187" s="1" t="str">
        <f t="shared" si="2"/>
        <v>06 EE2 170.9</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571</v>
      </c>
      <c r="D187" s="1" t="s">
        <v>572</v>
      </c>
      <c r="E187" s="1" t="s">
        <v>573</v>
      </c>
      <c r="F187" s="1" t="s">
        <v>112</v>
      </c>
      <c r="G187" s="1">
        <v>2987499</v>
      </c>
    </row>
    <row r="188" spans="1:10" x14ac:dyDescent="0.25">
      <c r="A188" s="1" t="str">
        <f t="shared" si="2"/>
        <v>06 EE2 170.9</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574</v>
      </c>
      <c r="D188" s="1" t="s">
        <v>575</v>
      </c>
      <c r="E188" s="1" t="s">
        <v>576</v>
      </c>
      <c r="F188" s="1" t="s">
        <v>112</v>
      </c>
      <c r="G188" s="1">
        <v>3372987</v>
      </c>
    </row>
    <row r="189" spans="1:10" x14ac:dyDescent="0.25">
      <c r="A189" s="1" t="str">
        <f t="shared" si="2"/>
        <v>06 EE2 170.9</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577</v>
      </c>
      <c r="D189" s="1" t="s">
        <v>578</v>
      </c>
      <c r="E189" s="1" t="s">
        <v>579</v>
      </c>
      <c r="F189" s="1" t="s">
        <v>112</v>
      </c>
      <c r="G189" s="1">
        <v>3336714</v>
      </c>
    </row>
    <row r="190" spans="1:10" x14ac:dyDescent="0.25">
      <c r="A190" s="1" t="str">
        <f t="shared" si="2"/>
        <v>06 EE2 170.9</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580</v>
      </c>
      <c r="D190" s="1" t="s">
        <v>581</v>
      </c>
      <c r="E190" s="1" t="s">
        <v>582</v>
      </c>
      <c r="F190" s="1" t="s">
        <v>112</v>
      </c>
      <c r="G190" s="1">
        <v>3099975</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223</v>
      </c>
      <c r="D192" s="1" t="s">
        <v>112</v>
      </c>
      <c r="E192" s="1" t="s">
        <v>224</v>
      </c>
      <c r="F192" s="1" t="s">
        <v>225</v>
      </c>
      <c r="G192" s="1" t="s">
        <v>226</v>
      </c>
      <c r="H192" s="1" t="s">
        <v>227</v>
      </c>
      <c r="I192" s="1" t="s">
        <v>228</v>
      </c>
      <c r="J192" s="1" t="s">
        <v>229</v>
      </c>
    </row>
    <row r="193" spans="1:10" x14ac:dyDescent="0.25">
      <c r="A193" s="1" t="str">
        <f t="shared" si="2"/>
        <v>06 EE2 170.9</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583</v>
      </c>
      <c r="D193" s="1" t="s">
        <v>112</v>
      </c>
      <c r="E193" s="1" t="s">
        <v>584</v>
      </c>
      <c r="F193" s="1" t="s">
        <v>585</v>
      </c>
      <c r="G193" s="1" t="s">
        <v>586</v>
      </c>
      <c r="H193" s="1" t="s">
        <v>587</v>
      </c>
      <c r="I193" s="1">
        <v>24</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235</v>
      </c>
      <c r="D199" s="1" t="s">
        <v>110</v>
      </c>
      <c r="E199" s="1" t="s">
        <v>111</v>
      </c>
      <c r="F199" s="1" t="s">
        <v>112</v>
      </c>
      <c r="G199" s="1" t="s">
        <v>113</v>
      </c>
    </row>
    <row r="200" spans="1:10" x14ac:dyDescent="0.2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588</v>
      </c>
      <c r="D200" s="1" t="s">
        <v>589</v>
      </c>
      <c r="E200" s="1" t="s">
        <v>590</v>
      </c>
      <c r="F200" s="1" t="s">
        <v>112</v>
      </c>
      <c r="G200" s="1">
        <v>8927652</v>
      </c>
    </row>
    <row r="201" spans="1:10" x14ac:dyDescent="0.2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591</v>
      </c>
      <c r="D201" s="1" t="s">
        <v>592</v>
      </c>
      <c r="E201" s="1" t="s">
        <v>593</v>
      </c>
      <c r="F201" s="1" t="s">
        <v>112</v>
      </c>
      <c r="G201" s="1">
        <v>9078694</v>
      </c>
    </row>
    <row r="202" spans="1:10" x14ac:dyDescent="0.2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594</v>
      </c>
      <c r="D202" s="1" t="s">
        <v>595</v>
      </c>
      <c r="E202" s="1" t="s">
        <v>596</v>
      </c>
      <c r="F202" s="1" t="s">
        <v>112</v>
      </c>
      <c r="G202" s="1">
        <v>8402846</v>
      </c>
    </row>
    <row r="203" spans="1:10" x14ac:dyDescent="0.2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597</v>
      </c>
      <c r="D203" s="1" t="s">
        <v>598</v>
      </c>
      <c r="E203" s="1" t="s">
        <v>599</v>
      </c>
      <c r="F203" s="1" t="s">
        <v>112</v>
      </c>
      <c r="G203" s="1">
        <v>4715555</v>
      </c>
    </row>
    <row r="204" spans="1:10" x14ac:dyDescent="0.2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600</v>
      </c>
      <c r="D204" s="1" t="s">
        <v>601</v>
      </c>
      <c r="E204" s="1" t="s">
        <v>602</v>
      </c>
      <c r="F204" s="1" t="s">
        <v>112</v>
      </c>
      <c r="G204" s="1">
        <v>4292885</v>
      </c>
    </row>
    <row r="205" spans="1:10" x14ac:dyDescent="0.2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603</v>
      </c>
      <c r="D205" s="1" t="s">
        <v>604</v>
      </c>
      <c r="E205" s="1" t="s">
        <v>605</v>
      </c>
      <c r="F205" s="1" t="s">
        <v>112</v>
      </c>
      <c r="G205" s="1">
        <v>4670911</v>
      </c>
    </row>
    <row r="206" spans="1:10" x14ac:dyDescent="0.2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606</v>
      </c>
      <c r="D206" s="1" t="s">
        <v>607</v>
      </c>
      <c r="E206" s="1" t="s">
        <v>608</v>
      </c>
      <c r="F206" s="1" t="s">
        <v>112</v>
      </c>
      <c r="G206" s="1">
        <v>4119349</v>
      </c>
    </row>
    <row r="207" spans="1:10" x14ac:dyDescent="0.2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609</v>
      </c>
    </row>
    <row r="208" spans="1:10" x14ac:dyDescent="0.2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610</v>
      </c>
      <c r="D208" s="1" t="s">
        <v>611</v>
      </c>
      <c r="E208" s="1" t="s">
        <v>612</v>
      </c>
      <c r="F208" s="1" t="s">
        <v>112</v>
      </c>
      <c r="G208" s="1">
        <v>4307788</v>
      </c>
    </row>
    <row r="209" spans="1:7" x14ac:dyDescent="0.2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613</v>
      </c>
      <c r="D209" s="1" t="s">
        <v>614</v>
      </c>
      <c r="E209" s="1" t="s">
        <v>615</v>
      </c>
      <c r="F209" s="1" t="s">
        <v>112</v>
      </c>
      <c r="G209" s="1">
        <v>6083235</v>
      </c>
    </row>
    <row r="210" spans="1:7" x14ac:dyDescent="0.2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616</v>
      </c>
    </row>
    <row r="211" spans="1:7" x14ac:dyDescent="0.2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617</v>
      </c>
      <c r="D211" s="1" t="s">
        <v>618</v>
      </c>
      <c r="E211" s="1" t="s">
        <v>619</v>
      </c>
      <c r="F211" s="1" t="s">
        <v>112</v>
      </c>
      <c r="G211" s="1">
        <v>6227896</v>
      </c>
    </row>
    <row r="212" spans="1:7" x14ac:dyDescent="0.2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620</v>
      </c>
      <c r="D212" s="1" t="s">
        <v>621</v>
      </c>
      <c r="E212" s="1" t="s">
        <v>622</v>
      </c>
      <c r="F212" s="1" t="s">
        <v>112</v>
      </c>
      <c r="G212" s="1">
        <v>3687746</v>
      </c>
    </row>
    <row r="213" spans="1:7" x14ac:dyDescent="0.2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623</v>
      </c>
      <c r="D213" s="1" t="s">
        <v>624</v>
      </c>
      <c r="E213" s="1" t="s">
        <v>625</v>
      </c>
      <c r="F213" s="1" t="s">
        <v>112</v>
      </c>
      <c r="G213" s="1">
        <v>3524851</v>
      </c>
    </row>
    <row r="214" spans="1:7" x14ac:dyDescent="0.2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626</v>
      </c>
      <c r="D214" s="1" t="s">
        <v>627</v>
      </c>
      <c r="E214" s="1" t="s">
        <v>628</v>
      </c>
      <c r="F214" s="1" t="s">
        <v>112</v>
      </c>
      <c r="G214" s="1">
        <v>3374437</v>
      </c>
    </row>
    <row r="215" spans="1:7" x14ac:dyDescent="0.2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629</v>
      </c>
      <c r="D215" s="1" t="s">
        <v>630</v>
      </c>
      <c r="E215" s="1" t="s">
        <v>631</v>
      </c>
      <c r="F215" s="1" t="s">
        <v>112</v>
      </c>
      <c r="G215" s="1">
        <v>6246822</v>
      </c>
    </row>
    <row r="216" spans="1:7" x14ac:dyDescent="0.2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632</v>
      </c>
      <c r="D216" s="1" t="s">
        <v>633</v>
      </c>
      <c r="E216" s="1" t="s">
        <v>634</v>
      </c>
      <c r="F216" s="1" t="s">
        <v>112</v>
      </c>
      <c r="G216" s="1">
        <v>6352267</v>
      </c>
    </row>
    <row r="217" spans="1:7" x14ac:dyDescent="0.2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635</v>
      </c>
      <c r="D217" s="1" t="s">
        <v>636</v>
      </c>
      <c r="E217" s="1" t="s">
        <v>637</v>
      </c>
      <c r="F217" s="1" t="s">
        <v>112</v>
      </c>
      <c r="G217" s="1">
        <v>5745268</v>
      </c>
    </row>
    <row r="218" spans="1:7" x14ac:dyDescent="0.2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638</v>
      </c>
      <c r="D218" s="1" t="s">
        <v>639</v>
      </c>
      <c r="E218" s="1" t="s">
        <v>640</v>
      </c>
      <c r="F218" s="1" t="s">
        <v>112</v>
      </c>
      <c r="G218" s="1">
        <v>5326253</v>
      </c>
    </row>
    <row r="219" spans="1:7" x14ac:dyDescent="0.2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641</v>
      </c>
      <c r="D219" s="1" t="s">
        <v>642</v>
      </c>
      <c r="E219" s="1" t="s">
        <v>643</v>
      </c>
      <c r="F219" s="1" t="s">
        <v>112</v>
      </c>
      <c r="G219" s="1">
        <v>4995446</v>
      </c>
    </row>
    <row r="220" spans="1:7" x14ac:dyDescent="0.2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644</v>
      </c>
      <c r="D220" s="1" t="s">
        <v>645</v>
      </c>
      <c r="E220" s="1" t="s">
        <v>646</v>
      </c>
      <c r="F220" s="1" t="s">
        <v>112</v>
      </c>
      <c r="G220" s="1">
        <v>5642634</v>
      </c>
    </row>
    <row r="221" spans="1:7" x14ac:dyDescent="0.2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647</v>
      </c>
      <c r="D221" s="1" t="s">
        <v>648</v>
      </c>
      <c r="E221" s="1" t="s">
        <v>649</v>
      </c>
      <c r="F221" s="1" t="s">
        <v>112</v>
      </c>
      <c r="G221" s="1">
        <v>5876994</v>
      </c>
    </row>
    <row r="222" spans="1:7" x14ac:dyDescent="0.2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650</v>
      </c>
      <c r="D222" s="1" t="s">
        <v>651</v>
      </c>
      <c r="E222" s="1" t="s">
        <v>652</v>
      </c>
      <c r="F222" s="1" t="s">
        <v>112</v>
      </c>
      <c r="G222" s="1">
        <v>6000371</v>
      </c>
    </row>
    <row r="223" spans="1:7" x14ac:dyDescent="0.2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653</v>
      </c>
      <c r="D223" s="1" t="s">
        <v>654</v>
      </c>
      <c r="E223" s="1" t="s">
        <v>655</v>
      </c>
      <c r="F223" s="1" t="s">
        <v>112</v>
      </c>
      <c r="G223" s="1">
        <v>6186107</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223</v>
      </c>
      <c r="D225" s="1" t="s">
        <v>112</v>
      </c>
      <c r="E225" s="1" t="s">
        <v>224</v>
      </c>
      <c r="F225" s="1" t="s">
        <v>225</v>
      </c>
      <c r="G225" s="1" t="s">
        <v>226</v>
      </c>
      <c r="H225" s="1" t="s">
        <v>227</v>
      </c>
      <c r="I225" s="1" t="s">
        <v>228</v>
      </c>
      <c r="J225" s="1" t="s">
        <v>229</v>
      </c>
    </row>
    <row r="226" spans="1:10" x14ac:dyDescent="0.2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656</v>
      </c>
      <c r="D226" s="1" t="s">
        <v>112</v>
      </c>
      <c r="E226" s="1" t="s">
        <v>657</v>
      </c>
      <c r="F226" s="1" t="s">
        <v>658</v>
      </c>
      <c r="G226" s="1" t="s">
        <v>659</v>
      </c>
      <c r="H226" s="1" t="s">
        <v>660</v>
      </c>
      <c r="I226" s="1">
        <v>24</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235</v>
      </c>
      <c r="D232" s="1" t="s">
        <v>110</v>
      </c>
      <c r="E232" s="1" t="s">
        <v>111</v>
      </c>
      <c r="F232" s="1" t="s">
        <v>112</v>
      </c>
      <c r="G232" s="1" t="s">
        <v>113</v>
      </c>
    </row>
    <row r="233" spans="1:10" x14ac:dyDescent="0.25">
      <c r="A233" s="1" t="str">
        <f t="shared" si="3"/>
        <v>08 Amantadine 0.001 mg_L</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661</v>
      </c>
      <c r="D233" s="1" t="s">
        <v>662</v>
      </c>
      <c r="E233" s="1" t="s">
        <v>663</v>
      </c>
      <c r="F233" s="1" t="s">
        <v>112</v>
      </c>
      <c r="G233" s="1">
        <v>482844</v>
      </c>
    </row>
    <row r="234" spans="1:10" x14ac:dyDescent="0.25">
      <c r="A234" s="1" t="str">
        <f t="shared" si="3"/>
        <v>08 Amantadine 0.001 mg_L</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664</v>
      </c>
    </row>
    <row r="235" spans="1:10" x14ac:dyDescent="0.25">
      <c r="A235" s="1" t="str">
        <f t="shared" si="3"/>
        <v>08 Amantadine 0.001 mg_L</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665</v>
      </c>
      <c r="D235" s="1" t="s">
        <v>218</v>
      </c>
      <c r="E235" s="1" t="s">
        <v>666</v>
      </c>
      <c r="F235" s="1" t="s">
        <v>112</v>
      </c>
      <c r="G235" s="1">
        <v>300028</v>
      </c>
    </row>
    <row r="236" spans="1:10" x14ac:dyDescent="0.25">
      <c r="A236" s="1" t="str">
        <f t="shared" si="3"/>
        <v>08 Amantadine 0.001 mg_L</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667</v>
      </c>
      <c r="D236" s="1" t="s">
        <v>668</v>
      </c>
      <c r="E236" s="1" t="s">
        <v>669</v>
      </c>
      <c r="F236" s="1" t="s">
        <v>112</v>
      </c>
      <c r="G236" s="1">
        <v>47824</v>
      </c>
    </row>
    <row r="237" spans="1:10" x14ac:dyDescent="0.25">
      <c r="A237" s="1" t="str">
        <f t="shared" si="3"/>
        <v>08 Amantadine 0.001 mg_L</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670</v>
      </c>
      <c r="D237" s="1" t="s">
        <v>671</v>
      </c>
      <c r="E237" s="1" t="s">
        <v>672</v>
      </c>
      <c r="F237" s="1" t="s">
        <v>112</v>
      </c>
      <c r="G237" s="1">
        <v>222009</v>
      </c>
    </row>
    <row r="238" spans="1:10" x14ac:dyDescent="0.25">
      <c r="A238" s="1" t="str">
        <f t="shared" si="3"/>
        <v>08 Amantadine 0.001 mg_L</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673</v>
      </c>
      <c r="D238" s="1" t="s">
        <v>445</v>
      </c>
      <c r="E238" s="1" t="s">
        <v>674</v>
      </c>
      <c r="F238" s="1" t="s">
        <v>112</v>
      </c>
      <c r="G238" s="1">
        <v>313006</v>
      </c>
    </row>
    <row r="239" spans="1:10" x14ac:dyDescent="0.25">
      <c r="A239" s="1" t="str">
        <f t="shared" si="3"/>
        <v>08 Amantadine 0.001 mg_L</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675</v>
      </c>
      <c r="D239" s="1" t="s">
        <v>676</v>
      </c>
      <c r="E239" s="1" t="s">
        <v>677</v>
      </c>
      <c r="F239" s="1" t="s">
        <v>112</v>
      </c>
      <c r="G239" s="1">
        <v>412114</v>
      </c>
    </row>
    <row r="240" spans="1:10" x14ac:dyDescent="0.25">
      <c r="A240" s="1" t="str">
        <f t="shared" si="3"/>
        <v>08 Amantadine 0.001 mg_L</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678</v>
      </c>
      <c r="D240" s="1" t="s">
        <v>679</v>
      </c>
      <c r="E240" s="1" t="s">
        <v>680</v>
      </c>
      <c r="F240" s="1" t="s">
        <v>112</v>
      </c>
      <c r="G240" s="1">
        <v>745820</v>
      </c>
    </row>
    <row r="241" spans="1:7" x14ac:dyDescent="0.25">
      <c r="A241" s="1" t="str">
        <f t="shared" si="3"/>
        <v>08 Amantadine 0.001 mg_L</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681</v>
      </c>
      <c r="D241" s="1" t="s">
        <v>682</v>
      </c>
      <c r="E241" s="1" t="s">
        <v>683</v>
      </c>
      <c r="F241" s="1" t="s">
        <v>112</v>
      </c>
      <c r="G241" s="1">
        <v>581433</v>
      </c>
    </row>
    <row r="242" spans="1:7" x14ac:dyDescent="0.25">
      <c r="A242" s="1" t="str">
        <f t="shared" si="3"/>
        <v>08 Amantadine 0.001 mg_L</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684</v>
      </c>
      <c r="D242" s="1" t="s">
        <v>685</v>
      </c>
      <c r="E242" s="1" t="s">
        <v>686</v>
      </c>
      <c r="F242" s="1" t="s">
        <v>112</v>
      </c>
      <c r="G242" s="1">
        <v>81653</v>
      </c>
    </row>
    <row r="243" spans="1:7" x14ac:dyDescent="0.25">
      <c r="A243" s="1" t="str">
        <f t="shared" si="3"/>
        <v>08 Amantadine 0.001 mg_L</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687</v>
      </c>
      <c r="D243" s="1" t="s">
        <v>688</v>
      </c>
      <c r="E243" s="1" t="s">
        <v>689</v>
      </c>
      <c r="F243" s="1" t="s">
        <v>112</v>
      </c>
      <c r="G243" s="1">
        <v>34456</v>
      </c>
    </row>
    <row r="244" spans="1:7" x14ac:dyDescent="0.25">
      <c r="A244" s="1" t="str">
        <f t="shared" si="3"/>
        <v>08 Amantadine 0.001 mg_L</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690</v>
      </c>
      <c r="D244" s="1" t="s">
        <v>322</v>
      </c>
      <c r="E244" s="1" t="s">
        <v>691</v>
      </c>
      <c r="F244" s="1" t="s">
        <v>112</v>
      </c>
      <c r="G244" s="1">
        <v>249263</v>
      </c>
    </row>
    <row r="245" spans="1:7" x14ac:dyDescent="0.25">
      <c r="A245" s="1" t="str">
        <f t="shared" si="3"/>
        <v>08 Amantadine 0.001 mg_L</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692</v>
      </c>
      <c r="D245" s="1" t="s">
        <v>693</v>
      </c>
      <c r="E245" s="1" t="s">
        <v>694</v>
      </c>
      <c r="F245" s="1" t="s">
        <v>112</v>
      </c>
      <c r="G245" s="1">
        <v>335718</v>
      </c>
    </row>
    <row r="246" spans="1:7" x14ac:dyDescent="0.25">
      <c r="A246" s="1" t="str">
        <f t="shared" si="3"/>
        <v>08 Amantadine 0.001 mg_L</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695</v>
      </c>
      <c r="D246" s="1" t="s">
        <v>696</v>
      </c>
      <c r="E246" s="1" t="s">
        <v>697</v>
      </c>
      <c r="F246" s="1" t="s">
        <v>112</v>
      </c>
      <c r="G246" s="1">
        <v>130212</v>
      </c>
    </row>
    <row r="247" spans="1:7" x14ac:dyDescent="0.25">
      <c r="A247" s="1" t="str">
        <f t="shared" si="3"/>
        <v>08 Amantadine 0.001 mg_L</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698</v>
      </c>
      <c r="D247" s="1" t="s">
        <v>699</v>
      </c>
      <c r="E247" s="1" t="s">
        <v>700</v>
      </c>
      <c r="F247" s="1" t="s">
        <v>112</v>
      </c>
      <c r="G247" s="1">
        <v>270049</v>
      </c>
    </row>
    <row r="248" spans="1:7" x14ac:dyDescent="0.25">
      <c r="A248" s="1" t="str">
        <f t="shared" si="3"/>
        <v>08 Amantadine 0.001 mg_L</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701</v>
      </c>
      <c r="D248" s="1" t="s">
        <v>702</v>
      </c>
      <c r="E248" s="1" t="s">
        <v>703</v>
      </c>
      <c r="F248" s="1" t="s">
        <v>112</v>
      </c>
      <c r="G248" s="1">
        <v>9582</v>
      </c>
    </row>
    <row r="249" spans="1:7" x14ac:dyDescent="0.25">
      <c r="A249" s="1" t="str">
        <f t="shared" si="3"/>
        <v>08 Amantadine 0.001 mg_L</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704</v>
      </c>
      <c r="D249" s="1" t="s">
        <v>705</v>
      </c>
      <c r="E249" s="1" t="s">
        <v>706</v>
      </c>
      <c r="F249" s="1" t="s">
        <v>112</v>
      </c>
      <c r="G249" s="1">
        <v>631074</v>
      </c>
    </row>
    <row r="250" spans="1:7" x14ac:dyDescent="0.25">
      <c r="A250" s="1" t="str">
        <f t="shared" si="3"/>
        <v>08 Amantadine 0.001 mg_L</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707</v>
      </c>
      <c r="D250" s="1" t="s">
        <v>708</v>
      </c>
      <c r="E250" s="1" t="s">
        <v>709</v>
      </c>
      <c r="F250" s="1" t="s">
        <v>112</v>
      </c>
      <c r="G250" s="1">
        <v>609682</v>
      </c>
    </row>
    <row r="251" spans="1:7" x14ac:dyDescent="0.25">
      <c r="A251" s="1" t="str">
        <f t="shared" si="3"/>
        <v>08 Amantadine 0.001 mg_L</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710</v>
      </c>
      <c r="D251" s="1" t="s">
        <v>344</v>
      </c>
      <c r="E251" s="1" t="s">
        <v>711</v>
      </c>
      <c r="F251" s="1" t="s">
        <v>112</v>
      </c>
      <c r="G251" s="1">
        <v>663648</v>
      </c>
    </row>
    <row r="252" spans="1:7" x14ac:dyDescent="0.25">
      <c r="A252" s="1" t="str">
        <f t="shared" si="3"/>
        <v>08 Amantadine 0.001 mg_L</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712</v>
      </c>
      <c r="D252" s="1" t="s">
        <v>713</v>
      </c>
      <c r="E252" s="1" t="s">
        <v>714</v>
      </c>
      <c r="F252" s="1" t="s">
        <v>112</v>
      </c>
      <c r="G252" s="1">
        <v>492859</v>
      </c>
    </row>
    <row r="253" spans="1:7" x14ac:dyDescent="0.25">
      <c r="A253" s="1" t="str">
        <f t="shared" si="3"/>
        <v>08 Amantadine 0.001 mg_L</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715</v>
      </c>
      <c r="D253" s="1" t="s">
        <v>716</v>
      </c>
      <c r="E253" s="1" t="s">
        <v>717</v>
      </c>
      <c r="F253" s="1" t="s">
        <v>112</v>
      </c>
      <c r="G253" s="1">
        <v>441163</v>
      </c>
    </row>
    <row r="254" spans="1:7" x14ac:dyDescent="0.25">
      <c r="A254" s="1" t="str">
        <f t="shared" si="3"/>
        <v>08 Amantadine 0.001 mg_L</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718</v>
      </c>
      <c r="D254" s="1" t="s">
        <v>719</v>
      </c>
      <c r="E254" s="1" t="s">
        <v>720</v>
      </c>
      <c r="F254" s="1" t="s">
        <v>112</v>
      </c>
      <c r="G254" s="1">
        <v>460500</v>
      </c>
    </row>
    <row r="255" spans="1:7" x14ac:dyDescent="0.25">
      <c r="A255" s="1" t="str">
        <f t="shared" si="3"/>
        <v>08 Amantadine 0.001 mg_L</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721</v>
      </c>
      <c r="D255" s="1" t="s">
        <v>722</v>
      </c>
      <c r="E255" s="1" t="s">
        <v>723</v>
      </c>
      <c r="F255" s="1" t="s">
        <v>112</v>
      </c>
      <c r="G255" s="1">
        <v>51587</v>
      </c>
    </row>
    <row r="256" spans="1:7" x14ac:dyDescent="0.25">
      <c r="A256" s="1" t="str">
        <f t="shared" si="3"/>
        <v>08 Amantadine 0.001 mg_L</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724</v>
      </c>
      <c r="D256" s="1" t="s">
        <v>725</v>
      </c>
      <c r="E256" s="1" t="s">
        <v>726</v>
      </c>
      <c r="F256" s="1" t="s">
        <v>112</v>
      </c>
      <c r="G256" s="1">
        <v>436470</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223</v>
      </c>
      <c r="D258" s="1" t="s">
        <v>112</v>
      </c>
      <c r="E258" s="1" t="s">
        <v>224</v>
      </c>
      <c r="F258" s="1" t="s">
        <v>225</v>
      </c>
      <c r="G258" s="1" t="s">
        <v>226</v>
      </c>
      <c r="H258" s="1" t="s">
        <v>227</v>
      </c>
      <c r="I258" s="1" t="s">
        <v>228</v>
      </c>
      <c r="J258" s="1" t="s">
        <v>229</v>
      </c>
    </row>
    <row r="259" spans="1:10" x14ac:dyDescent="0.25">
      <c r="A259" s="1" t="str">
        <f t="shared" si="4"/>
        <v>08 Amantadine 0.001 mg_L</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727</v>
      </c>
      <c r="D259" s="1" t="s">
        <v>112</v>
      </c>
      <c r="E259" s="1" t="s">
        <v>728</v>
      </c>
      <c r="F259" s="1" t="s">
        <v>729</v>
      </c>
      <c r="G259" s="1" t="s">
        <v>730</v>
      </c>
      <c r="H259" s="1" t="s">
        <v>731</v>
      </c>
      <c r="I259" s="1">
        <v>24</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235</v>
      </c>
      <c r="D265" s="1" t="s">
        <v>110</v>
      </c>
      <c r="E265" s="1" t="s">
        <v>111</v>
      </c>
      <c r="F265" s="1" t="s">
        <v>112</v>
      </c>
      <c r="G265" s="1" t="s">
        <v>113</v>
      </c>
    </row>
    <row r="266" spans="1:10" x14ac:dyDescent="0.25">
      <c r="A266" s="1" t="str">
        <f t="shared" si="4"/>
        <v>09 Amantadine 0.01 mg_L</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732</v>
      </c>
      <c r="D266" s="1" t="s">
        <v>733</v>
      </c>
      <c r="E266" s="1" t="s">
        <v>734</v>
      </c>
      <c r="F266" s="1" t="s">
        <v>112</v>
      </c>
      <c r="G266" s="1">
        <v>8263</v>
      </c>
    </row>
    <row r="267" spans="1:10" x14ac:dyDescent="0.25">
      <c r="A267" s="1" t="str">
        <f t="shared" si="4"/>
        <v>09 Amantadine 0.01 mg_L</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735</v>
      </c>
      <c r="D267" s="1" t="s">
        <v>736</v>
      </c>
      <c r="E267" s="1" t="s">
        <v>737</v>
      </c>
      <c r="F267" s="1" t="s">
        <v>112</v>
      </c>
      <c r="G267" s="1">
        <v>32921</v>
      </c>
    </row>
    <row r="268" spans="1:10" x14ac:dyDescent="0.25">
      <c r="A268" s="1" t="str">
        <f t="shared" si="4"/>
        <v>09 Amantadine 0.01 mg_L</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738</v>
      </c>
      <c r="D268" s="1" t="s">
        <v>739</v>
      </c>
      <c r="E268" s="1">
        <v>62</v>
      </c>
      <c r="F268" s="1" t="s">
        <v>112</v>
      </c>
      <c r="G268" s="1">
        <v>28162</v>
      </c>
    </row>
    <row r="269" spans="1:10" x14ac:dyDescent="0.25">
      <c r="A269" s="1" t="str">
        <f t="shared" si="4"/>
        <v>09 Amantadine 0.01 mg_L</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740</v>
      </c>
      <c r="D269" s="1" t="s">
        <v>741</v>
      </c>
      <c r="E269" s="1" t="s">
        <v>742</v>
      </c>
      <c r="F269" s="1" t="s">
        <v>112</v>
      </c>
      <c r="G269" s="1">
        <v>291138</v>
      </c>
    </row>
    <row r="270" spans="1:10" x14ac:dyDescent="0.25">
      <c r="A270" s="1" t="str">
        <f t="shared" si="4"/>
        <v>09 Amantadine 0.01 mg_L</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743</v>
      </c>
      <c r="D270" s="1" t="s">
        <v>744</v>
      </c>
      <c r="E270" s="1" t="s">
        <v>745</v>
      </c>
      <c r="F270" s="1" t="s">
        <v>112</v>
      </c>
      <c r="G270" s="1">
        <v>146023</v>
      </c>
    </row>
    <row r="271" spans="1:10" x14ac:dyDescent="0.25">
      <c r="A271" s="1" t="str">
        <f t="shared" si="4"/>
        <v>09 Amantadine 0.01 mg_L</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746</v>
      </c>
      <c r="D271" s="1" t="s">
        <v>668</v>
      </c>
      <c r="E271" s="1" t="s">
        <v>747</v>
      </c>
      <c r="F271" s="1" t="s">
        <v>112</v>
      </c>
      <c r="G271" s="1">
        <v>47759</v>
      </c>
    </row>
    <row r="272" spans="1:10" x14ac:dyDescent="0.25">
      <c r="A272" s="1" t="str">
        <f t="shared" si="4"/>
        <v>09 Amantadine 0.01 mg_L</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748</v>
      </c>
      <c r="D272" s="1" t="s">
        <v>749</v>
      </c>
      <c r="E272" s="1" t="s">
        <v>750</v>
      </c>
      <c r="F272" s="1" t="s">
        <v>112</v>
      </c>
      <c r="G272" s="1">
        <v>101985</v>
      </c>
    </row>
    <row r="273" spans="1:7" x14ac:dyDescent="0.25">
      <c r="A273" s="1" t="str">
        <f t="shared" si="4"/>
        <v>09 Amantadine 0.01 mg_L</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751</v>
      </c>
    </row>
    <row r="274" spans="1:7" x14ac:dyDescent="0.25">
      <c r="A274" s="1" t="str">
        <f t="shared" si="4"/>
        <v>09 Amantadine 0.01 mg_L</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752</v>
      </c>
      <c r="D274" s="1" t="s">
        <v>471</v>
      </c>
      <c r="E274" s="1" t="s">
        <v>753</v>
      </c>
      <c r="F274" s="1" t="s">
        <v>112</v>
      </c>
      <c r="G274" s="1">
        <v>86563</v>
      </c>
    </row>
    <row r="275" spans="1:7" x14ac:dyDescent="0.25">
      <c r="A275" s="1" t="str">
        <f t="shared" si="4"/>
        <v>09 Amantadine 0.01 mg_L</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754</v>
      </c>
      <c r="D275" s="1" t="s">
        <v>442</v>
      </c>
      <c r="E275" s="1" t="s">
        <v>755</v>
      </c>
      <c r="F275" s="1" t="s">
        <v>112</v>
      </c>
      <c r="G275" s="1">
        <v>364529</v>
      </c>
    </row>
    <row r="276" spans="1:7" x14ac:dyDescent="0.25">
      <c r="A276" s="1" t="str">
        <f t="shared" si="4"/>
        <v>09 Amantadine 0.01 mg_L</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756</v>
      </c>
      <c r="D276" s="1" t="s">
        <v>757</v>
      </c>
      <c r="E276" s="1" t="s">
        <v>758</v>
      </c>
      <c r="F276" s="1" t="s">
        <v>112</v>
      </c>
      <c r="G276" s="1">
        <v>314347</v>
      </c>
    </row>
    <row r="277" spans="1:7" x14ac:dyDescent="0.25">
      <c r="A277" s="1" t="str">
        <f t="shared" si="4"/>
        <v>09 Amantadine 0.01 mg_L</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759</v>
      </c>
      <c r="D277" s="1" t="s">
        <v>362</v>
      </c>
      <c r="E277" s="1" t="s">
        <v>760</v>
      </c>
      <c r="F277" s="1" t="s">
        <v>112</v>
      </c>
      <c r="G277" s="1">
        <v>271109</v>
      </c>
    </row>
    <row r="278" spans="1:7" x14ac:dyDescent="0.25">
      <c r="A278" s="1" t="str">
        <f t="shared" si="4"/>
        <v>09 Amantadine 0.01 mg_L</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761</v>
      </c>
      <c r="D278" s="1" t="s">
        <v>213</v>
      </c>
      <c r="E278" s="1" t="s">
        <v>762</v>
      </c>
      <c r="F278" s="1" t="s">
        <v>112</v>
      </c>
      <c r="G278" s="1">
        <v>31190</v>
      </c>
    </row>
    <row r="279" spans="1:7" x14ac:dyDescent="0.25">
      <c r="A279" s="1" t="str">
        <f t="shared" si="4"/>
        <v>09 Amantadine 0.01 mg_L</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763</v>
      </c>
      <c r="D279" s="1" t="s">
        <v>764</v>
      </c>
      <c r="E279" s="1" t="s">
        <v>765</v>
      </c>
      <c r="F279" s="1" t="s">
        <v>112</v>
      </c>
      <c r="G279" s="1">
        <v>24507</v>
      </c>
    </row>
    <row r="280" spans="1:7" x14ac:dyDescent="0.25">
      <c r="A280" s="1" t="str">
        <f t="shared" si="4"/>
        <v>09 Amantadine 0.01 mg_L</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766</v>
      </c>
      <c r="D280" s="1" t="s">
        <v>702</v>
      </c>
      <c r="E280" s="1" t="s">
        <v>767</v>
      </c>
      <c r="F280" s="1" t="s">
        <v>112</v>
      </c>
      <c r="G280" s="1">
        <v>9431</v>
      </c>
    </row>
    <row r="281" spans="1:7" x14ac:dyDescent="0.25">
      <c r="A281" s="1" t="str">
        <f t="shared" si="4"/>
        <v>09 Amantadine 0.01 mg_L</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768</v>
      </c>
      <c r="D281" s="1" t="s">
        <v>688</v>
      </c>
      <c r="E281" s="1" t="s">
        <v>769</v>
      </c>
      <c r="F281" s="1" t="s">
        <v>112</v>
      </c>
      <c r="G281" s="1">
        <v>34305</v>
      </c>
    </row>
    <row r="282" spans="1:7" x14ac:dyDescent="0.25">
      <c r="A282" s="1" t="str">
        <f t="shared" si="4"/>
        <v>09 Amantadine 0.01 mg_L</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770</v>
      </c>
      <c r="D282" s="1" t="s">
        <v>255</v>
      </c>
      <c r="E282" s="1">
        <v>64</v>
      </c>
      <c r="F282" s="1" t="s">
        <v>112</v>
      </c>
      <c r="G282" s="1">
        <v>19380</v>
      </c>
    </row>
    <row r="283" spans="1:7" x14ac:dyDescent="0.25">
      <c r="A283" s="1" t="str">
        <f t="shared" si="4"/>
        <v>09 Amantadine 0.01 mg_L</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771</v>
      </c>
      <c r="D283" s="1" t="s">
        <v>314</v>
      </c>
      <c r="E283" s="1" t="s">
        <v>772</v>
      </c>
      <c r="F283" s="1" t="s">
        <v>112</v>
      </c>
      <c r="G283" s="1">
        <v>141568</v>
      </c>
    </row>
    <row r="284" spans="1:7" x14ac:dyDescent="0.25">
      <c r="A284" s="1" t="str">
        <f t="shared" si="4"/>
        <v>09 Amantadine 0.01 mg_L</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773</v>
      </c>
      <c r="D284" s="1" t="s">
        <v>774</v>
      </c>
      <c r="E284" s="1" t="s">
        <v>775</v>
      </c>
      <c r="F284" s="1" t="s">
        <v>112</v>
      </c>
      <c r="G284" s="1">
        <v>51349</v>
      </c>
    </row>
    <row r="285" spans="1:7" x14ac:dyDescent="0.25">
      <c r="A285" s="1" t="str">
        <f t="shared" si="4"/>
        <v>09 Amantadine 0.01 mg_L</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776</v>
      </c>
      <c r="D285" s="1" t="s">
        <v>370</v>
      </c>
      <c r="E285" s="1" t="s">
        <v>777</v>
      </c>
      <c r="F285" s="1" t="s">
        <v>112</v>
      </c>
      <c r="G285" s="1">
        <v>66534</v>
      </c>
    </row>
    <row r="286" spans="1:7" x14ac:dyDescent="0.25">
      <c r="A286" s="1" t="str">
        <f t="shared" si="4"/>
        <v>09 Amantadine 0.01 mg_L</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778</v>
      </c>
      <c r="D286" s="1" t="s">
        <v>764</v>
      </c>
      <c r="E286" s="1" t="s">
        <v>779</v>
      </c>
      <c r="F286" s="1" t="s">
        <v>112</v>
      </c>
      <c r="G286" s="1">
        <v>24399</v>
      </c>
    </row>
    <row r="287" spans="1:7" x14ac:dyDescent="0.25">
      <c r="A287" s="1" t="str">
        <f t="shared" si="4"/>
        <v>09 Amantadine 0.01 mg_L</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780</v>
      </c>
      <c r="D287" s="1" t="s">
        <v>781</v>
      </c>
      <c r="E287" s="1" t="s">
        <v>782</v>
      </c>
      <c r="F287" s="1" t="s">
        <v>112</v>
      </c>
      <c r="G287" s="1">
        <v>204403</v>
      </c>
    </row>
    <row r="288" spans="1:7" x14ac:dyDescent="0.25">
      <c r="A288" s="1" t="str">
        <f t="shared" si="4"/>
        <v>09 Amantadine 0.01 mg_L</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783</v>
      </c>
      <c r="D288" s="1" t="s">
        <v>784</v>
      </c>
      <c r="E288" s="1" t="s">
        <v>785</v>
      </c>
      <c r="F288" s="1" t="s">
        <v>112</v>
      </c>
      <c r="G288" s="1">
        <v>398855</v>
      </c>
    </row>
    <row r="289" spans="1:10" x14ac:dyDescent="0.25">
      <c r="A289" s="1" t="str">
        <f t="shared" si="4"/>
        <v>09 Amantadine 0.01 mg_L</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786</v>
      </c>
      <c r="D289" s="1" t="s">
        <v>149</v>
      </c>
      <c r="E289" s="1" t="s">
        <v>787</v>
      </c>
      <c r="F289" s="1" t="s">
        <v>112</v>
      </c>
      <c r="G289" s="1">
        <v>375711</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223</v>
      </c>
      <c r="D291" s="1" t="s">
        <v>112</v>
      </c>
      <c r="E291" s="1" t="s">
        <v>224</v>
      </c>
      <c r="F291" s="1" t="s">
        <v>225</v>
      </c>
      <c r="G291" s="1" t="s">
        <v>226</v>
      </c>
      <c r="H291" s="1" t="s">
        <v>227</v>
      </c>
      <c r="I291" s="1" t="s">
        <v>228</v>
      </c>
      <c r="J291" s="1" t="s">
        <v>229</v>
      </c>
    </row>
    <row r="292" spans="1:10" x14ac:dyDescent="0.25">
      <c r="A292" s="1" t="str">
        <f t="shared" si="4"/>
        <v>09 Amantadine 0.01 mg_L</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788</v>
      </c>
      <c r="D292" s="1" t="s">
        <v>112</v>
      </c>
      <c r="E292" s="1" t="s">
        <v>789</v>
      </c>
      <c r="F292" s="1" t="s">
        <v>790</v>
      </c>
      <c r="G292" s="1" t="s">
        <v>791</v>
      </c>
      <c r="H292" s="1" t="s">
        <v>792</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235</v>
      </c>
      <c r="D298" s="1" t="s">
        <v>110</v>
      </c>
      <c r="E298" s="1" t="s">
        <v>111</v>
      </c>
      <c r="F298" s="1" t="s">
        <v>112</v>
      </c>
      <c r="G298" s="1" t="s">
        <v>113</v>
      </c>
    </row>
    <row r="299" spans="1:10" x14ac:dyDescent="0.25">
      <c r="A299" s="1" t="str">
        <f t="shared" si="4"/>
        <v>10 Amantadine 0.1 mg_L</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793</v>
      </c>
      <c r="D299" s="1" t="s">
        <v>781</v>
      </c>
      <c r="E299" s="1" t="s">
        <v>794</v>
      </c>
      <c r="F299" s="1" t="s">
        <v>112</v>
      </c>
      <c r="G299" s="1">
        <v>192268</v>
      </c>
    </row>
    <row r="300" spans="1:10" x14ac:dyDescent="0.25">
      <c r="A300" s="1" t="str">
        <f t="shared" si="4"/>
        <v>10 Amantadine 0.1 mg_L</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795</v>
      </c>
      <c r="D300" s="1" t="s">
        <v>671</v>
      </c>
      <c r="E300" s="1" t="s">
        <v>796</v>
      </c>
      <c r="F300" s="1" t="s">
        <v>112</v>
      </c>
      <c r="G300" s="1">
        <v>206760</v>
      </c>
    </row>
    <row r="301" spans="1:10" x14ac:dyDescent="0.25">
      <c r="A301" s="1" t="str">
        <f t="shared" si="4"/>
        <v>10 Amantadine 0.1 mg_L</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797</v>
      </c>
      <c r="D301" s="1" t="s">
        <v>798</v>
      </c>
      <c r="E301" s="1" t="s">
        <v>799</v>
      </c>
      <c r="F301" s="1" t="s">
        <v>112</v>
      </c>
      <c r="G301" s="1">
        <v>176024</v>
      </c>
    </row>
    <row r="302" spans="1:10" x14ac:dyDescent="0.25">
      <c r="A302" s="1" t="str">
        <f t="shared" si="4"/>
        <v>10 Amantadine 0.1 mg_L</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800</v>
      </c>
      <c r="D302" s="1" t="s">
        <v>801</v>
      </c>
      <c r="E302" s="1" t="s">
        <v>802</v>
      </c>
      <c r="F302" s="1" t="s">
        <v>112</v>
      </c>
      <c r="G302" s="1">
        <v>360289</v>
      </c>
    </row>
    <row r="303" spans="1:10" x14ac:dyDescent="0.25">
      <c r="A303" s="1" t="str">
        <f t="shared" si="4"/>
        <v>10 Amantadine 0.1 mg_L</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803</v>
      </c>
      <c r="D303" s="1" t="s">
        <v>804</v>
      </c>
      <c r="E303" s="1" t="s">
        <v>805</v>
      </c>
      <c r="F303" s="1" t="s">
        <v>112</v>
      </c>
      <c r="G303" s="1">
        <v>336821</v>
      </c>
    </row>
    <row r="304" spans="1:10" x14ac:dyDescent="0.25">
      <c r="A304" s="1" t="str">
        <f t="shared" si="4"/>
        <v>10 Amantadine 0.1 mg_L</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806</v>
      </c>
      <c r="D304" s="1" t="s">
        <v>807</v>
      </c>
      <c r="E304" s="1" t="s">
        <v>808</v>
      </c>
      <c r="F304" s="1" t="s">
        <v>112</v>
      </c>
      <c r="G304" s="1">
        <v>311838</v>
      </c>
    </row>
    <row r="305" spans="1:7" x14ac:dyDescent="0.25">
      <c r="A305" s="1" t="str">
        <f t="shared" si="4"/>
        <v>10 Amantadine 0.1 mg_L</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809</v>
      </c>
      <c r="D305" s="1" t="s">
        <v>810</v>
      </c>
      <c r="E305" s="1" t="s">
        <v>811</v>
      </c>
      <c r="F305" s="1" t="s">
        <v>112</v>
      </c>
      <c r="G305" s="1">
        <v>305284</v>
      </c>
    </row>
    <row r="306" spans="1:7" x14ac:dyDescent="0.25">
      <c r="A306" s="1" t="str">
        <f t="shared" si="4"/>
        <v>10 Amantadine 0.1 mg_L</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812</v>
      </c>
      <c r="D306" s="1" t="s">
        <v>297</v>
      </c>
      <c r="E306" s="1" t="s">
        <v>185</v>
      </c>
      <c r="F306" s="1" t="s">
        <v>112</v>
      </c>
      <c r="G306" s="1">
        <v>20548</v>
      </c>
    </row>
    <row r="307" spans="1:7" x14ac:dyDescent="0.25">
      <c r="A307" s="1" t="str">
        <f t="shared" si="4"/>
        <v>10 Amantadine 0.1 mg_L</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813</v>
      </c>
      <c r="D307" s="1" t="s">
        <v>814</v>
      </c>
      <c r="E307" s="1" t="s">
        <v>815</v>
      </c>
      <c r="F307" s="1" t="s">
        <v>112</v>
      </c>
      <c r="G307" s="1">
        <v>27297</v>
      </c>
    </row>
    <row r="308" spans="1:7" x14ac:dyDescent="0.25">
      <c r="A308" s="1" t="str">
        <f t="shared" si="4"/>
        <v>10 Amantadine 0.1 mg_L</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816</v>
      </c>
      <c r="D308" s="1" t="s">
        <v>817</v>
      </c>
      <c r="E308" s="1" t="s">
        <v>818</v>
      </c>
      <c r="F308" s="1" t="s">
        <v>112</v>
      </c>
      <c r="G308" s="1">
        <v>463810</v>
      </c>
    </row>
    <row r="309" spans="1:7" x14ac:dyDescent="0.25">
      <c r="A309" s="1" t="str">
        <f t="shared" si="4"/>
        <v>10 Amantadine 0.1 mg_L</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819</v>
      </c>
      <c r="D309" s="1" t="s">
        <v>820</v>
      </c>
      <c r="E309" s="1" t="s">
        <v>821</v>
      </c>
      <c r="F309" s="1" t="s">
        <v>112</v>
      </c>
      <c r="G309" s="1">
        <v>231570</v>
      </c>
    </row>
    <row r="310" spans="1:7" x14ac:dyDescent="0.25">
      <c r="A310" s="1" t="str">
        <f t="shared" si="4"/>
        <v>10 Amantadine 0.1 mg_L</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822</v>
      </c>
      <c r="D310" s="1" t="s">
        <v>431</v>
      </c>
      <c r="E310" s="1" t="s">
        <v>823</v>
      </c>
      <c r="F310" s="1" t="s">
        <v>112</v>
      </c>
      <c r="G310" s="1">
        <v>48732</v>
      </c>
    </row>
    <row r="311" spans="1:7" x14ac:dyDescent="0.25">
      <c r="A311" s="1" t="str">
        <f t="shared" si="4"/>
        <v>10 Amantadine 0.1 mg_L</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824</v>
      </c>
      <c r="D311" s="1" t="s">
        <v>240</v>
      </c>
      <c r="E311" s="1" t="s">
        <v>825</v>
      </c>
      <c r="F311" s="1" t="s">
        <v>112</v>
      </c>
      <c r="G311" s="1">
        <v>17888</v>
      </c>
    </row>
    <row r="312" spans="1:7" x14ac:dyDescent="0.25">
      <c r="A312" s="1" t="str">
        <f t="shared" si="4"/>
        <v>10 Amantadine 0.1 mg_L</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826</v>
      </c>
      <c r="D312" s="1" t="s">
        <v>255</v>
      </c>
      <c r="E312" s="1">
        <v>66</v>
      </c>
      <c r="F312" s="1" t="s">
        <v>112</v>
      </c>
      <c r="G312" s="1">
        <v>19986</v>
      </c>
    </row>
    <row r="313" spans="1:7" x14ac:dyDescent="0.25">
      <c r="A313" s="1" t="str">
        <f t="shared" si="4"/>
        <v>10 Amantadine 0.1 mg_L</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827</v>
      </c>
      <c r="D313" s="1" t="s">
        <v>764</v>
      </c>
      <c r="E313" s="1" t="s">
        <v>828</v>
      </c>
      <c r="F313" s="1" t="s">
        <v>112</v>
      </c>
      <c r="G313" s="1">
        <v>24723</v>
      </c>
    </row>
    <row r="314" spans="1:7" x14ac:dyDescent="0.25">
      <c r="A314" s="1" t="str">
        <f t="shared" si="4"/>
        <v>10 Amantadine 0.1 mg_L</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829</v>
      </c>
      <c r="D314" s="1" t="s">
        <v>830</v>
      </c>
      <c r="E314" s="1" t="s">
        <v>831</v>
      </c>
      <c r="F314" s="1" t="s">
        <v>112</v>
      </c>
      <c r="G314" s="1">
        <v>490912</v>
      </c>
    </row>
    <row r="315" spans="1:7" x14ac:dyDescent="0.25">
      <c r="A315" s="1" t="str">
        <f t="shared" si="4"/>
        <v>10 Amantadine 0.1 mg_L</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832</v>
      </c>
      <c r="D315" s="1" t="s">
        <v>169</v>
      </c>
      <c r="E315" s="1" t="s">
        <v>833</v>
      </c>
      <c r="F315" s="1" t="s">
        <v>112</v>
      </c>
      <c r="G315" s="1">
        <v>603474</v>
      </c>
    </row>
    <row r="316" spans="1:7" x14ac:dyDescent="0.25">
      <c r="A316" s="1" t="str">
        <f t="shared" si="4"/>
        <v>10 Amantadine 0.1 mg_L</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834</v>
      </c>
      <c r="D316" s="1" t="s">
        <v>835</v>
      </c>
      <c r="E316" s="1" t="s">
        <v>836</v>
      </c>
      <c r="F316" s="1" t="s">
        <v>112</v>
      </c>
      <c r="G316" s="1">
        <v>93246</v>
      </c>
    </row>
    <row r="317" spans="1:7" x14ac:dyDescent="0.25">
      <c r="A317" s="1" t="str">
        <f t="shared" si="4"/>
        <v>10 Amantadine 0.1 mg_L</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837</v>
      </c>
      <c r="D317" s="1" t="s">
        <v>838</v>
      </c>
      <c r="E317" s="1" t="s">
        <v>839</v>
      </c>
      <c r="F317" s="1" t="s">
        <v>112</v>
      </c>
      <c r="G317" s="1">
        <v>179982</v>
      </c>
    </row>
    <row r="318" spans="1:7" x14ac:dyDescent="0.25">
      <c r="A318" s="1" t="str">
        <f t="shared" si="4"/>
        <v>10 Amantadine 0.1 mg_L</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840</v>
      </c>
      <c r="D318" s="1" t="s">
        <v>841</v>
      </c>
      <c r="E318" s="1" t="s">
        <v>842</v>
      </c>
      <c r="F318" s="1" t="s">
        <v>112</v>
      </c>
      <c r="G318" s="1">
        <v>147624</v>
      </c>
    </row>
    <row r="319" spans="1:7" x14ac:dyDescent="0.25">
      <c r="A319" s="1" t="str">
        <f t="shared" si="4"/>
        <v>10 Amantadine 0.1 mg_L</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843</v>
      </c>
      <c r="D319" s="1" t="s">
        <v>844</v>
      </c>
      <c r="E319" s="1" t="s">
        <v>845</v>
      </c>
      <c r="F319" s="1" t="s">
        <v>112</v>
      </c>
      <c r="G319" s="1">
        <v>105078</v>
      </c>
    </row>
    <row r="320" spans="1:7" x14ac:dyDescent="0.25">
      <c r="A320" s="1" t="str">
        <f t="shared" si="4"/>
        <v>10 Amantadine 0.1 mg_L</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846</v>
      </c>
      <c r="D320" s="1" t="s">
        <v>847</v>
      </c>
      <c r="E320" s="1" t="s">
        <v>848</v>
      </c>
      <c r="F320" s="1" t="s">
        <v>112</v>
      </c>
      <c r="G320" s="1">
        <v>326871</v>
      </c>
    </row>
    <row r="321" spans="1:10" x14ac:dyDescent="0.25">
      <c r="A321" s="1" t="str">
        <f t="shared" si="4"/>
        <v>10 Amantadine 0.1 mg_L</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849</v>
      </c>
    </row>
    <row r="322" spans="1:10" x14ac:dyDescent="0.25">
      <c r="A322" s="1" t="str">
        <f t="shared" ref="A322:A385" si="5">IFERROR(LEFT(RIGHT(C322,LEN(C322)-SEARCH("@",C322)),SEARCH("/",RIGHT(C322,LEN(C322)-SEARCH("@",C322)-1))),"")</f>
        <v>10 Amantadine 0.1 mg_L</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850</v>
      </c>
      <c r="D322" s="1" t="s">
        <v>851</v>
      </c>
      <c r="E322" s="1" t="s">
        <v>852</v>
      </c>
      <c r="F322" s="1" t="s">
        <v>112</v>
      </c>
      <c r="G322" s="1">
        <v>36814</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223</v>
      </c>
      <c r="D324" s="1" t="s">
        <v>112</v>
      </c>
      <c r="E324" s="1" t="s">
        <v>224</v>
      </c>
      <c r="F324" s="1" t="s">
        <v>225</v>
      </c>
      <c r="G324" s="1" t="s">
        <v>226</v>
      </c>
      <c r="H324" s="1" t="s">
        <v>227</v>
      </c>
      <c r="I324" s="1" t="s">
        <v>228</v>
      </c>
      <c r="J324" s="1" t="s">
        <v>229</v>
      </c>
    </row>
    <row r="325" spans="1:10" x14ac:dyDescent="0.25">
      <c r="A325" s="1" t="str">
        <f t="shared" si="5"/>
        <v>10 Amantadine 0.1 mg_L</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853</v>
      </c>
      <c r="D325" s="1" t="s">
        <v>112</v>
      </c>
      <c r="E325" s="1" t="s">
        <v>854</v>
      </c>
      <c r="F325" s="1" t="s">
        <v>855</v>
      </c>
      <c r="G325" s="1" t="s">
        <v>856</v>
      </c>
      <c r="H325" s="1" t="s">
        <v>857</v>
      </c>
      <c r="I325" s="1">
        <v>24</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235</v>
      </c>
      <c r="D331" s="1" t="s">
        <v>110</v>
      </c>
      <c r="E331" s="1" t="s">
        <v>111</v>
      </c>
      <c r="F331" s="1" t="s">
        <v>112</v>
      </c>
      <c r="G331" s="1" t="s">
        <v>113</v>
      </c>
    </row>
    <row r="332" spans="1:10" x14ac:dyDescent="0.25">
      <c r="A332" s="1" t="str">
        <f t="shared" si="5"/>
        <v>11 Amantadine 1 mg_L</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858</v>
      </c>
      <c r="D332" s="1" t="s">
        <v>859</v>
      </c>
      <c r="E332" s="1" t="s">
        <v>860</v>
      </c>
      <c r="F332" s="1" t="s">
        <v>112</v>
      </c>
      <c r="G332" s="1">
        <v>645825</v>
      </c>
    </row>
    <row r="333" spans="1:10" x14ac:dyDescent="0.25">
      <c r="A333" s="1" t="str">
        <f t="shared" si="5"/>
        <v>11 Amantadine 1 mg_L</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861</v>
      </c>
      <c r="D333" s="1" t="s">
        <v>147</v>
      </c>
      <c r="E333" s="1" t="s">
        <v>862</v>
      </c>
      <c r="F333" s="1" t="s">
        <v>112</v>
      </c>
      <c r="G333" s="1">
        <v>370174</v>
      </c>
    </row>
    <row r="334" spans="1:10" x14ac:dyDescent="0.25">
      <c r="A334" s="1" t="str">
        <f t="shared" si="5"/>
        <v>11 Amantadine 1 mg_L</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863</v>
      </c>
      <c r="D334" s="1" t="s">
        <v>864</v>
      </c>
      <c r="E334" s="1" t="s">
        <v>865</v>
      </c>
      <c r="F334" s="1" t="s">
        <v>112</v>
      </c>
      <c r="G334" s="1">
        <v>410903</v>
      </c>
    </row>
    <row r="335" spans="1:10" x14ac:dyDescent="0.25">
      <c r="A335" s="1" t="str">
        <f t="shared" si="5"/>
        <v>11 Amantadine 1 mg_L</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866</v>
      </c>
      <c r="D335" s="1" t="s">
        <v>867</v>
      </c>
      <c r="E335" s="1" t="s">
        <v>868</v>
      </c>
      <c r="F335" s="1" t="s">
        <v>112</v>
      </c>
      <c r="G335" s="1">
        <v>447285</v>
      </c>
    </row>
    <row r="336" spans="1:10" x14ac:dyDescent="0.25">
      <c r="A336" s="1" t="str">
        <f t="shared" si="5"/>
        <v>11 Amantadine 1 mg_L</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869</v>
      </c>
      <c r="D336" s="1" t="s">
        <v>213</v>
      </c>
      <c r="E336" s="1" t="s">
        <v>870</v>
      </c>
      <c r="F336" s="1" t="s">
        <v>112</v>
      </c>
      <c r="G336" s="1">
        <v>31753</v>
      </c>
    </row>
    <row r="337" spans="1:7" x14ac:dyDescent="0.25">
      <c r="A337" s="1" t="str">
        <f t="shared" si="5"/>
        <v>11 Amantadine 1 mg_L</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871</v>
      </c>
      <c r="D337" s="1" t="s">
        <v>872</v>
      </c>
      <c r="E337" s="1" t="s">
        <v>873</v>
      </c>
      <c r="F337" s="1" t="s">
        <v>112</v>
      </c>
      <c r="G337" s="1">
        <v>536551</v>
      </c>
    </row>
    <row r="338" spans="1:7" x14ac:dyDescent="0.25">
      <c r="A338" s="1" t="str">
        <f t="shared" si="5"/>
        <v>11 Amantadine 1 mg_L</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874</v>
      </c>
    </row>
    <row r="339" spans="1:7" x14ac:dyDescent="0.25">
      <c r="A339" s="1" t="str">
        <f t="shared" si="5"/>
        <v>11 Amantadine 1 mg_L</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875</v>
      </c>
      <c r="D339" s="1" t="s">
        <v>213</v>
      </c>
      <c r="E339" s="1" t="s">
        <v>876</v>
      </c>
      <c r="F339" s="1" t="s">
        <v>112</v>
      </c>
      <c r="G339" s="1">
        <v>31017</v>
      </c>
    </row>
    <row r="340" spans="1:7" x14ac:dyDescent="0.25">
      <c r="A340" s="1" t="str">
        <f t="shared" si="5"/>
        <v>11 Amantadine 1 mg_L</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877</v>
      </c>
      <c r="D340" s="1" t="s">
        <v>285</v>
      </c>
      <c r="E340" s="1" t="s">
        <v>878</v>
      </c>
      <c r="F340" s="1" t="s">
        <v>112</v>
      </c>
      <c r="G340" s="1">
        <v>22365</v>
      </c>
    </row>
    <row r="341" spans="1:7" x14ac:dyDescent="0.25">
      <c r="A341" s="1" t="str">
        <f t="shared" si="5"/>
        <v>11 Amantadine 1 mg_L</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879</v>
      </c>
      <c r="D341" s="1" t="s">
        <v>880</v>
      </c>
      <c r="E341" s="1" t="s">
        <v>881</v>
      </c>
      <c r="F341" s="1" t="s">
        <v>112</v>
      </c>
      <c r="G341" s="1">
        <v>96794</v>
      </c>
    </row>
    <row r="342" spans="1:7" x14ac:dyDescent="0.25">
      <c r="A342" s="1" t="str">
        <f t="shared" si="5"/>
        <v>11 Amantadine 1 mg_L</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882</v>
      </c>
      <c r="D342" s="1" t="s">
        <v>334</v>
      </c>
      <c r="E342" s="1" t="s">
        <v>883</v>
      </c>
      <c r="F342" s="1" t="s">
        <v>112</v>
      </c>
      <c r="G342" s="1">
        <v>40772</v>
      </c>
    </row>
    <row r="343" spans="1:7" x14ac:dyDescent="0.25">
      <c r="A343" s="1" t="str">
        <f t="shared" si="5"/>
        <v>11 Amantadine 1 mg_L</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884</v>
      </c>
      <c r="D343" s="1" t="s">
        <v>835</v>
      </c>
      <c r="E343" s="1" t="s">
        <v>885</v>
      </c>
      <c r="F343" s="1" t="s">
        <v>112</v>
      </c>
      <c r="G343" s="1">
        <v>94652</v>
      </c>
    </row>
    <row r="344" spans="1:7" x14ac:dyDescent="0.25">
      <c r="A344" s="1" t="str">
        <f t="shared" si="5"/>
        <v>11 Amantadine 1 mg_L</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886</v>
      </c>
      <c r="D344" s="1" t="s">
        <v>887</v>
      </c>
      <c r="E344" s="1" t="s">
        <v>888</v>
      </c>
      <c r="F344" s="1" t="s">
        <v>112</v>
      </c>
      <c r="G344" s="1">
        <v>224583</v>
      </c>
    </row>
    <row r="345" spans="1:7" x14ac:dyDescent="0.25">
      <c r="A345" s="1" t="str">
        <f t="shared" si="5"/>
        <v>11 Amantadine 1 mg_L</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889</v>
      </c>
      <c r="D345" s="1" t="s">
        <v>835</v>
      </c>
      <c r="E345" s="1" t="s">
        <v>890</v>
      </c>
      <c r="F345" s="1" t="s">
        <v>112</v>
      </c>
      <c r="G345" s="1">
        <v>100146</v>
      </c>
    </row>
    <row r="346" spans="1:7" x14ac:dyDescent="0.25">
      <c r="A346" s="1" t="str">
        <f t="shared" si="5"/>
        <v>11 Amantadine 1 mg_L</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891</v>
      </c>
      <c r="D346" s="1" t="s">
        <v>892</v>
      </c>
      <c r="E346" s="1" t="s">
        <v>893</v>
      </c>
      <c r="F346" s="1" t="s">
        <v>112</v>
      </c>
      <c r="G346" s="1">
        <v>124134</v>
      </c>
    </row>
    <row r="347" spans="1:7" x14ac:dyDescent="0.25">
      <c r="A347" s="1" t="str">
        <f t="shared" si="5"/>
        <v>11 Amantadine 1 mg_L</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894</v>
      </c>
      <c r="D347" s="1" t="s">
        <v>895</v>
      </c>
      <c r="E347" s="1" t="s">
        <v>896</v>
      </c>
      <c r="F347" s="1" t="s">
        <v>112</v>
      </c>
      <c r="G347" s="1">
        <v>25718</v>
      </c>
    </row>
    <row r="348" spans="1:7" x14ac:dyDescent="0.25">
      <c r="A348" s="1" t="str">
        <f t="shared" si="5"/>
        <v>11 Amantadine 1 mg_L</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897</v>
      </c>
      <c r="D348" s="1" t="s">
        <v>898</v>
      </c>
      <c r="E348" s="1" t="s">
        <v>899</v>
      </c>
      <c r="F348" s="1" t="s">
        <v>112</v>
      </c>
      <c r="G348" s="1">
        <v>83080</v>
      </c>
    </row>
    <row r="349" spans="1:7" x14ac:dyDescent="0.25">
      <c r="A349" s="1" t="str">
        <f t="shared" si="5"/>
        <v>11 Amantadine 1 mg_L</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900</v>
      </c>
      <c r="D349" s="1" t="s">
        <v>851</v>
      </c>
      <c r="E349" s="1">
        <v>65</v>
      </c>
      <c r="F349" s="1" t="s">
        <v>112</v>
      </c>
      <c r="G349" s="1">
        <v>36555</v>
      </c>
    </row>
    <row r="350" spans="1:7" x14ac:dyDescent="0.25">
      <c r="A350" s="1" t="str">
        <f t="shared" si="5"/>
        <v>11 Amantadine 1 mg_L</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901</v>
      </c>
      <c r="D350" s="1" t="s">
        <v>902</v>
      </c>
      <c r="E350" s="1" t="s">
        <v>903</v>
      </c>
      <c r="F350" s="1" t="s">
        <v>112</v>
      </c>
      <c r="G350" s="1">
        <v>390247</v>
      </c>
    </row>
    <row r="351" spans="1:7" x14ac:dyDescent="0.25">
      <c r="A351" s="1" t="str">
        <f t="shared" si="5"/>
        <v>11 Amantadine 1 mg_L</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904</v>
      </c>
    </row>
    <row r="352" spans="1:7" x14ac:dyDescent="0.25">
      <c r="A352" s="1" t="str">
        <f t="shared" si="5"/>
        <v>11 Amantadine 1 mg_L</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905</v>
      </c>
      <c r="D352" s="1" t="s">
        <v>906</v>
      </c>
      <c r="E352" s="1" t="s">
        <v>907</v>
      </c>
      <c r="F352" s="1" t="s">
        <v>112</v>
      </c>
      <c r="G352" s="1">
        <v>228931</v>
      </c>
    </row>
    <row r="353" spans="1:10" x14ac:dyDescent="0.25">
      <c r="A353" s="1" t="str">
        <f t="shared" si="5"/>
        <v>11 Amantadine 1 mg_L</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908</v>
      </c>
      <c r="D353" s="1" t="s">
        <v>243</v>
      </c>
      <c r="E353" s="1" t="s">
        <v>909</v>
      </c>
      <c r="F353" s="1" t="s">
        <v>112</v>
      </c>
      <c r="G353" s="1">
        <v>264685</v>
      </c>
    </row>
    <row r="354" spans="1:10" x14ac:dyDescent="0.25">
      <c r="A354" s="1" t="str">
        <f t="shared" si="5"/>
        <v>11 Amantadine 1 mg_L</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910</v>
      </c>
    </row>
    <row r="355" spans="1:10" x14ac:dyDescent="0.25">
      <c r="A355" s="1" t="str">
        <f t="shared" si="5"/>
        <v>11 Amantadine 1 mg_L</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911</v>
      </c>
      <c r="D355" s="1" t="s">
        <v>474</v>
      </c>
      <c r="E355" s="1" t="s">
        <v>912</v>
      </c>
      <c r="F355" s="1" t="s">
        <v>112</v>
      </c>
      <c r="G355" s="1">
        <v>363296</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223</v>
      </c>
      <c r="D357" s="1" t="s">
        <v>112</v>
      </c>
      <c r="E357" s="1" t="s">
        <v>224</v>
      </c>
      <c r="F357" s="1" t="s">
        <v>225</v>
      </c>
      <c r="G357" s="1" t="s">
        <v>226</v>
      </c>
      <c r="H357" s="1" t="s">
        <v>227</v>
      </c>
      <c r="I357" s="1" t="s">
        <v>228</v>
      </c>
      <c r="J357" s="1" t="s">
        <v>229</v>
      </c>
    </row>
    <row r="358" spans="1:10" x14ac:dyDescent="0.25">
      <c r="A358" s="1" t="str">
        <f t="shared" si="5"/>
        <v>11 Amantadine 1 mg_L</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913</v>
      </c>
      <c r="D358" s="1" t="s">
        <v>112</v>
      </c>
      <c r="E358" s="1" t="s">
        <v>914</v>
      </c>
      <c r="F358" s="1" t="s">
        <v>915</v>
      </c>
      <c r="G358" s="1" t="s">
        <v>916</v>
      </c>
      <c r="H358" s="1" t="s">
        <v>917</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235</v>
      </c>
      <c r="D364" s="1" t="s">
        <v>110</v>
      </c>
      <c r="E364" s="1" t="s">
        <v>111</v>
      </c>
      <c r="F364" s="1" t="s">
        <v>112</v>
      </c>
      <c r="G364" s="1" t="s">
        <v>113</v>
      </c>
    </row>
    <row r="365" spans="1:10" x14ac:dyDescent="0.25">
      <c r="A365" s="1" t="str">
        <f t="shared" si="5"/>
        <v>12 Amantadine 10 mg_L</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918</v>
      </c>
    </row>
    <row r="366" spans="1:10" x14ac:dyDescent="0.25">
      <c r="A366" s="1" t="str">
        <f t="shared" si="5"/>
        <v>12 Amantadine 10 mg_L</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919</v>
      </c>
      <c r="D366" s="1" t="s">
        <v>920</v>
      </c>
      <c r="E366" s="1" t="s">
        <v>921</v>
      </c>
      <c r="F366" s="1" t="s">
        <v>112</v>
      </c>
      <c r="G366" s="1">
        <v>912133</v>
      </c>
    </row>
    <row r="367" spans="1:10" x14ac:dyDescent="0.25">
      <c r="A367" s="1" t="str">
        <f t="shared" si="5"/>
        <v>12 Amantadine 10 mg_L</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922</v>
      </c>
      <c r="D367" s="1" t="s">
        <v>923</v>
      </c>
      <c r="E367" s="1" t="s">
        <v>924</v>
      </c>
      <c r="F367" s="1" t="s">
        <v>112</v>
      </c>
      <c r="G367" s="1">
        <v>699035</v>
      </c>
    </row>
    <row r="368" spans="1:10" x14ac:dyDescent="0.25">
      <c r="A368" s="1" t="str">
        <f t="shared" si="5"/>
        <v>12 Amantadine 10 mg_L</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925</v>
      </c>
      <c r="D368" s="1" t="s">
        <v>926</v>
      </c>
      <c r="E368" s="1" t="s">
        <v>197</v>
      </c>
      <c r="F368" s="1" t="s">
        <v>112</v>
      </c>
      <c r="G368" s="1">
        <v>156860</v>
      </c>
    </row>
    <row r="369" spans="1:7" x14ac:dyDescent="0.25">
      <c r="A369" s="1" t="str">
        <f t="shared" si="5"/>
        <v>12 Amantadine 10 mg_L</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927</v>
      </c>
      <c r="D369" s="1" t="s">
        <v>314</v>
      </c>
      <c r="E369" s="1" t="s">
        <v>928</v>
      </c>
      <c r="F369" s="1" t="s">
        <v>112</v>
      </c>
      <c r="G369" s="1">
        <v>140789</v>
      </c>
    </row>
    <row r="370" spans="1:7" x14ac:dyDescent="0.25">
      <c r="A370" s="1" t="str">
        <f t="shared" si="5"/>
        <v>12 Amantadine 10 mg_L</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929</v>
      </c>
      <c r="D370" s="1" t="s">
        <v>930</v>
      </c>
      <c r="E370" s="1" t="s">
        <v>931</v>
      </c>
      <c r="F370" s="1" t="s">
        <v>112</v>
      </c>
      <c r="G370" s="1">
        <v>46526</v>
      </c>
    </row>
    <row r="371" spans="1:7" x14ac:dyDescent="0.25">
      <c r="A371" s="1" t="str">
        <f t="shared" si="5"/>
        <v>12 Amantadine 10 mg_L</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932</v>
      </c>
      <c r="D371" s="1" t="s">
        <v>933</v>
      </c>
      <c r="E371" s="1" t="s">
        <v>734</v>
      </c>
      <c r="F371" s="1" t="s">
        <v>112</v>
      </c>
      <c r="G371" s="1">
        <v>57838</v>
      </c>
    </row>
    <row r="372" spans="1:7" x14ac:dyDescent="0.25">
      <c r="A372" s="1" t="str">
        <f t="shared" si="5"/>
        <v>12 Amantadine 10 mg_L</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934</v>
      </c>
      <c r="D372" s="1" t="s">
        <v>935</v>
      </c>
      <c r="E372" s="1" t="s">
        <v>936</v>
      </c>
      <c r="F372" s="1" t="s">
        <v>112</v>
      </c>
      <c r="G372" s="1">
        <v>222290</v>
      </c>
    </row>
    <row r="373" spans="1:7" x14ac:dyDescent="0.25">
      <c r="A373" s="1" t="str">
        <f t="shared" si="5"/>
        <v>12 Amantadine 10 mg_L</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937</v>
      </c>
      <c r="D373" s="1" t="s">
        <v>938</v>
      </c>
      <c r="E373" s="1" t="s">
        <v>939</v>
      </c>
      <c r="F373" s="1" t="s">
        <v>112</v>
      </c>
      <c r="G373" s="1">
        <v>437335</v>
      </c>
    </row>
    <row r="374" spans="1:7" x14ac:dyDescent="0.25">
      <c r="A374" s="1" t="str">
        <f t="shared" si="5"/>
        <v>12 Amantadine 10 mg_L</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940</v>
      </c>
      <c r="D374" s="1" t="s">
        <v>941</v>
      </c>
      <c r="E374" s="1" t="s">
        <v>942</v>
      </c>
      <c r="F374" s="1" t="s">
        <v>112</v>
      </c>
      <c r="G374" s="1">
        <v>617728</v>
      </c>
    </row>
    <row r="375" spans="1:7" x14ac:dyDescent="0.25">
      <c r="A375" s="1" t="str">
        <f t="shared" si="5"/>
        <v>12 Amantadine 10 mg_L</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943</v>
      </c>
      <c r="D375" s="1" t="s">
        <v>944</v>
      </c>
      <c r="E375" s="1" t="s">
        <v>945</v>
      </c>
      <c r="F375" s="1" t="s">
        <v>112</v>
      </c>
      <c r="G375" s="1">
        <v>382525</v>
      </c>
    </row>
    <row r="376" spans="1:7" x14ac:dyDescent="0.25">
      <c r="A376" s="1" t="str">
        <f t="shared" si="5"/>
        <v>12 Amantadine 10 mg_L</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946</v>
      </c>
      <c r="D376" s="1" t="s">
        <v>947</v>
      </c>
      <c r="E376" s="1" t="s">
        <v>948</v>
      </c>
      <c r="F376" s="1" t="s">
        <v>112</v>
      </c>
      <c r="G376" s="1">
        <v>158547</v>
      </c>
    </row>
    <row r="377" spans="1:7" x14ac:dyDescent="0.25">
      <c r="A377" s="1" t="str">
        <f t="shared" si="5"/>
        <v>12 Amantadine 10 mg_L</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949</v>
      </c>
      <c r="D377" s="1" t="s">
        <v>950</v>
      </c>
      <c r="E377" s="1" t="s">
        <v>951</v>
      </c>
      <c r="F377" s="1" t="s">
        <v>112</v>
      </c>
      <c r="G377" s="1">
        <v>1053354</v>
      </c>
    </row>
    <row r="378" spans="1:7" x14ac:dyDescent="0.25">
      <c r="A378" s="1" t="str">
        <f t="shared" si="5"/>
        <v>12 Amantadine 10 mg_L</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952</v>
      </c>
    </row>
    <row r="379" spans="1:7" x14ac:dyDescent="0.25">
      <c r="A379" s="1" t="str">
        <f t="shared" si="5"/>
        <v>12 Amantadine 10 mg_L</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953</v>
      </c>
      <c r="D379" s="1" t="s">
        <v>954</v>
      </c>
      <c r="E379" s="1" t="s">
        <v>955</v>
      </c>
      <c r="F379" s="1" t="s">
        <v>112</v>
      </c>
      <c r="G379" s="1">
        <v>312098</v>
      </c>
    </row>
    <row r="380" spans="1:7" x14ac:dyDescent="0.25">
      <c r="A380" s="1" t="str">
        <f t="shared" si="5"/>
        <v>12 Amantadine 10 mg_L</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956</v>
      </c>
    </row>
    <row r="381" spans="1:7" x14ac:dyDescent="0.25">
      <c r="A381" s="1" t="str">
        <f t="shared" si="5"/>
        <v>12 Amantadine 10 mg_L</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957</v>
      </c>
      <c r="D381" s="1" t="s">
        <v>814</v>
      </c>
      <c r="E381" s="1" t="s">
        <v>815</v>
      </c>
      <c r="F381" s="1" t="s">
        <v>112</v>
      </c>
      <c r="G381" s="1">
        <v>27297</v>
      </c>
    </row>
    <row r="382" spans="1:7" x14ac:dyDescent="0.25">
      <c r="A382" s="1" t="str">
        <f t="shared" si="5"/>
        <v>12 Amantadine 10 mg_L</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958</v>
      </c>
      <c r="D382" s="1" t="s">
        <v>337</v>
      </c>
      <c r="E382" s="1" t="s">
        <v>959</v>
      </c>
      <c r="F382" s="1" t="s">
        <v>112</v>
      </c>
      <c r="G382" s="1">
        <v>13454</v>
      </c>
    </row>
    <row r="383" spans="1:7" x14ac:dyDescent="0.25">
      <c r="A383" s="1" t="str">
        <f t="shared" si="5"/>
        <v>12 Amantadine 10 mg_L</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960</v>
      </c>
    </row>
    <row r="384" spans="1:7" x14ac:dyDescent="0.25">
      <c r="A384" s="1" t="str">
        <f t="shared" si="5"/>
        <v>12 Amantadine 10 mg_L</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961</v>
      </c>
    </row>
    <row r="385" spans="1:10" x14ac:dyDescent="0.25">
      <c r="A385" s="1" t="str">
        <f t="shared" si="5"/>
        <v>12 Amantadine 10 mg_L</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962</v>
      </c>
      <c r="D385" s="1" t="s">
        <v>963</v>
      </c>
      <c r="E385" s="1" t="s">
        <v>964</v>
      </c>
      <c r="F385" s="1" t="s">
        <v>112</v>
      </c>
      <c r="G385" s="1">
        <v>266221</v>
      </c>
    </row>
    <row r="386" spans="1:10" x14ac:dyDescent="0.25">
      <c r="A386" s="1" t="str">
        <f t="shared" ref="A386:A449" si="6">IFERROR(LEFT(RIGHT(C386,LEN(C386)-SEARCH("@",C386)),SEARCH("/",RIGHT(C386,LEN(C386)-SEARCH("@",C386)-1))),"")</f>
        <v>12 Amantadine 10 mg_L</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965</v>
      </c>
      <c r="D386" s="1" t="s">
        <v>184</v>
      </c>
      <c r="E386" s="1" t="s">
        <v>966</v>
      </c>
      <c r="F386" s="1" t="s">
        <v>112</v>
      </c>
      <c r="G386" s="1">
        <v>57341</v>
      </c>
    </row>
    <row r="387" spans="1:10" x14ac:dyDescent="0.25">
      <c r="A387" s="1" t="str">
        <f t="shared" si="6"/>
        <v>12 Amantadine 10 mg_L</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967</v>
      </c>
      <c r="D387" s="1" t="s">
        <v>362</v>
      </c>
      <c r="E387" s="1" t="s">
        <v>968</v>
      </c>
      <c r="F387" s="1" t="s">
        <v>112</v>
      </c>
      <c r="G387" s="1">
        <v>261116</v>
      </c>
    </row>
    <row r="388" spans="1:10" x14ac:dyDescent="0.25">
      <c r="A388" s="1" t="str">
        <f t="shared" si="6"/>
        <v>12 Amantadine 10 mg_L</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969</v>
      </c>
      <c r="D388" s="1" t="s">
        <v>814</v>
      </c>
      <c r="E388" s="1" t="s">
        <v>970</v>
      </c>
      <c r="F388" s="1" t="s">
        <v>112</v>
      </c>
      <c r="G388" s="1">
        <v>27448</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223</v>
      </c>
      <c r="D390" s="1" t="s">
        <v>112</v>
      </c>
      <c r="E390" s="1" t="s">
        <v>224</v>
      </c>
      <c r="F390" s="1" t="s">
        <v>225</v>
      </c>
      <c r="G390" s="1" t="s">
        <v>226</v>
      </c>
      <c r="H390" s="1" t="s">
        <v>227</v>
      </c>
      <c r="I390" s="1" t="s">
        <v>228</v>
      </c>
      <c r="J390" s="1" t="s">
        <v>229</v>
      </c>
    </row>
    <row r="391" spans="1:10" x14ac:dyDescent="0.25">
      <c r="A391" s="1" t="str">
        <f t="shared" si="6"/>
        <v>12 Amantadine 10 mg_L</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971</v>
      </c>
      <c r="D391" s="1" t="s">
        <v>112</v>
      </c>
      <c r="E391" s="1" t="s">
        <v>972</v>
      </c>
      <c r="F391" s="1" t="s">
        <v>973</v>
      </c>
      <c r="G391" s="1" t="s">
        <v>974</v>
      </c>
      <c r="H391" s="1" t="s">
        <v>975</v>
      </c>
      <c r="I391" s="1">
        <v>24</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235</v>
      </c>
      <c r="D397" s="1" t="s">
        <v>110</v>
      </c>
      <c r="E397" s="1" t="s">
        <v>111</v>
      </c>
      <c r="F397" s="1" t="s">
        <v>112</v>
      </c>
      <c r="G397" s="1" t="s">
        <v>113</v>
      </c>
    </row>
    <row r="398" spans="1:10" x14ac:dyDescent="0.25">
      <c r="A398" s="1" t="str">
        <f t="shared" si="6"/>
        <v>01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976</v>
      </c>
      <c r="D398" s="1" t="s">
        <v>977</v>
      </c>
      <c r="E398" s="1" t="s">
        <v>978</v>
      </c>
      <c r="F398" s="1" t="s">
        <v>112</v>
      </c>
      <c r="G398" s="1">
        <v>1945458</v>
      </c>
    </row>
    <row r="399" spans="1:10" x14ac:dyDescent="0.25">
      <c r="A399" s="1" t="str">
        <f t="shared" si="6"/>
        <v>01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979</v>
      </c>
      <c r="D399" s="1" t="s">
        <v>980</v>
      </c>
      <c r="E399" s="1" t="s">
        <v>981</v>
      </c>
      <c r="F399" s="1" t="s">
        <v>112</v>
      </c>
      <c r="G399" s="1">
        <v>2239083</v>
      </c>
    </row>
    <row r="400" spans="1:10" x14ac:dyDescent="0.25">
      <c r="A400" s="1" t="str">
        <f t="shared" si="6"/>
        <v>01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982</v>
      </c>
      <c r="D400" s="1" t="s">
        <v>983</v>
      </c>
      <c r="E400" s="1" t="s">
        <v>984</v>
      </c>
      <c r="F400" s="1" t="s">
        <v>112</v>
      </c>
      <c r="G400" s="1">
        <v>1842694</v>
      </c>
    </row>
    <row r="401" spans="1:7" x14ac:dyDescent="0.25">
      <c r="A401" s="1" t="str">
        <f t="shared" si="6"/>
        <v>01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985</v>
      </c>
      <c r="D401" s="1" t="s">
        <v>986</v>
      </c>
      <c r="E401" s="1" t="s">
        <v>987</v>
      </c>
      <c r="F401" s="1" t="s">
        <v>112</v>
      </c>
      <c r="G401" s="1">
        <v>3619265</v>
      </c>
    </row>
    <row r="402" spans="1:7" x14ac:dyDescent="0.25">
      <c r="A402" s="1" t="str">
        <f t="shared" si="6"/>
        <v>01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988</v>
      </c>
    </row>
    <row r="403" spans="1:7" x14ac:dyDescent="0.25">
      <c r="A403" s="1" t="str">
        <f t="shared" si="6"/>
        <v>01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989</v>
      </c>
      <c r="D403" s="1" t="s">
        <v>990</v>
      </c>
      <c r="E403" s="1" t="s">
        <v>991</v>
      </c>
      <c r="F403" s="1" t="s">
        <v>112</v>
      </c>
      <c r="G403" s="1">
        <v>3225969</v>
      </c>
    </row>
    <row r="404" spans="1:7" x14ac:dyDescent="0.25">
      <c r="A404" s="1" t="str">
        <f t="shared" si="6"/>
        <v>01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992</v>
      </c>
      <c r="D404" s="1" t="s">
        <v>993</v>
      </c>
      <c r="E404" s="1" t="s">
        <v>994</v>
      </c>
      <c r="F404" s="1" t="s">
        <v>112</v>
      </c>
      <c r="G404" s="1">
        <v>2092346</v>
      </c>
    </row>
    <row r="405" spans="1:7" x14ac:dyDescent="0.25">
      <c r="A405" s="1" t="str">
        <f t="shared" si="6"/>
        <v>01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995</v>
      </c>
      <c r="D405" s="1" t="s">
        <v>996</v>
      </c>
      <c r="E405" s="1" t="s">
        <v>997</v>
      </c>
      <c r="F405" s="1" t="s">
        <v>112</v>
      </c>
      <c r="G405" s="1">
        <v>1829803</v>
      </c>
    </row>
    <row r="406" spans="1:7" x14ac:dyDescent="0.25">
      <c r="A406" s="1" t="str">
        <f t="shared" si="6"/>
        <v>01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998</v>
      </c>
      <c r="D406" s="1" t="s">
        <v>999</v>
      </c>
      <c r="E406" s="1" t="s">
        <v>1000</v>
      </c>
      <c r="F406" s="1" t="s">
        <v>112</v>
      </c>
      <c r="G406" s="1">
        <v>2303800</v>
      </c>
    </row>
    <row r="407" spans="1:7" x14ac:dyDescent="0.25">
      <c r="A407" s="1" t="str">
        <f t="shared" si="6"/>
        <v>01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1001</v>
      </c>
      <c r="D407" s="1" t="s">
        <v>1002</v>
      </c>
      <c r="E407" s="1" t="s">
        <v>1003</v>
      </c>
      <c r="F407" s="1" t="s">
        <v>112</v>
      </c>
      <c r="G407" s="1">
        <v>1374104</v>
      </c>
    </row>
    <row r="408" spans="1:7" x14ac:dyDescent="0.25">
      <c r="A408" s="1" t="str">
        <f t="shared" si="6"/>
        <v>01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1004</v>
      </c>
    </row>
    <row r="409" spans="1:7" x14ac:dyDescent="0.25">
      <c r="A409" s="1" t="str">
        <f t="shared" si="6"/>
        <v>01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1005</v>
      </c>
      <c r="D409" s="1" t="s">
        <v>1006</v>
      </c>
      <c r="E409" s="1" t="s">
        <v>1007</v>
      </c>
      <c r="F409" s="1" t="s">
        <v>112</v>
      </c>
      <c r="G409" s="1">
        <v>1166760</v>
      </c>
    </row>
    <row r="410" spans="1:7" x14ac:dyDescent="0.25">
      <c r="A410" s="1" t="str">
        <f t="shared" si="6"/>
        <v>01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1008</v>
      </c>
      <c r="D410" s="1" t="s">
        <v>1009</v>
      </c>
      <c r="E410" s="1" t="s">
        <v>1010</v>
      </c>
      <c r="F410" s="1" t="s">
        <v>112</v>
      </c>
      <c r="G410" s="1">
        <v>1169074</v>
      </c>
    </row>
    <row r="411" spans="1:7" x14ac:dyDescent="0.25">
      <c r="A411" s="1" t="str">
        <f t="shared" si="6"/>
        <v>01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1011</v>
      </c>
    </row>
    <row r="412" spans="1:7" x14ac:dyDescent="0.25">
      <c r="A412" s="1" t="str">
        <f t="shared" si="6"/>
        <v>01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1012</v>
      </c>
      <c r="D412" s="1" t="s">
        <v>1013</v>
      </c>
      <c r="E412" s="1" t="s">
        <v>1014</v>
      </c>
      <c r="F412" s="1" t="s">
        <v>112</v>
      </c>
      <c r="G412" s="1">
        <v>1054976</v>
      </c>
    </row>
    <row r="413" spans="1:7" x14ac:dyDescent="0.25">
      <c r="A413" s="1" t="str">
        <f t="shared" si="6"/>
        <v>01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1015</v>
      </c>
      <c r="D413" s="1" t="s">
        <v>1016</v>
      </c>
      <c r="E413" s="1" t="s">
        <v>1017</v>
      </c>
      <c r="F413" s="1" t="s">
        <v>112</v>
      </c>
      <c r="G413" s="1">
        <v>227395</v>
      </c>
    </row>
    <row r="414" spans="1:7" x14ac:dyDescent="0.25">
      <c r="A414" s="1" t="str">
        <f t="shared" si="6"/>
        <v>01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1018</v>
      </c>
      <c r="D414" s="1" t="s">
        <v>255</v>
      </c>
      <c r="E414" s="1" t="s">
        <v>472</v>
      </c>
      <c r="F414" s="1" t="s">
        <v>112</v>
      </c>
      <c r="G414" s="1">
        <v>19121</v>
      </c>
    </row>
    <row r="415" spans="1:7" x14ac:dyDescent="0.25">
      <c r="A415" s="1" t="str">
        <f t="shared" si="6"/>
        <v>01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1019</v>
      </c>
      <c r="D415" s="1" t="s">
        <v>892</v>
      </c>
      <c r="E415" s="1" t="s">
        <v>1020</v>
      </c>
      <c r="F415" s="1" t="s">
        <v>112</v>
      </c>
      <c r="G415" s="1">
        <v>121106</v>
      </c>
    </row>
    <row r="416" spans="1:7" x14ac:dyDescent="0.25">
      <c r="A416" s="1" t="str">
        <f t="shared" si="6"/>
        <v>01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1021</v>
      </c>
      <c r="D416" s="1" t="s">
        <v>1022</v>
      </c>
      <c r="E416" s="1" t="s">
        <v>1023</v>
      </c>
      <c r="F416" s="1" t="s">
        <v>112</v>
      </c>
      <c r="G416" s="1">
        <v>4874794</v>
      </c>
    </row>
    <row r="417" spans="1:10" x14ac:dyDescent="0.25">
      <c r="A417" s="1" t="str">
        <f t="shared" si="6"/>
        <v>01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1024</v>
      </c>
    </row>
    <row r="418" spans="1:10" x14ac:dyDescent="0.25">
      <c r="A418" s="1" t="str">
        <f t="shared" si="6"/>
        <v>01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1025</v>
      </c>
      <c r="D418" s="1" t="s">
        <v>1026</v>
      </c>
      <c r="E418" s="1" t="s">
        <v>1027</v>
      </c>
      <c r="F418" s="1" t="s">
        <v>112</v>
      </c>
      <c r="G418" s="1">
        <v>4417690</v>
      </c>
    </row>
    <row r="419" spans="1:10" x14ac:dyDescent="0.25">
      <c r="A419" s="1" t="str">
        <f t="shared" si="6"/>
        <v>01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1028</v>
      </c>
      <c r="D419" s="1" t="s">
        <v>252</v>
      </c>
      <c r="E419" s="1" t="s">
        <v>1029</v>
      </c>
      <c r="F419" s="1" t="s">
        <v>112</v>
      </c>
      <c r="G419" s="1">
        <v>305522</v>
      </c>
    </row>
    <row r="420" spans="1:10" x14ac:dyDescent="0.25">
      <c r="A420" s="1" t="str">
        <f t="shared" si="6"/>
        <v>01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1030</v>
      </c>
      <c r="D420" s="1" t="s">
        <v>1031</v>
      </c>
      <c r="E420" s="1" t="s">
        <v>1032</v>
      </c>
      <c r="F420" s="1" t="s">
        <v>112</v>
      </c>
      <c r="G420" s="1">
        <v>153291</v>
      </c>
    </row>
    <row r="421" spans="1:10" x14ac:dyDescent="0.25">
      <c r="A421" s="1" t="str">
        <f t="shared" si="6"/>
        <v>01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1033</v>
      </c>
      <c r="D421" s="1" t="s">
        <v>880</v>
      </c>
      <c r="E421" s="1" t="s">
        <v>1034</v>
      </c>
      <c r="F421" s="1" t="s">
        <v>112</v>
      </c>
      <c r="G421" s="1">
        <v>97529</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223</v>
      </c>
      <c r="D423" s="1" t="s">
        <v>112</v>
      </c>
      <c r="E423" s="1" t="s">
        <v>224</v>
      </c>
      <c r="F423" s="1" t="s">
        <v>225</v>
      </c>
      <c r="G423" s="1" t="s">
        <v>226</v>
      </c>
      <c r="H423" s="1" t="s">
        <v>227</v>
      </c>
      <c r="I423" s="1" t="s">
        <v>228</v>
      </c>
      <c r="J423" s="1" t="s">
        <v>229</v>
      </c>
    </row>
    <row r="424" spans="1:10" x14ac:dyDescent="0.25">
      <c r="A424" s="1" t="str">
        <f t="shared" si="6"/>
        <v>01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1035</v>
      </c>
      <c r="D424" s="1" t="s">
        <v>112</v>
      </c>
      <c r="E424" s="1" t="s">
        <v>1036</v>
      </c>
      <c r="F424" s="1" t="s">
        <v>1037</v>
      </c>
      <c r="G424" s="1" t="s">
        <v>1038</v>
      </c>
      <c r="H424" s="1" t="s">
        <v>1039</v>
      </c>
      <c r="I424" s="1">
        <v>24</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235</v>
      </c>
      <c r="D430" s="1" t="s">
        <v>110</v>
      </c>
      <c r="E430" s="1" t="s">
        <v>111</v>
      </c>
      <c r="F430" s="1" t="s">
        <v>112</v>
      </c>
      <c r="G430" s="1" t="s">
        <v>113</v>
      </c>
    </row>
    <row r="431" spans="1:10" x14ac:dyDescent="0.25">
      <c r="A431" s="1" t="str">
        <f t="shared" si="6"/>
        <v>02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1040</v>
      </c>
      <c r="D431" s="1" t="s">
        <v>1041</v>
      </c>
      <c r="E431" s="1" t="s">
        <v>1042</v>
      </c>
      <c r="F431" s="1" t="s">
        <v>112</v>
      </c>
      <c r="G431" s="1">
        <v>3001278</v>
      </c>
    </row>
    <row r="432" spans="1:10" x14ac:dyDescent="0.25">
      <c r="A432" s="1" t="str">
        <f t="shared" si="6"/>
        <v>02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1043</v>
      </c>
      <c r="D432" s="1" t="s">
        <v>1044</v>
      </c>
      <c r="E432" s="1" t="s">
        <v>1045</v>
      </c>
      <c r="F432" s="1" t="s">
        <v>112</v>
      </c>
      <c r="G432" s="1">
        <v>3173300</v>
      </c>
    </row>
    <row r="433" spans="1:7" x14ac:dyDescent="0.25">
      <c r="A433" s="1" t="str">
        <f t="shared" si="6"/>
        <v>02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1046</v>
      </c>
      <c r="D433" s="1" t="s">
        <v>1047</v>
      </c>
      <c r="E433" s="1" t="s">
        <v>1048</v>
      </c>
      <c r="F433" s="1" t="s">
        <v>112</v>
      </c>
      <c r="G433" s="1">
        <v>1257043</v>
      </c>
    </row>
    <row r="434" spans="1:7" x14ac:dyDescent="0.25">
      <c r="A434" s="1" t="str">
        <f t="shared" si="6"/>
        <v>02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1049</v>
      </c>
      <c r="D434" s="1" t="s">
        <v>1050</v>
      </c>
      <c r="E434" s="1" t="s">
        <v>1051</v>
      </c>
      <c r="F434" s="1" t="s">
        <v>112</v>
      </c>
      <c r="G434" s="1">
        <v>262565</v>
      </c>
    </row>
    <row r="435" spans="1:7" x14ac:dyDescent="0.25">
      <c r="A435" s="1" t="str">
        <f t="shared" si="6"/>
        <v>02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1052</v>
      </c>
      <c r="D435" s="1" t="s">
        <v>1053</v>
      </c>
      <c r="E435" s="1" t="s">
        <v>1054</v>
      </c>
      <c r="F435" s="1" t="s">
        <v>112</v>
      </c>
      <c r="G435" s="1">
        <v>508194</v>
      </c>
    </row>
    <row r="436" spans="1:7" x14ac:dyDescent="0.25">
      <c r="A436" s="1" t="str">
        <f t="shared" si="6"/>
        <v>02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1055</v>
      </c>
      <c r="D436" s="1" t="s">
        <v>1056</v>
      </c>
      <c r="E436" s="1" t="s">
        <v>1057</v>
      </c>
      <c r="F436" s="1" t="s">
        <v>112</v>
      </c>
      <c r="G436" s="1">
        <v>2173502</v>
      </c>
    </row>
    <row r="437" spans="1:7" x14ac:dyDescent="0.25">
      <c r="A437" s="1" t="str">
        <f t="shared" si="6"/>
        <v>02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1058</v>
      </c>
      <c r="D437" s="1" t="s">
        <v>1059</v>
      </c>
      <c r="E437" s="1" t="s">
        <v>1060</v>
      </c>
      <c r="F437" s="1" t="s">
        <v>112</v>
      </c>
      <c r="G437" s="1">
        <v>4260895</v>
      </c>
    </row>
    <row r="438" spans="1:7" x14ac:dyDescent="0.25">
      <c r="A438" s="1" t="str">
        <f t="shared" si="6"/>
        <v>02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1061</v>
      </c>
      <c r="D438" s="1" t="s">
        <v>1062</v>
      </c>
      <c r="E438" s="1" t="s">
        <v>1063</v>
      </c>
      <c r="F438" s="1" t="s">
        <v>112</v>
      </c>
      <c r="G438" s="1">
        <v>4190295</v>
      </c>
    </row>
    <row r="439" spans="1:7" x14ac:dyDescent="0.25">
      <c r="A439" s="1" t="str">
        <f t="shared" si="6"/>
        <v>02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1064</v>
      </c>
      <c r="D439" s="1" t="s">
        <v>1065</v>
      </c>
      <c r="E439" s="1" t="s">
        <v>1066</v>
      </c>
      <c r="F439" s="1" t="s">
        <v>112</v>
      </c>
      <c r="G439" s="1">
        <v>3776017</v>
      </c>
    </row>
    <row r="440" spans="1:7" x14ac:dyDescent="0.25">
      <c r="A440" s="1" t="str">
        <f t="shared" si="6"/>
        <v>02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1067</v>
      </c>
      <c r="D440" s="1" t="s">
        <v>1068</v>
      </c>
      <c r="E440" s="1" t="s">
        <v>1069</v>
      </c>
      <c r="F440" s="1" t="s">
        <v>112</v>
      </c>
      <c r="G440" s="1">
        <v>873804</v>
      </c>
    </row>
    <row r="441" spans="1:7" x14ac:dyDescent="0.25">
      <c r="A441" s="1" t="str">
        <f t="shared" si="6"/>
        <v>02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1070</v>
      </c>
    </row>
    <row r="442" spans="1:7" x14ac:dyDescent="0.25">
      <c r="A442" s="1" t="str">
        <f t="shared" si="6"/>
        <v>02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1071</v>
      </c>
      <c r="D442" s="1" t="s">
        <v>1072</v>
      </c>
      <c r="E442" s="1" t="s">
        <v>1073</v>
      </c>
      <c r="F442" s="1" t="s">
        <v>112</v>
      </c>
      <c r="G442" s="1">
        <v>529392</v>
      </c>
    </row>
    <row r="443" spans="1:7" x14ac:dyDescent="0.25">
      <c r="A443" s="1" t="str">
        <f t="shared" si="6"/>
        <v>02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1074</v>
      </c>
      <c r="D443" s="1" t="s">
        <v>1075</v>
      </c>
      <c r="E443" s="1" t="s">
        <v>1076</v>
      </c>
      <c r="F443" s="1" t="s">
        <v>112</v>
      </c>
      <c r="G443" s="1">
        <v>3602481</v>
      </c>
    </row>
    <row r="444" spans="1:7" x14ac:dyDescent="0.25">
      <c r="A444" s="1" t="str">
        <f t="shared" si="6"/>
        <v>02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1077</v>
      </c>
      <c r="D444" s="1" t="s">
        <v>1078</v>
      </c>
      <c r="E444" s="1" t="s">
        <v>1079</v>
      </c>
      <c r="F444" s="1" t="s">
        <v>112</v>
      </c>
      <c r="G444" s="1">
        <v>3651580</v>
      </c>
    </row>
    <row r="445" spans="1:7" x14ac:dyDescent="0.25">
      <c r="A445" s="1" t="str">
        <f t="shared" si="6"/>
        <v>02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1080</v>
      </c>
      <c r="D445" s="1" t="s">
        <v>1081</v>
      </c>
      <c r="E445" s="1" t="s">
        <v>1082</v>
      </c>
      <c r="F445" s="1" t="s">
        <v>112</v>
      </c>
      <c r="G445" s="1">
        <v>3555198</v>
      </c>
    </row>
    <row r="446" spans="1:7" x14ac:dyDescent="0.25">
      <c r="A446" s="1" t="str">
        <f t="shared" si="6"/>
        <v>02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1083</v>
      </c>
      <c r="D446" s="1" t="s">
        <v>1084</v>
      </c>
      <c r="E446" s="1" t="s">
        <v>1085</v>
      </c>
      <c r="F446" s="1" t="s">
        <v>112</v>
      </c>
      <c r="G446" s="1">
        <v>3371992</v>
      </c>
    </row>
    <row r="447" spans="1:7" x14ac:dyDescent="0.25">
      <c r="A447" s="1" t="str">
        <f t="shared" si="6"/>
        <v>02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1086</v>
      </c>
    </row>
    <row r="448" spans="1:7" x14ac:dyDescent="0.25">
      <c r="A448" s="1" t="str">
        <f t="shared" si="6"/>
        <v>02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1087</v>
      </c>
      <c r="D448" s="1" t="s">
        <v>1088</v>
      </c>
      <c r="E448" s="1" t="s">
        <v>1089</v>
      </c>
      <c r="F448" s="1" t="s">
        <v>112</v>
      </c>
      <c r="G448" s="1">
        <v>2360211</v>
      </c>
    </row>
    <row r="449" spans="1:10" x14ac:dyDescent="0.25">
      <c r="A449" s="1" t="str">
        <f t="shared" si="6"/>
        <v>02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1090</v>
      </c>
      <c r="D449" s="1" t="s">
        <v>1091</v>
      </c>
      <c r="E449" s="1" t="s">
        <v>1092</v>
      </c>
      <c r="F449" s="1" t="s">
        <v>112</v>
      </c>
      <c r="G449" s="1">
        <v>2348076</v>
      </c>
    </row>
    <row r="450" spans="1:10" x14ac:dyDescent="0.25">
      <c r="A450" s="1" t="str">
        <f t="shared" ref="A450:A513" si="7">IFERROR(LEFT(RIGHT(C450,LEN(C450)-SEARCH("@",C450)),SEARCH("/",RIGHT(C450,LEN(C450)-SEARCH("@",C450)-1))),"")</f>
        <v>02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1093</v>
      </c>
      <c r="D450" s="1" t="s">
        <v>1094</v>
      </c>
      <c r="E450" s="1" t="s">
        <v>1095</v>
      </c>
      <c r="F450" s="1" t="s">
        <v>112</v>
      </c>
      <c r="G450" s="1">
        <v>2059815</v>
      </c>
    </row>
    <row r="451" spans="1:10" x14ac:dyDescent="0.25">
      <c r="A451" s="1" t="str">
        <f t="shared" si="7"/>
        <v>02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1096</v>
      </c>
      <c r="D451" s="1" t="s">
        <v>1097</v>
      </c>
      <c r="E451" s="1" t="s">
        <v>1098</v>
      </c>
      <c r="F451" s="1" t="s">
        <v>112</v>
      </c>
      <c r="G451" s="1">
        <v>2027284</v>
      </c>
    </row>
    <row r="452" spans="1:10" x14ac:dyDescent="0.25">
      <c r="A452" s="1" t="str">
        <f t="shared" si="7"/>
        <v>02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1099</v>
      </c>
      <c r="D452" s="1" t="s">
        <v>1100</v>
      </c>
      <c r="E452" s="1" t="s">
        <v>1101</v>
      </c>
      <c r="F452" s="1" t="s">
        <v>112</v>
      </c>
      <c r="G452" s="1">
        <v>4391258</v>
      </c>
    </row>
    <row r="453" spans="1:10" x14ac:dyDescent="0.25">
      <c r="A453" s="1" t="str">
        <f t="shared" si="7"/>
        <v>02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1102</v>
      </c>
      <c r="D453" s="1" t="s">
        <v>1103</v>
      </c>
      <c r="E453" s="1" t="s">
        <v>1104</v>
      </c>
      <c r="F453" s="1" t="s">
        <v>112</v>
      </c>
      <c r="G453" s="1">
        <v>4119716</v>
      </c>
    </row>
    <row r="454" spans="1:10" x14ac:dyDescent="0.25">
      <c r="A454" s="1" t="str">
        <f t="shared" si="7"/>
        <v>02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1105</v>
      </c>
      <c r="D454" s="1" t="s">
        <v>1106</v>
      </c>
      <c r="E454" s="1" t="s">
        <v>1107</v>
      </c>
      <c r="F454" s="1" t="s">
        <v>112</v>
      </c>
      <c r="G454" s="1">
        <v>4216337</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223</v>
      </c>
      <c r="D456" s="1" t="s">
        <v>112</v>
      </c>
      <c r="E456" s="1" t="s">
        <v>224</v>
      </c>
      <c r="F456" s="1" t="s">
        <v>225</v>
      </c>
      <c r="G456" s="1" t="s">
        <v>226</v>
      </c>
      <c r="H456" s="1" t="s">
        <v>227</v>
      </c>
      <c r="I456" s="1" t="s">
        <v>228</v>
      </c>
      <c r="J456" s="1" t="s">
        <v>229</v>
      </c>
    </row>
    <row r="457" spans="1:10" x14ac:dyDescent="0.25">
      <c r="A457" s="1" t="str">
        <f t="shared" si="7"/>
        <v>02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1108</v>
      </c>
      <c r="D457" s="1" t="s">
        <v>112</v>
      </c>
      <c r="E457" s="1" t="s">
        <v>1109</v>
      </c>
      <c r="F457" s="1" t="s">
        <v>1110</v>
      </c>
      <c r="G457" s="1" t="s">
        <v>1111</v>
      </c>
      <c r="H457" s="1" t="s">
        <v>1112</v>
      </c>
      <c r="I457" s="1">
        <v>24</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235</v>
      </c>
      <c r="D463" s="1" t="s">
        <v>110</v>
      </c>
      <c r="E463" s="1" t="s">
        <v>111</v>
      </c>
      <c r="F463" s="1" t="s">
        <v>112</v>
      </c>
      <c r="G463" s="1" t="s">
        <v>113</v>
      </c>
    </row>
    <row r="464" spans="1:10" x14ac:dyDescent="0.25">
      <c r="A464" s="1" t="str">
        <f t="shared" si="7"/>
        <v>03 Testo+ EE2 64</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1113</v>
      </c>
      <c r="D464" s="1" t="s">
        <v>1114</v>
      </c>
      <c r="E464" s="1" t="s">
        <v>1115</v>
      </c>
      <c r="F464" s="1" t="s">
        <v>112</v>
      </c>
      <c r="G464" s="1">
        <v>3690017</v>
      </c>
    </row>
    <row r="465" spans="1:7" x14ac:dyDescent="0.25">
      <c r="A465" s="1" t="str">
        <f t="shared" si="7"/>
        <v>03 Testo+ EE2 64</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1116</v>
      </c>
      <c r="D465" s="1" t="s">
        <v>1117</v>
      </c>
      <c r="E465" s="1" t="s">
        <v>1118</v>
      </c>
      <c r="F465" s="1" t="s">
        <v>112</v>
      </c>
      <c r="G465" s="1">
        <v>3366066</v>
      </c>
    </row>
    <row r="466" spans="1:7" x14ac:dyDescent="0.25">
      <c r="A466" s="1" t="str">
        <f t="shared" si="7"/>
        <v>03 Testo+ EE2 64</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1119</v>
      </c>
      <c r="D466" s="1" t="s">
        <v>1120</v>
      </c>
      <c r="E466" s="1" t="s">
        <v>1121</v>
      </c>
      <c r="F466" s="1" t="s">
        <v>112</v>
      </c>
      <c r="G466" s="1">
        <v>3992381</v>
      </c>
    </row>
    <row r="467" spans="1:7" x14ac:dyDescent="0.25">
      <c r="A467" s="1" t="str">
        <f t="shared" si="7"/>
        <v>03 Testo+ EE2 64</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1122</v>
      </c>
      <c r="D467" s="1" t="s">
        <v>1123</v>
      </c>
      <c r="E467" s="1" t="s">
        <v>1124</v>
      </c>
      <c r="F467" s="1" t="s">
        <v>112</v>
      </c>
      <c r="G467" s="1">
        <v>1627585</v>
      </c>
    </row>
    <row r="468" spans="1:7" x14ac:dyDescent="0.25">
      <c r="A468" s="1" t="str">
        <f t="shared" si="7"/>
        <v>03 Testo+ EE2 64</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1125</v>
      </c>
      <c r="D468" s="1" t="s">
        <v>1126</v>
      </c>
      <c r="E468" s="1" t="s">
        <v>1127</v>
      </c>
      <c r="F468" s="1" t="s">
        <v>112</v>
      </c>
      <c r="G468" s="1">
        <v>1712244</v>
      </c>
    </row>
    <row r="469" spans="1:7" x14ac:dyDescent="0.25">
      <c r="A469" s="1" t="str">
        <f t="shared" si="7"/>
        <v>03 Testo+ EE2 64</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1128</v>
      </c>
      <c r="D469" s="1" t="s">
        <v>1129</v>
      </c>
      <c r="E469" s="1" t="s">
        <v>1130</v>
      </c>
      <c r="F469" s="1" t="s">
        <v>112</v>
      </c>
      <c r="G469" s="1">
        <v>1553286</v>
      </c>
    </row>
    <row r="470" spans="1:7" x14ac:dyDescent="0.25">
      <c r="A470" s="1" t="str">
        <f t="shared" si="7"/>
        <v>03 Testo+ EE2 64</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1131</v>
      </c>
      <c r="D470" s="1" t="s">
        <v>1132</v>
      </c>
      <c r="E470" s="1" t="s">
        <v>1133</v>
      </c>
      <c r="F470" s="1" t="s">
        <v>112</v>
      </c>
      <c r="G470" s="1">
        <v>3688005</v>
      </c>
    </row>
    <row r="471" spans="1:7" x14ac:dyDescent="0.25">
      <c r="A471" s="1" t="str">
        <f t="shared" si="7"/>
        <v>03 Testo+ EE2 64</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1134</v>
      </c>
      <c r="D471" s="1" t="s">
        <v>1135</v>
      </c>
      <c r="E471" s="1" t="s">
        <v>1136</v>
      </c>
      <c r="F471" s="1" t="s">
        <v>112</v>
      </c>
      <c r="G471" s="1">
        <v>3851095</v>
      </c>
    </row>
    <row r="472" spans="1:7" x14ac:dyDescent="0.25">
      <c r="A472" s="1" t="str">
        <f t="shared" si="7"/>
        <v>03 Testo+ EE2 64</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1137</v>
      </c>
      <c r="D472" s="1" t="s">
        <v>1138</v>
      </c>
      <c r="E472" s="1" t="s">
        <v>1139</v>
      </c>
      <c r="F472" s="1" t="s">
        <v>112</v>
      </c>
      <c r="G472" s="1">
        <v>3651516</v>
      </c>
    </row>
    <row r="473" spans="1:7" x14ac:dyDescent="0.25">
      <c r="A473" s="1" t="str">
        <f t="shared" si="7"/>
        <v>03 Testo+ EE2 64</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1140</v>
      </c>
      <c r="D473" s="1" t="s">
        <v>1141</v>
      </c>
      <c r="E473" s="1" t="s">
        <v>1142</v>
      </c>
      <c r="F473" s="1" t="s">
        <v>112</v>
      </c>
      <c r="G473" s="1">
        <v>2973721</v>
      </c>
    </row>
    <row r="474" spans="1:7" x14ac:dyDescent="0.25">
      <c r="A474" s="1" t="str">
        <f t="shared" si="7"/>
        <v>03 Testo+ EE2 64</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1143</v>
      </c>
      <c r="D474" s="1" t="s">
        <v>1144</v>
      </c>
      <c r="E474" s="1" t="s">
        <v>1145</v>
      </c>
      <c r="F474" s="1" t="s">
        <v>112</v>
      </c>
      <c r="G474" s="1">
        <v>3429117</v>
      </c>
    </row>
    <row r="475" spans="1:7" x14ac:dyDescent="0.25">
      <c r="A475" s="1" t="str">
        <f t="shared" si="7"/>
        <v>03 Testo+ EE2 64</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1146</v>
      </c>
      <c r="D475" s="1" t="s">
        <v>1147</v>
      </c>
      <c r="E475" s="1" t="s">
        <v>1148</v>
      </c>
      <c r="F475" s="1" t="s">
        <v>112</v>
      </c>
      <c r="G475" s="1">
        <v>3022972</v>
      </c>
    </row>
    <row r="476" spans="1:7" x14ac:dyDescent="0.25">
      <c r="A476" s="1" t="str">
        <f t="shared" si="7"/>
        <v>03 Testo+ EE2 64</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1149</v>
      </c>
      <c r="D476" s="1" t="s">
        <v>1150</v>
      </c>
      <c r="E476" s="1" t="s">
        <v>1151</v>
      </c>
      <c r="F476" s="1" t="s">
        <v>112</v>
      </c>
      <c r="G476" s="1">
        <v>2203178</v>
      </c>
    </row>
    <row r="477" spans="1:7" x14ac:dyDescent="0.25">
      <c r="A477" s="1" t="str">
        <f t="shared" si="7"/>
        <v>03 Testo+ EE2 64</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1152</v>
      </c>
      <c r="D477" s="1" t="s">
        <v>1153</v>
      </c>
      <c r="E477" s="1" t="s">
        <v>1154</v>
      </c>
      <c r="F477" s="1" t="s">
        <v>112</v>
      </c>
      <c r="G477" s="1">
        <v>2156976</v>
      </c>
    </row>
    <row r="478" spans="1:7" x14ac:dyDescent="0.25">
      <c r="A478" s="1" t="str">
        <f t="shared" si="7"/>
        <v>03 Testo+ EE2 64</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1155</v>
      </c>
      <c r="D478" s="1" t="s">
        <v>1156</v>
      </c>
      <c r="E478" s="1" t="s">
        <v>1157</v>
      </c>
      <c r="F478" s="1" t="s">
        <v>112</v>
      </c>
      <c r="G478" s="1">
        <v>2287361</v>
      </c>
    </row>
    <row r="479" spans="1:7" x14ac:dyDescent="0.25">
      <c r="A479" s="1" t="str">
        <f t="shared" si="7"/>
        <v>03 Testo+ EE2 64</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1158</v>
      </c>
      <c r="D479" s="1" t="s">
        <v>1159</v>
      </c>
      <c r="E479" s="1" t="s">
        <v>1160</v>
      </c>
      <c r="F479" s="1" t="s">
        <v>112</v>
      </c>
      <c r="G479" s="1">
        <v>3380861</v>
      </c>
    </row>
    <row r="480" spans="1:7" x14ac:dyDescent="0.25">
      <c r="A480" s="1" t="str">
        <f t="shared" si="7"/>
        <v>03 Testo+ EE2 64</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1161</v>
      </c>
      <c r="D480" s="1" t="s">
        <v>1162</v>
      </c>
      <c r="E480" s="1" t="s">
        <v>1163</v>
      </c>
      <c r="F480" s="1" t="s">
        <v>112</v>
      </c>
      <c r="G480" s="1">
        <v>3423688</v>
      </c>
    </row>
    <row r="481" spans="1:10" x14ac:dyDescent="0.25">
      <c r="A481" s="1" t="str">
        <f t="shared" si="7"/>
        <v>03 Testo+ EE2 64</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1164</v>
      </c>
      <c r="D481" s="1" t="s">
        <v>1165</v>
      </c>
      <c r="E481" s="1" t="s">
        <v>1166</v>
      </c>
      <c r="F481" s="1" t="s">
        <v>112</v>
      </c>
      <c r="G481" s="1">
        <v>2717991</v>
      </c>
    </row>
    <row r="482" spans="1:10" x14ac:dyDescent="0.25">
      <c r="A482" s="1" t="str">
        <f t="shared" si="7"/>
        <v>03 Testo+ EE2 64</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1167</v>
      </c>
      <c r="D482" s="1" t="s">
        <v>1168</v>
      </c>
      <c r="E482" s="1" t="s">
        <v>1169</v>
      </c>
      <c r="F482" s="1" t="s">
        <v>112</v>
      </c>
      <c r="G482" s="1">
        <v>4739045</v>
      </c>
    </row>
    <row r="483" spans="1:10" x14ac:dyDescent="0.25">
      <c r="A483" s="1" t="str">
        <f t="shared" si="7"/>
        <v>03 Testo+ EE2 64</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1170</v>
      </c>
      <c r="D483" s="1" t="s">
        <v>1171</v>
      </c>
      <c r="E483" s="1" t="s">
        <v>1172</v>
      </c>
      <c r="F483" s="1" t="s">
        <v>112</v>
      </c>
      <c r="G483" s="1">
        <v>4149890</v>
      </c>
    </row>
    <row r="484" spans="1:10" x14ac:dyDescent="0.25">
      <c r="A484" s="1" t="str">
        <f t="shared" si="7"/>
        <v>03 Testo+ EE2 64</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1173</v>
      </c>
      <c r="D484" s="1" t="s">
        <v>1174</v>
      </c>
      <c r="E484" s="1" t="s">
        <v>1175</v>
      </c>
      <c r="F484" s="1" t="s">
        <v>112</v>
      </c>
      <c r="G484" s="1">
        <v>4481368</v>
      </c>
    </row>
    <row r="485" spans="1:10" x14ac:dyDescent="0.25">
      <c r="A485" s="1" t="str">
        <f t="shared" si="7"/>
        <v>03 Testo+ EE2 64</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1176</v>
      </c>
      <c r="D485" s="1" t="s">
        <v>1177</v>
      </c>
      <c r="E485" s="1" t="s">
        <v>1178</v>
      </c>
      <c r="F485" s="1" t="s">
        <v>112</v>
      </c>
      <c r="G485" s="1">
        <v>5721323</v>
      </c>
    </row>
    <row r="486" spans="1:10" x14ac:dyDescent="0.25">
      <c r="A486" s="1" t="str">
        <f t="shared" si="7"/>
        <v>03 Testo+ EE2 64</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1179</v>
      </c>
      <c r="D486" s="1" t="s">
        <v>1180</v>
      </c>
      <c r="E486" s="1" t="s">
        <v>1181</v>
      </c>
      <c r="F486" s="1" t="s">
        <v>112</v>
      </c>
      <c r="G486" s="1">
        <v>5642396</v>
      </c>
    </row>
    <row r="487" spans="1:10" x14ac:dyDescent="0.25">
      <c r="A487" s="1" t="str">
        <f t="shared" si="7"/>
        <v>03 Testo+ EE2 64</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1182</v>
      </c>
      <c r="D487" s="1" t="s">
        <v>1183</v>
      </c>
      <c r="E487" s="1" t="s">
        <v>1184</v>
      </c>
      <c r="F487" s="1" t="s">
        <v>112</v>
      </c>
      <c r="G487" s="1">
        <v>5904356</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223</v>
      </c>
      <c r="D489" s="1" t="s">
        <v>112</v>
      </c>
      <c r="E489" s="1" t="s">
        <v>224</v>
      </c>
      <c r="F489" s="1" t="s">
        <v>225</v>
      </c>
      <c r="G489" s="1" t="s">
        <v>226</v>
      </c>
      <c r="H489" s="1" t="s">
        <v>227</v>
      </c>
      <c r="I489" s="1" t="s">
        <v>228</v>
      </c>
      <c r="J489" s="1" t="s">
        <v>229</v>
      </c>
    </row>
    <row r="490" spans="1:10" x14ac:dyDescent="0.25">
      <c r="A490" s="1" t="str">
        <f t="shared" si="7"/>
        <v>03 Testo+ EE2 64</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1185</v>
      </c>
      <c r="D490" s="1" t="s">
        <v>112</v>
      </c>
      <c r="E490" s="1" t="s">
        <v>1186</v>
      </c>
      <c r="F490" s="1" t="s">
        <v>1187</v>
      </c>
      <c r="G490" s="1" t="s">
        <v>1188</v>
      </c>
      <c r="H490" s="1" t="s">
        <v>1189</v>
      </c>
      <c r="I490" s="1">
        <v>24</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235</v>
      </c>
      <c r="D496" s="1" t="s">
        <v>110</v>
      </c>
      <c r="E496" s="1" t="s">
        <v>111</v>
      </c>
      <c r="F496" s="1" t="s">
        <v>112</v>
      </c>
      <c r="G496" s="1" t="s">
        <v>113</v>
      </c>
    </row>
    <row r="497" spans="1:7" x14ac:dyDescent="0.25">
      <c r="A497" s="1" t="str">
        <f t="shared" si="7"/>
        <v>04 Testo+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1190</v>
      </c>
      <c r="D497" s="1" t="s">
        <v>1191</v>
      </c>
      <c r="E497" s="1" t="s">
        <v>1192</v>
      </c>
      <c r="F497" s="1" t="s">
        <v>112</v>
      </c>
      <c r="G497" s="1">
        <v>89526</v>
      </c>
    </row>
    <row r="498" spans="1:7" x14ac:dyDescent="0.25">
      <c r="A498" s="1" t="str">
        <f t="shared" si="7"/>
        <v>04 Testo+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1193</v>
      </c>
      <c r="D498" s="1" t="s">
        <v>1194</v>
      </c>
      <c r="E498" s="1" t="s">
        <v>1195</v>
      </c>
      <c r="F498" s="1" t="s">
        <v>112</v>
      </c>
      <c r="G498" s="1">
        <v>235485</v>
      </c>
    </row>
    <row r="499" spans="1:7" x14ac:dyDescent="0.25">
      <c r="A499" s="1" t="str">
        <f t="shared" si="7"/>
        <v>04 Testo+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1196</v>
      </c>
      <c r="D499" s="1" t="s">
        <v>1197</v>
      </c>
      <c r="E499" s="1" t="s">
        <v>1198</v>
      </c>
      <c r="F499" s="1" t="s">
        <v>112</v>
      </c>
      <c r="G499" s="1">
        <v>373916</v>
      </c>
    </row>
    <row r="500" spans="1:7" x14ac:dyDescent="0.25">
      <c r="A500" s="1" t="str">
        <f t="shared" si="7"/>
        <v>04 Testo+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1199</v>
      </c>
      <c r="D500" s="1" t="s">
        <v>1200</v>
      </c>
      <c r="E500" s="1" t="s">
        <v>1201</v>
      </c>
      <c r="F500" s="1" t="s">
        <v>112</v>
      </c>
      <c r="G500" s="1">
        <v>576350</v>
      </c>
    </row>
    <row r="501" spans="1:7" x14ac:dyDescent="0.25">
      <c r="A501" s="1" t="str">
        <f t="shared" si="7"/>
        <v>04 Testo+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1202</v>
      </c>
      <c r="D501" s="1" t="s">
        <v>1203</v>
      </c>
      <c r="E501" s="1" t="s">
        <v>1204</v>
      </c>
      <c r="F501" s="1" t="s">
        <v>112</v>
      </c>
      <c r="G501" s="1">
        <v>177798</v>
      </c>
    </row>
    <row r="502" spans="1:7" x14ac:dyDescent="0.25">
      <c r="A502" s="1" t="str">
        <f t="shared" si="7"/>
        <v>04 Testo+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1205</v>
      </c>
      <c r="D502" s="1" t="s">
        <v>892</v>
      </c>
      <c r="E502" s="1" t="s">
        <v>1206</v>
      </c>
      <c r="F502" s="1" t="s">
        <v>112</v>
      </c>
      <c r="G502" s="1">
        <v>121387</v>
      </c>
    </row>
    <row r="503" spans="1:7" x14ac:dyDescent="0.25">
      <c r="A503" s="1" t="str">
        <f t="shared" si="7"/>
        <v>04 Testo+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1207</v>
      </c>
      <c r="D503" s="1" t="s">
        <v>471</v>
      </c>
      <c r="E503" s="1" t="s">
        <v>1208</v>
      </c>
      <c r="F503" s="1" t="s">
        <v>112</v>
      </c>
      <c r="G503" s="1">
        <v>87882</v>
      </c>
    </row>
    <row r="504" spans="1:7" x14ac:dyDescent="0.25">
      <c r="A504" s="1" t="str">
        <f t="shared" si="7"/>
        <v>04 Testo+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1209</v>
      </c>
      <c r="D504" s="1" t="s">
        <v>1210</v>
      </c>
      <c r="E504" s="1" t="s">
        <v>1211</v>
      </c>
      <c r="F504" s="1" t="s">
        <v>112</v>
      </c>
      <c r="G504" s="1">
        <v>452281</v>
      </c>
    </row>
    <row r="505" spans="1:7" x14ac:dyDescent="0.25">
      <c r="A505" s="1" t="str">
        <f t="shared" si="7"/>
        <v>04 Testo+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1212</v>
      </c>
      <c r="D505" s="1" t="s">
        <v>1213</v>
      </c>
      <c r="E505" s="1" t="s">
        <v>1214</v>
      </c>
      <c r="F505" s="1" t="s">
        <v>112</v>
      </c>
      <c r="G505" s="1">
        <v>529370</v>
      </c>
    </row>
    <row r="506" spans="1:7" x14ac:dyDescent="0.25">
      <c r="A506" s="1" t="str">
        <f t="shared" si="7"/>
        <v>04 Testo+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1215</v>
      </c>
      <c r="D506" s="1" t="s">
        <v>1216</v>
      </c>
      <c r="E506" s="1" t="s">
        <v>1217</v>
      </c>
      <c r="F506" s="1" t="s">
        <v>112</v>
      </c>
      <c r="G506" s="1">
        <v>348782</v>
      </c>
    </row>
    <row r="507" spans="1:7" x14ac:dyDescent="0.25">
      <c r="A507" s="1" t="str">
        <f t="shared" si="7"/>
        <v>04 Testo+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1218</v>
      </c>
      <c r="D507" s="1" t="s">
        <v>844</v>
      </c>
      <c r="E507" s="1" t="s">
        <v>1219</v>
      </c>
      <c r="F507" s="1" t="s">
        <v>112</v>
      </c>
      <c r="G507" s="1">
        <v>106030</v>
      </c>
    </row>
    <row r="508" spans="1:7" x14ac:dyDescent="0.25">
      <c r="A508" s="1" t="str">
        <f t="shared" si="7"/>
        <v>04 Testo+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1220</v>
      </c>
    </row>
    <row r="509" spans="1:7" x14ac:dyDescent="0.25">
      <c r="A509" s="1" t="str">
        <f t="shared" si="7"/>
        <v>04 Testo+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1221</v>
      </c>
      <c r="D509" s="1" t="s">
        <v>749</v>
      </c>
      <c r="E509" s="1" t="s">
        <v>1222</v>
      </c>
      <c r="F509" s="1" t="s">
        <v>112</v>
      </c>
      <c r="G509" s="1">
        <v>110702</v>
      </c>
    </row>
    <row r="510" spans="1:7" x14ac:dyDescent="0.25">
      <c r="A510" s="1" t="str">
        <f t="shared" si="7"/>
        <v>04 Testo+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1223</v>
      </c>
      <c r="D510" s="1" t="s">
        <v>781</v>
      </c>
      <c r="E510" s="1" t="s">
        <v>1224</v>
      </c>
      <c r="F510" s="1" t="s">
        <v>112</v>
      </c>
      <c r="G510" s="1">
        <v>206068</v>
      </c>
    </row>
    <row r="511" spans="1:7" x14ac:dyDescent="0.25">
      <c r="A511" s="1" t="str">
        <f t="shared" si="7"/>
        <v>04 Testo+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1225</v>
      </c>
      <c r="D511" s="1" t="s">
        <v>702</v>
      </c>
      <c r="E511" s="1">
        <v>63</v>
      </c>
      <c r="F511" s="1" t="s">
        <v>112</v>
      </c>
      <c r="G511" s="1">
        <v>9539</v>
      </c>
    </row>
    <row r="512" spans="1:7" x14ac:dyDescent="0.25">
      <c r="A512" s="1" t="str">
        <f t="shared" si="7"/>
        <v>04 Testo+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1226</v>
      </c>
      <c r="D512" s="1" t="s">
        <v>784</v>
      </c>
      <c r="E512" s="1" t="s">
        <v>1227</v>
      </c>
      <c r="F512" s="1" t="s">
        <v>112</v>
      </c>
      <c r="G512" s="1">
        <v>390787</v>
      </c>
    </row>
    <row r="513" spans="1:10" x14ac:dyDescent="0.25">
      <c r="A513" s="1" t="str">
        <f t="shared" si="7"/>
        <v>04 Testo+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1228</v>
      </c>
      <c r="D513" s="1" t="s">
        <v>1229</v>
      </c>
      <c r="E513" s="1" t="s">
        <v>1230</v>
      </c>
      <c r="F513" s="1" t="s">
        <v>112</v>
      </c>
      <c r="G513" s="1">
        <v>157357</v>
      </c>
    </row>
    <row r="514" spans="1:10" x14ac:dyDescent="0.25">
      <c r="A514" s="1" t="str">
        <f t="shared" ref="A514:A577" si="8">IFERROR(LEFT(RIGHT(C514,LEN(C514)-SEARCH("@",C514)),SEARCH("/",RIGHT(C514,LEN(C514)-SEARCH("@",C514)-1))),"")</f>
        <v>04 Testo+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1231</v>
      </c>
      <c r="D514" s="1" t="s">
        <v>1232</v>
      </c>
      <c r="E514" s="1" t="s">
        <v>1233</v>
      </c>
      <c r="F514" s="1" t="s">
        <v>112</v>
      </c>
      <c r="G514" s="1">
        <v>303359</v>
      </c>
    </row>
    <row r="515" spans="1:10" x14ac:dyDescent="0.25">
      <c r="A515" s="1" t="str">
        <f t="shared" si="8"/>
        <v>04 Testo+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1234</v>
      </c>
      <c r="D515" s="1" t="s">
        <v>1235</v>
      </c>
      <c r="E515" s="1" t="s">
        <v>1236</v>
      </c>
      <c r="F515" s="1" t="s">
        <v>112</v>
      </c>
      <c r="G515" s="1">
        <v>56346</v>
      </c>
    </row>
    <row r="516" spans="1:10" x14ac:dyDescent="0.25">
      <c r="A516" s="1" t="str">
        <f t="shared" si="8"/>
        <v>04 Testo+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1237</v>
      </c>
      <c r="D516" s="1" t="s">
        <v>895</v>
      </c>
      <c r="E516" s="1" t="s">
        <v>1238</v>
      </c>
      <c r="F516" s="1" t="s">
        <v>112</v>
      </c>
      <c r="G516" s="1">
        <v>25567</v>
      </c>
    </row>
    <row r="517" spans="1:10" x14ac:dyDescent="0.25">
      <c r="A517" s="1" t="str">
        <f t="shared" si="8"/>
        <v>04 Testo+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1239</v>
      </c>
      <c r="D517" s="1" t="s">
        <v>1240</v>
      </c>
      <c r="E517" s="1" t="s">
        <v>1241</v>
      </c>
      <c r="F517" s="1" t="s">
        <v>112</v>
      </c>
      <c r="G517" s="1">
        <v>187704</v>
      </c>
    </row>
    <row r="518" spans="1:10" x14ac:dyDescent="0.25">
      <c r="A518" s="1" t="str">
        <f t="shared" si="8"/>
        <v>04 Testo+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1242</v>
      </c>
    </row>
    <row r="519" spans="1:10" x14ac:dyDescent="0.25">
      <c r="A519" s="1" t="str">
        <f t="shared" si="8"/>
        <v>04 Testo+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1243</v>
      </c>
      <c r="D519" s="1" t="s">
        <v>1244</v>
      </c>
      <c r="E519" s="1" t="s">
        <v>1245</v>
      </c>
      <c r="F519" s="1" t="s">
        <v>112</v>
      </c>
      <c r="G519" s="1">
        <v>511114</v>
      </c>
    </row>
    <row r="520" spans="1:10" x14ac:dyDescent="0.25">
      <c r="A520" s="1" t="str">
        <f t="shared" si="8"/>
        <v>04 Testo+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1246</v>
      </c>
      <c r="D520" s="1" t="s">
        <v>1247</v>
      </c>
      <c r="E520" s="1" t="s">
        <v>1248</v>
      </c>
      <c r="F520" s="1" t="s">
        <v>112</v>
      </c>
      <c r="G520" s="1">
        <v>400261</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223</v>
      </c>
      <c r="D522" s="1" t="s">
        <v>112</v>
      </c>
      <c r="E522" s="1" t="s">
        <v>224</v>
      </c>
      <c r="F522" s="1" t="s">
        <v>225</v>
      </c>
      <c r="G522" s="1" t="s">
        <v>226</v>
      </c>
      <c r="H522" s="1" t="s">
        <v>227</v>
      </c>
      <c r="I522" s="1" t="s">
        <v>228</v>
      </c>
      <c r="J522" s="1" t="s">
        <v>229</v>
      </c>
    </row>
    <row r="523" spans="1:10" x14ac:dyDescent="0.25">
      <c r="A523" s="1" t="str">
        <f t="shared" si="8"/>
        <v>04 Testo+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1249</v>
      </c>
      <c r="D523" s="1" t="s">
        <v>112</v>
      </c>
      <c r="E523" s="1" t="s">
        <v>1250</v>
      </c>
      <c r="F523" s="1" t="s">
        <v>1251</v>
      </c>
      <c r="G523" s="1">
        <v>263380</v>
      </c>
      <c r="H523" s="1" t="s">
        <v>1252</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235</v>
      </c>
      <c r="D529" s="1" t="s">
        <v>110</v>
      </c>
      <c r="E529" s="1" t="s">
        <v>111</v>
      </c>
      <c r="F529" s="1" t="s">
        <v>112</v>
      </c>
      <c r="G529" s="1" t="s">
        <v>113</v>
      </c>
    </row>
    <row r="530" spans="1:7" x14ac:dyDescent="0.25">
      <c r="A530" s="1" t="str">
        <f t="shared" si="8"/>
        <v>05 Amantadine 0.001 mg_L dopé</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1253</v>
      </c>
      <c r="D530" s="1" t="s">
        <v>1254</v>
      </c>
      <c r="E530" s="1" t="s">
        <v>1255</v>
      </c>
      <c r="F530" s="1" t="s">
        <v>112</v>
      </c>
      <c r="G530" s="1">
        <v>506140</v>
      </c>
    </row>
    <row r="531" spans="1:7" x14ac:dyDescent="0.25">
      <c r="A531" s="1" t="str">
        <f t="shared" si="8"/>
        <v>05 Amantadine 0.001 mg_L dopé</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1256</v>
      </c>
      <c r="D531" s="1" t="s">
        <v>1257</v>
      </c>
      <c r="E531" s="1" t="s">
        <v>1258</v>
      </c>
      <c r="F531" s="1" t="s">
        <v>112</v>
      </c>
      <c r="G531" s="1">
        <v>1324442</v>
      </c>
    </row>
    <row r="532" spans="1:7" x14ac:dyDescent="0.25">
      <c r="A532" s="1" t="str">
        <f t="shared" si="8"/>
        <v>05 Amantadine 0.001 mg_L dopé</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1259</v>
      </c>
      <c r="D532" s="1" t="s">
        <v>1260</v>
      </c>
      <c r="E532" s="1" t="s">
        <v>1261</v>
      </c>
      <c r="F532" s="1" t="s">
        <v>112</v>
      </c>
      <c r="G532" s="1">
        <v>1065143</v>
      </c>
    </row>
    <row r="533" spans="1:7" x14ac:dyDescent="0.25">
      <c r="A533" s="1" t="str">
        <f t="shared" si="8"/>
        <v>05 Amantadine 0.001 mg_L dopé</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1262</v>
      </c>
      <c r="D533" s="1" t="s">
        <v>1263</v>
      </c>
      <c r="E533" s="1" t="s">
        <v>1264</v>
      </c>
      <c r="F533" s="1" t="s">
        <v>112</v>
      </c>
      <c r="G533" s="1">
        <v>2543719</v>
      </c>
    </row>
    <row r="534" spans="1:7" x14ac:dyDescent="0.25">
      <c r="A534" s="1" t="str">
        <f t="shared" si="8"/>
        <v>05 Amantadine 0.001 mg_L dopé</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1265</v>
      </c>
      <c r="D534" s="1" t="s">
        <v>1266</v>
      </c>
      <c r="E534" s="1" t="s">
        <v>1267</v>
      </c>
      <c r="F534" s="1" t="s">
        <v>112</v>
      </c>
      <c r="G534" s="1">
        <v>2819305</v>
      </c>
    </row>
    <row r="535" spans="1:7" x14ac:dyDescent="0.25">
      <c r="A535" s="1" t="str">
        <f t="shared" si="8"/>
        <v>05 Amantadine 0.001 mg_L dopé</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1268</v>
      </c>
      <c r="D535" s="1" t="s">
        <v>1269</v>
      </c>
      <c r="E535" s="1" t="s">
        <v>1270</v>
      </c>
      <c r="F535" s="1" t="s">
        <v>112</v>
      </c>
      <c r="G535" s="1">
        <v>2227858</v>
      </c>
    </row>
    <row r="536" spans="1:7" x14ac:dyDescent="0.25">
      <c r="A536" s="1" t="str">
        <f t="shared" si="8"/>
        <v>05 Amantadine 0.001 mg_L dopé</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1271</v>
      </c>
      <c r="D536" s="1" t="s">
        <v>1272</v>
      </c>
      <c r="E536" s="1" t="s">
        <v>1273</v>
      </c>
      <c r="F536" s="1" t="s">
        <v>112</v>
      </c>
      <c r="G536" s="1">
        <v>3588421</v>
      </c>
    </row>
    <row r="537" spans="1:7" x14ac:dyDescent="0.25">
      <c r="A537" s="1" t="str">
        <f t="shared" si="8"/>
        <v>05 Amantadine 0.001 mg_L dopé</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1274</v>
      </c>
      <c r="D537" s="1" t="s">
        <v>1275</v>
      </c>
      <c r="E537" s="1" t="s">
        <v>1276</v>
      </c>
      <c r="F537" s="1" t="s">
        <v>112</v>
      </c>
      <c r="G537" s="1">
        <v>3478974</v>
      </c>
    </row>
    <row r="538" spans="1:7" x14ac:dyDescent="0.25">
      <c r="A538" s="1" t="str">
        <f t="shared" si="8"/>
        <v>05 Amantadine 0.001 mg_L dopé</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1277</v>
      </c>
    </row>
    <row r="539" spans="1:7" x14ac:dyDescent="0.25">
      <c r="A539" s="1" t="str">
        <f t="shared" si="8"/>
        <v>05 Amantadine 0.001 mg_L dopé</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1278</v>
      </c>
      <c r="D539" s="1" t="s">
        <v>1279</v>
      </c>
      <c r="E539" s="1" t="s">
        <v>1280</v>
      </c>
      <c r="F539" s="1" t="s">
        <v>112</v>
      </c>
      <c r="G539" s="1">
        <v>3866019</v>
      </c>
    </row>
    <row r="540" spans="1:7" x14ac:dyDescent="0.25">
      <c r="A540" s="1" t="str">
        <f t="shared" si="8"/>
        <v>05 Amantadine 0.001 mg_L dopé</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1281</v>
      </c>
      <c r="D540" s="1" t="s">
        <v>1282</v>
      </c>
      <c r="E540" s="1" t="s">
        <v>1283</v>
      </c>
      <c r="F540" s="1" t="s">
        <v>112</v>
      </c>
      <c r="G540" s="1">
        <v>3825139</v>
      </c>
    </row>
    <row r="541" spans="1:7" x14ac:dyDescent="0.25">
      <c r="A541" s="1" t="str">
        <f t="shared" si="8"/>
        <v>05 Amantadine 0.001 mg_L dopé</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1284</v>
      </c>
      <c r="D541" s="1" t="s">
        <v>1285</v>
      </c>
      <c r="E541" s="1" t="s">
        <v>1286</v>
      </c>
      <c r="F541" s="1" t="s">
        <v>112</v>
      </c>
      <c r="G541" s="1">
        <v>3473761</v>
      </c>
    </row>
    <row r="542" spans="1:7" x14ac:dyDescent="0.25">
      <c r="A542" s="1" t="str">
        <f t="shared" si="8"/>
        <v>05 Amantadine 0.001 mg_L dopé</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1287</v>
      </c>
      <c r="D542" s="1" t="s">
        <v>1288</v>
      </c>
      <c r="E542" s="1" t="s">
        <v>1289</v>
      </c>
      <c r="F542" s="1" t="s">
        <v>112</v>
      </c>
      <c r="G542" s="1">
        <v>379670</v>
      </c>
    </row>
    <row r="543" spans="1:7" x14ac:dyDescent="0.25">
      <c r="A543" s="1" t="str">
        <f t="shared" si="8"/>
        <v>05 Amantadine 0.001 mg_L dopé</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1290</v>
      </c>
      <c r="D543" s="1" t="s">
        <v>892</v>
      </c>
      <c r="E543" s="1" t="s">
        <v>1291</v>
      </c>
      <c r="F543" s="1" t="s">
        <v>112</v>
      </c>
      <c r="G543" s="1">
        <v>116780</v>
      </c>
    </row>
    <row r="544" spans="1:7" x14ac:dyDescent="0.25">
      <c r="A544" s="1" t="str">
        <f t="shared" si="8"/>
        <v>05 Amantadine 0.001 mg_L dopé</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1292</v>
      </c>
      <c r="D544" s="1" t="s">
        <v>757</v>
      </c>
      <c r="E544" s="1" t="s">
        <v>1293</v>
      </c>
      <c r="F544" s="1" t="s">
        <v>112</v>
      </c>
      <c r="G544" s="1">
        <v>286077</v>
      </c>
    </row>
    <row r="545" spans="1:10" x14ac:dyDescent="0.25">
      <c r="A545" s="1" t="str">
        <f t="shared" si="8"/>
        <v>05 Amantadine 0.001 mg_L dopé</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1294</v>
      </c>
      <c r="D545" s="1" t="s">
        <v>1295</v>
      </c>
      <c r="E545" s="1" t="s">
        <v>1296</v>
      </c>
      <c r="F545" s="1" t="s">
        <v>112</v>
      </c>
      <c r="G545" s="1">
        <v>3799551</v>
      </c>
    </row>
    <row r="546" spans="1:10" x14ac:dyDescent="0.25">
      <c r="A546" s="1" t="str">
        <f t="shared" si="8"/>
        <v>05 Amantadine 0.001 mg_L dopé</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1297</v>
      </c>
      <c r="D546" s="1" t="s">
        <v>1298</v>
      </c>
      <c r="E546" s="1" t="s">
        <v>1299</v>
      </c>
      <c r="F546" s="1" t="s">
        <v>112</v>
      </c>
      <c r="G546" s="1">
        <v>3786897</v>
      </c>
    </row>
    <row r="547" spans="1:10" x14ac:dyDescent="0.25">
      <c r="A547" s="1" t="str">
        <f t="shared" si="8"/>
        <v>05 Amantadine 0.001 mg_L dopé</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1300</v>
      </c>
      <c r="D547" s="1" t="s">
        <v>1301</v>
      </c>
      <c r="E547" s="1" t="s">
        <v>1302</v>
      </c>
      <c r="F547" s="1" t="s">
        <v>112</v>
      </c>
      <c r="G547" s="1">
        <v>3559221</v>
      </c>
    </row>
    <row r="548" spans="1:10" x14ac:dyDescent="0.25">
      <c r="A548" s="1" t="str">
        <f t="shared" si="8"/>
        <v>05 Amantadine 0.001 mg_L dopé</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1303</v>
      </c>
      <c r="D548" s="1" t="s">
        <v>1304</v>
      </c>
      <c r="E548" s="1" t="s">
        <v>1305</v>
      </c>
      <c r="F548" s="1" t="s">
        <v>112</v>
      </c>
      <c r="G548" s="1">
        <v>2251153</v>
      </c>
    </row>
    <row r="549" spans="1:10" x14ac:dyDescent="0.25">
      <c r="A549" s="1" t="str">
        <f t="shared" si="8"/>
        <v>05 Amantadine 0.001 mg_L dopé</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1306</v>
      </c>
      <c r="D549" s="1" t="s">
        <v>1307</v>
      </c>
      <c r="E549" s="1" t="s">
        <v>1308</v>
      </c>
      <c r="F549" s="1" t="s">
        <v>112</v>
      </c>
      <c r="G549" s="1">
        <v>2144020</v>
      </c>
    </row>
    <row r="550" spans="1:10" x14ac:dyDescent="0.25">
      <c r="A550" s="1" t="str">
        <f t="shared" si="8"/>
        <v>05 Amantadine 0.001 mg_L dopé</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1309</v>
      </c>
      <c r="D550" s="1" t="s">
        <v>1310</v>
      </c>
      <c r="E550" s="1" t="s">
        <v>1311</v>
      </c>
      <c r="F550" s="1" t="s">
        <v>112</v>
      </c>
      <c r="G550" s="1">
        <v>1814424</v>
      </c>
    </row>
    <row r="551" spans="1:10" x14ac:dyDescent="0.25">
      <c r="A551" s="1" t="str">
        <f t="shared" si="8"/>
        <v>05 Amantadine 0.001 mg_L dopé</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1312</v>
      </c>
      <c r="D551" s="1" t="s">
        <v>1313</v>
      </c>
      <c r="E551" s="1" t="s">
        <v>1314</v>
      </c>
      <c r="F551" s="1" t="s">
        <v>112</v>
      </c>
      <c r="G551" s="1">
        <v>328969</v>
      </c>
    </row>
    <row r="552" spans="1:10" x14ac:dyDescent="0.25">
      <c r="A552" s="1" t="str">
        <f t="shared" si="8"/>
        <v>05 Amantadine 0.001 mg_L dopé</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1315</v>
      </c>
      <c r="D552" s="1" t="s">
        <v>1316</v>
      </c>
      <c r="E552" s="1" t="s">
        <v>1317</v>
      </c>
      <c r="F552" s="1" t="s">
        <v>112</v>
      </c>
      <c r="G552" s="1">
        <v>375971</v>
      </c>
    </row>
    <row r="553" spans="1:10" x14ac:dyDescent="0.25">
      <c r="A553" s="1" t="str">
        <f t="shared" si="8"/>
        <v>05 Amantadine 0.001 mg_L dopé</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1318</v>
      </c>
      <c r="D553" s="1" t="s">
        <v>1319</v>
      </c>
      <c r="E553" s="1" t="s">
        <v>1320</v>
      </c>
      <c r="F553" s="1" t="s">
        <v>112</v>
      </c>
      <c r="G553" s="1">
        <v>101293</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223</v>
      </c>
      <c r="D555" s="1" t="s">
        <v>112</v>
      </c>
      <c r="E555" s="1" t="s">
        <v>224</v>
      </c>
      <c r="F555" s="1" t="s">
        <v>225</v>
      </c>
      <c r="G555" s="1" t="s">
        <v>226</v>
      </c>
      <c r="H555" s="1" t="s">
        <v>227</v>
      </c>
      <c r="I555" s="1" t="s">
        <v>228</v>
      </c>
      <c r="J555" s="1" t="s">
        <v>229</v>
      </c>
    </row>
    <row r="556" spans="1:10" x14ac:dyDescent="0.25">
      <c r="A556" s="1" t="str">
        <f t="shared" si="8"/>
        <v>05 Amantadine 0.001 mg_L dopé</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1321</v>
      </c>
      <c r="D556" s="1" t="s">
        <v>112</v>
      </c>
      <c r="E556" s="1" t="s">
        <v>1322</v>
      </c>
      <c r="F556" s="1" t="s">
        <v>1323</v>
      </c>
      <c r="G556" s="1" t="s">
        <v>1324</v>
      </c>
      <c r="H556" s="1" t="s">
        <v>1325</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235</v>
      </c>
      <c r="D562" s="1" t="s">
        <v>110</v>
      </c>
      <c r="E562" s="1" t="s">
        <v>111</v>
      </c>
      <c r="F562" s="1" t="s">
        <v>112</v>
      </c>
      <c r="G562" s="1" t="s">
        <v>113</v>
      </c>
    </row>
    <row r="563" spans="1:7" x14ac:dyDescent="0.25">
      <c r="A563" s="1" t="str">
        <f t="shared" si="8"/>
        <v>06  Amantadine 0.01 mg_LLdopé</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1326</v>
      </c>
      <c r="D563" s="1" t="s">
        <v>1327</v>
      </c>
      <c r="E563" s="1" t="s">
        <v>1328</v>
      </c>
      <c r="F563" s="1" t="s">
        <v>112</v>
      </c>
      <c r="G563" s="1">
        <v>3943454</v>
      </c>
    </row>
    <row r="564" spans="1:7" x14ac:dyDescent="0.25">
      <c r="A564" s="1" t="str">
        <f t="shared" si="8"/>
        <v>06  Amantadine 0.01 mg_LLdopé</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1329</v>
      </c>
      <c r="D564" s="1" t="s">
        <v>1330</v>
      </c>
      <c r="E564" s="1" t="s">
        <v>1331</v>
      </c>
      <c r="F564" s="1" t="s">
        <v>112</v>
      </c>
      <c r="G564" s="1">
        <v>3750061</v>
      </c>
    </row>
    <row r="565" spans="1:7" x14ac:dyDescent="0.25">
      <c r="A565" s="1" t="str">
        <f t="shared" si="8"/>
        <v>06  Amantadine 0.01 mg_LLdopé</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1332</v>
      </c>
      <c r="D565" s="1" t="s">
        <v>1333</v>
      </c>
      <c r="E565" s="1" t="s">
        <v>1334</v>
      </c>
      <c r="F565" s="1" t="s">
        <v>112</v>
      </c>
      <c r="G565" s="1">
        <v>3728323</v>
      </c>
    </row>
    <row r="566" spans="1:7" x14ac:dyDescent="0.25">
      <c r="A566" s="1" t="str">
        <f t="shared" si="8"/>
        <v>06  Amantadine 0.01 mg_LLdopé</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1335</v>
      </c>
      <c r="D566" s="1" t="s">
        <v>279</v>
      </c>
      <c r="E566" s="1" t="s">
        <v>1336</v>
      </c>
      <c r="F566" s="1" t="s">
        <v>112</v>
      </c>
      <c r="G566" s="1">
        <v>455309</v>
      </c>
    </row>
    <row r="567" spans="1:7" x14ac:dyDescent="0.25">
      <c r="A567" s="1" t="str">
        <f t="shared" si="8"/>
        <v>06  Amantadine 0.01 mg_LLdopé</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1337</v>
      </c>
      <c r="D567" s="1" t="s">
        <v>830</v>
      </c>
      <c r="E567" s="1" t="s">
        <v>1338</v>
      </c>
      <c r="F567" s="1" t="s">
        <v>112</v>
      </c>
      <c r="G567" s="1">
        <v>440687</v>
      </c>
    </row>
    <row r="568" spans="1:7" x14ac:dyDescent="0.25">
      <c r="A568" s="1" t="str">
        <f t="shared" si="8"/>
        <v>06  Amantadine 0.01 mg_LLdopé</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1339</v>
      </c>
      <c r="D568" s="1" t="s">
        <v>963</v>
      </c>
      <c r="E568" s="1" t="s">
        <v>1340</v>
      </c>
      <c r="F568" s="1" t="s">
        <v>112</v>
      </c>
      <c r="G568" s="1">
        <v>282724</v>
      </c>
    </row>
    <row r="569" spans="1:7" x14ac:dyDescent="0.25">
      <c r="A569" s="1" t="str">
        <f t="shared" si="8"/>
        <v>06  Amantadine 0.01 mg_LLdopé</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1341</v>
      </c>
      <c r="D569" s="1" t="s">
        <v>1203</v>
      </c>
      <c r="E569" s="1" t="s">
        <v>1342</v>
      </c>
      <c r="F569" s="1" t="s">
        <v>112</v>
      </c>
      <c r="G569" s="1">
        <v>166399</v>
      </c>
    </row>
    <row r="570" spans="1:7" x14ac:dyDescent="0.25">
      <c r="A570" s="1" t="str">
        <f t="shared" si="8"/>
        <v>06  Amantadine 0.01 mg_LLdopé</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1343</v>
      </c>
      <c r="D570" s="1" t="s">
        <v>1344</v>
      </c>
      <c r="E570" s="1" t="s">
        <v>1345</v>
      </c>
      <c r="F570" s="1" t="s">
        <v>112</v>
      </c>
      <c r="G570" s="1">
        <v>198692</v>
      </c>
    </row>
    <row r="571" spans="1:7" x14ac:dyDescent="0.25">
      <c r="A571" s="1" t="str">
        <f t="shared" si="8"/>
        <v>06  Amantadine 0.01 mg_LLdopé</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1346</v>
      </c>
      <c r="D571" s="1" t="s">
        <v>1347</v>
      </c>
      <c r="E571" s="1" t="s">
        <v>1348</v>
      </c>
      <c r="F571" s="1" t="s">
        <v>112</v>
      </c>
      <c r="G571" s="1">
        <v>252529</v>
      </c>
    </row>
    <row r="572" spans="1:7" x14ac:dyDescent="0.25">
      <c r="A572" s="1" t="str">
        <f t="shared" si="8"/>
        <v>06  Amantadine 0.01 mg_LLdopé</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1349</v>
      </c>
    </row>
    <row r="573" spans="1:7" x14ac:dyDescent="0.25">
      <c r="A573" s="1" t="str">
        <f t="shared" si="8"/>
        <v>06  Amantadine 0.01 mg_LLdopé</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1350</v>
      </c>
    </row>
    <row r="574" spans="1:7" x14ac:dyDescent="0.25">
      <c r="A574" s="1" t="str">
        <f t="shared" si="8"/>
        <v>06  Amantadine 0.01 mg_LLdopé</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1351</v>
      </c>
    </row>
    <row r="575" spans="1:7" x14ac:dyDescent="0.25">
      <c r="A575" s="1" t="str">
        <f t="shared" si="8"/>
        <v>06  Amantadine 0.01 mg_LLdopé</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1352</v>
      </c>
      <c r="D575" s="1" t="s">
        <v>1353</v>
      </c>
      <c r="E575" s="1" t="s">
        <v>1354</v>
      </c>
      <c r="F575" s="1" t="s">
        <v>112</v>
      </c>
      <c r="G575" s="1">
        <v>3712490</v>
      </c>
    </row>
    <row r="576" spans="1:7" x14ac:dyDescent="0.25">
      <c r="A576" s="1" t="str">
        <f t="shared" si="8"/>
        <v>06  Amantadine 0.01 mg_LLdopé</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1355</v>
      </c>
      <c r="D576" s="1" t="s">
        <v>1356</v>
      </c>
      <c r="E576" s="1" t="s">
        <v>1357</v>
      </c>
      <c r="F576" s="1" t="s">
        <v>112</v>
      </c>
      <c r="G576" s="1">
        <v>3489248</v>
      </c>
    </row>
    <row r="577" spans="1:10" x14ac:dyDescent="0.25">
      <c r="A577" s="1" t="str">
        <f t="shared" si="8"/>
        <v>06  Amantadine 0.01 mg_LLdopé</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1358</v>
      </c>
      <c r="D577" s="1" t="s">
        <v>1359</v>
      </c>
      <c r="E577" s="1" t="s">
        <v>1360</v>
      </c>
      <c r="F577" s="1" t="s">
        <v>112</v>
      </c>
      <c r="G577" s="1">
        <v>3573691</v>
      </c>
    </row>
    <row r="578" spans="1:10" x14ac:dyDescent="0.25">
      <c r="A578" s="1" t="str">
        <f t="shared" ref="A578:A641" si="9">IFERROR(LEFT(RIGHT(C578,LEN(C578)-SEARCH("@",C578)),SEARCH("/",RIGHT(C578,LEN(C578)-SEARCH("@",C578)-1))),"")</f>
        <v>06  Amantadine 0.01 mg_LLdopé</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1361</v>
      </c>
      <c r="D578" s="1" t="s">
        <v>1362</v>
      </c>
      <c r="E578" s="1" t="s">
        <v>1363</v>
      </c>
      <c r="F578" s="1" t="s">
        <v>112</v>
      </c>
      <c r="G578" s="1">
        <v>3228348</v>
      </c>
    </row>
    <row r="579" spans="1:10" x14ac:dyDescent="0.25">
      <c r="A579" s="1" t="str">
        <f t="shared" si="9"/>
        <v>06  Amantadine 0.01 mg_LLdopé</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1364</v>
      </c>
    </row>
    <row r="580" spans="1:10" x14ac:dyDescent="0.25">
      <c r="A580" s="1" t="str">
        <f t="shared" si="9"/>
        <v>06  Amantadine 0.01 mg_LLdopé</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1365</v>
      </c>
      <c r="D580" s="1" t="s">
        <v>1366</v>
      </c>
      <c r="E580" s="1" t="s">
        <v>1367</v>
      </c>
      <c r="F580" s="1" t="s">
        <v>112</v>
      </c>
      <c r="G580" s="1">
        <v>2910475</v>
      </c>
    </row>
    <row r="581" spans="1:10" x14ac:dyDescent="0.25">
      <c r="A581" s="1" t="str">
        <f t="shared" si="9"/>
        <v>06  Amantadine 0.01 mg_LLdopé</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1368</v>
      </c>
      <c r="D581" s="1" t="s">
        <v>1369</v>
      </c>
      <c r="E581" s="1" t="s">
        <v>1370</v>
      </c>
      <c r="F581" s="1" t="s">
        <v>112</v>
      </c>
      <c r="G581" s="1">
        <v>2252083</v>
      </c>
    </row>
    <row r="582" spans="1:10" x14ac:dyDescent="0.25">
      <c r="A582" s="1" t="str">
        <f t="shared" si="9"/>
        <v>06  Amantadine 0.01 mg_LLdopé</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1371</v>
      </c>
      <c r="D582" s="1" t="s">
        <v>1372</v>
      </c>
      <c r="E582" s="1" t="s">
        <v>1373</v>
      </c>
      <c r="F582" s="1" t="s">
        <v>112</v>
      </c>
      <c r="G582" s="1">
        <v>2301507</v>
      </c>
    </row>
    <row r="583" spans="1:10" x14ac:dyDescent="0.25">
      <c r="A583" s="1" t="str">
        <f t="shared" si="9"/>
        <v>06  Amantadine 0.01 mg_LLdopé</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1374</v>
      </c>
      <c r="D583" s="1" t="s">
        <v>1375</v>
      </c>
      <c r="E583" s="1" t="s">
        <v>1376</v>
      </c>
      <c r="F583" s="1" t="s">
        <v>112</v>
      </c>
      <c r="G583" s="1">
        <v>1741033</v>
      </c>
    </row>
    <row r="584" spans="1:10" x14ac:dyDescent="0.25">
      <c r="A584" s="1" t="str">
        <f t="shared" si="9"/>
        <v>06  Amantadine 0.01 mg_LLdopé</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1377</v>
      </c>
      <c r="D584" s="1" t="s">
        <v>1378</v>
      </c>
      <c r="E584" s="1" t="s">
        <v>1379</v>
      </c>
      <c r="F584" s="1" t="s">
        <v>112</v>
      </c>
      <c r="G584" s="1">
        <v>4742376</v>
      </c>
    </row>
    <row r="585" spans="1:10" x14ac:dyDescent="0.25">
      <c r="A585" s="1" t="str">
        <f t="shared" si="9"/>
        <v>06  Amantadine 0.01 mg_LLdopé</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1380</v>
      </c>
      <c r="D585" s="1" t="s">
        <v>1381</v>
      </c>
      <c r="E585" s="1" t="s">
        <v>1382</v>
      </c>
      <c r="F585" s="1" t="s">
        <v>112</v>
      </c>
      <c r="G585" s="1">
        <v>4092290</v>
      </c>
    </row>
    <row r="586" spans="1:10" x14ac:dyDescent="0.25">
      <c r="A586" s="1" t="str">
        <f t="shared" si="9"/>
        <v>06  Amantadine 0.01 mg_LLdopé</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1383</v>
      </c>
      <c r="D586" s="1" t="s">
        <v>1384</v>
      </c>
      <c r="E586" s="1" t="s">
        <v>1385</v>
      </c>
      <c r="F586" s="1" t="s">
        <v>112</v>
      </c>
      <c r="G586" s="1">
        <v>4390544</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223</v>
      </c>
      <c r="D588" s="1" t="s">
        <v>112</v>
      </c>
      <c r="E588" s="1" t="s">
        <v>224</v>
      </c>
      <c r="F588" s="1" t="s">
        <v>225</v>
      </c>
      <c r="G588" s="1" t="s">
        <v>226</v>
      </c>
      <c r="H588" s="1" t="s">
        <v>227</v>
      </c>
      <c r="I588" s="1" t="s">
        <v>228</v>
      </c>
      <c r="J588" s="1" t="s">
        <v>229</v>
      </c>
    </row>
    <row r="589" spans="1:10" x14ac:dyDescent="0.25">
      <c r="A589" s="1" t="str">
        <f t="shared" si="9"/>
        <v>06  Amantadine 0.01 mg_LLdopé</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1386</v>
      </c>
      <c r="D589" s="1" t="s">
        <v>112</v>
      </c>
      <c r="E589" s="1" t="s">
        <v>1387</v>
      </c>
      <c r="F589" s="1" t="s">
        <v>1388</v>
      </c>
      <c r="G589" s="1" t="s">
        <v>1389</v>
      </c>
      <c r="H589" s="1" t="s">
        <v>1390</v>
      </c>
      <c r="I589" s="1">
        <v>24</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235</v>
      </c>
      <c r="D595" s="1" t="s">
        <v>110</v>
      </c>
      <c r="E595" s="1" t="s">
        <v>111</v>
      </c>
      <c r="F595" s="1" t="s">
        <v>112</v>
      </c>
      <c r="G595" s="1" t="s">
        <v>113</v>
      </c>
    </row>
    <row r="596" spans="1:7" x14ac:dyDescent="0.25">
      <c r="A596" s="1" t="str">
        <f t="shared" si="9"/>
        <v>07  Amantadine 0.1 mg_Ldopé</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1391</v>
      </c>
      <c r="D596" s="1" t="s">
        <v>1392</v>
      </c>
      <c r="E596" s="1" t="s">
        <v>1393</v>
      </c>
      <c r="F596" s="1" t="s">
        <v>112</v>
      </c>
      <c r="G596" s="1">
        <v>1563733</v>
      </c>
    </row>
    <row r="597" spans="1:7" x14ac:dyDescent="0.25">
      <c r="A597" s="1" t="str">
        <f t="shared" si="9"/>
        <v>07  Amantadine 0.1 mg_Ldopé</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1394</v>
      </c>
      <c r="D597" s="1" t="s">
        <v>1395</v>
      </c>
      <c r="E597" s="1" t="s">
        <v>1396</v>
      </c>
      <c r="F597" s="1" t="s">
        <v>112</v>
      </c>
      <c r="G597" s="1">
        <v>1717349</v>
      </c>
    </row>
    <row r="598" spans="1:7" x14ac:dyDescent="0.25">
      <c r="A598" s="1" t="str">
        <f t="shared" si="9"/>
        <v>07  Amantadine 0.1 mg_Ldopé</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1397</v>
      </c>
      <c r="D598" s="1" t="s">
        <v>1398</v>
      </c>
      <c r="E598" s="1" t="s">
        <v>1399</v>
      </c>
      <c r="F598" s="1" t="s">
        <v>112</v>
      </c>
      <c r="G598" s="1">
        <v>1601888</v>
      </c>
    </row>
    <row r="599" spans="1:7" x14ac:dyDescent="0.25">
      <c r="A599" s="1" t="str">
        <f t="shared" si="9"/>
        <v>07  Amantadine 0.1 mg_Ldopé</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1400</v>
      </c>
      <c r="D599" s="1" t="s">
        <v>1401</v>
      </c>
      <c r="E599" s="1" t="s">
        <v>1402</v>
      </c>
      <c r="F599" s="1" t="s">
        <v>112</v>
      </c>
      <c r="G599" s="1">
        <v>4545847</v>
      </c>
    </row>
    <row r="600" spans="1:7" x14ac:dyDescent="0.25">
      <c r="A600" s="1" t="str">
        <f t="shared" si="9"/>
        <v>07  Amantadine 0.1 mg_Ldopé</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1403</v>
      </c>
      <c r="D600" s="1" t="s">
        <v>1404</v>
      </c>
      <c r="E600" s="1" t="s">
        <v>1405</v>
      </c>
      <c r="F600" s="1" t="s">
        <v>112</v>
      </c>
      <c r="G600" s="1">
        <v>2679944</v>
      </c>
    </row>
    <row r="601" spans="1:7" x14ac:dyDescent="0.25">
      <c r="A601" s="1" t="str">
        <f t="shared" si="9"/>
        <v>07  Amantadine 0.1 mg_Ldopé</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1406</v>
      </c>
      <c r="D601" s="1" t="s">
        <v>1407</v>
      </c>
      <c r="E601" s="1" t="s">
        <v>1408</v>
      </c>
      <c r="F601" s="1" t="s">
        <v>112</v>
      </c>
      <c r="G601" s="1">
        <v>3150243</v>
      </c>
    </row>
    <row r="602" spans="1:7" x14ac:dyDescent="0.25">
      <c r="A602" s="1" t="str">
        <f t="shared" si="9"/>
        <v>07  Amantadine 0.1 mg_Ldopé</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1409</v>
      </c>
      <c r="D602" s="1" t="s">
        <v>1410</v>
      </c>
      <c r="E602" s="1" t="s">
        <v>1411</v>
      </c>
      <c r="F602" s="1" t="s">
        <v>112</v>
      </c>
      <c r="G602" s="1">
        <v>3696138</v>
      </c>
    </row>
    <row r="603" spans="1:7" x14ac:dyDescent="0.25">
      <c r="A603" s="1" t="str">
        <f t="shared" si="9"/>
        <v>07  Amantadine 0.1 mg_Ldopé</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1412</v>
      </c>
      <c r="D603" s="1" t="s">
        <v>1413</v>
      </c>
      <c r="E603" s="1" t="s">
        <v>1414</v>
      </c>
      <c r="F603" s="1" t="s">
        <v>112</v>
      </c>
      <c r="G603" s="1">
        <v>2640621</v>
      </c>
    </row>
    <row r="604" spans="1:7" x14ac:dyDescent="0.25">
      <c r="A604" s="1" t="str">
        <f t="shared" si="9"/>
        <v>07  Amantadine 0.1 mg_Ldopé</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1415</v>
      </c>
      <c r="D604" s="1" t="s">
        <v>1416</v>
      </c>
      <c r="E604" s="1" t="s">
        <v>1417</v>
      </c>
      <c r="F604" s="1" t="s">
        <v>112</v>
      </c>
      <c r="G604" s="1">
        <v>1940461</v>
      </c>
    </row>
    <row r="605" spans="1:7" x14ac:dyDescent="0.25">
      <c r="A605" s="1" t="str">
        <f t="shared" si="9"/>
        <v>07  Amantadine 0.1 mg_Ldopé</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1418</v>
      </c>
      <c r="D605" s="1" t="s">
        <v>1419</v>
      </c>
      <c r="E605" s="1" t="s">
        <v>1420</v>
      </c>
      <c r="F605" s="1" t="s">
        <v>112</v>
      </c>
      <c r="G605" s="1">
        <v>3179097</v>
      </c>
    </row>
    <row r="606" spans="1:7" x14ac:dyDescent="0.25">
      <c r="A606" s="1" t="str">
        <f t="shared" si="9"/>
        <v>07  Amantadine 0.1 mg_Ldopé</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1421</v>
      </c>
      <c r="D606" s="1" t="s">
        <v>1422</v>
      </c>
      <c r="E606" s="1" t="s">
        <v>1423</v>
      </c>
      <c r="F606" s="1" t="s">
        <v>112</v>
      </c>
      <c r="G606" s="1">
        <v>3543236</v>
      </c>
    </row>
    <row r="607" spans="1:7" x14ac:dyDescent="0.25">
      <c r="A607" s="1" t="str">
        <f t="shared" si="9"/>
        <v>07  Amantadine 0.1 mg_Ldopé</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1424</v>
      </c>
      <c r="D607" s="1" t="s">
        <v>532</v>
      </c>
      <c r="E607" s="1" t="s">
        <v>1425</v>
      </c>
      <c r="F607" s="1" t="s">
        <v>112</v>
      </c>
      <c r="G607" s="1">
        <v>3381531</v>
      </c>
    </row>
    <row r="608" spans="1:7" x14ac:dyDescent="0.25">
      <c r="A608" s="1" t="str">
        <f t="shared" si="9"/>
        <v>07  Amantadine 0.1 mg_Ldopé</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1426</v>
      </c>
      <c r="D608" s="1" t="s">
        <v>1427</v>
      </c>
      <c r="E608" s="1" t="s">
        <v>1428</v>
      </c>
      <c r="F608" s="1" t="s">
        <v>112</v>
      </c>
      <c r="G608" s="1">
        <v>1460299</v>
      </c>
    </row>
    <row r="609" spans="1:10" x14ac:dyDescent="0.25">
      <c r="A609" s="1" t="str">
        <f t="shared" si="9"/>
        <v>07  Amantadine 0.1 mg_Ldopé</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1429</v>
      </c>
      <c r="D609" s="1" t="s">
        <v>1430</v>
      </c>
      <c r="E609" s="1" t="s">
        <v>1431</v>
      </c>
      <c r="F609" s="1" t="s">
        <v>112</v>
      </c>
      <c r="G609" s="1">
        <v>1445958</v>
      </c>
    </row>
    <row r="610" spans="1:10" x14ac:dyDescent="0.25">
      <c r="A610" s="1" t="str">
        <f t="shared" si="9"/>
        <v>07  Amantadine 0.1 mg_Ldopé</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1432</v>
      </c>
      <c r="D610" s="1" t="s">
        <v>1433</v>
      </c>
      <c r="E610" s="1" t="s">
        <v>1434</v>
      </c>
      <c r="F610" s="1" t="s">
        <v>112</v>
      </c>
      <c r="G610" s="1">
        <v>1515152</v>
      </c>
    </row>
    <row r="611" spans="1:10" x14ac:dyDescent="0.25">
      <c r="A611" s="1" t="str">
        <f t="shared" si="9"/>
        <v>07  Amantadine 0.1 mg_Ldopé</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1435</v>
      </c>
      <c r="D611" s="1" t="s">
        <v>1436</v>
      </c>
      <c r="E611" s="1" t="s">
        <v>1437</v>
      </c>
      <c r="F611" s="1" t="s">
        <v>112</v>
      </c>
      <c r="G611" s="1">
        <v>3422304</v>
      </c>
    </row>
    <row r="612" spans="1:10" x14ac:dyDescent="0.25">
      <c r="A612" s="1" t="str">
        <f t="shared" si="9"/>
        <v>07  Amantadine 0.1 mg_Ldopé</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1438</v>
      </c>
      <c r="D612" s="1" t="s">
        <v>1439</v>
      </c>
      <c r="E612" s="1" t="s">
        <v>1440</v>
      </c>
      <c r="F612" s="1" t="s">
        <v>112</v>
      </c>
      <c r="G612" s="1">
        <v>2973916</v>
      </c>
    </row>
    <row r="613" spans="1:10" x14ac:dyDescent="0.25">
      <c r="A613" s="1" t="str">
        <f t="shared" si="9"/>
        <v>07  Amantadine 0.1 mg_Ldopé</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1441</v>
      </c>
      <c r="D613" s="1" t="s">
        <v>1442</v>
      </c>
      <c r="E613" s="1" t="s">
        <v>1443</v>
      </c>
      <c r="F613" s="1" t="s">
        <v>112</v>
      </c>
      <c r="G613" s="1">
        <v>2589228</v>
      </c>
    </row>
    <row r="614" spans="1:10" x14ac:dyDescent="0.25">
      <c r="A614" s="1" t="str">
        <f t="shared" si="9"/>
        <v>07  Amantadine 0.1 mg_Ldopé</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1444</v>
      </c>
      <c r="D614" s="1" t="s">
        <v>1445</v>
      </c>
      <c r="E614" s="1" t="s">
        <v>1446</v>
      </c>
      <c r="F614" s="1" t="s">
        <v>112</v>
      </c>
      <c r="G614" s="1">
        <v>1633187</v>
      </c>
    </row>
    <row r="615" spans="1:10" x14ac:dyDescent="0.25">
      <c r="A615" s="1" t="str">
        <f t="shared" si="9"/>
        <v>07  Amantadine 0.1 mg_Ldopé</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1447</v>
      </c>
      <c r="D615" s="1" t="s">
        <v>1448</v>
      </c>
      <c r="E615" s="1" t="s">
        <v>1449</v>
      </c>
      <c r="F615" s="1" t="s">
        <v>112</v>
      </c>
      <c r="G615" s="1">
        <v>1620252</v>
      </c>
    </row>
    <row r="616" spans="1:10" x14ac:dyDescent="0.25">
      <c r="A616" s="1" t="str">
        <f t="shared" si="9"/>
        <v>07  Amantadine 0.1 mg_Ldopé</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1450</v>
      </c>
      <c r="D616" s="1" t="s">
        <v>1451</v>
      </c>
      <c r="E616" s="1" t="s">
        <v>1452</v>
      </c>
      <c r="F616" s="1" t="s">
        <v>112</v>
      </c>
      <c r="G616" s="1">
        <v>2010975</v>
      </c>
    </row>
    <row r="617" spans="1:10" x14ac:dyDescent="0.25">
      <c r="A617" s="1" t="str">
        <f t="shared" si="9"/>
        <v>07  Amantadine 0.1 mg_Ldopé</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1453</v>
      </c>
      <c r="D617" s="1" t="s">
        <v>1454</v>
      </c>
      <c r="E617" s="1" t="s">
        <v>1455</v>
      </c>
      <c r="F617" s="1" t="s">
        <v>112</v>
      </c>
      <c r="G617" s="1">
        <v>2863863</v>
      </c>
    </row>
    <row r="618" spans="1:10" x14ac:dyDescent="0.25">
      <c r="A618" s="1" t="str">
        <f t="shared" si="9"/>
        <v>07  Amantadine 0.1 mg_Ldopé</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1456</v>
      </c>
      <c r="D618" s="1" t="s">
        <v>1457</v>
      </c>
      <c r="E618" s="1" t="s">
        <v>1458</v>
      </c>
      <c r="F618" s="1" t="s">
        <v>112</v>
      </c>
      <c r="G618" s="1">
        <v>2892220</v>
      </c>
    </row>
    <row r="619" spans="1:10" x14ac:dyDescent="0.25">
      <c r="A619" s="1" t="str">
        <f t="shared" si="9"/>
        <v>07  Amantadine 0.1 mg_Ldopé</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1459</v>
      </c>
      <c r="D619" s="1" t="s">
        <v>1460</v>
      </c>
      <c r="E619" s="1" t="s">
        <v>1461</v>
      </c>
      <c r="F619" s="1" t="s">
        <v>112</v>
      </c>
      <c r="G619" s="1">
        <v>3008264</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223</v>
      </c>
      <c r="D621" s="1" t="s">
        <v>112</v>
      </c>
      <c r="E621" s="1" t="s">
        <v>224</v>
      </c>
      <c r="F621" s="1" t="s">
        <v>225</v>
      </c>
      <c r="G621" s="1" t="s">
        <v>226</v>
      </c>
      <c r="H621" s="1" t="s">
        <v>227</v>
      </c>
      <c r="I621" s="1" t="s">
        <v>228</v>
      </c>
      <c r="J621" s="1" t="s">
        <v>229</v>
      </c>
    </row>
    <row r="622" spans="1:10" x14ac:dyDescent="0.25">
      <c r="A622" s="1" t="str">
        <f t="shared" si="9"/>
        <v>07  Amantadine 0.1 mg_Ldopé</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1462</v>
      </c>
      <c r="D622" s="1" t="s">
        <v>112</v>
      </c>
      <c r="E622" s="1" t="s">
        <v>1463</v>
      </c>
      <c r="F622" s="1" t="s">
        <v>1464</v>
      </c>
      <c r="G622" s="1" t="s">
        <v>1465</v>
      </c>
      <c r="H622" s="1" t="s">
        <v>1466</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235</v>
      </c>
      <c r="D628" s="1" t="s">
        <v>110</v>
      </c>
      <c r="E628" s="1" t="s">
        <v>111</v>
      </c>
      <c r="F628" s="1" t="s">
        <v>112</v>
      </c>
      <c r="G628" s="1" t="s">
        <v>113</v>
      </c>
    </row>
    <row r="629" spans="1:7" x14ac:dyDescent="0.25">
      <c r="A629" s="1" t="str">
        <f t="shared" si="9"/>
        <v>08  TAmantadine 1 mg_Ldopé</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1467</v>
      </c>
      <c r="D629" s="1" t="s">
        <v>1468</v>
      </c>
      <c r="E629" s="1" t="s">
        <v>1469</v>
      </c>
      <c r="F629" s="1" t="s">
        <v>112</v>
      </c>
      <c r="G629" s="1">
        <v>3069520</v>
      </c>
    </row>
    <row r="630" spans="1:7" x14ac:dyDescent="0.25">
      <c r="A630" s="1" t="str">
        <f t="shared" si="9"/>
        <v>08  TAmantadine 1 mg_Ldopé</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1470</v>
      </c>
      <c r="D630" s="1" t="s">
        <v>1471</v>
      </c>
      <c r="E630" s="1" t="s">
        <v>1472</v>
      </c>
      <c r="F630" s="1" t="s">
        <v>112</v>
      </c>
      <c r="G630" s="1">
        <v>2048611</v>
      </c>
    </row>
    <row r="631" spans="1:7" x14ac:dyDescent="0.25">
      <c r="A631" s="1" t="str">
        <f t="shared" si="9"/>
        <v>08  TAmantadine 1 mg_Ldopé</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1473</v>
      </c>
      <c r="D631" s="1" t="s">
        <v>1474</v>
      </c>
      <c r="E631" s="1" t="s">
        <v>1475</v>
      </c>
      <c r="F631" s="1" t="s">
        <v>112</v>
      </c>
      <c r="G631" s="1">
        <v>2263504</v>
      </c>
    </row>
    <row r="632" spans="1:7" x14ac:dyDescent="0.25">
      <c r="A632" s="1" t="str">
        <f t="shared" si="9"/>
        <v>08  TAmantadine 1 mg_Ldopé</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1476</v>
      </c>
      <c r="D632" s="1" t="s">
        <v>1477</v>
      </c>
      <c r="E632" s="1" t="s">
        <v>1478</v>
      </c>
      <c r="F632" s="1" t="s">
        <v>112</v>
      </c>
      <c r="G632" s="1">
        <v>3058986</v>
      </c>
    </row>
    <row r="633" spans="1:7" x14ac:dyDescent="0.25">
      <c r="A633" s="1" t="str">
        <f t="shared" si="9"/>
        <v>08  TAmantadine 1 mg_Ldopé</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1479</v>
      </c>
      <c r="D633" s="1" t="s">
        <v>1480</v>
      </c>
      <c r="E633" s="1" t="s">
        <v>1481</v>
      </c>
      <c r="F633" s="1" t="s">
        <v>112</v>
      </c>
      <c r="G633" s="1">
        <v>2812081</v>
      </c>
    </row>
    <row r="634" spans="1:7" x14ac:dyDescent="0.25">
      <c r="A634" s="1" t="str">
        <f t="shared" si="9"/>
        <v>08  TAmantadine 1 mg_Ldopé</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1482</v>
      </c>
      <c r="D634" s="1" t="s">
        <v>1483</v>
      </c>
      <c r="E634" s="1" t="s">
        <v>1484</v>
      </c>
      <c r="F634" s="1" t="s">
        <v>112</v>
      </c>
      <c r="G634" s="1">
        <v>2906258</v>
      </c>
    </row>
    <row r="635" spans="1:7" x14ac:dyDescent="0.25">
      <c r="A635" s="1" t="str">
        <f t="shared" si="9"/>
        <v>08  TAmantadine 1 mg_Ldopé</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1485</v>
      </c>
      <c r="D635" s="1" t="s">
        <v>1486</v>
      </c>
      <c r="E635" s="1" t="s">
        <v>1487</v>
      </c>
      <c r="F635" s="1" t="s">
        <v>112</v>
      </c>
      <c r="G635" s="1">
        <v>4310557</v>
      </c>
    </row>
    <row r="636" spans="1:7" x14ac:dyDescent="0.25">
      <c r="A636" s="1" t="str">
        <f t="shared" si="9"/>
        <v>08  TAmantadine 1 mg_Ldopé</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1488</v>
      </c>
      <c r="D636" s="1" t="s">
        <v>1489</v>
      </c>
      <c r="E636" s="1" t="s">
        <v>1490</v>
      </c>
      <c r="F636" s="1" t="s">
        <v>112</v>
      </c>
      <c r="G636" s="1">
        <v>3651818</v>
      </c>
    </row>
    <row r="637" spans="1:7" x14ac:dyDescent="0.25">
      <c r="A637" s="1" t="str">
        <f t="shared" si="9"/>
        <v>08  TAmantadine 1 mg_Ldopé</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1491</v>
      </c>
      <c r="D637" s="1" t="s">
        <v>1492</v>
      </c>
      <c r="E637" s="1" t="s">
        <v>1493</v>
      </c>
      <c r="F637" s="1" t="s">
        <v>112</v>
      </c>
      <c r="G637" s="1">
        <v>4114676</v>
      </c>
    </row>
    <row r="638" spans="1:7" x14ac:dyDescent="0.25">
      <c r="A638" s="1" t="str">
        <f t="shared" si="9"/>
        <v>08  TAmantadine 1 mg_Ldopé</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1494</v>
      </c>
      <c r="D638" s="1" t="s">
        <v>1495</v>
      </c>
      <c r="E638" s="1" t="s">
        <v>1496</v>
      </c>
      <c r="F638" s="1" t="s">
        <v>112</v>
      </c>
      <c r="G638" s="1">
        <v>3958811</v>
      </c>
    </row>
    <row r="639" spans="1:7" x14ac:dyDescent="0.25">
      <c r="A639" s="1" t="str">
        <f t="shared" si="9"/>
        <v>08  TAmantadine 1 mg_Ldopé</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1497</v>
      </c>
      <c r="D639" s="1" t="s">
        <v>1498</v>
      </c>
      <c r="E639" s="1" t="s">
        <v>1499</v>
      </c>
      <c r="F639" s="1" t="s">
        <v>112</v>
      </c>
      <c r="G639" s="1">
        <v>3730767</v>
      </c>
    </row>
    <row r="640" spans="1:7" x14ac:dyDescent="0.25">
      <c r="A640" s="1" t="str">
        <f t="shared" si="9"/>
        <v>08  TAmantadine 1 mg_Ldopé</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1500</v>
      </c>
      <c r="D640" s="1" t="s">
        <v>1353</v>
      </c>
      <c r="E640" s="1" t="s">
        <v>1501</v>
      </c>
      <c r="F640" s="1" t="s">
        <v>112</v>
      </c>
      <c r="G640" s="1">
        <v>3522926</v>
      </c>
    </row>
    <row r="641" spans="1:10" x14ac:dyDescent="0.25">
      <c r="A641" s="1" t="str">
        <f t="shared" si="9"/>
        <v>08  TAmantadine 1 mg_Ldopé</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1502</v>
      </c>
      <c r="D641" s="1" t="s">
        <v>1503</v>
      </c>
      <c r="E641" s="1" t="s">
        <v>1504</v>
      </c>
      <c r="F641" s="1" t="s">
        <v>112</v>
      </c>
      <c r="G641" s="1">
        <v>4568147</v>
      </c>
    </row>
    <row r="642" spans="1:10" x14ac:dyDescent="0.25">
      <c r="A642" s="1" t="str">
        <f t="shared" ref="A642:A705" si="10">IFERROR(LEFT(RIGHT(C642,LEN(C642)-SEARCH("@",C642)),SEARCH("/",RIGHT(C642,LEN(C642)-SEARCH("@",C642)-1))),"")</f>
        <v>08  TAmantadine 1 mg_Ldopé</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1505</v>
      </c>
      <c r="D642" s="1" t="s">
        <v>1506</v>
      </c>
      <c r="E642" s="1" t="s">
        <v>1507</v>
      </c>
      <c r="F642" s="1" t="s">
        <v>112</v>
      </c>
      <c r="G642" s="1">
        <v>4415440</v>
      </c>
    </row>
    <row r="643" spans="1:10" x14ac:dyDescent="0.25">
      <c r="A643" s="1" t="str">
        <f t="shared" si="10"/>
        <v>08  TAmantadine 1 mg_Ldopé</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1508</v>
      </c>
      <c r="D643" s="1" t="s">
        <v>1509</v>
      </c>
      <c r="E643" s="1" t="s">
        <v>1510</v>
      </c>
      <c r="F643" s="1" t="s">
        <v>112</v>
      </c>
      <c r="G643" s="1">
        <v>5015605</v>
      </c>
    </row>
    <row r="644" spans="1:10" x14ac:dyDescent="0.25">
      <c r="A644" s="1" t="str">
        <f t="shared" si="10"/>
        <v>08  TAmantadine 1 mg_Ldopé</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1511</v>
      </c>
      <c r="D644" s="1" t="s">
        <v>1512</v>
      </c>
      <c r="E644" s="1" t="s">
        <v>1513</v>
      </c>
      <c r="F644" s="1" t="s">
        <v>112</v>
      </c>
      <c r="G644" s="1">
        <v>4327147</v>
      </c>
    </row>
    <row r="645" spans="1:10" x14ac:dyDescent="0.25">
      <c r="A645" s="1" t="str">
        <f t="shared" si="10"/>
        <v>08  TAmantadine 1 mg_Ldopé</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1514</v>
      </c>
      <c r="D645" s="1" t="s">
        <v>1515</v>
      </c>
      <c r="E645" s="1" t="s">
        <v>1516</v>
      </c>
      <c r="F645" s="1" t="s">
        <v>112</v>
      </c>
      <c r="G645" s="1">
        <v>4056990</v>
      </c>
    </row>
    <row r="646" spans="1:10" x14ac:dyDescent="0.25">
      <c r="A646" s="1" t="str">
        <f t="shared" si="10"/>
        <v>08  TAmantadine 1 mg_Ldopé</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1517</v>
      </c>
      <c r="D646" s="1" t="s">
        <v>1518</v>
      </c>
      <c r="E646" s="1" t="s">
        <v>1519</v>
      </c>
      <c r="F646" s="1" t="s">
        <v>112</v>
      </c>
      <c r="G646" s="1">
        <v>3838290</v>
      </c>
    </row>
    <row r="647" spans="1:10" x14ac:dyDescent="0.25">
      <c r="A647" s="1" t="str">
        <f t="shared" si="10"/>
        <v>08  TAmantadine 1 mg_Ldopé</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1520</v>
      </c>
      <c r="D647" s="1" t="s">
        <v>1521</v>
      </c>
      <c r="E647" s="1" t="s">
        <v>1522</v>
      </c>
      <c r="F647" s="1" t="s">
        <v>112</v>
      </c>
      <c r="G647" s="1">
        <v>362604</v>
      </c>
    </row>
    <row r="648" spans="1:10" x14ac:dyDescent="0.25">
      <c r="A648" s="1" t="str">
        <f t="shared" si="10"/>
        <v>08  TAmantadine 1 mg_Ldopé</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1523</v>
      </c>
      <c r="D648" s="1" t="s">
        <v>841</v>
      </c>
      <c r="E648" s="1" t="s">
        <v>1524</v>
      </c>
      <c r="F648" s="1" t="s">
        <v>112</v>
      </c>
      <c r="G648" s="1">
        <v>149701</v>
      </c>
    </row>
    <row r="649" spans="1:10" x14ac:dyDescent="0.25">
      <c r="A649" s="1" t="str">
        <f t="shared" si="10"/>
        <v>08  TAmantadine 1 mg_Ldopé</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1525</v>
      </c>
      <c r="D649" s="1" t="s">
        <v>1526</v>
      </c>
      <c r="E649" s="1" t="s">
        <v>1527</v>
      </c>
      <c r="F649" s="1" t="s">
        <v>112</v>
      </c>
      <c r="G649" s="1">
        <v>159715</v>
      </c>
    </row>
    <row r="650" spans="1:10" x14ac:dyDescent="0.25">
      <c r="A650" s="1" t="str">
        <f t="shared" si="10"/>
        <v>08  TAmantadine 1 mg_Ldopé</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1528</v>
      </c>
      <c r="D650" s="1" t="s">
        <v>1529</v>
      </c>
      <c r="E650" s="1" t="s">
        <v>1530</v>
      </c>
      <c r="F650" s="1" t="s">
        <v>112</v>
      </c>
      <c r="G650" s="1">
        <v>2527864</v>
      </c>
    </row>
    <row r="651" spans="1:10" x14ac:dyDescent="0.25">
      <c r="A651" s="1" t="str">
        <f t="shared" si="10"/>
        <v>08  TAmantadine 1 mg_Ldopé</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1531</v>
      </c>
      <c r="D651" s="1" t="s">
        <v>1532</v>
      </c>
      <c r="E651" s="1" t="s">
        <v>1533</v>
      </c>
      <c r="F651" s="1" t="s">
        <v>112</v>
      </c>
      <c r="G651" s="1">
        <v>3124049</v>
      </c>
    </row>
    <row r="652" spans="1:10" x14ac:dyDescent="0.25">
      <c r="A652" s="1" t="str">
        <f t="shared" si="10"/>
        <v>08  TAmantadine 1 mg_Ldopé</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1534</v>
      </c>
      <c r="D652" s="1" t="s">
        <v>1535</v>
      </c>
      <c r="E652" s="1" t="s">
        <v>1536</v>
      </c>
      <c r="F652" s="1" t="s">
        <v>112</v>
      </c>
      <c r="G652" s="1">
        <v>2949604</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223</v>
      </c>
      <c r="D654" s="1" t="s">
        <v>112</v>
      </c>
      <c r="E654" s="1" t="s">
        <v>224</v>
      </c>
      <c r="F654" s="1" t="s">
        <v>225</v>
      </c>
      <c r="G654" s="1" t="s">
        <v>226</v>
      </c>
      <c r="H654" s="1" t="s">
        <v>227</v>
      </c>
      <c r="I654" s="1" t="s">
        <v>228</v>
      </c>
      <c r="J654" s="1" t="s">
        <v>229</v>
      </c>
    </row>
    <row r="655" spans="1:10" x14ac:dyDescent="0.25">
      <c r="A655" s="1" t="str">
        <f t="shared" si="10"/>
        <v>08  TAmantadine 1 mg_Ldopé</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1537</v>
      </c>
      <c r="D655" s="1" t="s">
        <v>112</v>
      </c>
      <c r="E655" s="1" t="s">
        <v>1538</v>
      </c>
      <c r="F655" s="1" t="s">
        <v>1539</v>
      </c>
      <c r="G655" s="1" t="s">
        <v>1540</v>
      </c>
      <c r="H655" s="1" t="s">
        <v>1541</v>
      </c>
      <c r="I655" s="1">
        <v>24</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235</v>
      </c>
      <c r="D661" s="1" t="s">
        <v>110</v>
      </c>
      <c r="E661" s="1" t="s">
        <v>111</v>
      </c>
      <c r="F661" s="1" t="s">
        <v>112</v>
      </c>
      <c r="G661" s="1" t="s">
        <v>113</v>
      </c>
    </row>
    <row r="662" spans="1:7" x14ac:dyDescent="0.25">
      <c r="A662" s="1" t="str">
        <f t="shared" si="10"/>
        <v>09  Amantadine 10 mg_L dopé</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1542</v>
      </c>
      <c r="D662" s="1" t="s">
        <v>1543</v>
      </c>
      <c r="E662" s="1" t="s">
        <v>1544</v>
      </c>
      <c r="F662" s="1" t="s">
        <v>112</v>
      </c>
      <c r="G662" s="1">
        <v>746772</v>
      </c>
    </row>
    <row r="663" spans="1:7" x14ac:dyDescent="0.25">
      <c r="A663" s="1" t="str">
        <f t="shared" si="10"/>
        <v>09  Amantadine 10 mg_L dopé</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1545</v>
      </c>
      <c r="D663" s="1" t="s">
        <v>1546</v>
      </c>
      <c r="E663" s="1" t="s">
        <v>1547</v>
      </c>
      <c r="F663" s="1" t="s">
        <v>112</v>
      </c>
      <c r="G663" s="1">
        <v>1132476</v>
      </c>
    </row>
    <row r="664" spans="1:7" x14ac:dyDescent="0.25">
      <c r="A664" s="1" t="str">
        <f t="shared" si="10"/>
        <v>09  Amantadine 10 mg_L dopé</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1548</v>
      </c>
    </row>
    <row r="665" spans="1:7" x14ac:dyDescent="0.25">
      <c r="A665" s="1" t="str">
        <f t="shared" si="10"/>
        <v>09  Amantadine 10 mg_L dopé</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1549</v>
      </c>
    </row>
    <row r="666" spans="1:7" x14ac:dyDescent="0.25">
      <c r="A666" s="1" t="str">
        <f t="shared" si="10"/>
        <v>09  Amantadine 10 mg_L dopé</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1550</v>
      </c>
    </row>
    <row r="667" spans="1:7" x14ac:dyDescent="0.25">
      <c r="A667" s="1" t="str">
        <f t="shared" si="10"/>
        <v>09  Amantadine 10 mg_L dopé</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1551</v>
      </c>
    </row>
    <row r="668" spans="1:7" x14ac:dyDescent="0.25">
      <c r="A668" s="1" t="str">
        <f t="shared" si="10"/>
        <v>09  Amantadine 10 mg_L dopé</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1552</v>
      </c>
      <c r="D668" s="1" t="s">
        <v>1553</v>
      </c>
      <c r="E668" s="1" t="s">
        <v>1554</v>
      </c>
      <c r="F668" s="1" t="s">
        <v>112</v>
      </c>
      <c r="G668" s="1">
        <v>891930</v>
      </c>
    </row>
    <row r="669" spans="1:7" x14ac:dyDescent="0.25">
      <c r="A669" s="1" t="str">
        <f t="shared" si="10"/>
        <v>09  Amantadine 10 mg_L dopé</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1555</v>
      </c>
      <c r="D669" s="1" t="s">
        <v>1556</v>
      </c>
      <c r="E669" s="1" t="s">
        <v>1557</v>
      </c>
      <c r="F669" s="1" t="s">
        <v>112</v>
      </c>
      <c r="G669" s="1">
        <v>793774</v>
      </c>
    </row>
    <row r="670" spans="1:7" x14ac:dyDescent="0.25">
      <c r="A670" s="1" t="str">
        <f t="shared" si="10"/>
        <v>09  Amantadine 10 mg_L dopé</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1558</v>
      </c>
      <c r="D670" s="1" t="s">
        <v>1559</v>
      </c>
      <c r="E670" s="1" t="s">
        <v>1560</v>
      </c>
      <c r="F670" s="1" t="s">
        <v>112</v>
      </c>
      <c r="G670" s="1">
        <v>919119</v>
      </c>
    </row>
    <row r="671" spans="1:7" x14ac:dyDescent="0.25">
      <c r="A671" s="1" t="str">
        <f t="shared" si="10"/>
        <v>09  Amantadine 10 mg_L dopé</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1561</v>
      </c>
      <c r="D671" s="1" t="s">
        <v>1562</v>
      </c>
      <c r="E671" s="1" t="s">
        <v>1563</v>
      </c>
      <c r="F671" s="1" t="s">
        <v>112</v>
      </c>
      <c r="G671" s="1">
        <v>1626395</v>
      </c>
    </row>
    <row r="672" spans="1:7" x14ac:dyDescent="0.25">
      <c r="A672" s="1" t="str">
        <f t="shared" si="10"/>
        <v>09  Amantadine 10 mg_L dopé</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1564</v>
      </c>
      <c r="D672" s="1" t="s">
        <v>1565</v>
      </c>
      <c r="E672" s="1" t="s">
        <v>1566</v>
      </c>
      <c r="F672" s="1" t="s">
        <v>112</v>
      </c>
      <c r="G672" s="1">
        <v>1579631</v>
      </c>
    </row>
    <row r="673" spans="1:10" x14ac:dyDescent="0.25">
      <c r="A673" s="1" t="str">
        <f t="shared" si="10"/>
        <v>09  Amantadine 10 mg_L dopé</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1567</v>
      </c>
      <c r="D673" s="1" t="s">
        <v>1568</v>
      </c>
      <c r="E673" s="1" t="s">
        <v>1569</v>
      </c>
      <c r="F673" s="1" t="s">
        <v>112</v>
      </c>
      <c r="G673" s="1">
        <v>1658667</v>
      </c>
    </row>
    <row r="674" spans="1:10" x14ac:dyDescent="0.25">
      <c r="A674" s="1" t="str">
        <f t="shared" si="10"/>
        <v>09  Amantadine 10 mg_L dopé</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1570</v>
      </c>
      <c r="D674" s="1" t="s">
        <v>1571</v>
      </c>
      <c r="E674" s="1" t="s">
        <v>1572</v>
      </c>
      <c r="F674" s="1" t="s">
        <v>112</v>
      </c>
      <c r="G674" s="1">
        <v>234057</v>
      </c>
    </row>
    <row r="675" spans="1:10" x14ac:dyDescent="0.25">
      <c r="A675" s="1" t="str">
        <f t="shared" si="10"/>
        <v>09  Amantadine 10 mg_L dopé</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1573</v>
      </c>
      <c r="D675" s="1" t="s">
        <v>1574</v>
      </c>
      <c r="E675" s="1" t="s">
        <v>1575</v>
      </c>
      <c r="F675" s="1" t="s">
        <v>112</v>
      </c>
      <c r="G675" s="1">
        <v>343613</v>
      </c>
    </row>
    <row r="676" spans="1:10" x14ac:dyDescent="0.25">
      <c r="A676" s="1" t="str">
        <f t="shared" si="10"/>
        <v>09  Amantadine 10 mg_L dopé</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1576</v>
      </c>
      <c r="D676" s="1" t="s">
        <v>199</v>
      </c>
      <c r="E676" s="1" t="s">
        <v>1577</v>
      </c>
      <c r="F676" s="1" t="s">
        <v>112</v>
      </c>
      <c r="G676" s="1">
        <v>128092</v>
      </c>
    </row>
    <row r="677" spans="1:10" x14ac:dyDescent="0.25">
      <c r="A677" s="1" t="str">
        <f t="shared" si="10"/>
        <v>09  Amantadine 10 mg_L dopé</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1578</v>
      </c>
      <c r="D677" s="1" t="s">
        <v>1579</v>
      </c>
      <c r="E677" s="1" t="s">
        <v>1580</v>
      </c>
      <c r="F677" s="1" t="s">
        <v>112</v>
      </c>
      <c r="G677" s="1">
        <v>1302660</v>
      </c>
    </row>
    <row r="678" spans="1:10" x14ac:dyDescent="0.25">
      <c r="A678" s="1" t="str">
        <f t="shared" si="10"/>
        <v>09  Amantadine 10 mg_L dopé</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1581</v>
      </c>
      <c r="D678" s="1" t="s">
        <v>1582</v>
      </c>
      <c r="E678" s="1" t="s">
        <v>1583</v>
      </c>
      <c r="F678" s="1" t="s">
        <v>112</v>
      </c>
      <c r="G678" s="1">
        <v>1306943</v>
      </c>
    </row>
    <row r="679" spans="1:10" x14ac:dyDescent="0.25">
      <c r="A679" s="1" t="str">
        <f t="shared" si="10"/>
        <v>09  Amantadine 10 mg_L dopé</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1584</v>
      </c>
      <c r="D679" s="1" t="s">
        <v>1585</v>
      </c>
      <c r="E679" s="1" t="s">
        <v>1586</v>
      </c>
      <c r="F679" s="1" t="s">
        <v>112</v>
      </c>
      <c r="G679" s="1">
        <v>974059</v>
      </c>
    </row>
    <row r="680" spans="1:10" x14ac:dyDescent="0.25">
      <c r="A680" s="1" t="str">
        <f t="shared" si="10"/>
        <v>09  Amantadine 10 mg_L dopé</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1587</v>
      </c>
      <c r="D680" s="1" t="s">
        <v>1588</v>
      </c>
      <c r="E680" s="1" t="s">
        <v>1589</v>
      </c>
      <c r="F680" s="1" t="s">
        <v>112</v>
      </c>
      <c r="G680" s="1">
        <v>3805996</v>
      </c>
    </row>
    <row r="681" spans="1:10" x14ac:dyDescent="0.25">
      <c r="A681" s="1" t="str">
        <f t="shared" si="10"/>
        <v>09  Amantadine 10 mg_L dopé</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1590</v>
      </c>
      <c r="D681" s="1" t="s">
        <v>1591</v>
      </c>
      <c r="E681" s="1" t="s">
        <v>1592</v>
      </c>
      <c r="F681" s="1" t="s">
        <v>112</v>
      </c>
      <c r="G681" s="1">
        <v>3610592</v>
      </c>
    </row>
    <row r="682" spans="1:10" x14ac:dyDescent="0.25">
      <c r="A682" s="1" t="str">
        <f t="shared" si="10"/>
        <v>09  Amantadine 10 mg_L dopé</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1593</v>
      </c>
      <c r="D682" s="1" t="s">
        <v>1594</v>
      </c>
      <c r="E682" s="1" t="s">
        <v>1595</v>
      </c>
      <c r="F682" s="1" t="s">
        <v>112</v>
      </c>
      <c r="G682" s="1">
        <v>3732693</v>
      </c>
    </row>
    <row r="683" spans="1:10" x14ac:dyDescent="0.25">
      <c r="A683" s="1" t="str">
        <f t="shared" si="10"/>
        <v>09  Amantadine 10 mg_L dopé</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1596</v>
      </c>
    </row>
    <row r="684" spans="1:10" x14ac:dyDescent="0.25">
      <c r="A684" s="1" t="str">
        <f t="shared" si="10"/>
        <v>09  Amantadine 10 mg_L dopé</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1597</v>
      </c>
      <c r="D684" s="1" t="s">
        <v>1598</v>
      </c>
      <c r="E684" s="1" t="s">
        <v>1599</v>
      </c>
      <c r="F684" s="1" t="s">
        <v>112</v>
      </c>
      <c r="G684" s="1">
        <v>2338256</v>
      </c>
    </row>
    <row r="685" spans="1:10" x14ac:dyDescent="0.25">
      <c r="A685" s="1" t="str">
        <f t="shared" si="10"/>
        <v>09  Amantadine 10 mg_L dopé</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1600</v>
      </c>
      <c r="D685" s="1" t="s">
        <v>1601</v>
      </c>
      <c r="E685" s="1" t="s">
        <v>1602</v>
      </c>
      <c r="F685" s="1" t="s">
        <v>112</v>
      </c>
      <c r="G685" s="1">
        <v>2118302</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223</v>
      </c>
      <c r="D687" s="1" t="s">
        <v>112</v>
      </c>
      <c r="E687" s="1" t="s">
        <v>224</v>
      </c>
      <c r="F687" s="1" t="s">
        <v>225</v>
      </c>
      <c r="G687" s="1" t="s">
        <v>226</v>
      </c>
      <c r="H687" s="1" t="s">
        <v>227</v>
      </c>
      <c r="I687" s="1" t="s">
        <v>228</v>
      </c>
      <c r="J687" s="1" t="s">
        <v>229</v>
      </c>
    </row>
    <row r="688" spans="1:10" x14ac:dyDescent="0.25">
      <c r="A688" s="1" t="str">
        <f t="shared" si="10"/>
        <v>09  Amantadine 10 mg_L dopé</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1603</v>
      </c>
      <c r="D688" s="1" t="s">
        <v>112</v>
      </c>
      <c r="E688" s="1" t="s">
        <v>1604</v>
      </c>
      <c r="F688" s="1" t="s">
        <v>1605</v>
      </c>
      <c r="G688" s="1" t="s">
        <v>1606</v>
      </c>
      <c r="H688" s="1" t="s">
        <v>1607</v>
      </c>
      <c r="I688" s="1">
        <v>24</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6"/>
  <sheetViews>
    <sheetView showGridLines="0" topLeftCell="A31" zoomScaleNormal="100" zoomScaleSheetLayoutView="40" zoomScalePageLayoutView="30" workbookViewId="0">
      <pane xSplit="1" topLeftCell="N1" activePane="topRight" state="frozen"/>
      <selection pane="topRight" activeCell="Q62" sqref="Q62"/>
    </sheetView>
  </sheetViews>
  <sheetFormatPr baseColWidth="10"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22" width="25.85546875" style="1" customWidth="1"/>
  </cols>
  <sheetData>
    <row r="1" spans="1:22" s="1" customFormat="1" ht="27" thickBot="1" x14ac:dyDescent="0.45">
      <c r="A1" s="216" t="s">
        <v>40</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c r="A2"/>
      <c r="B2"/>
      <c r="C2"/>
      <c r="D2"/>
      <c r="E2"/>
      <c r="F2"/>
      <c r="G2"/>
      <c r="H2"/>
      <c r="I2"/>
      <c r="J2"/>
      <c r="K2"/>
      <c r="L2"/>
      <c r="M2"/>
      <c r="S2"/>
      <c r="T2"/>
      <c r="U2"/>
      <c r="V2"/>
    </row>
    <row r="3" spans="1:22" ht="15.75" thickBot="1" x14ac:dyDescent="0.3">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Amantadine-0,001mg/L</v>
      </c>
      <c r="J4" s="35" t="str">
        <f>'Page de garde'!A16</f>
        <v>Amantadine-0,01mg/L</v>
      </c>
      <c r="K4" s="35" t="str">
        <f>'Page de garde'!A17</f>
        <v>Amantadine-0,1mg/L</v>
      </c>
      <c r="L4" s="35" t="str">
        <f>'Page de garde'!A18</f>
        <v>Amantadine-1mg/L</v>
      </c>
      <c r="M4" s="35" t="str">
        <f>'Page de garde'!A19</f>
        <v>Amantadine-10mg/L</v>
      </c>
      <c r="N4" s="3"/>
      <c r="O4" s="36" t="str">
        <f>'Page de garde'!A36</f>
        <v>Testo -30µg/L</v>
      </c>
      <c r="P4" s="36" t="str">
        <f>'Page de garde'!A37</f>
        <v>Testo 30µg/L + EE2 -64ng/L</v>
      </c>
      <c r="Q4" s="36" t="str">
        <f>'Page de garde'!A38</f>
        <v>Testo 30µg/L + FAD-10µg/L</v>
      </c>
      <c r="R4" s="36" t="str">
        <f>'Page de garde'!A39</f>
        <v>Amantadine-0,001mg/L + Testostérone</v>
      </c>
      <c r="S4" s="36" t="str">
        <f>'Page de garde'!A40</f>
        <v>Amantadine-0,01mg/L + Testostérone</v>
      </c>
      <c r="T4" s="36" t="str">
        <f>'Page de garde'!A41</f>
        <v>Amantadine-0,1mg/L + Testostérone</v>
      </c>
      <c r="U4" s="36" t="str">
        <f>'Page de garde'!A42</f>
        <v>Amantadine-1mg/L + Testostérone</v>
      </c>
      <c r="V4" s="36" t="str">
        <f>'Page de garde'!A43</f>
        <v>Amantadine-10mg/L + Testostérone</v>
      </c>
    </row>
    <row r="5" spans="1:22" x14ac:dyDescent="0.25">
      <c r="A5" s="220" t="s">
        <v>33</v>
      </c>
      <c r="B5" s="195">
        <v>563091</v>
      </c>
      <c r="C5" s="195">
        <v>113319</v>
      </c>
      <c r="D5" s="195">
        <v>109339</v>
      </c>
      <c r="E5" s="195">
        <v>519600.66666666669</v>
      </c>
      <c r="F5" s="195">
        <v>2017669</v>
      </c>
      <c r="G5" s="195">
        <v>4427250</v>
      </c>
      <c r="H5" s="195">
        <v>8803064</v>
      </c>
      <c r="I5" s="195">
        <v>391436</v>
      </c>
      <c r="J5" s="195">
        <v>23115.333333333332</v>
      </c>
      <c r="K5" s="195">
        <v>191684</v>
      </c>
      <c r="L5" s="195">
        <v>475634</v>
      </c>
      <c r="M5" s="195">
        <v>805584</v>
      </c>
      <c r="N5" s="3"/>
      <c r="O5" s="195">
        <v>2009078.3333333333</v>
      </c>
      <c r="P5" s="195">
        <v>3682821.3333333335</v>
      </c>
      <c r="Q5" s="195">
        <v>232975.66666666666</v>
      </c>
      <c r="R5" s="195">
        <v>965241.66666666663</v>
      </c>
      <c r="S5" s="195">
        <v>3807279.3333333335</v>
      </c>
      <c r="T5" s="195">
        <v>1627656.6666666667</v>
      </c>
      <c r="U5" s="195">
        <v>2460545</v>
      </c>
      <c r="V5" s="195">
        <v>939624</v>
      </c>
    </row>
    <row r="6" spans="1:22" x14ac:dyDescent="0.25">
      <c r="A6" s="221"/>
      <c r="B6" s="195">
        <v>108712</v>
      </c>
      <c r="C6" s="195">
        <v>166881.66666666666</v>
      </c>
      <c r="D6" s="195">
        <v>333576.5</v>
      </c>
      <c r="E6" s="195">
        <v>375365.33333333331</v>
      </c>
      <c r="F6" s="195">
        <v>1161568.6666666667</v>
      </c>
      <c r="G6" s="195">
        <v>3245731.6666666665</v>
      </c>
      <c r="H6" s="195">
        <v>4559783.666666667</v>
      </c>
      <c r="I6" s="195">
        <v>194279.66666666666</v>
      </c>
      <c r="J6" s="195">
        <v>161640</v>
      </c>
      <c r="K6" s="195">
        <v>336316</v>
      </c>
      <c r="L6" s="195">
        <v>338529.66666666669</v>
      </c>
      <c r="M6" s="195">
        <v>114725</v>
      </c>
      <c r="N6" s="3"/>
      <c r="O6" s="195">
        <v>3422617</v>
      </c>
      <c r="P6" s="195">
        <v>1631038.3333333333</v>
      </c>
      <c r="Q6" s="195">
        <v>291845</v>
      </c>
      <c r="R6" s="195">
        <v>2530294</v>
      </c>
      <c r="S6" s="195">
        <v>392906.66666666669</v>
      </c>
      <c r="T6" s="195">
        <v>3458678</v>
      </c>
      <c r="U6" s="195">
        <v>2925775</v>
      </c>
      <c r="V6" s="195"/>
    </row>
    <row r="7" spans="1:22" x14ac:dyDescent="0.25">
      <c r="A7" s="221"/>
      <c r="B7" s="195">
        <v>311110</v>
      </c>
      <c r="C7" s="195">
        <v>13691.666666666666</v>
      </c>
      <c r="D7" s="195">
        <v>110521.66666666667</v>
      </c>
      <c r="E7" s="195">
        <v>241281.66666666666</v>
      </c>
      <c r="F7" s="195">
        <v>189305</v>
      </c>
      <c r="G7" s="195">
        <v>3550518.3333333335</v>
      </c>
      <c r="H7" s="195">
        <v>4213568.5</v>
      </c>
      <c r="I7" s="195">
        <v>579789</v>
      </c>
      <c r="J7" s="195">
        <v>94274</v>
      </c>
      <c r="K7" s="195">
        <v>117709.66666666667</v>
      </c>
      <c r="L7" s="195">
        <v>26691</v>
      </c>
      <c r="M7" s="195">
        <v>239154.33333333334</v>
      </c>
      <c r="N7" s="3"/>
      <c r="O7" s="195">
        <v>2075316.3333333333</v>
      </c>
      <c r="P7" s="195">
        <v>3730205.3333333335</v>
      </c>
      <c r="Q7" s="195">
        <v>356511</v>
      </c>
      <c r="R7" s="195">
        <v>3533697.5</v>
      </c>
      <c r="S7" s="195">
        <v>205873.33333333334</v>
      </c>
      <c r="T7" s="195">
        <v>2759073.3333333335</v>
      </c>
      <c r="U7" s="195">
        <v>4025683.6666666665</v>
      </c>
      <c r="V7" s="195">
        <v>868274.33333333337</v>
      </c>
    </row>
    <row r="8" spans="1:22" x14ac:dyDescent="0.25">
      <c r="A8" s="221"/>
      <c r="B8" s="195">
        <v>182124</v>
      </c>
      <c r="C8" s="195">
        <v>106001</v>
      </c>
      <c r="D8" s="195">
        <v>75596.666666666672</v>
      </c>
      <c r="E8" s="195">
        <v>1002805</v>
      </c>
      <c r="F8" s="195">
        <v>2174301.6666666665</v>
      </c>
      <c r="G8" s="195">
        <v>5018006</v>
      </c>
      <c r="H8" s="195">
        <v>6155565.5</v>
      </c>
      <c r="I8" s="195">
        <v>121790.66666666667</v>
      </c>
      <c r="J8" s="195">
        <v>316661.66666666669</v>
      </c>
      <c r="K8" s="195">
        <v>248037.33333333334</v>
      </c>
      <c r="L8" s="195">
        <v>77406</v>
      </c>
      <c r="M8" s="195">
        <v>386266.66666666669</v>
      </c>
      <c r="N8" s="3"/>
      <c r="O8" s="195">
        <v>1270432</v>
      </c>
      <c r="P8" s="195">
        <v>3141936.6666666665</v>
      </c>
      <c r="Q8" s="195">
        <v>227406</v>
      </c>
      <c r="R8" s="195">
        <v>3721639.6666666665</v>
      </c>
      <c r="S8" s="195"/>
      <c r="T8" s="195">
        <v>3367954.6666666665</v>
      </c>
      <c r="U8" s="195">
        <v>3737501.3333333335</v>
      </c>
      <c r="V8" s="195">
        <v>1621564.3333333333</v>
      </c>
    </row>
    <row r="9" spans="1:22" x14ac:dyDescent="0.25">
      <c r="A9" s="221"/>
      <c r="B9" s="195">
        <v>70542.333333333328</v>
      </c>
      <c r="C9" s="195">
        <v>298197</v>
      </c>
      <c r="D9" s="195">
        <v>719049.66666666663</v>
      </c>
      <c r="E9" s="195">
        <v>512470</v>
      </c>
      <c r="F9" s="195">
        <v>1533811.6666666667</v>
      </c>
      <c r="G9" s="195"/>
      <c r="H9" s="195">
        <v>3529011.3333333335</v>
      </c>
      <c r="I9" s="195">
        <v>245326.33333333334</v>
      </c>
      <c r="J9" s="195">
        <v>21709.333333333332</v>
      </c>
      <c r="K9" s="195">
        <v>20865.666666666668</v>
      </c>
      <c r="L9" s="195">
        <v>149621</v>
      </c>
      <c r="M9" s="195">
        <v>682726</v>
      </c>
      <c r="N9" s="3"/>
      <c r="O9" s="195">
        <v>1112025</v>
      </c>
      <c r="P9" s="195">
        <v>2215838.3333333335</v>
      </c>
      <c r="Q9" s="195">
        <v>108769.66666666667</v>
      </c>
      <c r="R9" s="195">
        <v>260842.33333333334</v>
      </c>
      <c r="S9" s="195">
        <v>3591809.6666666665</v>
      </c>
      <c r="T9" s="195">
        <v>1473803</v>
      </c>
      <c r="U9" s="195">
        <v>4666397.333333333</v>
      </c>
      <c r="V9" s="195">
        <v>235254</v>
      </c>
    </row>
    <row r="10" spans="1:22" x14ac:dyDescent="0.25">
      <c r="A10" s="221"/>
      <c r="B10" s="195"/>
      <c r="C10" s="195">
        <v>161892.66666666666</v>
      </c>
      <c r="D10" s="195">
        <v>102619.66666666667</v>
      </c>
      <c r="E10" s="195">
        <v>115467.66666666667</v>
      </c>
      <c r="F10" s="195">
        <v>3292459</v>
      </c>
      <c r="G10" s="195">
        <v>2678775.5</v>
      </c>
      <c r="H10" s="195">
        <v>6114785.666666667</v>
      </c>
      <c r="I10" s="195">
        <v>416779.33333333331</v>
      </c>
      <c r="J10" s="195">
        <v>65084.333333333336</v>
      </c>
      <c r="K10" s="195">
        <v>395877.33333333331</v>
      </c>
      <c r="L10" s="195">
        <v>48451</v>
      </c>
      <c r="M10" s="195">
        <v>20375.5</v>
      </c>
      <c r="N10" s="3"/>
      <c r="O10" s="195">
        <v>122540.66666666667</v>
      </c>
      <c r="P10" s="195">
        <v>3174180</v>
      </c>
      <c r="Q10" s="195">
        <v>283834.33333333331</v>
      </c>
      <c r="R10" s="195">
        <v>3715223</v>
      </c>
      <c r="S10" s="195">
        <v>3069411.5</v>
      </c>
      <c r="T10" s="195">
        <v>2995149.3333333335</v>
      </c>
      <c r="U10" s="195">
        <v>4074142.3333333335</v>
      </c>
      <c r="V10" s="195">
        <v>1194554</v>
      </c>
    </row>
    <row r="11" spans="1:22" x14ac:dyDescent="0.25">
      <c r="A11" s="221"/>
      <c r="B11" s="195">
        <v>183717</v>
      </c>
      <c r="C11" s="195">
        <v>459484</v>
      </c>
      <c r="D11" s="195">
        <v>415308.33333333331</v>
      </c>
      <c r="E11" s="195">
        <v>354225.66666666669</v>
      </c>
      <c r="F11" s="195">
        <v>1379695</v>
      </c>
      <c r="G11" s="195">
        <v>2841483</v>
      </c>
      <c r="H11" s="195">
        <v>5321444.333333333</v>
      </c>
      <c r="I11" s="195">
        <v>532556.66666666663</v>
      </c>
      <c r="J11" s="195">
        <v>47427.333333333336</v>
      </c>
      <c r="K11" s="195">
        <v>144228</v>
      </c>
      <c r="L11" s="195">
        <v>309589</v>
      </c>
      <c r="M11" s="195">
        <v>266221</v>
      </c>
      <c r="N11" s="3"/>
      <c r="O11" s="195">
        <v>4646242</v>
      </c>
      <c r="P11" s="195">
        <v>4456767.666666667</v>
      </c>
      <c r="Q11" s="195">
        <v>89872.333333333328</v>
      </c>
      <c r="R11" s="195">
        <v>2069865.6666666667</v>
      </c>
      <c r="S11" s="195">
        <v>2098207.6666666665</v>
      </c>
      <c r="T11" s="195">
        <v>1754804.6666666667</v>
      </c>
      <c r="U11" s="195">
        <v>224006.66666666666</v>
      </c>
      <c r="V11" s="195">
        <v>3716427</v>
      </c>
    </row>
    <row r="12" spans="1:22" x14ac:dyDescent="0.25">
      <c r="A12" s="221"/>
      <c r="B12" s="195">
        <v>160659.33333333334</v>
      </c>
      <c r="C12" s="195">
        <v>134617.33333333334</v>
      </c>
      <c r="D12" s="195">
        <v>100701.66666666667</v>
      </c>
      <c r="E12" s="195">
        <v>448438.33333333331</v>
      </c>
      <c r="F12" s="195">
        <v>4309886.333333333</v>
      </c>
      <c r="G12" s="195">
        <v>3269892</v>
      </c>
      <c r="H12" s="195">
        <v>6021157.333333333</v>
      </c>
      <c r="I12" s="195">
        <v>316185.66666666669</v>
      </c>
      <c r="J12" s="195">
        <v>326323</v>
      </c>
      <c r="K12" s="195">
        <v>181842.5</v>
      </c>
      <c r="L12" s="195">
        <v>313990.5</v>
      </c>
      <c r="M12" s="195">
        <v>115301.66666666667</v>
      </c>
      <c r="N12" s="3"/>
      <c r="O12" s="195">
        <v>185447.33333333334</v>
      </c>
      <c r="P12" s="195">
        <v>5756025</v>
      </c>
      <c r="Q12" s="195">
        <v>455687.5</v>
      </c>
      <c r="R12" s="195">
        <v>268744.33333333331</v>
      </c>
      <c r="S12" s="195">
        <v>4408403.333333333</v>
      </c>
      <c r="T12" s="195">
        <v>2921449</v>
      </c>
      <c r="U12" s="195">
        <v>2867172.3333333335</v>
      </c>
      <c r="V12" s="195">
        <v>2228279</v>
      </c>
    </row>
    <row r="13" spans="1:22" ht="16.5" x14ac:dyDescent="0.25">
      <c r="A13" s="221"/>
      <c r="B13" s="14"/>
      <c r="C13" s="13"/>
      <c r="D13" s="16"/>
      <c r="E13" s="16"/>
      <c r="F13" s="16"/>
      <c r="G13" s="16"/>
      <c r="H13" s="16"/>
      <c r="I13" s="32"/>
      <c r="J13" s="16"/>
      <c r="K13" s="13"/>
      <c r="L13" s="13"/>
      <c r="M13" s="13"/>
      <c r="N13" s="3"/>
      <c r="O13" s="195">
        <v>2477207</v>
      </c>
      <c r="P13" s="13"/>
      <c r="Q13" s="13"/>
      <c r="R13" s="4"/>
      <c r="S13" s="32"/>
      <c r="T13" s="32"/>
      <c r="U13" s="32"/>
      <c r="V13" s="32"/>
    </row>
    <row r="14" spans="1:22" ht="16.5" x14ac:dyDescent="0.25">
      <c r="A14" s="221"/>
      <c r="B14" s="14"/>
      <c r="C14" s="16"/>
      <c r="D14" s="16"/>
      <c r="E14" s="16"/>
      <c r="F14" s="16"/>
      <c r="G14" s="16"/>
      <c r="H14" s="16"/>
      <c r="I14" s="32"/>
      <c r="J14" s="16"/>
      <c r="K14" s="13"/>
      <c r="L14" s="13"/>
      <c r="M14" s="13"/>
      <c r="N14" s="3"/>
      <c r="O14" s="195">
        <v>981420.33333333337</v>
      </c>
      <c r="P14" s="13"/>
      <c r="Q14" s="13"/>
      <c r="R14" s="4"/>
      <c r="S14" s="32"/>
      <c r="T14" s="32"/>
      <c r="U14" s="32"/>
      <c r="V14" s="32"/>
    </row>
    <row r="15" spans="1:22" ht="16.5" x14ac:dyDescent="0.25">
      <c r="A15" s="221"/>
      <c r="B15" s="14"/>
      <c r="C15" s="16"/>
      <c r="D15" s="16"/>
      <c r="E15" s="16"/>
      <c r="F15" s="16"/>
      <c r="G15" s="16"/>
      <c r="H15" s="16"/>
      <c r="I15" s="32"/>
      <c r="J15" s="16"/>
      <c r="K15" s="13"/>
      <c r="L15" s="13"/>
      <c r="M15" s="13"/>
      <c r="N15" s="3"/>
      <c r="O15" s="195">
        <v>4075735.6666666665</v>
      </c>
      <c r="P15" s="13"/>
      <c r="Q15" s="13"/>
      <c r="R15" s="4"/>
      <c r="S15" s="32"/>
      <c r="T15" s="32"/>
      <c r="U15" s="32"/>
      <c r="V15" s="32"/>
    </row>
    <row r="16" spans="1:22" ht="16.5" x14ac:dyDescent="0.25">
      <c r="A16" s="221"/>
      <c r="B16" s="14"/>
      <c r="C16" s="16"/>
      <c r="D16" s="16"/>
      <c r="E16" s="16"/>
      <c r="F16" s="16"/>
      <c r="G16" s="16"/>
      <c r="H16" s="16"/>
      <c r="I16" s="32"/>
      <c r="J16" s="16"/>
      <c r="K16" s="13"/>
      <c r="L16" s="13"/>
      <c r="M16" s="13"/>
      <c r="N16" s="3"/>
      <c r="O16" s="195">
        <v>701598</v>
      </c>
      <c r="P16" s="13"/>
      <c r="Q16" s="13"/>
      <c r="R16" s="4"/>
      <c r="S16" s="32"/>
      <c r="T16" s="32"/>
      <c r="U16" s="32"/>
      <c r="V16" s="32"/>
    </row>
    <row r="17" spans="1:22" s="1" customFormat="1" ht="16.5" x14ac:dyDescent="0.25">
      <c r="A17" s="221"/>
      <c r="B17" s="14"/>
      <c r="C17" s="32"/>
      <c r="D17" s="32"/>
      <c r="E17" s="32"/>
      <c r="F17" s="32"/>
      <c r="G17" s="32"/>
      <c r="H17" s="32"/>
      <c r="I17" s="32"/>
      <c r="J17" s="32"/>
      <c r="K17" s="13"/>
      <c r="L17" s="13"/>
      <c r="M17" s="13"/>
      <c r="N17" s="3"/>
      <c r="O17" s="195">
        <v>3603086.3333333335</v>
      </c>
      <c r="P17" s="13"/>
      <c r="Q17" s="13"/>
      <c r="R17" s="32"/>
      <c r="S17" s="32"/>
      <c r="T17" s="32"/>
      <c r="U17" s="32"/>
      <c r="V17" s="32"/>
    </row>
    <row r="18" spans="1:22" s="1" customFormat="1" ht="16.5" x14ac:dyDescent="0.25">
      <c r="A18" s="221"/>
      <c r="B18" s="14"/>
      <c r="C18" s="32"/>
      <c r="D18" s="32"/>
      <c r="E18" s="32"/>
      <c r="F18" s="32"/>
      <c r="G18" s="32"/>
      <c r="H18" s="32"/>
      <c r="I18" s="32"/>
      <c r="J18" s="32"/>
      <c r="K18" s="13"/>
      <c r="L18" s="13"/>
      <c r="M18" s="13"/>
      <c r="N18" s="3"/>
      <c r="O18" s="195">
        <v>2866101.5</v>
      </c>
      <c r="P18" s="13"/>
      <c r="Q18" s="13"/>
      <c r="R18" s="32"/>
      <c r="S18" s="32"/>
      <c r="T18" s="32"/>
      <c r="U18" s="32"/>
      <c r="V18" s="32"/>
    </row>
    <row r="19" spans="1:22" s="1" customFormat="1" ht="16.5" x14ac:dyDescent="0.25">
      <c r="A19" s="221"/>
      <c r="B19" s="14"/>
      <c r="C19" s="32"/>
      <c r="D19" s="32"/>
      <c r="E19" s="32"/>
      <c r="F19" s="32"/>
      <c r="G19" s="32"/>
      <c r="H19" s="32"/>
      <c r="I19" s="32"/>
      <c r="J19" s="32"/>
      <c r="K19" s="13"/>
      <c r="L19" s="13"/>
      <c r="M19" s="13"/>
      <c r="N19" s="3"/>
      <c r="O19" s="195">
        <v>2145058.3333333335</v>
      </c>
      <c r="P19" s="13"/>
      <c r="Q19" s="13"/>
      <c r="R19" s="32"/>
      <c r="S19" s="32"/>
      <c r="T19" s="32"/>
      <c r="U19" s="32"/>
      <c r="V19" s="32"/>
    </row>
    <row r="20" spans="1:22" ht="16.5" x14ac:dyDescent="0.25">
      <c r="A20" s="221"/>
      <c r="B20" s="14"/>
      <c r="C20" s="16"/>
      <c r="D20" s="16"/>
      <c r="E20" s="16"/>
      <c r="F20" s="16"/>
      <c r="G20" s="16"/>
      <c r="H20" s="16"/>
      <c r="I20" s="32"/>
      <c r="J20" s="16"/>
      <c r="K20" s="13"/>
      <c r="L20" s="13"/>
      <c r="M20" s="13"/>
      <c r="N20" s="3"/>
      <c r="O20" s="195">
        <v>4242437</v>
      </c>
      <c r="P20" s="13"/>
      <c r="Q20" s="13"/>
      <c r="R20" s="4"/>
      <c r="S20" s="32"/>
      <c r="T20" s="32"/>
      <c r="U20" s="32"/>
      <c r="V20" s="32"/>
    </row>
    <row r="21" spans="1:22" s="1" customFormat="1" ht="16.5" x14ac:dyDescent="0.2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2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Amantadine-0,001mg/L</v>
      </c>
      <c r="J22" s="68" t="str">
        <f t="shared" si="0"/>
        <v>Amantadine-0,01mg/L</v>
      </c>
      <c r="K22" s="68" t="str">
        <f t="shared" si="0"/>
        <v>Amantadine-0,1mg/L</v>
      </c>
      <c r="L22" s="68" t="str">
        <f t="shared" si="0"/>
        <v>Amantadine-1mg/L</v>
      </c>
      <c r="M22" s="68" t="str">
        <f t="shared" si="0"/>
        <v>Amantadine-10mg/L</v>
      </c>
      <c r="N22" s="68" t="s">
        <v>47</v>
      </c>
      <c r="O22" s="68" t="str">
        <f t="shared" ref="O22:V22" si="1">O4</f>
        <v>Testo -30µg/L</v>
      </c>
      <c r="P22" s="68" t="str">
        <f t="shared" si="1"/>
        <v>Testo 30µg/L + EE2 -64ng/L</v>
      </c>
      <c r="Q22" s="68" t="str">
        <f t="shared" si="1"/>
        <v>Testo 30µg/L + FAD-10µg/L</v>
      </c>
      <c r="R22" s="68" t="str">
        <f t="shared" si="1"/>
        <v>Amantadine-0,001mg/L + Testostérone</v>
      </c>
      <c r="S22" s="68" t="str">
        <f t="shared" si="1"/>
        <v>Amantadine-0,01mg/L + Testostérone</v>
      </c>
      <c r="T22" s="68" t="str">
        <f t="shared" si="1"/>
        <v>Amantadine-0,1mg/L + Testostérone</v>
      </c>
      <c r="U22" s="68" t="str">
        <f t="shared" si="1"/>
        <v>Amantadine-1mg/L + Testostérone</v>
      </c>
      <c r="V22" s="68" t="str">
        <f t="shared" si="1"/>
        <v>Amantadine-10mg/L + Testostérone</v>
      </c>
    </row>
    <row r="23" spans="1:22" x14ac:dyDescent="0.25">
      <c r="A23" s="5" t="s">
        <v>0</v>
      </c>
      <c r="B23" s="5">
        <f t="shared" ref="B23:M23" si="2">AVERAGE(B5:B20)</f>
        <v>225707.95238095237</v>
      </c>
      <c r="C23" s="5">
        <f t="shared" si="2"/>
        <v>181760.54166666666</v>
      </c>
      <c r="D23" s="5">
        <f t="shared" si="2"/>
        <v>245839.14583333334</v>
      </c>
      <c r="E23" s="5">
        <f t="shared" si="2"/>
        <v>446206.79166666669</v>
      </c>
      <c r="F23" s="5">
        <f t="shared" si="2"/>
        <v>2007337.0416666665</v>
      </c>
      <c r="G23" s="5">
        <f t="shared" si="2"/>
        <v>3575950.9285714286</v>
      </c>
      <c r="H23" s="5">
        <f t="shared" si="2"/>
        <v>5589797.541666667</v>
      </c>
      <c r="I23" s="5">
        <f t="shared" si="2"/>
        <v>349767.91666666663</v>
      </c>
      <c r="J23" s="5">
        <f t="shared" si="2"/>
        <v>132029.375</v>
      </c>
      <c r="K23" s="5">
        <f t="shared" si="2"/>
        <v>204570.0625</v>
      </c>
      <c r="L23" s="5">
        <f t="shared" si="2"/>
        <v>217489.02083333334</v>
      </c>
      <c r="M23" s="5">
        <f t="shared" si="2"/>
        <v>328794.27083333331</v>
      </c>
      <c r="N23" s="5" t="s">
        <v>0</v>
      </c>
      <c r="O23" s="5">
        <f t="shared" ref="O23:V23" si="3">AVERAGE(O5:O20)</f>
        <v>2246021.427083333</v>
      </c>
      <c r="P23" s="5">
        <f t="shared" si="3"/>
        <v>3473601.5833333335</v>
      </c>
      <c r="Q23" s="5">
        <f t="shared" si="3"/>
        <v>255862.68749999997</v>
      </c>
      <c r="R23" s="5">
        <f t="shared" si="3"/>
        <v>2133193.520833333</v>
      </c>
      <c r="S23" s="5">
        <f t="shared" si="3"/>
        <v>2510555.9285714286</v>
      </c>
      <c r="T23" s="5">
        <f t="shared" si="3"/>
        <v>2544821.0833333335</v>
      </c>
      <c r="U23" s="5">
        <f t="shared" si="3"/>
        <v>3122652.958333333</v>
      </c>
      <c r="V23" s="5">
        <f t="shared" si="3"/>
        <v>1543425.2380952383</v>
      </c>
    </row>
    <row r="24" spans="1:22" x14ac:dyDescent="0.25">
      <c r="A24" s="3" t="s">
        <v>1</v>
      </c>
      <c r="B24" s="3">
        <f t="shared" ref="B24:M24" si="4">STDEV(B5:B20)</f>
        <v>166723.01210551106</v>
      </c>
      <c r="C24" s="3">
        <f t="shared" si="4"/>
        <v>137423.88185625692</v>
      </c>
      <c r="D24" s="3">
        <f t="shared" si="4"/>
        <v>229237.29583755814</v>
      </c>
      <c r="E24" s="3">
        <f t="shared" si="4"/>
        <v>263071.34670528321</v>
      </c>
      <c r="F24" s="3">
        <f t="shared" si="4"/>
        <v>1288408.8240718117</v>
      </c>
      <c r="G24" s="3">
        <f t="shared" si="4"/>
        <v>851661.46163172426</v>
      </c>
      <c r="H24" s="3">
        <f t="shared" si="4"/>
        <v>1620434.1003431049</v>
      </c>
      <c r="I24" s="3">
        <f t="shared" si="4"/>
        <v>160683.45958374694</v>
      </c>
      <c r="J24" s="3">
        <f t="shared" si="4"/>
        <v>125250.19385182066</v>
      </c>
      <c r="K24" s="3">
        <f t="shared" si="4"/>
        <v>120392.60666589552</v>
      </c>
      <c r="L24" s="3">
        <f t="shared" si="4"/>
        <v>164008.56601120287</v>
      </c>
      <c r="M24" s="3">
        <f t="shared" si="4"/>
        <v>281419.05880266969</v>
      </c>
      <c r="N24" s="3" t="s">
        <v>1</v>
      </c>
      <c r="O24" s="3">
        <f t="shared" ref="O24:V24" si="5">STDEV(O5:O20)</f>
        <v>1456739.0688547997</v>
      </c>
      <c r="P24" s="3">
        <f t="shared" si="5"/>
        <v>1279640.1957181969</v>
      </c>
      <c r="Q24" s="3">
        <f t="shared" si="5"/>
        <v>121102.04169777058</v>
      </c>
      <c r="R24" s="3">
        <f t="shared" si="5"/>
        <v>1487810.9667873031</v>
      </c>
      <c r="S24" s="3">
        <f t="shared" si="5"/>
        <v>1669869.1019765362</v>
      </c>
      <c r="T24" s="3">
        <f t="shared" si="5"/>
        <v>803174.74951157137</v>
      </c>
      <c r="U24" s="3">
        <f t="shared" si="5"/>
        <v>1384947.1502770849</v>
      </c>
      <c r="V24" s="3">
        <f t="shared" si="5"/>
        <v>1143860.0481787405</v>
      </c>
    </row>
    <row r="25" spans="1:22" ht="15.75" thickBot="1" x14ac:dyDescent="0.3"/>
    <row r="26" spans="1:22" ht="15.75" thickBot="1" x14ac:dyDescent="0.3">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2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Amantadine-0,001mg/L</v>
      </c>
      <c r="J27" s="35" t="str">
        <f t="shared" si="6"/>
        <v>Amantadine-0,01mg/L</v>
      </c>
      <c r="K27" s="35" t="str">
        <f t="shared" si="6"/>
        <v>Amantadine-0,1mg/L</v>
      </c>
      <c r="L27" s="35" t="str">
        <f t="shared" si="6"/>
        <v>Amantadine-1mg/L</v>
      </c>
      <c r="M27" s="35" t="str">
        <f t="shared" si="6"/>
        <v>Amantadine-10mg/L</v>
      </c>
      <c r="N27" s="3"/>
      <c r="O27" s="36" t="str">
        <f t="shared" ref="O27:V27" si="7">O4</f>
        <v>Testo -30µg/L</v>
      </c>
      <c r="P27" s="36" t="str">
        <f t="shared" si="7"/>
        <v>Testo 30µg/L + EE2 -64ng/L</v>
      </c>
      <c r="Q27" s="36" t="str">
        <f t="shared" si="7"/>
        <v>Testo 30µg/L + FAD-10µg/L</v>
      </c>
      <c r="R27" s="36" t="str">
        <f t="shared" si="7"/>
        <v>Amantadine-0,001mg/L + Testostérone</v>
      </c>
      <c r="S27" s="36" t="str">
        <f t="shared" si="7"/>
        <v>Amantadine-0,01mg/L + Testostérone</v>
      </c>
      <c r="T27" s="36" t="str">
        <f t="shared" si="7"/>
        <v>Amantadine-0,1mg/L + Testostérone</v>
      </c>
      <c r="U27" s="36" t="str">
        <f t="shared" si="7"/>
        <v>Amantadine-1mg/L + Testostérone</v>
      </c>
      <c r="V27" s="36" t="str">
        <f t="shared" si="7"/>
        <v>Amantadine-10mg/L + Testostérone</v>
      </c>
    </row>
    <row r="28" spans="1:22" x14ac:dyDescent="0.25">
      <c r="A28" s="222" t="s">
        <v>34</v>
      </c>
      <c r="B28" s="11">
        <f t="shared" ref="B28:M28" si="8">IF(B5="","",(B5/$O$23))</f>
        <v>0.25070597867413308</v>
      </c>
      <c r="C28" s="11">
        <f t="shared" si="8"/>
        <v>5.045321412946413E-2</v>
      </c>
      <c r="D28" s="11">
        <f t="shared" si="8"/>
        <v>4.8681191853982814E-2</v>
      </c>
      <c r="E28" s="11">
        <f t="shared" si="8"/>
        <v>0.23134270243424004</v>
      </c>
      <c r="F28" s="11">
        <f t="shared" si="8"/>
        <v>0.8983302544090731</v>
      </c>
      <c r="G28" s="11">
        <f t="shared" si="8"/>
        <v>1.9711521656092099</v>
      </c>
      <c r="H28" s="11">
        <f t="shared" si="8"/>
        <v>3.9194033920823252</v>
      </c>
      <c r="I28" s="11">
        <f t="shared" si="8"/>
        <v>0.17427972648876994</v>
      </c>
      <c r="J28" s="11">
        <f t="shared" si="8"/>
        <v>1.0291679791920211E-2</v>
      </c>
      <c r="K28" s="11">
        <f t="shared" si="8"/>
        <v>8.5343798455618222E-2</v>
      </c>
      <c r="L28" s="11">
        <f t="shared" si="8"/>
        <v>0.21176734748147744</v>
      </c>
      <c r="M28" s="11">
        <f t="shared" si="8"/>
        <v>0.35867155597269856</v>
      </c>
      <c r="N28" s="6"/>
      <c r="O28" s="11">
        <f t="shared" ref="O28:V28" si="9">IF(O5="","",(O5/$O$23))</f>
        <v>0.89450541704862885</v>
      </c>
      <c r="P28" s="11">
        <f t="shared" si="9"/>
        <v>1.639708904342831</v>
      </c>
      <c r="Q28" s="11">
        <f t="shared" si="9"/>
        <v>0.10372815853729728</v>
      </c>
      <c r="R28" s="11">
        <f t="shared" si="9"/>
        <v>0.42975621471257397</v>
      </c>
      <c r="S28" s="11">
        <f t="shared" si="9"/>
        <v>1.6951215546850051</v>
      </c>
      <c r="T28" s="11">
        <f t="shared" si="9"/>
        <v>0.7246843894896986</v>
      </c>
      <c r="U28" s="11">
        <f t="shared" si="9"/>
        <v>1.0955127009608479</v>
      </c>
      <c r="V28" s="11">
        <f t="shared" si="9"/>
        <v>0.41835041672785322</v>
      </c>
    </row>
    <row r="29" spans="1:22" x14ac:dyDescent="0.25">
      <c r="A29" s="223"/>
      <c r="B29" s="11">
        <f t="shared" ref="B29:M29" si="10">IF(B6="","",(B6/$O$23))</f>
        <v>4.8402031560835376E-2</v>
      </c>
      <c r="C29" s="11">
        <f t="shared" si="10"/>
        <v>7.4301012739392241E-2</v>
      </c>
      <c r="D29" s="11">
        <f t="shared" si="10"/>
        <v>0.14851884135102841</v>
      </c>
      <c r="E29" s="11">
        <f t="shared" si="10"/>
        <v>0.16712455580656682</v>
      </c>
      <c r="F29" s="11">
        <f t="shared" si="10"/>
        <v>0.51716722407901128</v>
      </c>
      <c r="G29" s="11">
        <f t="shared" si="10"/>
        <v>1.4451027169769926</v>
      </c>
      <c r="H29" s="11">
        <f t="shared" si="10"/>
        <v>2.0301603589721622</v>
      </c>
      <c r="I29" s="11">
        <f t="shared" si="10"/>
        <v>8.6499471609652809E-2</v>
      </c>
      <c r="J29" s="11">
        <f t="shared" si="10"/>
        <v>7.1967256434371837E-2</v>
      </c>
      <c r="K29" s="11">
        <f t="shared" si="10"/>
        <v>0.14973855366853622</v>
      </c>
      <c r="L29" s="11">
        <f t="shared" si="10"/>
        <v>0.15072414830266281</v>
      </c>
      <c r="M29" s="11">
        <f t="shared" si="10"/>
        <v>5.1079209938340191E-2</v>
      </c>
      <c r="N29" s="6"/>
      <c r="O29" s="11">
        <f t="shared" ref="O29:V29" si="11">IF(O6="","",(O6/$O$23))</f>
        <v>1.5238576795077976</v>
      </c>
      <c r="P29" s="11">
        <f t="shared" si="11"/>
        <v>0.72619001478155432</v>
      </c>
      <c r="Q29" s="11">
        <f t="shared" si="11"/>
        <v>0.12993865351453382</v>
      </c>
      <c r="R29" s="11">
        <f t="shared" si="11"/>
        <v>1.1265671687227941</v>
      </c>
      <c r="S29" s="11">
        <f t="shared" si="11"/>
        <v>0.17493451394935819</v>
      </c>
      <c r="T29" s="11">
        <f t="shared" si="11"/>
        <v>1.539913180833459</v>
      </c>
      <c r="U29" s="11">
        <f t="shared" si="11"/>
        <v>1.3026478575493334</v>
      </c>
      <c r="V29" s="11" t="str">
        <f t="shared" si="11"/>
        <v/>
      </c>
    </row>
    <row r="30" spans="1:22" x14ac:dyDescent="0.25">
      <c r="A30" s="223"/>
      <c r="B30" s="11">
        <f t="shared" ref="B30:M30" si="12">IF(B7="","",(B7/$O$23))</f>
        <v>0.13851604274497289</v>
      </c>
      <c r="C30" s="11">
        <f t="shared" si="12"/>
        <v>6.095964402461896E-3</v>
      </c>
      <c r="D30" s="11">
        <f t="shared" si="12"/>
        <v>4.9207752577048784E-2</v>
      </c>
      <c r="E30" s="11">
        <f t="shared" si="12"/>
        <v>0.10742625326597764</v>
      </c>
      <c r="F30" s="11">
        <f t="shared" si="12"/>
        <v>8.4284592175877013E-2</v>
      </c>
      <c r="G30" s="11">
        <f t="shared" si="12"/>
        <v>1.5808034110983573</v>
      </c>
      <c r="H30" s="11">
        <f t="shared" si="12"/>
        <v>1.8760143822277373</v>
      </c>
      <c r="I30" s="11">
        <f t="shared" si="12"/>
        <v>0.25814045806005947</v>
      </c>
      <c r="J30" s="11">
        <f t="shared" si="12"/>
        <v>4.1973775879076775E-2</v>
      </c>
      <c r="K30" s="11">
        <f t="shared" si="12"/>
        <v>5.2408078234375342E-2</v>
      </c>
      <c r="L30" s="11">
        <f t="shared" si="12"/>
        <v>1.1883680038912513E-2</v>
      </c>
      <c r="M30" s="11">
        <f t="shared" si="12"/>
        <v>0.10647909697099257</v>
      </c>
      <c r="N30" s="6"/>
      <c r="O30" s="11">
        <f t="shared" ref="O30:V30" si="13">IF(O7="","",(O7/$O$23))</f>
        <v>0.92399667621529502</v>
      </c>
      <c r="P30" s="11">
        <f t="shared" si="13"/>
        <v>1.6608057645190637</v>
      </c>
      <c r="Q30" s="11">
        <f t="shared" si="13"/>
        <v>0.15873000840555762</v>
      </c>
      <c r="R30" s="11">
        <f t="shared" si="13"/>
        <v>1.5733142424152353</v>
      </c>
      <c r="S30" s="11">
        <f t="shared" si="13"/>
        <v>9.1661339847803211E-2</v>
      </c>
      <c r="T30" s="11">
        <f t="shared" si="13"/>
        <v>1.2284269865208925</v>
      </c>
      <c r="U30" s="11">
        <f t="shared" si="13"/>
        <v>1.7923620933102093</v>
      </c>
      <c r="V30" s="11">
        <f t="shared" si="13"/>
        <v>0.38658328138074266</v>
      </c>
    </row>
    <row r="31" spans="1:22" x14ac:dyDescent="0.25">
      <c r="A31" s="223"/>
      <c r="B31" s="11">
        <f t="shared" ref="B31:M31" si="14">IF(B8="","",(B8/$O$23))</f>
        <v>8.108738314064301E-2</v>
      </c>
      <c r="C31" s="11">
        <f t="shared" si="14"/>
        <v>4.7195008347561546E-2</v>
      </c>
      <c r="D31" s="11">
        <f t="shared" si="14"/>
        <v>3.3658034493836482E-2</v>
      </c>
      <c r="E31" s="11">
        <f t="shared" si="14"/>
        <v>0.44648060250352783</v>
      </c>
      <c r="F31" s="11">
        <f t="shared" si="14"/>
        <v>0.96806808717323711</v>
      </c>
      <c r="G31" s="11">
        <f t="shared" si="14"/>
        <v>2.2341754800248483</v>
      </c>
      <c r="H31" s="11">
        <f t="shared" si="14"/>
        <v>2.7406530613528348</v>
      </c>
      <c r="I31" s="11">
        <f t="shared" si="14"/>
        <v>5.4225068914334956E-2</v>
      </c>
      <c r="J31" s="11">
        <f t="shared" si="14"/>
        <v>0.14098782088552075</v>
      </c>
      <c r="K31" s="11">
        <f t="shared" si="14"/>
        <v>0.11043409040644497</v>
      </c>
      <c r="L31" s="11">
        <f t="shared" si="14"/>
        <v>3.4463607099474054E-2</v>
      </c>
      <c r="M31" s="11">
        <f t="shared" si="14"/>
        <v>0.17197817527870593</v>
      </c>
      <c r="N31" s="6"/>
      <c r="O31" s="11">
        <f t="shared" ref="O31:V31" si="15">IF(O8="","",(O8/$O$23))</f>
        <v>0.56563663404127618</v>
      </c>
      <c r="P31" s="11">
        <f t="shared" si="15"/>
        <v>1.3988898898203133</v>
      </c>
      <c r="Q31" s="11">
        <f t="shared" si="15"/>
        <v>0.10124836622565429</v>
      </c>
      <c r="R31" s="11">
        <f t="shared" si="15"/>
        <v>1.6569920579518072</v>
      </c>
      <c r="S31" s="11" t="str">
        <f t="shared" si="15"/>
        <v/>
      </c>
      <c r="T31" s="11">
        <f t="shared" si="15"/>
        <v>1.4995202744081866</v>
      </c>
      <c r="U31" s="11">
        <f t="shared" si="15"/>
        <v>1.6640541752029612</v>
      </c>
      <c r="V31" s="11">
        <f t="shared" si="15"/>
        <v>0.72197188939514478</v>
      </c>
    </row>
    <row r="32" spans="1:22" x14ac:dyDescent="0.25">
      <c r="A32" s="223"/>
      <c r="B32" s="11">
        <f t="shared" ref="B32:M32" si="16">IF(B9="","",(B9/$O$23))</f>
        <v>3.1407684932435877E-2</v>
      </c>
      <c r="C32" s="11">
        <f t="shared" si="16"/>
        <v>0.1327667654476638</v>
      </c>
      <c r="D32" s="11">
        <f t="shared" si="16"/>
        <v>0.32014372525395685</v>
      </c>
      <c r="E32" s="11">
        <f t="shared" si="16"/>
        <v>0.22816790339595727</v>
      </c>
      <c r="F32" s="11">
        <f t="shared" si="16"/>
        <v>0.68290161802172267</v>
      </c>
      <c r="G32" s="11" t="str">
        <f t="shared" si="16"/>
        <v/>
      </c>
      <c r="H32" s="11">
        <f t="shared" si="16"/>
        <v>1.5712278123348458</v>
      </c>
      <c r="I32" s="11">
        <f t="shared" si="16"/>
        <v>0.10922706719317114</v>
      </c>
      <c r="J32" s="11">
        <f t="shared" si="16"/>
        <v>9.6656839830441474E-3</v>
      </c>
      <c r="K32" s="11">
        <f t="shared" si="16"/>
        <v>9.2900568156033449E-3</v>
      </c>
      <c r="L32" s="11">
        <f t="shared" si="16"/>
        <v>6.6616016301454764E-2</v>
      </c>
      <c r="M32" s="11">
        <f t="shared" si="16"/>
        <v>0.30397127639453686</v>
      </c>
      <c r="N32" s="6"/>
      <c r="O32" s="11">
        <f t="shared" ref="O32:V32" si="17">IF(O9="","",(O9/$O$23))</f>
        <v>0.49510881178193722</v>
      </c>
      <c r="P32" s="11">
        <f t="shared" si="17"/>
        <v>0.98656152902815575</v>
      </c>
      <c r="Q32" s="11">
        <f t="shared" si="17"/>
        <v>4.8427706590454998E-2</v>
      </c>
      <c r="R32" s="11">
        <f t="shared" si="17"/>
        <v>0.11613528267718322</v>
      </c>
      <c r="S32" s="11">
        <f t="shared" si="17"/>
        <v>1.5991876227694606</v>
      </c>
      <c r="T32" s="11">
        <f t="shared" si="17"/>
        <v>0.65618385569627879</v>
      </c>
      <c r="U32" s="11">
        <f t="shared" si="17"/>
        <v>2.0776281459581099</v>
      </c>
      <c r="V32" s="11">
        <f t="shared" si="17"/>
        <v>0.10474254482313605</v>
      </c>
    </row>
    <row r="33" spans="1:22" x14ac:dyDescent="0.25">
      <c r="A33" s="223"/>
      <c r="B33" s="11" t="str">
        <f t="shared" ref="B33:M33" si="18">IF(B10="","",(B10/$O$23))</f>
        <v/>
      </c>
      <c r="C33" s="11">
        <f t="shared" si="18"/>
        <v>7.2079751650855478E-2</v>
      </c>
      <c r="D33" s="11">
        <f t="shared" si="18"/>
        <v>4.5689531466281609E-2</v>
      </c>
      <c r="E33" s="11">
        <f t="shared" si="18"/>
        <v>5.1409868701302701E-2</v>
      </c>
      <c r="F33" s="11">
        <f t="shared" si="18"/>
        <v>1.4659072083188285</v>
      </c>
      <c r="G33" s="11">
        <f t="shared" si="18"/>
        <v>1.1926758434707536</v>
      </c>
      <c r="H33" s="11">
        <f t="shared" si="18"/>
        <v>2.7224965857103522</v>
      </c>
      <c r="I33" s="11">
        <f t="shared" si="18"/>
        <v>0.18556338256957766</v>
      </c>
      <c r="J33" s="11">
        <f t="shared" si="18"/>
        <v>2.8977610163697938E-2</v>
      </c>
      <c r="K33" s="11">
        <f t="shared" si="18"/>
        <v>0.1762571490012082</v>
      </c>
      <c r="L33" s="11">
        <f t="shared" si="18"/>
        <v>2.1571922429483727E-2</v>
      </c>
      <c r="M33" s="11">
        <f t="shared" si="18"/>
        <v>9.0718190638365698E-3</v>
      </c>
      <c r="N33" s="6"/>
      <c r="O33" s="11">
        <f t="shared" ref="O33:V33" si="19">IF(O10="","",(O10/$O$23))</f>
        <v>5.4558992709965858E-2</v>
      </c>
      <c r="P33" s="11">
        <f t="shared" si="19"/>
        <v>1.4132456448209254</v>
      </c>
      <c r="Q33" s="11">
        <f t="shared" si="19"/>
        <v>0.12637205055604411</v>
      </c>
      <c r="R33" s="11">
        <f t="shared" si="19"/>
        <v>1.6541351543669649</v>
      </c>
      <c r="S33" s="11">
        <f t="shared" si="19"/>
        <v>1.3665993845775173</v>
      </c>
      <c r="T33" s="11">
        <f t="shared" si="19"/>
        <v>1.3335355118240402</v>
      </c>
      <c r="U33" s="11">
        <f t="shared" si="19"/>
        <v>1.8139374291829375</v>
      </c>
      <c r="V33" s="11">
        <f t="shared" si="19"/>
        <v>0.53185334102143411</v>
      </c>
    </row>
    <row r="34" spans="1:22" x14ac:dyDescent="0.25">
      <c r="A34" s="223"/>
      <c r="B34" s="11">
        <f t="shared" ref="B34:M34" si="20">IF(B11="","",(B11/$O$23))</f>
        <v>8.1796637282563034E-2</v>
      </c>
      <c r="C34" s="11">
        <f t="shared" si="20"/>
        <v>0.20457685508222537</v>
      </c>
      <c r="D34" s="11">
        <f t="shared" si="20"/>
        <v>0.18490844669841358</v>
      </c>
      <c r="E34" s="11">
        <f t="shared" si="20"/>
        <v>0.15771250549762633</v>
      </c>
      <c r="F34" s="11">
        <f t="shared" si="20"/>
        <v>0.61428398828396835</v>
      </c>
      <c r="G34" s="11">
        <f t="shared" si="20"/>
        <v>1.2651183847742402</v>
      </c>
      <c r="H34" s="11">
        <f t="shared" si="20"/>
        <v>2.3692758533669562</v>
      </c>
      <c r="I34" s="11">
        <f t="shared" si="20"/>
        <v>0.23711112469583195</v>
      </c>
      <c r="J34" s="11">
        <f t="shared" si="20"/>
        <v>2.1116153551091508E-2</v>
      </c>
      <c r="K34" s="11">
        <f t="shared" si="20"/>
        <v>6.4214881595004825E-2</v>
      </c>
      <c r="L34" s="11">
        <f t="shared" si="20"/>
        <v>0.13783884528743343</v>
      </c>
      <c r="M34" s="11">
        <f t="shared" si="20"/>
        <v>0.1185300357288722</v>
      </c>
      <c r="N34" s="6"/>
      <c r="O34" s="11">
        <f t="shared" ref="O34:V34" si="21">IF(O11="","",(O11/$O$23))</f>
        <v>2.068654352079613</v>
      </c>
      <c r="P34" s="11">
        <f t="shared" si="21"/>
        <v>1.9842943673312115</v>
      </c>
      <c r="Q34" s="11">
        <f t="shared" si="21"/>
        <v>4.0014014225162972E-2</v>
      </c>
      <c r="R34" s="11">
        <f t="shared" si="21"/>
        <v>0.92156986647922556</v>
      </c>
      <c r="S34" s="11">
        <f t="shared" si="21"/>
        <v>0.93418862410025338</v>
      </c>
      <c r="T34" s="11">
        <f t="shared" si="21"/>
        <v>0.781294713178869</v>
      </c>
      <c r="U34" s="11">
        <f t="shared" si="21"/>
        <v>9.9734875173279211E-2</v>
      </c>
      <c r="V34" s="11">
        <f t="shared" si="21"/>
        <v>1.6546712133668844</v>
      </c>
    </row>
    <row r="35" spans="1:22" x14ac:dyDescent="0.25">
      <c r="A35" s="223"/>
      <c r="B35" s="11">
        <f t="shared" ref="B35:M35" si="22">IF(B12="","",(B12/$O$23))</f>
        <v>7.1530632520262455E-2</v>
      </c>
      <c r="C35" s="11">
        <f t="shared" si="22"/>
        <v>5.9935907872502546E-2</v>
      </c>
      <c r="D35" s="11">
        <f t="shared" si="22"/>
        <v>4.4835577012921519E-2</v>
      </c>
      <c r="E35" s="11">
        <f t="shared" si="22"/>
        <v>0.19965897383074926</v>
      </c>
      <c r="F35" s="11">
        <f t="shared" si="22"/>
        <v>1.9188981375525522</v>
      </c>
      <c r="G35" s="11">
        <f t="shared" si="22"/>
        <v>1.4558596639241586</v>
      </c>
      <c r="H35" s="11">
        <f t="shared" si="22"/>
        <v>2.6808102811166696</v>
      </c>
      <c r="I35" s="11">
        <f t="shared" si="22"/>
        <v>0.14077589058322701</v>
      </c>
      <c r="J35" s="11">
        <f t="shared" si="22"/>
        <v>0.1452893530155501</v>
      </c>
      <c r="K35" s="11">
        <f t="shared" si="22"/>
        <v>8.0962050409349534E-2</v>
      </c>
      <c r="L35" s="11">
        <f t="shared" si="22"/>
        <v>0.13979853273605933</v>
      </c>
      <c r="M35" s="11">
        <f t="shared" si="22"/>
        <v>5.1335960234536397E-2</v>
      </c>
      <c r="N35" s="6"/>
      <c r="O35" s="11">
        <f t="shared" ref="O35:V35" si="23">IF(O12="","",(O12/$O$23))</f>
        <v>8.2567036581727496E-2</v>
      </c>
      <c r="P35" s="11">
        <f t="shared" si="23"/>
        <v>2.5627649543284776</v>
      </c>
      <c r="Q35" s="11">
        <f t="shared" si="23"/>
        <v>0.20288653282874172</v>
      </c>
      <c r="R35" s="11">
        <f t="shared" si="23"/>
        <v>0.11965350378795038</v>
      </c>
      <c r="S35" s="11">
        <f t="shared" si="23"/>
        <v>1.9627610316514448</v>
      </c>
      <c r="T35" s="11">
        <f t="shared" si="23"/>
        <v>1.3007217850961343</v>
      </c>
      <c r="U35" s="11">
        <f t="shared" si="23"/>
        <v>1.2765560910327656</v>
      </c>
      <c r="V35" s="11">
        <f t="shared" si="23"/>
        <v>0.99210050853950527</v>
      </c>
    </row>
    <row r="36" spans="1:22" s="1" customFormat="1" x14ac:dyDescent="0.2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1.1029311520045839</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2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0.43695947042134797</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2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1.8146468317354332</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2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0.31237368955606537</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2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1.6042083525499911</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2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1.2760793220578925</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2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0.95504802735514882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2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1.8888675543532982</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25">
      <c r="A44" s="7"/>
      <c r="B44" s="3"/>
      <c r="C44" s="3"/>
      <c r="D44" s="3"/>
      <c r="E44" s="3"/>
      <c r="F44" s="3"/>
      <c r="G44" s="3"/>
      <c r="H44" s="3"/>
      <c r="I44" s="3"/>
      <c r="J44" s="3"/>
      <c r="N44" s="7"/>
      <c r="O44" s="3"/>
      <c r="P44" s="3"/>
      <c r="Q44" s="3"/>
      <c r="R44" s="3"/>
      <c r="S44" s="3"/>
      <c r="T44" s="3"/>
      <c r="U44" s="3"/>
      <c r="V44" s="3"/>
    </row>
    <row r="45" spans="1:22" s="69" customFormat="1" x14ac:dyDescent="0.2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Amantadine-0,001mg/L</v>
      </c>
      <c r="J45" s="70" t="str">
        <f t="shared" si="46"/>
        <v>Amantadine-0,01mg/L</v>
      </c>
      <c r="K45" s="70" t="str">
        <f t="shared" si="46"/>
        <v>Amantadine-0,1mg/L</v>
      </c>
      <c r="L45" s="70" t="str">
        <f t="shared" si="46"/>
        <v>Amantadine-1mg/L</v>
      </c>
      <c r="M45" s="70" t="str">
        <f t="shared" si="46"/>
        <v>Amantadine-10mg/L</v>
      </c>
      <c r="N45" s="70" t="str">
        <f>N22</f>
        <v>Nom des groupes</v>
      </c>
      <c r="O45" s="70" t="str">
        <f t="shared" ref="O45:V45" si="47">O4</f>
        <v>Testo -30µg/L</v>
      </c>
      <c r="P45" s="70" t="str">
        <f t="shared" si="47"/>
        <v>Testo 30µg/L + EE2 -64ng/L</v>
      </c>
      <c r="Q45" s="70" t="str">
        <f t="shared" si="47"/>
        <v>Testo 30µg/L + FAD-10µg/L</v>
      </c>
      <c r="R45" s="70" t="str">
        <f t="shared" si="47"/>
        <v>Amantadine-0,001mg/L + Testostérone</v>
      </c>
      <c r="S45" s="70" t="str">
        <f t="shared" si="47"/>
        <v>Amantadine-0,01mg/L + Testostérone</v>
      </c>
      <c r="T45" s="70" t="str">
        <f t="shared" si="47"/>
        <v>Amantadine-0,1mg/L + Testostérone</v>
      </c>
      <c r="U45" s="70" t="str">
        <f t="shared" si="47"/>
        <v>Amantadine-1mg/L + Testostérone</v>
      </c>
      <c r="V45" s="70" t="str">
        <f t="shared" si="47"/>
        <v>Amantadine-10mg/L + Testostérone</v>
      </c>
    </row>
    <row r="46" spans="1:22" x14ac:dyDescent="0.25">
      <c r="A46" s="8" t="s">
        <v>0</v>
      </c>
      <c r="B46" s="10">
        <f t="shared" ref="B46:H46" si="48">AVERAGE(B28:B43)</f>
        <v>0.1004923415508351</v>
      </c>
      <c r="C46" s="10">
        <f t="shared" si="48"/>
        <v>8.0925559959015875E-2</v>
      </c>
      <c r="D46" s="10">
        <f t="shared" si="48"/>
        <v>0.10945538758843375</v>
      </c>
      <c r="E46" s="10">
        <f t="shared" si="48"/>
        <v>0.1986654206794935</v>
      </c>
      <c r="F46" s="10">
        <f t="shared" si="48"/>
        <v>0.89373013875178386</v>
      </c>
      <c r="G46" s="10">
        <f t="shared" si="48"/>
        <v>1.5921268094112231</v>
      </c>
      <c r="H46" s="10">
        <f t="shared" si="48"/>
        <v>2.4887552158954853</v>
      </c>
      <c r="I46" s="10">
        <f>AVERAGE(I28:I43)</f>
        <v>0.15572777376432811</v>
      </c>
      <c r="J46" s="9">
        <f>AVERAGE(J28:J43)</f>
        <v>5.8783666713034158E-2</v>
      </c>
      <c r="K46" s="9">
        <f>AVERAGE(K28:K43)</f>
        <v>9.1081082323267587E-2</v>
      </c>
      <c r="L46" s="9">
        <f t="shared" ref="L46:M46" si="49">AVERAGE(L28:L43)</f>
        <v>9.6833012459619755E-2</v>
      </c>
      <c r="M46" s="9">
        <f t="shared" si="49"/>
        <v>0.14638964119781492</v>
      </c>
      <c r="N46" s="8" t="s">
        <v>0</v>
      </c>
      <c r="O46" s="10">
        <f>AVERAGE(O28:O43)</f>
        <v>1</v>
      </c>
      <c r="P46" s="10">
        <f>AVERAGE(P28:P43)</f>
        <v>1.5465576336215665</v>
      </c>
      <c r="Q46" s="10">
        <f>AVERAGE(Q28:Q43)</f>
        <v>0.11391818636043084</v>
      </c>
      <c r="R46" s="10">
        <f>AVERAGE(R28:R43)</f>
        <v>0.94976543638921662</v>
      </c>
      <c r="S46" s="10">
        <f t="shared" ref="S46:V46" si="50">AVERAGE(S28:S43)</f>
        <v>1.1177791530829775</v>
      </c>
      <c r="T46" s="10">
        <f t="shared" si="50"/>
        <v>1.1330350871309449</v>
      </c>
      <c r="U46" s="10">
        <f t="shared" si="50"/>
        <v>1.3903041710463055</v>
      </c>
      <c r="V46" s="10">
        <f t="shared" si="50"/>
        <v>0.68718188503638589</v>
      </c>
    </row>
    <row r="47" spans="1:22" x14ac:dyDescent="0.25">
      <c r="A47" s="8" t="s">
        <v>1</v>
      </c>
      <c r="B47" s="8">
        <f t="shared" ref="B47:K47" si="51">STDEV(B28:B43)</f>
        <v>7.4230374695051921E-2</v>
      </c>
      <c r="C47" s="8">
        <f t="shared" si="51"/>
        <v>6.1185472319698481E-2</v>
      </c>
      <c r="D47" s="8">
        <f t="shared" si="51"/>
        <v>0.1020637172349883</v>
      </c>
      <c r="E47" s="8">
        <f t="shared" si="51"/>
        <v>0.11712771015141457</v>
      </c>
      <c r="F47" s="8">
        <f t="shared" si="51"/>
        <v>0.5736404864778738</v>
      </c>
      <c r="G47" s="8">
        <f t="shared" si="51"/>
        <v>0.37918670381416708</v>
      </c>
      <c r="H47" s="8">
        <f t="shared" si="51"/>
        <v>0.72146867380841839</v>
      </c>
      <c r="I47" s="8">
        <f>STDEV(I28:I43)</f>
        <v>7.1541374292412335E-2</v>
      </c>
      <c r="J47" s="8">
        <f t="shared" si="51"/>
        <v>5.5765360179341479E-2</v>
      </c>
      <c r="K47" s="8">
        <f t="shared" si="51"/>
        <v>5.3602608245031949E-2</v>
      </c>
      <c r="L47" s="8">
        <f t="shared" ref="L47:M47" si="52">STDEV(L28:L43)</f>
        <v>7.3021817171256123E-2</v>
      </c>
      <c r="M47" s="8">
        <f t="shared" si="52"/>
        <v>0.12529669370435101</v>
      </c>
      <c r="N47" s="8" t="s">
        <v>1</v>
      </c>
      <c r="O47" s="8">
        <f>STDEV(O28:O43)</f>
        <v>0.6485864521544259</v>
      </c>
      <c r="P47" s="8">
        <f>STDEV(P28:P43)</f>
        <v>0.56973641492811999</v>
      </c>
      <c r="Q47" s="8">
        <f>STDEV(Q28:Q43)</f>
        <v>5.3918471229828305E-2</v>
      </c>
      <c r="R47" s="8">
        <f>STDEV(R28:R43)</f>
        <v>0.66242064694786262</v>
      </c>
      <c r="S47" s="8">
        <f t="shared" ref="S47:V47" si="53">STDEV(S28:S43)</f>
        <v>0.74347870498502622</v>
      </c>
      <c r="T47" s="8">
        <f t="shared" si="53"/>
        <v>0.35759888121573646</v>
      </c>
      <c r="U47" s="8">
        <f t="shared" si="53"/>
        <v>0.61662241222496561</v>
      </c>
      <c r="V47" s="8">
        <f t="shared" si="53"/>
        <v>0.50928278527785409</v>
      </c>
    </row>
    <row r="48" spans="1:22" x14ac:dyDescent="0.25">
      <c r="A48" s="8" t="s">
        <v>2</v>
      </c>
      <c r="B48" s="8">
        <f t="shared" ref="B48:K48" si="54" xml:space="preserve"> B47/SQRT(COUNT(B28:B43))</f>
        <v>2.8056444452892775E-2</v>
      </c>
      <c r="C48" s="8">
        <f t="shared" si="54"/>
        <v>2.1632331193680295E-2</v>
      </c>
      <c r="D48" s="8">
        <f t="shared" si="54"/>
        <v>3.6084973284983266E-2</v>
      </c>
      <c r="E48" s="8">
        <f t="shared" si="54"/>
        <v>4.1410899056458832E-2</v>
      </c>
      <c r="F48" s="8">
        <f t="shared" si="54"/>
        <v>0.20281253897582727</v>
      </c>
      <c r="G48" s="8">
        <f t="shared" si="54"/>
        <v>0.14331910267922759</v>
      </c>
      <c r="H48" s="8">
        <f t="shared" si="54"/>
        <v>0.25507769583179896</v>
      </c>
      <c r="I48" s="8">
        <f xml:space="preserve"> I47/SQRT(COUNT(I28:I43))</f>
        <v>2.5293695448784851E-2</v>
      </c>
      <c r="J48" s="8">
        <f t="shared" si="54"/>
        <v>1.9716032169061311E-2</v>
      </c>
      <c r="K48" s="8">
        <f t="shared" si="54"/>
        <v>1.8951383889674017E-2</v>
      </c>
      <c r="L48" s="8">
        <f t="shared" ref="L48:M48" si="55" xml:space="preserve"> L47/SQRT(COUNT(L28:L43))</f>
        <v>2.5817111048179738E-2</v>
      </c>
      <c r="M48" s="8">
        <f t="shared" si="55"/>
        <v>4.4299070889300192E-2</v>
      </c>
      <c r="N48" s="8" t="s">
        <v>2</v>
      </c>
      <c r="O48" s="8">
        <f xml:space="preserve"> O47/SQRT(COUNT(O28:O43))</f>
        <v>0.16214661303860647</v>
      </c>
      <c r="P48" s="8">
        <f xml:space="preserve"> P47/SQRT(COUNT(P28:P43))</f>
        <v>0.20143224124229309</v>
      </c>
      <c r="Q48" s="8">
        <f xml:space="preserve"> Q47/SQRT(COUNT(Q28:Q43))</f>
        <v>1.9063058318911679E-2</v>
      </c>
      <c r="R48" s="8">
        <f xml:space="preserve"> R47/SQRT(COUNT(R28:R43))</f>
        <v>0.23420106572740676</v>
      </c>
      <c r="S48" s="8">
        <f t="shared" ref="S48:V48" si="56" xml:space="preserve"> S47/SQRT(COUNT(S28:S43))</f>
        <v>0.28100853692324812</v>
      </c>
      <c r="T48" s="8">
        <f t="shared" si="56"/>
        <v>0.12643029692618496</v>
      </c>
      <c r="U48" s="8">
        <f t="shared" si="56"/>
        <v>0.21800894455793993</v>
      </c>
      <c r="V48" s="8">
        <f t="shared" si="56"/>
        <v>0.19249079955021553</v>
      </c>
    </row>
    <row r="49" spans="1:22" s="1" customFormat="1"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c r="A51"/>
      <c r="B51"/>
      <c r="C51"/>
      <c r="D51"/>
      <c r="E51"/>
      <c r="F51"/>
      <c r="G51"/>
      <c r="H51"/>
      <c r="I51"/>
      <c r="J51"/>
      <c r="K51"/>
      <c r="L51"/>
      <c r="M51"/>
      <c r="S51"/>
      <c r="T51"/>
      <c r="U51"/>
      <c r="V51"/>
    </row>
    <row r="52" spans="1:22" x14ac:dyDescent="0.2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Amantadine-0,001mg/L</v>
      </c>
      <c r="J52" s="46" t="str">
        <f>J4</f>
        <v>Amantadine-0,01mg/L</v>
      </c>
      <c r="K52" s="46" t="str">
        <f>K27</f>
        <v>Amantadine-0,1mg/L</v>
      </c>
      <c r="L52" s="46" t="str">
        <f t="shared" ref="L52:M52" si="58">L27</f>
        <v>Amantadine-1mg/L</v>
      </c>
      <c r="M52" s="46" t="str">
        <f t="shared" si="58"/>
        <v>Amantadine-10mg/L</v>
      </c>
      <c r="N52" s="47"/>
      <c r="O52" s="46" t="str">
        <f>O27</f>
        <v>Testo -30µg/L</v>
      </c>
      <c r="P52" s="46" t="str">
        <f>P27</f>
        <v>Testo 30µg/L + EE2 -64ng/L</v>
      </c>
      <c r="Q52" s="46" t="str">
        <f>Q27</f>
        <v>Testo 30µg/L + FAD-10µg/L</v>
      </c>
      <c r="R52" s="46" t="str">
        <f>R27</f>
        <v>Amantadine-0,001mg/L + Testostérone</v>
      </c>
      <c r="S52" s="46" t="str">
        <f t="shared" ref="S52:V52" si="59">S27</f>
        <v>Amantadine-0,01mg/L + Testostérone</v>
      </c>
      <c r="T52" s="46" t="str">
        <f t="shared" si="59"/>
        <v>Amantadine-0,1mg/L + Testostérone</v>
      </c>
      <c r="U52" s="46" t="str">
        <f t="shared" si="59"/>
        <v>Amantadine-1mg/L + Testostérone</v>
      </c>
      <c r="V52" s="46" t="str">
        <f t="shared" si="59"/>
        <v>Amantadine-10mg/L + Testostérone</v>
      </c>
    </row>
    <row r="53" spans="1:22" s="3" customFormat="1" x14ac:dyDescent="0.25">
      <c r="A53" s="61" t="s">
        <v>32</v>
      </c>
      <c r="B53" s="141">
        <f t="shared" ref="B53:M53" si="60">B46</f>
        <v>0.1004923415508351</v>
      </c>
      <c r="C53" s="141">
        <f t="shared" si="60"/>
        <v>8.0925559959015875E-2</v>
      </c>
      <c r="D53" s="141">
        <f t="shared" si="60"/>
        <v>0.10945538758843375</v>
      </c>
      <c r="E53" s="141">
        <f t="shared" si="60"/>
        <v>0.1986654206794935</v>
      </c>
      <c r="F53" s="141">
        <f t="shared" si="60"/>
        <v>0.89373013875178386</v>
      </c>
      <c r="G53" s="141">
        <f t="shared" si="60"/>
        <v>1.5921268094112231</v>
      </c>
      <c r="H53" s="141">
        <f t="shared" si="60"/>
        <v>2.4887552158954853</v>
      </c>
      <c r="I53" s="141">
        <f t="shared" si="60"/>
        <v>0.15572777376432811</v>
      </c>
      <c r="J53" s="141">
        <f t="shared" si="60"/>
        <v>5.8783666713034158E-2</v>
      </c>
      <c r="K53" s="141">
        <f t="shared" si="60"/>
        <v>9.1081082323267587E-2</v>
      </c>
      <c r="L53" s="141">
        <f t="shared" si="60"/>
        <v>9.6833012459619755E-2</v>
      </c>
      <c r="M53" s="141">
        <f t="shared" si="60"/>
        <v>0.14638964119781492</v>
      </c>
      <c r="N53" s="141"/>
      <c r="O53" s="141">
        <f t="shared" ref="O53:V53" si="61">O46</f>
        <v>1</v>
      </c>
      <c r="P53" s="141">
        <f t="shared" si="61"/>
        <v>1.5465576336215665</v>
      </c>
      <c r="Q53" s="141">
        <f t="shared" si="61"/>
        <v>0.11391818636043084</v>
      </c>
      <c r="R53" s="141">
        <f t="shared" si="61"/>
        <v>0.94976543638921662</v>
      </c>
      <c r="S53" s="141">
        <f t="shared" si="61"/>
        <v>1.1177791530829775</v>
      </c>
      <c r="T53" s="141">
        <f t="shared" si="61"/>
        <v>1.1330350871309449</v>
      </c>
      <c r="U53" s="141">
        <f t="shared" si="61"/>
        <v>1.3903041710463055</v>
      </c>
      <c r="V53" s="141">
        <f t="shared" si="61"/>
        <v>0.68718188503638589</v>
      </c>
    </row>
    <row r="54" spans="1:22" s="3" customFormat="1" x14ac:dyDescent="0.25">
      <c r="A54" s="61" t="s">
        <v>2</v>
      </c>
      <c r="B54" s="141">
        <f t="shared" ref="B54:M54" si="62">B48</f>
        <v>2.8056444452892775E-2</v>
      </c>
      <c r="C54" s="141">
        <f t="shared" si="62"/>
        <v>2.1632331193680295E-2</v>
      </c>
      <c r="D54" s="141">
        <f t="shared" si="62"/>
        <v>3.6084973284983266E-2</v>
      </c>
      <c r="E54" s="141">
        <f t="shared" si="62"/>
        <v>4.1410899056458832E-2</v>
      </c>
      <c r="F54" s="141">
        <f t="shared" si="62"/>
        <v>0.20281253897582727</v>
      </c>
      <c r="G54" s="141">
        <f t="shared" si="62"/>
        <v>0.14331910267922759</v>
      </c>
      <c r="H54" s="141">
        <f t="shared" si="62"/>
        <v>0.25507769583179896</v>
      </c>
      <c r="I54" s="141">
        <f t="shared" si="62"/>
        <v>2.5293695448784851E-2</v>
      </c>
      <c r="J54" s="141">
        <f t="shared" si="62"/>
        <v>1.9716032169061311E-2</v>
      </c>
      <c r="K54" s="141">
        <f t="shared" si="62"/>
        <v>1.8951383889674017E-2</v>
      </c>
      <c r="L54" s="141">
        <f t="shared" si="62"/>
        <v>2.5817111048179738E-2</v>
      </c>
      <c r="M54" s="141">
        <f t="shared" si="62"/>
        <v>4.4299070889300192E-2</v>
      </c>
      <c r="N54" s="141"/>
      <c r="O54" s="141">
        <f t="shared" ref="O54:V54" si="63">O48</f>
        <v>0.16214661303860647</v>
      </c>
      <c r="P54" s="141">
        <f t="shared" si="63"/>
        <v>0.20143224124229309</v>
      </c>
      <c r="Q54" s="141">
        <f t="shared" si="63"/>
        <v>1.9063058318911679E-2</v>
      </c>
      <c r="R54" s="141">
        <f t="shared" si="63"/>
        <v>0.23420106572740676</v>
      </c>
      <c r="S54" s="141">
        <f t="shared" si="63"/>
        <v>0.28100853692324812</v>
      </c>
      <c r="T54" s="141">
        <f t="shared" si="63"/>
        <v>0.12643029692618496</v>
      </c>
      <c r="U54" s="141">
        <f t="shared" si="63"/>
        <v>0.21800894455793993</v>
      </c>
      <c r="V54" s="141">
        <f t="shared" si="63"/>
        <v>0.19249079955021553</v>
      </c>
    </row>
    <row r="55" spans="1:22" s="3" customFormat="1" x14ac:dyDescent="0.25">
      <c r="A55" s="61" t="s">
        <v>79</v>
      </c>
      <c r="B55" s="141">
        <f t="shared" ref="B55:M55" si="64">(B53*100/$B$53)-100</f>
        <v>0</v>
      </c>
      <c r="C55" s="141">
        <f t="shared" si="64"/>
        <v>-19.470918171332642</v>
      </c>
      <c r="D55" s="141">
        <f t="shared" si="64"/>
        <v>8.9191334377103715</v>
      </c>
      <c r="E55" s="141">
        <f t="shared" si="64"/>
        <v>97.692100326865727</v>
      </c>
      <c r="F55" s="141">
        <f t="shared" si="64"/>
        <v>789.35149182455973</v>
      </c>
      <c r="G55" s="141">
        <f t="shared" si="64"/>
        <v>1484.3265116932607</v>
      </c>
      <c r="H55" s="141">
        <f t="shared" si="64"/>
        <v>2376.5620717838706</v>
      </c>
      <c r="I55" s="141">
        <f t="shared" si="64"/>
        <v>54.964817578214735</v>
      </c>
      <c r="J55" s="141">
        <f t="shared" si="64"/>
        <v>-41.504331767114977</v>
      </c>
      <c r="K55" s="141">
        <f t="shared" si="64"/>
        <v>-9.3651506993761586</v>
      </c>
      <c r="L55" s="141">
        <f t="shared" si="64"/>
        <v>-3.6414009612505964</v>
      </c>
      <c r="M55" s="141">
        <f t="shared" si="64"/>
        <v>45.672435270863076</v>
      </c>
      <c r="N55" s="141"/>
      <c r="O55" s="141">
        <f>(O53*100/$O$53)-100</f>
        <v>0</v>
      </c>
      <c r="P55" s="141">
        <f t="shared" ref="P55:V55" si="65">(P53*100/$O$53)-100</f>
        <v>54.655763362156648</v>
      </c>
      <c r="Q55" s="141">
        <f t="shared" si="65"/>
        <v>-88.608181363956916</v>
      </c>
      <c r="R55" s="141">
        <f t="shared" si="65"/>
        <v>-5.0234563610783312</v>
      </c>
      <c r="S55" s="141">
        <f t="shared" si="65"/>
        <v>11.77791530829775</v>
      </c>
      <c r="T55" s="141">
        <f t="shared" si="65"/>
        <v>13.303508713094487</v>
      </c>
      <c r="U55" s="141">
        <f t="shared" si="65"/>
        <v>39.030417104630544</v>
      </c>
      <c r="V55" s="141">
        <f t="shared" si="65"/>
        <v>-31.281811496361414</v>
      </c>
    </row>
    <row r="56" spans="1:22" s="3" customFormat="1" x14ac:dyDescent="0.25">
      <c r="A56" s="61" t="s">
        <v>81</v>
      </c>
      <c r="B56" s="141">
        <f>[1]!SWTEST(B28:B43)</f>
        <v>7.574764937532763E-2</v>
      </c>
      <c r="C56" s="141">
        <f>[1]!SWTEST(C28:C43)</f>
        <v>0.19631968253818111</v>
      </c>
      <c r="D56" s="141">
        <f>[1]!SWTEST(D28:D43)</f>
        <v>1.1007744841129097E-2</v>
      </c>
      <c r="E56" s="141">
        <f>[1]!SWTEST(E28:E43)</f>
        <v>0.23591903776971335</v>
      </c>
      <c r="F56" s="141">
        <f>[1]!SWTEST(F28:F43)</f>
        <v>0.77527265910666732</v>
      </c>
      <c r="G56" s="141">
        <f>[1]!SWTEST(G28:G43)</f>
        <v>0.34238061289988653</v>
      </c>
      <c r="H56" s="141">
        <f>[1]!SWTEST(H28:H43)</f>
        <v>0.44829037223137824</v>
      </c>
      <c r="I56" s="141">
        <f>[1]!SWTEST(I28:I43)</f>
        <v>0.88633452559023995</v>
      </c>
      <c r="J56" s="141">
        <f>[1]!SWTEST(J28:J43)</f>
        <v>3.9437165833919763E-2</v>
      </c>
      <c r="K56" s="141">
        <f>[1]!SWTEST(K28:K43)</f>
        <v>0.94434078682300138</v>
      </c>
      <c r="L56" s="141">
        <f>[1]!SWTEST(L28:L43)</f>
        <v>0.35145735512368492</v>
      </c>
      <c r="M56" s="141">
        <f>[1]!SWTEST(M28:M43)</f>
        <v>0.25128087094756513</v>
      </c>
      <c r="N56" s="141"/>
      <c r="O56" s="141">
        <f>[1]!SWTEST(O28:O43)</f>
        <v>0.52230153902574283</v>
      </c>
      <c r="P56" s="141">
        <f>[1]!SWTEST(P28:P43)</f>
        <v>0.90690846905930933</v>
      </c>
      <c r="Q56" s="141">
        <f>[1]!SWTEST(Q28:Q43)</f>
        <v>0.80577586258581002</v>
      </c>
      <c r="R56" s="141">
        <f>[1]!SWTEST(R28:R43)</f>
        <v>0.13295017938089526</v>
      </c>
      <c r="S56" s="141">
        <f>[1]!SWTEST(S28:S43)</f>
        <v>0.28749812868729796</v>
      </c>
      <c r="T56" s="141">
        <f>[1]!SWTEST(T28:T43)</f>
        <v>0.13850037986226926</v>
      </c>
      <c r="U56" s="141">
        <f>[1]!SWTEST(U28:U43)</f>
        <v>0.20990384800608375</v>
      </c>
      <c r="V56" s="141">
        <f>[1]!SWTEST(V28:V43)</f>
        <v>0.41836873870952462</v>
      </c>
    </row>
    <row r="57" spans="1:22" s="3" customFormat="1" x14ac:dyDescent="0.25">
      <c r="A57" s="61" t="s">
        <v>85</v>
      </c>
      <c r="B57" s="141" t="str">
        <f t="shared" ref="B57:M57" si="66">IF(B56&gt;0.05,"Oui","Non")</f>
        <v>Oui</v>
      </c>
      <c r="C57" s="141" t="str">
        <f t="shared" si="66"/>
        <v>Oui</v>
      </c>
      <c r="D57" s="141" t="str">
        <f t="shared" si="66"/>
        <v>Non</v>
      </c>
      <c r="E57" s="141" t="str">
        <f t="shared" si="66"/>
        <v>Oui</v>
      </c>
      <c r="F57" s="141" t="str">
        <f t="shared" si="66"/>
        <v>Oui</v>
      </c>
      <c r="G57" s="141" t="str">
        <f t="shared" si="66"/>
        <v>Oui</v>
      </c>
      <c r="H57" s="141" t="str">
        <f t="shared" si="66"/>
        <v>Oui</v>
      </c>
      <c r="I57" s="141" t="str">
        <f t="shared" si="66"/>
        <v>Oui</v>
      </c>
      <c r="J57" s="141" t="str">
        <f t="shared" si="66"/>
        <v>Non</v>
      </c>
      <c r="K57" s="141" t="str">
        <f t="shared" si="66"/>
        <v>Oui</v>
      </c>
      <c r="L57" s="141" t="str">
        <f t="shared" si="66"/>
        <v>Oui</v>
      </c>
      <c r="M57" s="141" t="str">
        <f t="shared" si="66"/>
        <v>Oui</v>
      </c>
      <c r="N57" s="141"/>
      <c r="O57" s="141" t="str">
        <f t="shared" ref="O57:V57" si="67">IF(O56&gt;0.05,"Oui","Non")</f>
        <v>Oui</v>
      </c>
      <c r="P57" s="141" t="str">
        <f t="shared" si="67"/>
        <v>Oui</v>
      </c>
      <c r="Q57" s="141" t="str">
        <f t="shared" si="67"/>
        <v>Oui</v>
      </c>
      <c r="R57" s="141" t="str">
        <f t="shared" si="67"/>
        <v>Oui</v>
      </c>
      <c r="S57" s="141" t="str">
        <f t="shared" si="67"/>
        <v>Oui</v>
      </c>
      <c r="T57" s="141" t="str">
        <f t="shared" si="67"/>
        <v>Oui</v>
      </c>
      <c r="U57" s="141" t="str">
        <f t="shared" si="67"/>
        <v>Oui</v>
      </c>
      <c r="V57" s="141" t="str">
        <f t="shared" si="67"/>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1637</v>
      </c>
      <c r="D59" s="150" t="s">
        <v>1637</v>
      </c>
      <c r="E59" s="150" t="s">
        <v>1637</v>
      </c>
      <c r="F59" s="150" t="s">
        <v>1637</v>
      </c>
      <c r="G59" s="150" t="s">
        <v>1637</v>
      </c>
      <c r="H59" s="150" t="s">
        <v>1637</v>
      </c>
      <c r="I59" s="150" t="s">
        <v>1637</v>
      </c>
      <c r="J59" s="150" t="s">
        <v>1637</v>
      </c>
      <c r="K59" s="150" t="s">
        <v>1637</v>
      </c>
      <c r="L59" s="150" t="s">
        <v>1637</v>
      </c>
      <c r="M59" s="150" t="s">
        <v>1637</v>
      </c>
      <c r="N59" s="150"/>
      <c r="O59" s="150" t="str">
        <f>IF($B57="Non",IF(O$57="Non","Mann Withney",IF(O$57="Oui","Mann Withney","")),IF($B$57="Oui",IF(O$57="Oui","T-Test Welch",IF(O$57="Non","Mann Withney",""))))</f>
        <v>T-Test Welch</v>
      </c>
      <c r="P59" s="150" t="str">
        <f>IF($O57="Non",IF(P$57="Non","Mann Withney",IF(P$57="Oui","Mann Withney","")),IF($O$57="Oui",IF(P$57="Oui","T-Test Welch",IF(P$57="Non","Mann Withney",""))))</f>
        <v>T-Test Welch</v>
      </c>
      <c r="Q59" s="150" t="str">
        <f t="shared" ref="Q59" si="68">IF($O57="Non",IF(Q$57="Non","Mann Withney",IF(Q$57="Oui","Mann Withney","")),IF($O$57="Oui",IF(Q$57="Oui","T-Test Welch",IF(Q$57="Non","Mann Withney",""))))</f>
        <v>T-Test Welch</v>
      </c>
      <c r="R59" s="150" t="s">
        <v>1638</v>
      </c>
      <c r="S59" s="150" t="s">
        <v>1638</v>
      </c>
      <c r="T59" s="150" t="s">
        <v>1638</v>
      </c>
      <c r="U59" s="150" t="s">
        <v>1638</v>
      </c>
      <c r="V59" s="150" t="s">
        <v>1638</v>
      </c>
    </row>
    <row r="60" spans="1:22" s="3" customFormat="1" ht="15.75" x14ac:dyDescent="0.25">
      <c r="A60" s="61" t="s">
        <v>83</v>
      </c>
      <c r="B60" s="151"/>
      <c r="C60" s="196">
        <v>0.99990000000000001</v>
      </c>
      <c r="D60" s="196">
        <v>0.99990000000000001</v>
      </c>
      <c r="E60" s="196">
        <v>0.99990000000000001</v>
      </c>
      <c r="F60" s="196">
        <v>8.4699999999999998E-2</v>
      </c>
      <c r="G60" s="196">
        <v>6.6E-3</v>
      </c>
      <c r="H60" s="196">
        <v>1E-4</v>
      </c>
      <c r="I60" s="196">
        <v>0.64580000000000004</v>
      </c>
      <c r="J60" s="196">
        <v>0.99990000000000001</v>
      </c>
      <c r="K60" s="196">
        <v>0.99990000000000001</v>
      </c>
      <c r="L60" s="196">
        <v>0.99990000000000001</v>
      </c>
      <c r="M60" s="196">
        <v>0.99990000000000001</v>
      </c>
      <c r="N60" s="151"/>
      <c r="O60" s="196">
        <v>1E-4</v>
      </c>
      <c r="P60" s="196">
        <v>5.0700000000000002E-2</v>
      </c>
      <c r="Q60" s="196">
        <v>1E-4</v>
      </c>
      <c r="R60" s="196">
        <v>0.99970000000000003</v>
      </c>
      <c r="S60" s="196">
        <v>0.99150000000000005</v>
      </c>
      <c r="T60" s="196">
        <v>0.9819</v>
      </c>
      <c r="U60" s="196">
        <v>0.44359999999999999</v>
      </c>
      <c r="V60" s="196">
        <v>0.68369999999999997</v>
      </c>
    </row>
    <row r="61" spans="1:22" s="3" customFormat="1" ht="15.75" thickBot="1" x14ac:dyDescent="0.3">
      <c r="A61" s="62" t="s">
        <v>84</v>
      </c>
      <c r="B61" s="142"/>
      <c r="C61" s="142" t="str">
        <f t="shared" ref="C61:M61" si="69">IF(C60&gt;0.05,"NS",IF(C60&gt;0.01,"*",IF(C60&gt;0.001,"**","***")))</f>
        <v>NS</v>
      </c>
      <c r="D61" s="142" t="str">
        <f t="shared" si="69"/>
        <v>NS</v>
      </c>
      <c r="E61" s="142" t="str">
        <f t="shared" si="69"/>
        <v>NS</v>
      </c>
      <c r="F61" s="142" t="str">
        <f t="shared" si="69"/>
        <v>NS</v>
      </c>
      <c r="G61" s="142" t="str">
        <f t="shared" si="69"/>
        <v>**</v>
      </c>
      <c r="H61" s="142" t="str">
        <f t="shared" si="69"/>
        <v>***</v>
      </c>
      <c r="I61" s="142" t="str">
        <f t="shared" si="69"/>
        <v>NS</v>
      </c>
      <c r="J61" s="142" t="str">
        <f t="shared" si="69"/>
        <v>NS</v>
      </c>
      <c r="K61" s="142" t="str">
        <f t="shared" si="69"/>
        <v>NS</v>
      </c>
      <c r="L61" s="142" t="str">
        <f t="shared" si="69"/>
        <v>NS</v>
      </c>
      <c r="M61" s="142" t="str">
        <f t="shared" si="69"/>
        <v>NS</v>
      </c>
      <c r="N61" s="142"/>
      <c r="O61" s="142" t="str">
        <f>IF(O60&gt;0.05,"NS",IF(O60&gt;0.01,"*",IF(O60&gt;0.001,"**","***")))</f>
        <v>***</v>
      </c>
      <c r="P61" s="142" t="str">
        <f>IF(P60&gt;0.05,"NS",IF(P60&gt;0.01,"*",IF(P60&gt;0.001,"**","***")))</f>
        <v>NS</v>
      </c>
      <c r="Q61" s="142" t="str">
        <f t="shared" ref="Q61" si="70">IF(Q60&gt;0.05,"NS",IF(Q60&gt;0.01,"*",IF(Q60&gt;0.001,"**","***")))</f>
        <v>***</v>
      </c>
      <c r="R61" s="142" t="str">
        <f t="shared" ref="R61" si="71">IF(R60&gt;0.05,"NS",IF(R60&gt;0.01,"*",IF(R60&gt;0.001,"**","***")))</f>
        <v>NS</v>
      </c>
      <c r="S61" s="142" t="str">
        <f t="shared" ref="S61" si="72">IF(S60&gt;0.05,"NS",IF(S60&gt;0.01,"*",IF(S60&gt;0.001,"**","***")))</f>
        <v>NS</v>
      </c>
      <c r="T61" s="142" t="str">
        <f t="shared" ref="T61" si="73">IF(T60&gt;0.05,"NS",IF(T60&gt;0.01,"*",IF(T60&gt;0.001,"**","***")))</f>
        <v>NS</v>
      </c>
      <c r="U61" s="142" t="str">
        <f t="shared" ref="U61" si="74">IF(U60&gt;0.05,"NS",IF(U60&gt;0.01,"*",IF(U60&gt;0.001,"**","***")))</f>
        <v>NS</v>
      </c>
      <c r="V61" s="142" t="str">
        <f t="shared" ref="V61" si="75">IF(V60&gt;0.05,"NS",IF(V60&gt;0.01,"*",IF(V60&gt;0.001,"**","***")))</f>
        <v>NS</v>
      </c>
    </row>
    <row r="63" spans="1:22" x14ac:dyDescent="0.25">
      <c r="A63" s="2" t="s">
        <v>39</v>
      </c>
    </row>
    <row r="64" spans="1:22" x14ac:dyDescent="0.25">
      <c r="A64" s="1" t="s">
        <v>23</v>
      </c>
      <c r="B64" s="1">
        <f>B46+(3*B47)</f>
        <v>0.32318346563599087</v>
      </c>
    </row>
    <row r="65" spans="1:22" x14ac:dyDescent="0.25">
      <c r="A65" s="1" t="s">
        <v>24</v>
      </c>
      <c r="B65" s="1">
        <f>B46+(10*B47)</f>
        <v>0.84279608850135423</v>
      </c>
    </row>
    <row r="66" spans="1:22" ht="15.75" thickBot="1" x14ac:dyDescent="0.3"/>
    <row r="67" spans="1:22" s="1" customFormat="1" ht="27" thickBot="1" x14ac:dyDescent="0.4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I70" s="196"/>
      <c r="N70" s="12"/>
      <c r="O70" s="12"/>
      <c r="P70" s="12"/>
      <c r="Q70" s="12"/>
      <c r="R70" s="196"/>
      <c r="S70" s="12"/>
      <c r="T70" s="12"/>
      <c r="U70" s="12"/>
      <c r="V70" s="12"/>
    </row>
    <row r="71" spans="1:22" ht="16.5" x14ac:dyDescent="0.25">
      <c r="A71" s="12"/>
      <c r="B71" s="12"/>
      <c r="C71" s="12"/>
      <c r="D71" s="196"/>
      <c r="E71" s="12"/>
      <c r="F71" s="12"/>
      <c r="I71" s="196"/>
      <c r="N71" s="12"/>
      <c r="O71" s="12"/>
      <c r="P71" s="12"/>
      <c r="Q71" s="12"/>
      <c r="R71" s="196"/>
      <c r="S71" s="12"/>
      <c r="T71" s="12"/>
      <c r="U71" s="12"/>
      <c r="V71" s="12"/>
    </row>
    <row r="72" spans="1:22" ht="16.5" x14ac:dyDescent="0.25">
      <c r="A72" s="12"/>
      <c r="B72" s="12"/>
      <c r="C72" s="12"/>
      <c r="D72" s="196"/>
      <c r="E72" s="12"/>
      <c r="F72" s="12"/>
      <c r="I72" s="196"/>
      <c r="N72" s="12"/>
      <c r="O72" s="12"/>
      <c r="P72" s="12"/>
      <c r="Q72" s="12"/>
      <c r="R72" s="196"/>
      <c r="S72" s="12"/>
      <c r="T72" s="12"/>
      <c r="U72" s="12"/>
      <c r="V72" s="12"/>
    </row>
    <row r="73" spans="1:22" ht="16.5" x14ac:dyDescent="0.25">
      <c r="A73" s="12"/>
      <c r="B73" s="12"/>
      <c r="C73" s="12"/>
      <c r="D73" s="196"/>
      <c r="E73" s="12"/>
      <c r="F73" s="12"/>
      <c r="I73" s="196"/>
      <c r="N73" s="12"/>
      <c r="O73" s="12"/>
      <c r="P73" s="12"/>
      <c r="Q73" s="12"/>
      <c r="R73" s="196"/>
      <c r="S73" s="12"/>
      <c r="T73" s="12"/>
      <c r="U73" s="12"/>
      <c r="V73" s="12"/>
    </row>
    <row r="74" spans="1:22" ht="16.5" x14ac:dyDescent="0.25">
      <c r="A74" s="12"/>
      <c r="B74" s="12"/>
      <c r="C74" s="12"/>
      <c r="D74" s="196"/>
      <c r="E74" s="12"/>
      <c r="F74" s="12"/>
      <c r="I74" s="196"/>
      <c r="N74" s="12"/>
      <c r="O74" s="12"/>
      <c r="P74" s="12"/>
      <c r="Q74" s="12"/>
      <c r="R74" s="196"/>
      <c r="S74" s="12"/>
      <c r="T74" s="12"/>
      <c r="U74" s="12"/>
      <c r="V74" s="12"/>
    </row>
    <row r="75" spans="1:22" ht="15.75" x14ac:dyDescent="0.25">
      <c r="D75" s="196"/>
    </row>
    <row r="76" spans="1:22" ht="15.75" x14ac:dyDescent="0.25">
      <c r="D76" s="196"/>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N1" zoomScale="80" zoomScaleNormal="80" workbookViewId="0">
      <selection activeCell="AB5" sqref="AB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1608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1639</v>
      </c>
      <c r="D2" s="1" t="s">
        <v>194</v>
      </c>
      <c r="E2" s="1" t="s">
        <v>1640</v>
      </c>
      <c r="F2" s="1" t="s">
        <v>112</v>
      </c>
      <c r="G2" s="1">
        <v>72136</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1641</v>
      </c>
      <c r="D3" s="1" t="s">
        <v>1642</v>
      </c>
      <c r="E3" s="1" t="s">
        <v>1643</v>
      </c>
      <c r="F3" s="1" t="s">
        <v>112</v>
      </c>
      <c r="G3" s="1">
        <v>329596</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1644</v>
      </c>
      <c r="D4" s="1" t="s">
        <v>1645</v>
      </c>
      <c r="E4" s="1" t="s">
        <v>1646</v>
      </c>
      <c r="F4" s="1" t="s">
        <v>112</v>
      </c>
      <c r="G4" s="1">
        <v>542261</v>
      </c>
      <c r="K4" s="118" t="s">
        <v>100</v>
      </c>
      <c r="L4" s="1" t="s">
        <v>1609</v>
      </c>
      <c r="M4" s="1" t="s">
        <v>1610</v>
      </c>
      <c r="N4" s="1" t="s">
        <v>1611</v>
      </c>
      <c r="O4" s="1" t="s">
        <v>1612</v>
      </c>
      <c r="P4" s="1" t="s">
        <v>1613</v>
      </c>
      <c r="Q4" s="1" t="s">
        <v>1614</v>
      </c>
      <c r="R4" s="1" t="s">
        <v>1615</v>
      </c>
      <c r="S4" s="1" t="s">
        <v>1616</v>
      </c>
      <c r="T4" s="1" t="s">
        <v>1617</v>
      </c>
      <c r="U4" s="1" t="s">
        <v>1618</v>
      </c>
      <c r="V4" s="1" t="s">
        <v>1619</v>
      </c>
      <c r="W4" s="1" t="s">
        <v>1620</v>
      </c>
      <c r="X4" s="1" t="s">
        <v>1621</v>
      </c>
      <c r="Y4" s="1" t="s">
        <v>1622</v>
      </c>
      <c r="Z4" s="1" t="s">
        <v>1623</v>
      </c>
      <c r="AA4" s="1" t="s">
        <v>1624</v>
      </c>
      <c r="AB4" s="1" t="s">
        <v>1625</v>
      </c>
      <c r="AC4" s="1" t="s">
        <v>1626</v>
      </c>
      <c r="AD4" s="1" t="s">
        <v>1627</v>
      </c>
      <c r="AE4" s="1" t="s">
        <v>1628</v>
      </c>
      <c r="AF4" s="1" t="s">
        <v>1629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1647</v>
      </c>
      <c r="D5" s="1" t="s">
        <v>1247</v>
      </c>
      <c r="E5" s="1" t="s">
        <v>1648</v>
      </c>
      <c r="F5" s="1" t="s">
        <v>112</v>
      </c>
      <c r="G5" s="1">
        <v>384796</v>
      </c>
      <c r="K5" s="145" t="s">
        <v>164</v>
      </c>
      <c r="L5" s="44">
        <v>314664.33333333331</v>
      </c>
      <c r="M5" s="44">
        <v>312047.33333333331</v>
      </c>
      <c r="N5" s="44">
        <v>183392.66666666666</v>
      </c>
      <c r="O5" s="44">
        <v>747666</v>
      </c>
      <c r="P5" s="44">
        <v>1938276.6666666667</v>
      </c>
      <c r="Q5" s="44">
        <v>3256654.6666666665</v>
      </c>
      <c r="R5" s="44">
        <v>6139278</v>
      </c>
      <c r="S5" s="44">
        <v>17001</v>
      </c>
      <c r="T5" s="44">
        <v>512737</v>
      </c>
      <c r="U5" s="44">
        <v>95337</v>
      </c>
      <c r="V5" s="44">
        <v>290331</v>
      </c>
      <c r="W5" s="44">
        <v>258534.66666666666</v>
      </c>
      <c r="X5" s="44">
        <v>1945991.3333333333</v>
      </c>
      <c r="Y5" s="44">
        <v>2772880.3333333335</v>
      </c>
      <c r="Z5" s="44">
        <v>2804359.3333333335</v>
      </c>
      <c r="AA5" s="44">
        <v>191302</v>
      </c>
      <c r="AB5" s="44">
        <v>1789073.3333333333</v>
      </c>
      <c r="AC5" s="44">
        <v>25491</v>
      </c>
      <c r="AD5" s="44">
        <v>1671774.6666666667</v>
      </c>
      <c r="AE5" s="44">
        <v>2548939</v>
      </c>
      <c r="AF5" s="44">
        <v>4001552</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1649</v>
      </c>
      <c r="D6" s="1" t="s">
        <v>368</v>
      </c>
      <c r="E6" s="1" t="s">
        <v>1650</v>
      </c>
      <c r="F6" s="1" t="s">
        <v>112</v>
      </c>
      <c r="G6" s="1">
        <v>133413</v>
      </c>
      <c r="K6" s="145" t="s">
        <v>1630</v>
      </c>
      <c r="L6" s="44">
        <v>227171.66666666666</v>
      </c>
      <c r="M6" s="44">
        <v>116563.5</v>
      </c>
      <c r="N6" s="44">
        <v>511006</v>
      </c>
      <c r="O6" s="44">
        <v>2374948</v>
      </c>
      <c r="P6" s="44">
        <v>1938139.3333333333</v>
      </c>
      <c r="Q6" s="44">
        <v>3003516.5</v>
      </c>
      <c r="R6" s="44">
        <v>6102391.666666667</v>
      </c>
      <c r="S6" s="44">
        <v>89223.333333333328</v>
      </c>
      <c r="T6" s="44">
        <v>164063</v>
      </c>
      <c r="U6" s="44">
        <v>125222.66666666667</v>
      </c>
      <c r="V6" s="44">
        <v>662134.33333333337</v>
      </c>
      <c r="W6" s="44">
        <v>108567.66666666667</v>
      </c>
      <c r="X6" s="44">
        <v>1435093.3333333333</v>
      </c>
      <c r="Y6" s="44">
        <v>1636705.3333333333</v>
      </c>
      <c r="Z6" s="44">
        <v>3252833</v>
      </c>
      <c r="AA6" s="44">
        <v>27199.5</v>
      </c>
      <c r="AB6" s="44">
        <v>2604722.3333333335</v>
      </c>
      <c r="AC6" s="44">
        <v>2806990.6666666665</v>
      </c>
      <c r="AD6" s="44">
        <v>1833623.6666666667</v>
      </c>
      <c r="AE6" s="44">
        <v>2977279</v>
      </c>
      <c r="AF6" s="44">
        <v>3289719.6666666665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1651</v>
      </c>
      <c r="D7" s="1" t="s">
        <v>1229</v>
      </c>
      <c r="E7" s="1" t="s">
        <v>1652</v>
      </c>
      <c r="F7" s="1" t="s">
        <v>112</v>
      </c>
      <c r="G7" s="1">
        <v>163306</v>
      </c>
      <c r="K7" s="145" t="s">
        <v>1631</v>
      </c>
      <c r="L7" s="44">
        <v>22603</v>
      </c>
      <c r="M7" s="44">
        <v>281643</v>
      </c>
      <c r="N7" s="44">
        <v>46381.666666666664</v>
      </c>
      <c r="O7" s="44">
        <v>1389331</v>
      </c>
      <c r="P7" s="44">
        <v>1777912.3333333333</v>
      </c>
      <c r="Q7" s="44">
        <v>3854807.6666666665</v>
      </c>
      <c r="R7" s="44">
        <v>6874532</v>
      </c>
      <c r="S7" s="44">
        <v>35278.333333333336</v>
      </c>
      <c r="T7" s="44">
        <v>144509.33333333334</v>
      </c>
      <c r="U7" s="44">
        <v>191237</v>
      </c>
      <c r="V7" s="44">
        <v>82849.666666666672</v>
      </c>
      <c r="W7" s="44">
        <v>263582</v>
      </c>
      <c r="X7" s="44">
        <v>422165</v>
      </c>
      <c r="Y7" s="44">
        <v>1690852</v>
      </c>
      <c r="Z7" s="44">
        <v>4554427</v>
      </c>
      <c r="AA7" s="44">
        <v>264977</v>
      </c>
      <c r="AB7" s="44">
        <v>1792382.6666666667</v>
      </c>
      <c r="AC7" s="44">
        <v>2942711.3333333335</v>
      </c>
      <c r="AD7" s="44">
        <v>1880128</v>
      </c>
      <c r="AE7" s="44">
        <v>2924845</v>
      </c>
      <c r="AF7" s="44">
        <v>1309351.3333333333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1653</v>
      </c>
      <c r="D8" s="1" t="s">
        <v>688</v>
      </c>
      <c r="E8" s="1" t="s">
        <v>1654</v>
      </c>
      <c r="F8" s="1" t="s">
        <v>112</v>
      </c>
      <c r="G8" s="1">
        <v>34824</v>
      </c>
      <c r="K8" s="145" t="s">
        <v>1632</v>
      </c>
      <c r="L8" s="44">
        <v>62863.666666666664</v>
      </c>
      <c r="M8" s="44">
        <v>11691</v>
      </c>
      <c r="N8" s="44">
        <v>216320.5</v>
      </c>
      <c r="O8" s="44">
        <v>219752.66666666666</v>
      </c>
      <c r="P8" s="44">
        <v>3536827</v>
      </c>
      <c r="Q8" s="44">
        <v>2963151.6666666665</v>
      </c>
      <c r="R8" s="44">
        <v>5789868.666666667</v>
      </c>
      <c r="S8" s="44">
        <v>53548.666666666664</v>
      </c>
      <c r="T8" s="44">
        <v>22257.333333333332</v>
      </c>
      <c r="U8" s="44">
        <v>93513.333333333328</v>
      </c>
      <c r="V8" s="44">
        <v>53087.333333333336</v>
      </c>
      <c r="W8" s="44">
        <v>161027.33333333334</v>
      </c>
      <c r="X8" s="44">
        <v>1763420.6666666667</v>
      </c>
      <c r="Y8" s="44">
        <v>1865960.6666666667</v>
      </c>
      <c r="Z8" s="44">
        <v>3352309.3333333335</v>
      </c>
      <c r="AA8" s="44">
        <v>269177</v>
      </c>
      <c r="AB8" s="44">
        <v>2621034.5</v>
      </c>
      <c r="AC8" s="44">
        <v>1855924.3333333333</v>
      </c>
      <c r="AD8" s="44">
        <v>3364869</v>
      </c>
      <c r="AE8" s="44">
        <v>3942682.6666666665</v>
      </c>
      <c r="AF8" s="44">
        <v>2355300.6666666665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1655</v>
      </c>
      <c r="D9" s="1" t="s">
        <v>202</v>
      </c>
      <c r="E9" s="1" t="s">
        <v>1656</v>
      </c>
      <c r="F9" s="1" t="s">
        <v>112</v>
      </c>
      <c r="G9" s="1">
        <v>16568</v>
      </c>
      <c r="K9" s="145" t="s">
        <v>1633</v>
      </c>
      <c r="L9" s="44">
        <v>721674.33333333337</v>
      </c>
      <c r="M9" s="44">
        <v>119721.5</v>
      </c>
      <c r="N9" s="44">
        <v>541439.66666666663</v>
      </c>
      <c r="O9" s="44">
        <v>311535.33333333331</v>
      </c>
      <c r="P9" s="44">
        <v>137991.66666666666</v>
      </c>
      <c r="Q9" s="44">
        <v>4356534.666666667</v>
      </c>
      <c r="R9" s="44">
        <v>4243201.333333333</v>
      </c>
      <c r="S9" s="44">
        <v>43699.666666666664</v>
      </c>
      <c r="T9" s="44">
        <v>144819.33333333334</v>
      </c>
      <c r="U9" s="44">
        <v>93001.333333333328</v>
      </c>
      <c r="V9" s="44">
        <v>122670.33333333333</v>
      </c>
      <c r="W9" s="44"/>
      <c r="X9" s="44">
        <v>529672.66666666663</v>
      </c>
      <c r="Y9" s="44">
        <v>1450208.5</v>
      </c>
      <c r="Z9" s="44"/>
      <c r="AA9" s="44">
        <v>129822.33333333333</v>
      </c>
      <c r="AB9" s="44">
        <v>4562913</v>
      </c>
      <c r="AC9" s="44">
        <v>2322553.3333333335</v>
      </c>
      <c r="AD9" s="44">
        <v>2893301</v>
      </c>
      <c r="AE9" s="44">
        <v>2665055.3333333335</v>
      </c>
      <c r="AF9" s="44">
        <v>3515074.3333333335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1657</v>
      </c>
      <c r="D10" s="1" t="s">
        <v>202</v>
      </c>
      <c r="E10" s="1" t="s">
        <v>1658</v>
      </c>
      <c r="F10" s="1" t="s">
        <v>112</v>
      </c>
      <c r="G10" s="1">
        <v>16417</v>
      </c>
      <c r="K10" s="145" t="s">
        <v>1634</v>
      </c>
      <c r="L10" s="44">
        <v>109317.66666666667</v>
      </c>
      <c r="M10" s="44">
        <v>85315.333333333328</v>
      </c>
      <c r="N10" s="44"/>
      <c r="O10" s="44">
        <v>302285</v>
      </c>
      <c r="P10" s="44">
        <v>981867.33333333337</v>
      </c>
      <c r="Q10" s="44">
        <v>2272061.6666666665</v>
      </c>
      <c r="R10" s="44">
        <v>5984501.666666667</v>
      </c>
      <c r="S10" s="44">
        <v>14210.666666666666</v>
      </c>
      <c r="T10" s="44">
        <v>58393.333333333336</v>
      </c>
      <c r="U10" s="44">
        <v>179016</v>
      </c>
      <c r="V10" s="44">
        <v>520912.5</v>
      </c>
      <c r="W10" s="44">
        <v>15324.5</v>
      </c>
      <c r="X10" s="44">
        <v>1639618</v>
      </c>
      <c r="Y10" s="44">
        <v>317159</v>
      </c>
      <c r="Z10" s="44">
        <v>2851570</v>
      </c>
      <c r="AA10" s="44">
        <v>218635</v>
      </c>
      <c r="AB10" s="44">
        <v>1650195.3333333333</v>
      </c>
      <c r="AC10" s="44">
        <v>4443559</v>
      </c>
      <c r="AD10" s="44">
        <v>2249451.3333333335</v>
      </c>
      <c r="AE10" s="44">
        <v>100428</v>
      </c>
      <c r="AF10" s="44">
        <v>3582408</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1659</v>
      </c>
      <c r="D11" s="1" t="s">
        <v>1660</v>
      </c>
      <c r="E11" s="1" t="s">
        <v>1661</v>
      </c>
      <c r="F11" s="1" t="s">
        <v>112</v>
      </c>
      <c r="G11" s="1">
        <v>67853</v>
      </c>
      <c r="K11" s="145" t="s">
        <v>1635</v>
      </c>
      <c r="L11" s="44">
        <v>72157.666666666672</v>
      </c>
      <c r="M11" s="44">
        <v>155288</v>
      </c>
      <c r="N11" s="44">
        <v>68747</v>
      </c>
      <c r="O11" s="44">
        <v>1071292.6666666667</v>
      </c>
      <c r="P11" s="44">
        <v>1166219.3333333333</v>
      </c>
      <c r="Q11" s="44">
        <v>3268306</v>
      </c>
      <c r="R11" s="44">
        <v>5167857.666666667</v>
      </c>
      <c r="S11" s="44">
        <v>286062.66666666669</v>
      </c>
      <c r="T11" s="44">
        <v>421426</v>
      </c>
      <c r="U11" s="44">
        <v>104328</v>
      </c>
      <c r="V11" s="44">
        <v>194380.66666666666</v>
      </c>
      <c r="W11" s="44"/>
      <c r="X11" s="44">
        <v>2267137.6666666665</v>
      </c>
      <c r="Y11" s="44">
        <v>4187540.3333333335</v>
      </c>
      <c r="Z11" s="44">
        <v>3433882.6666666665</v>
      </c>
      <c r="AA11" s="44">
        <v>126498.66666666667</v>
      </c>
      <c r="AB11" s="44">
        <v>3293894.3333333335</v>
      </c>
      <c r="AC11" s="44">
        <v>811351.66666666663</v>
      </c>
      <c r="AD11" s="44">
        <v>1772072.3333333333</v>
      </c>
      <c r="AE11" s="44">
        <v>4099535.6666666665</v>
      </c>
      <c r="AF11" s="44">
        <v>2668119.3333333335</v>
      </c>
      <c r="AG11"/>
    </row>
    <row r="12" spans="1:144" x14ac:dyDescent="0.25">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1662</v>
      </c>
      <c r="D12" s="1" t="s">
        <v>184</v>
      </c>
      <c r="E12" s="1" t="s">
        <v>185</v>
      </c>
      <c r="F12" s="1" t="s">
        <v>112</v>
      </c>
      <c r="G12" s="1">
        <v>53426</v>
      </c>
      <c r="K12" s="145" t="s">
        <v>1636</v>
      </c>
      <c r="L12" s="44">
        <v>139599</v>
      </c>
      <c r="M12" s="44">
        <v>454992</v>
      </c>
      <c r="N12" s="44">
        <v>146347.66666666666</v>
      </c>
      <c r="O12" s="44">
        <v>387759.5</v>
      </c>
      <c r="P12" s="44">
        <v>2215607.6666666665</v>
      </c>
      <c r="Q12" s="44">
        <v>3259481</v>
      </c>
      <c r="R12" s="44">
        <v>4664714</v>
      </c>
      <c r="S12" s="44">
        <v>37614.333333333336</v>
      </c>
      <c r="T12" s="44">
        <v>10468.666666666666</v>
      </c>
      <c r="U12" s="44">
        <v>195909</v>
      </c>
      <c r="V12" s="44">
        <v>36785.333333333336</v>
      </c>
      <c r="W12" s="44">
        <v>27611</v>
      </c>
      <c r="X12" s="44">
        <v>1506767.3333333333</v>
      </c>
      <c r="Y12" s="44">
        <v>864994</v>
      </c>
      <c r="Z12" s="44">
        <v>4270851.333333333</v>
      </c>
      <c r="AA12" s="44">
        <v>305623.33333333331</v>
      </c>
      <c r="AB12" s="44">
        <v>1719187.6666666667</v>
      </c>
      <c r="AC12" s="44">
        <v>1916408.6666666667</v>
      </c>
      <c r="AD12" s="44">
        <v>3090155</v>
      </c>
      <c r="AE12" s="44">
        <v>2195715.3333333335</v>
      </c>
      <c r="AF12" s="44">
        <v>2947859</v>
      </c>
      <c r="AG12"/>
    </row>
    <row r="13" spans="1:144" x14ac:dyDescent="0.25">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1663</v>
      </c>
      <c r="D13" s="1" t="s">
        <v>353</v>
      </c>
      <c r="E13" s="1" t="s">
        <v>1664</v>
      </c>
      <c r="F13" s="1" t="s">
        <v>112</v>
      </c>
      <c r="G13" s="1">
        <v>67312</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1665</v>
      </c>
      <c r="D14" s="1" t="s">
        <v>1666</v>
      </c>
      <c r="E14" s="1" t="s">
        <v>1667</v>
      </c>
      <c r="F14" s="1" t="s">
        <v>112</v>
      </c>
      <c r="G14" s="1">
        <v>853818</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1668</v>
      </c>
      <c r="D15" s="1" t="s">
        <v>1669</v>
      </c>
      <c r="E15" s="1" t="s">
        <v>1670</v>
      </c>
      <c r="F15" s="1" t="s">
        <v>112</v>
      </c>
      <c r="G15" s="1">
        <v>938846</v>
      </c>
    </row>
    <row r="16" spans="1:144" x14ac:dyDescent="0.25">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1671</v>
      </c>
      <c r="D16" s="1" t="s">
        <v>1672</v>
      </c>
      <c r="E16" s="1" t="s">
        <v>1673</v>
      </c>
      <c r="F16" s="1" t="s">
        <v>112</v>
      </c>
      <c r="G16" s="1">
        <v>372359</v>
      </c>
    </row>
    <row r="17" spans="1:10" x14ac:dyDescent="0.25">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1674</v>
      </c>
      <c r="D17" s="1" t="s">
        <v>685</v>
      </c>
      <c r="E17" s="1" t="s">
        <v>1675</v>
      </c>
      <c r="F17" s="1" t="s">
        <v>112</v>
      </c>
      <c r="G17" s="1">
        <v>82821</v>
      </c>
    </row>
    <row r="18" spans="1:10" x14ac:dyDescent="0.25">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1676</v>
      </c>
      <c r="D18" s="1" t="s">
        <v>1677</v>
      </c>
      <c r="E18" s="1" t="s">
        <v>1678</v>
      </c>
      <c r="F18" s="1" t="s">
        <v>112</v>
      </c>
      <c r="G18" s="1">
        <v>168735</v>
      </c>
    </row>
    <row r="19" spans="1:10" x14ac:dyDescent="0.25">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1679</v>
      </c>
      <c r="D19" s="1" t="s">
        <v>1680</v>
      </c>
      <c r="E19" s="1" t="s">
        <v>1681</v>
      </c>
      <c r="F19" s="1" t="s">
        <v>112</v>
      </c>
      <c r="G19" s="1">
        <v>76397</v>
      </c>
    </row>
    <row r="20" spans="1:10" x14ac:dyDescent="0.25">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1682</v>
      </c>
      <c r="D20" s="1" t="s">
        <v>1683</v>
      </c>
      <c r="E20" s="1" t="s">
        <v>1684</v>
      </c>
      <c r="F20" s="1" t="s">
        <v>112</v>
      </c>
      <c r="G20" s="1">
        <v>121409</v>
      </c>
    </row>
    <row r="21" spans="1:10" x14ac:dyDescent="0.25">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1685</v>
      </c>
      <c r="D21" s="1" t="s">
        <v>688</v>
      </c>
      <c r="E21" s="1" t="s">
        <v>1686</v>
      </c>
      <c r="F21" s="1" t="s">
        <v>112</v>
      </c>
      <c r="G21" s="1">
        <v>34154</v>
      </c>
    </row>
    <row r="22" spans="1:10" x14ac:dyDescent="0.25">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1687</v>
      </c>
      <c r="D22" s="1" t="s">
        <v>1688</v>
      </c>
      <c r="E22" s="1">
        <v>64</v>
      </c>
      <c r="F22" s="1" t="s">
        <v>112</v>
      </c>
      <c r="G22" s="1">
        <v>60910</v>
      </c>
    </row>
    <row r="23" spans="1:10" x14ac:dyDescent="0.25">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1689</v>
      </c>
      <c r="D23" s="1" t="s">
        <v>814</v>
      </c>
      <c r="E23" s="1" t="s">
        <v>1690</v>
      </c>
      <c r="F23" s="1" t="s">
        <v>112</v>
      </c>
      <c r="G23" s="1">
        <v>27232</v>
      </c>
    </row>
    <row r="24" spans="1:10" x14ac:dyDescent="0.25">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1691</v>
      </c>
      <c r="D24" s="1" t="s">
        <v>1692</v>
      </c>
      <c r="E24" s="1" t="s">
        <v>1693</v>
      </c>
      <c r="F24" s="1" t="s">
        <v>112</v>
      </c>
      <c r="G24" s="1">
        <v>357931</v>
      </c>
    </row>
    <row r="25" spans="1:10" x14ac:dyDescent="0.25">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1694</v>
      </c>
      <c r="D25" s="1" t="s">
        <v>688</v>
      </c>
      <c r="E25" s="1" t="s">
        <v>959</v>
      </c>
      <c r="F25" s="1" t="s">
        <v>112</v>
      </c>
      <c r="G25" s="1">
        <v>33634</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223</v>
      </c>
      <c r="D27" s="1" t="s">
        <v>112</v>
      </c>
      <c r="E27" s="1" t="s">
        <v>224</v>
      </c>
      <c r="F27" s="1" t="s">
        <v>225</v>
      </c>
      <c r="G27" s="1" t="s">
        <v>226</v>
      </c>
      <c r="H27" s="1" t="s">
        <v>227</v>
      </c>
      <c r="I27" s="1" t="s">
        <v>228</v>
      </c>
      <c r="J27" s="1" t="s">
        <v>229</v>
      </c>
    </row>
    <row r="28" spans="1:10" x14ac:dyDescent="0.25">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1695</v>
      </c>
      <c r="D28" s="1" t="s">
        <v>112</v>
      </c>
      <c r="E28" s="1" t="s">
        <v>1696</v>
      </c>
      <c r="F28" s="1" t="s">
        <v>1697</v>
      </c>
      <c r="G28" s="1" t="s">
        <v>1698</v>
      </c>
      <c r="H28" s="1" t="s">
        <v>1699</v>
      </c>
      <c r="I28" s="1">
        <v>24</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235</v>
      </c>
      <c r="D34" s="1" t="s">
        <v>110</v>
      </c>
      <c r="E34" s="1" t="s">
        <v>111</v>
      </c>
      <c r="F34" s="1" t="s">
        <v>112</v>
      </c>
      <c r="G34" s="1" t="s">
        <v>113</v>
      </c>
    </row>
    <row r="35" spans="1:7" x14ac:dyDescent="0.25">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1700</v>
      </c>
      <c r="D35" s="1" t="s">
        <v>1701</v>
      </c>
      <c r="E35" s="1" t="s">
        <v>1702</v>
      </c>
      <c r="F35" s="1" t="s">
        <v>112</v>
      </c>
      <c r="G35" s="1">
        <v>387824</v>
      </c>
    </row>
    <row r="36" spans="1:7" x14ac:dyDescent="0.25">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1703</v>
      </c>
      <c r="D36" s="1" t="s">
        <v>1704</v>
      </c>
      <c r="E36" s="1" t="s">
        <v>1705</v>
      </c>
      <c r="F36" s="1" t="s">
        <v>112</v>
      </c>
      <c r="G36" s="1">
        <v>232781</v>
      </c>
    </row>
    <row r="37" spans="1:7" x14ac:dyDescent="0.25">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1706</v>
      </c>
      <c r="D37" s="1" t="s">
        <v>252</v>
      </c>
      <c r="E37" s="1" t="s">
        <v>1707</v>
      </c>
      <c r="F37" s="1" t="s">
        <v>112</v>
      </c>
      <c r="G37" s="1">
        <v>315537</v>
      </c>
    </row>
    <row r="38" spans="1:7" x14ac:dyDescent="0.25">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1708</v>
      </c>
      <c r="D38" s="1" t="s">
        <v>1709</v>
      </c>
      <c r="E38" s="1" t="s">
        <v>1710</v>
      </c>
      <c r="F38" s="1" t="s">
        <v>112</v>
      </c>
      <c r="G38" s="1">
        <v>86952</v>
      </c>
    </row>
    <row r="39" spans="1:7" x14ac:dyDescent="0.25">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1711</v>
      </c>
    </row>
    <row r="40" spans="1:7" x14ac:dyDescent="0.25">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1712</v>
      </c>
      <c r="D40" s="1" t="s">
        <v>1713</v>
      </c>
      <c r="E40" s="1" t="s">
        <v>1714</v>
      </c>
      <c r="F40" s="1" t="s">
        <v>112</v>
      </c>
      <c r="G40" s="1">
        <v>146175</v>
      </c>
    </row>
    <row r="41" spans="1:7" x14ac:dyDescent="0.25">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1715</v>
      </c>
      <c r="D41" s="1" t="s">
        <v>1716</v>
      </c>
      <c r="E41" s="1" t="s">
        <v>1717</v>
      </c>
      <c r="F41" s="1" t="s">
        <v>112</v>
      </c>
      <c r="G41" s="1">
        <v>613662</v>
      </c>
    </row>
    <row r="42" spans="1:7" x14ac:dyDescent="0.25">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1718</v>
      </c>
      <c r="D42" s="1" t="s">
        <v>1344</v>
      </c>
      <c r="E42" s="1" t="s">
        <v>1719</v>
      </c>
      <c r="F42" s="1" t="s">
        <v>112</v>
      </c>
      <c r="G42" s="1">
        <v>203018</v>
      </c>
    </row>
    <row r="43" spans="1:7" x14ac:dyDescent="0.25">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1720</v>
      </c>
      <c r="D43" s="1" t="s">
        <v>739</v>
      </c>
      <c r="E43" s="1" t="s">
        <v>1721</v>
      </c>
      <c r="F43" s="1" t="s">
        <v>112</v>
      </c>
      <c r="G43" s="1">
        <v>28249</v>
      </c>
    </row>
    <row r="44" spans="1:7" x14ac:dyDescent="0.25">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1722</v>
      </c>
      <c r="D44" s="1" t="s">
        <v>1723</v>
      </c>
      <c r="E44" s="1" t="s">
        <v>1724</v>
      </c>
      <c r="F44" s="1" t="s">
        <v>112</v>
      </c>
      <c r="G44" s="1">
        <v>12545</v>
      </c>
    </row>
    <row r="45" spans="1:7" x14ac:dyDescent="0.25">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1725</v>
      </c>
    </row>
    <row r="46" spans="1:7" x14ac:dyDescent="0.25">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1726</v>
      </c>
      <c r="D46" s="1" t="s">
        <v>258</v>
      </c>
      <c r="E46" s="1" t="s">
        <v>259</v>
      </c>
      <c r="F46" s="1" t="s">
        <v>112</v>
      </c>
      <c r="G46" s="1">
        <v>10837</v>
      </c>
    </row>
    <row r="47" spans="1:7" x14ac:dyDescent="0.25">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1727</v>
      </c>
      <c r="D47" s="1" t="s">
        <v>172</v>
      </c>
      <c r="E47" s="1" t="s">
        <v>1728</v>
      </c>
      <c r="F47" s="1" t="s">
        <v>112</v>
      </c>
      <c r="G47" s="1">
        <v>222918</v>
      </c>
    </row>
    <row r="48" spans="1:7" x14ac:dyDescent="0.25">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1729</v>
      </c>
    </row>
    <row r="49" spans="1:10" x14ac:dyDescent="0.25">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1730</v>
      </c>
      <c r="D49" s="1" t="s">
        <v>202</v>
      </c>
      <c r="E49" s="1" t="s">
        <v>734</v>
      </c>
      <c r="F49" s="1" t="s">
        <v>112</v>
      </c>
      <c r="G49" s="1">
        <v>16525</v>
      </c>
    </row>
    <row r="50" spans="1:10" x14ac:dyDescent="0.25">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1731</v>
      </c>
      <c r="D50" s="1" t="s">
        <v>930</v>
      </c>
      <c r="E50" s="1" t="s">
        <v>1732</v>
      </c>
      <c r="F50" s="1" t="s">
        <v>112</v>
      </c>
      <c r="G50" s="1">
        <v>46223</v>
      </c>
    </row>
    <row r="51" spans="1:10" x14ac:dyDescent="0.25">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1733</v>
      </c>
      <c r="D51" s="1" t="s">
        <v>431</v>
      </c>
      <c r="E51" s="1" t="s">
        <v>1734</v>
      </c>
      <c r="F51" s="1" t="s">
        <v>112</v>
      </c>
      <c r="G51" s="1">
        <v>49121</v>
      </c>
    </row>
    <row r="52" spans="1:10" x14ac:dyDescent="0.25">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1735</v>
      </c>
      <c r="D52" s="1" t="s">
        <v>1713</v>
      </c>
      <c r="E52" s="1" t="s">
        <v>1736</v>
      </c>
      <c r="F52" s="1" t="s">
        <v>112</v>
      </c>
      <c r="G52" s="1">
        <v>160602</v>
      </c>
    </row>
    <row r="53" spans="1:10" x14ac:dyDescent="0.25">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1737</v>
      </c>
      <c r="D53" s="1" t="s">
        <v>784</v>
      </c>
      <c r="E53" s="1" t="s">
        <v>1738</v>
      </c>
      <c r="F53" s="1" t="s">
        <v>112</v>
      </c>
      <c r="G53" s="1">
        <v>392193</v>
      </c>
    </row>
    <row r="54" spans="1:10" x14ac:dyDescent="0.25">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1739</v>
      </c>
      <c r="D54" s="1" t="s">
        <v>722</v>
      </c>
      <c r="E54" s="1" t="s">
        <v>1740</v>
      </c>
      <c r="F54" s="1" t="s">
        <v>112</v>
      </c>
      <c r="G54" s="1">
        <v>50700</v>
      </c>
    </row>
    <row r="55" spans="1:10" x14ac:dyDescent="0.25">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1741</v>
      </c>
      <c r="D55" s="1" t="s">
        <v>268</v>
      </c>
      <c r="E55" s="1" t="s">
        <v>1742</v>
      </c>
      <c r="F55" s="1" t="s">
        <v>112</v>
      </c>
      <c r="G55" s="1">
        <v>22971</v>
      </c>
    </row>
    <row r="56" spans="1:10" x14ac:dyDescent="0.25">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1743</v>
      </c>
      <c r="D56" s="1" t="s">
        <v>365</v>
      </c>
      <c r="E56" s="1" t="s">
        <v>1744</v>
      </c>
      <c r="F56" s="1" t="s">
        <v>112</v>
      </c>
      <c r="G56" s="1">
        <v>462945</v>
      </c>
    </row>
    <row r="57" spans="1:10" x14ac:dyDescent="0.25">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1745</v>
      </c>
      <c r="D57" s="1" t="s">
        <v>830</v>
      </c>
      <c r="E57" s="1" t="s">
        <v>1746</v>
      </c>
      <c r="F57" s="1" t="s">
        <v>112</v>
      </c>
      <c r="G57" s="1">
        <v>453081</v>
      </c>
    </row>
    <row r="58" spans="1:10" x14ac:dyDescent="0.25">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1747</v>
      </c>
      <c r="D58" s="1" t="s">
        <v>1748</v>
      </c>
      <c r="E58" s="1" t="s">
        <v>1749</v>
      </c>
      <c r="F58" s="1" t="s">
        <v>112</v>
      </c>
      <c r="G58" s="1">
        <v>448950</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223</v>
      </c>
      <c r="D60" s="1" t="s">
        <v>112</v>
      </c>
      <c r="E60" s="1" t="s">
        <v>224</v>
      </c>
      <c r="F60" s="1" t="s">
        <v>225</v>
      </c>
      <c r="G60" s="1" t="s">
        <v>226</v>
      </c>
      <c r="H60" s="1" t="s">
        <v>227</v>
      </c>
      <c r="I60" s="1" t="s">
        <v>228</v>
      </c>
      <c r="J60" s="1" t="s">
        <v>229</v>
      </c>
    </row>
    <row r="61" spans="1:10" x14ac:dyDescent="0.25">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1750</v>
      </c>
      <c r="D61" s="1" t="s">
        <v>112</v>
      </c>
      <c r="E61" s="1" t="s">
        <v>1751</v>
      </c>
      <c r="F61" s="1" t="s">
        <v>1752</v>
      </c>
      <c r="G61" s="1" t="s">
        <v>1753</v>
      </c>
      <c r="H61" s="1" t="s">
        <v>1754</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235</v>
      </c>
      <c r="D67" s="1" t="s">
        <v>110</v>
      </c>
      <c r="E67" s="1" t="s">
        <v>111</v>
      </c>
      <c r="F67" s="1" t="s">
        <v>112</v>
      </c>
      <c r="G67" s="1" t="s">
        <v>113</v>
      </c>
    </row>
    <row r="68" spans="1:7" x14ac:dyDescent="0.25">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1755</v>
      </c>
      <c r="D68" s="1" t="s">
        <v>1713</v>
      </c>
      <c r="E68" s="1" t="s">
        <v>1756</v>
      </c>
      <c r="F68" s="1" t="s">
        <v>112</v>
      </c>
      <c r="G68" s="1">
        <v>153205</v>
      </c>
    </row>
    <row r="69" spans="1:7" x14ac:dyDescent="0.25">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1757</v>
      </c>
      <c r="D69" s="1" t="s">
        <v>781</v>
      </c>
      <c r="E69" s="1" t="s">
        <v>1758</v>
      </c>
      <c r="F69" s="1" t="s">
        <v>112</v>
      </c>
      <c r="G69" s="1">
        <v>202261</v>
      </c>
    </row>
    <row r="70" spans="1:7" x14ac:dyDescent="0.25">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1759</v>
      </c>
      <c r="D70" s="1" t="s">
        <v>1760</v>
      </c>
      <c r="E70" s="1" t="s">
        <v>1761</v>
      </c>
      <c r="F70" s="1" t="s">
        <v>112</v>
      </c>
      <c r="G70" s="1">
        <v>194712</v>
      </c>
    </row>
    <row r="71" spans="1:7" x14ac:dyDescent="0.25">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1762</v>
      </c>
      <c r="D71" s="1" t="s">
        <v>1716</v>
      </c>
      <c r="E71" s="1" t="s">
        <v>1763</v>
      </c>
      <c r="F71" s="1" t="s">
        <v>112</v>
      </c>
      <c r="G71" s="1">
        <v>636481</v>
      </c>
    </row>
    <row r="72" spans="1:7" x14ac:dyDescent="0.25">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1764</v>
      </c>
      <c r="D72" s="1" t="s">
        <v>1765</v>
      </c>
      <c r="E72" s="1" t="s">
        <v>1766</v>
      </c>
      <c r="F72" s="1" t="s">
        <v>112</v>
      </c>
      <c r="G72" s="1">
        <v>458121</v>
      </c>
    </row>
    <row r="73" spans="1:7" x14ac:dyDescent="0.25">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1767</v>
      </c>
      <c r="D73" s="1" t="s">
        <v>1768</v>
      </c>
      <c r="E73" s="1" t="s">
        <v>1769</v>
      </c>
      <c r="F73" s="1" t="s">
        <v>112</v>
      </c>
      <c r="G73" s="1">
        <v>438416</v>
      </c>
    </row>
    <row r="74" spans="1:7" x14ac:dyDescent="0.25">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1770</v>
      </c>
      <c r="D74" s="1" t="s">
        <v>268</v>
      </c>
      <c r="E74" s="1" t="s">
        <v>1771</v>
      </c>
      <c r="F74" s="1" t="s">
        <v>112</v>
      </c>
      <c r="G74" s="1">
        <v>22820</v>
      </c>
    </row>
    <row r="75" spans="1:7" x14ac:dyDescent="0.25">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1772</v>
      </c>
      <c r="D75" s="1" t="s">
        <v>844</v>
      </c>
      <c r="E75" s="1" t="s">
        <v>1773</v>
      </c>
      <c r="F75" s="1" t="s">
        <v>112</v>
      </c>
      <c r="G75" s="1">
        <v>107868</v>
      </c>
    </row>
    <row r="76" spans="1:7" x14ac:dyDescent="0.25">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1774</v>
      </c>
      <c r="D76" s="1" t="s">
        <v>733</v>
      </c>
      <c r="E76" s="1" t="s">
        <v>1775</v>
      </c>
      <c r="F76" s="1" t="s">
        <v>112</v>
      </c>
      <c r="G76" s="1">
        <v>8457</v>
      </c>
    </row>
    <row r="77" spans="1:7" x14ac:dyDescent="0.25">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1776</v>
      </c>
      <c r="D77" s="1" t="s">
        <v>1777</v>
      </c>
      <c r="E77" s="1" t="s">
        <v>1778</v>
      </c>
      <c r="F77" s="1" t="s">
        <v>112</v>
      </c>
      <c r="G77" s="1">
        <v>258564</v>
      </c>
    </row>
    <row r="78" spans="1:7" x14ac:dyDescent="0.25">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1779</v>
      </c>
    </row>
    <row r="79" spans="1:7" x14ac:dyDescent="0.25">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1780</v>
      </c>
      <c r="D79" s="1" t="s">
        <v>1781</v>
      </c>
      <c r="E79" s="1" t="s">
        <v>1782</v>
      </c>
      <c r="F79" s="1" t="s">
        <v>112</v>
      </c>
      <c r="G79" s="1">
        <v>174077</v>
      </c>
    </row>
    <row r="80" spans="1:7" x14ac:dyDescent="0.25">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1783</v>
      </c>
      <c r="D80" s="1" t="s">
        <v>1784</v>
      </c>
      <c r="E80" s="1" t="s">
        <v>1785</v>
      </c>
      <c r="F80" s="1" t="s">
        <v>112</v>
      </c>
      <c r="G80" s="1">
        <v>712900</v>
      </c>
    </row>
    <row r="81" spans="1:10" x14ac:dyDescent="0.25">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1786</v>
      </c>
      <c r="D81" s="1" t="s">
        <v>1787</v>
      </c>
      <c r="E81" s="1" t="s">
        <v>1788</v>
      </c>
      <c r="F81" s="1" t="s">
        <v>112</v>
      </c>
      <c r="G81" s="1">
        <v>313309</v>
      </c>
    </row>
    <row r="82" spans="1:10" x14ac:dyDescent="0.25">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1789</v>
      </c>
      <c r="D82" s="1" t="s">
        <v>1790</v>
      </c>
      <c r="E82" s="1" t="s">
        <v>1791</v>
      </c>
      <c r="F82" s="1" t="s">
        <v>112</v>
      </c>
      <c r="G82" s="1">
        <v>598110</v>
      </c>
    </row>
    <row r="83" spans="1:10" x14ac:dyDescent="0.25">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1792</v>
      </c>
    </row>
    <row r="84" spans="1:10" x14ac:dyDescent="0.25">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1793</v>
      </c>
    </row>
    <row r="85" spans="1:10" x14ac:dyDescent="0.25">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1794</v>
      </c>
    </row>
    <row r="86" spans="1:10" x14ac:dyDescent="0.25">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1795</v>
      </c>
      <c r="D86" s="1" t="s">
        <v>207</v>
      </c>
      <c r="E86" s="1" t="s">
        <v>1796</v>
      </c>
      <c r="F86" s="1" t="s">
        <v>112</v>
      </c>
      <c r="G86" s="1">
        <v>89072</v>
      </c>
    </row>
    <row r="87" spans="1:10" x14ac:dyDescent="0.25">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1797</v>
      </c>
      <c r="D87" s="1" t="s">
        <v>334</v>
      </c>
      <c r="E87" s="1" t="s">
        <v>779</v>
      </c>
      <c r="F87" s="1" t="s">
        <v>112</v>
      </c>
      <c r="G87" s="1">
        <v>40664</v>
      </c>
    </row>
    <row r="88" spans="1:10" x14ac:dyDescent="0.25">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1798</v>
      </c>
      <c r="D88" s="1" t="s">
        <v>1680</v>
      </c>
      <c r="E88" s="1" t="s">
        <v>1799</v>
      </c>
      <c r="F88" s="1" t="s">
        <v>112</v>
      </c>
      <c r="G88" s="1">
        <v>76505</v>
      </c>
    </row>
    <row r="89" spans="1:10" x14ac:dyDescent="0.25">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1800</v>
      </c>
      <c r="D89" s="1" t="s">
        <v>276</v>
      </c>
      <c r="E89" s="1" t="s">
        <v>1801</v>
      </c>
      <c r="F89" s="1" t="s">
        <v>112</v>
      </c>
      <c r="G89" s="1">
        <v>252875</v>
      </c>
    </row>
    <row r="90" spans="1:10" x14ac:dyDescent="0.25">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1802</v>
      </c>
      <c r="D90" s="1" t="s">
        <v>373</v>
      </c>
      <c r="E90" s="1" t="s">
        <v>1803</v>
      </c>
      <c r="F90" s="1" t="s">
        <v>112</v>
      </c>
      <c r="G90" s="1">
        <v>111956</v>
      </c>
    </row>
    <row r="91" spans="1:10" x14ac:dyDescent="0.25">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1804</v>
      </c>
      <c r="D91" s="1" t="s">
        <v>1680</v>
      </c>
      <c r="E91" s="1" t="s">
        <v>1805</v>
      </c>
      <c r="F91" s="1" t="s">
        <v>112</v>
      </c>
      <c r="G91" s="1">
        <v>74212</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223</v>
      </c>
      <c r="D93" s="1" t="s">
        <v>112</v>
      </c>
      <c r="E93" s="1" t="s">
        <v>224</v>
      </c>
      <c r="F93" s="1" t="s">
        <v>225</v>
      </c>
      <c r="G93" s="1" t="s">
        <v>226</v>
      </c>
      <c r="H93" s="1" t="s">
        <v>227</v>
      </c>
      <c r="I93" s="1" t="s">
        <v>228</v>
      </c>
      <c r="J93" s="1" t="s">
        <v>229</v>
      </c>
    </row>
    <row r="94" spans="1:10" x14ac:dyDescent="0.25">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1806</v>
      </c>
      <c r="D94" s="1" t="s">
        <v>112</v>
      </c>
      <c r="E94" s="1" t="s">
        <v>1807</v>
      </c>
      <c r="F94" s="1" t="s">
        <v>1808</v>
      </c>
      <c r="G94" s="1" t="s">
        <v>1809</v>
      </c>
      <c r="H94" s="1" t="s">
        <v>1810</v>
      </c>
      <c r="I94" s="1">
        <v>24</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235</v>
      </c>
      <c r="D100" s="1" t="s">
        <v>110</v>
      </c>
      <c r="E100" s="1" t="s">
        <v>111</v>
      </c>
      <c r="F100" s="1" t="s">
        <v>112</v>
      </c>
      <c r="G100" s="1" t="s">
        <v>113</v>
      </c>
    </row>
    <row r="101" spans="1:7" x14ac:dyDescent="0.2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1811</v>
      </c>
      <c r="D101" s="1" t="s">
        <v>1812</v>
      </c>
      <c r="E101" s="1" t="s">
        <v>1813</v>
      </c>
      <c r="F101" s="1" t="s">
        <v>112</v>
      </c>
      <c r="G101" s="1">
        <v>821157</v>
      </c>
    </row>
    <row r="102" spans="1:7" x14ac:dyDescent="0.2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1814</v>
      </c>
      <c r="D102" s="1" t="s">
        <v>1815</v>
      </c>
      <c r="E102" s="1" t="s">
        <v>1816</v>
      </c>
      <c r="F102" s="1" t="s">
        <v>112</v>
      </c>
      <c r="G102" s="1">
        <v>686879</v>
      </c>
    </row>
    <row r="103" spans="1:7" x14ac:dyDescent="0.2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1817</v>
      </c>
      <c r="D103" s="1" t="s">
        <v>1818</v>
      </c>
      <c r="E103" s="1" t="s">
        <v>1819</v>
      </c>
      <c r="F103" s="1" t="s">
        <v>112</v>
      </c>
      <c r="G103" s="1">
        <v>734962</v>
      </c>
    </row>
    <row r="104" spans="1:7" x14ac:dyDescent="0.2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1820</v>
      </c>
      <c r="D104" s="1" t="s">
        <v>1821</v>
      </c>
      <c r="E104" s="1" t="s">
        <v>1822</v>
      </c>
      <c r="F104" s="1" t="s">
        <v>112</v>
      </c>
      <c r="G104" s="1">
        <v>2334471</v>
      </c>
    </row>
    <row r="105" spans="1:7" x14ac:dyDescent="0.2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1823</v>
      </c>
      <c r="D105" s="1" t="s">
        <v>1824</v>
      </c>
      <c r="E105" s="1" t="s">
        <v>1825</v>
      </c>
      <c r="F105" s="1" t="s">
        <v>112</v>
      </c>
      <c r="G105" s="1">
        <v>2455880</v>
      </c>
    </row>
    <row r="106" spans="1:7" x14ac:dyDescent="0.2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1826</v>
      </c>
      <c r="D106" s="1" t="s">
        <v>1827</v>
      </c>
      <c r="E106" s="1" t="s">
        <v>1828</v>
      </c>
      <c r="F106" s="1" t="s">
        <v>112</v>
      </c>
      <c r="G106" s="1">
        <v>2334493</v>
      </c>
    </row>
    <row r="107" spans="1:7" x14ac:dyDescent="0.2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1829</v>
      </c>
      <c r="D107" s="1" t="s">
        <v>1830</v>
      </c>
      <c r="E107" s="1" t="s">
        <v>1831</v>
      </c>
      <c r="F107" s="1" t="s">
        <v>112</v>
      </c>
      <c r="G107" s="1">
        <v>1484827</v>
      </c>
    </row>
    <row r="108" spans="1:7" x14ac:dyDescent="0.2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1832</v>
      </c>
    </row>
    <row r="109" spans="1:7" x14ac:dyDescent="0.2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1833</v>
      </c>
      <c r="D109" s="1" t="s">
        <v>1834</v>
      </c>
      <c r="E109" s="1" t="s">
        <v>1835</v>
      </c>
      <c r="F109" s="1" t="s">
        <v>112</v>
      </c>
      <c r="G109" s="1">
        <v>1293835</v>
      </c>
    </row>
    <row r="110" spans="1:7" x14ac:dyDescent="0.2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1836</v>
      </c>
      <c r="D110" s="1" t="s">
        <v>693</v>
      </c>
      <c r="E110" s="1" t="s">
        <v>1837</v>
      </c>
      <c r="F110" s="1" t="s">
        <v>112</v>
      </c>
      <c r="G110" s="1">
        <v>303900</v>
      </c>
    </row>
    <row r="111" spans="1:7" x14ac:dyDescent="0.2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1838</v>
      </c>
      <c r="D111" s="1" t="s">
        <v>1781</v>
      </c>
      <c r="E111" s="1" t="s">
        <v>1839</v>
      </c>
      <c r="F111" s="1" t="s">
        <v>112</v>
      </c>
      <c r="G111" s="1">
        <v>168627</v>
      </c>
    </row>
    <row r="112" spans="1:7" x14ac:dyDescent="0.2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1840</v>
      </c>
      <c r="D112" s="1" t="s">
        <v>263</v>
      </c>
      <c r="E112" s="1" t="s">
        <v>1841</v>
      </c>
      <c r="F112" s="1" t="s">
        <v>112</v>
      </c>
      <c r="G112" s="1">
        <v>186731</v>
      </c>
    </row>
    <row r="113" spans="1:10" x14ac:dyDescent="0.2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1842</v>
      </c>
      <c r="D113" s="1" t="s">
        <v>1843</v>
      </c>
      <c r="E113" s="1" t="s">
        <v>1844</v>
      </c>
      <c r="F113" s="1" t="s">
        <v>112</v>
      </c>
      <c r="G113" s="1">
        <v>238686</v>
      </c>
    </row>
    <row r="114" spans="1:10" x14ac:dyDescent="0.2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1845</v>
      </c>
      <c r="D114" s="1" t="s">
        <v>1846</v>
      </c>
      <c r="E114" s="1" t="s">
        <v>1847</v>
      </c>
      <c r="F114" s="1" t="s">
        <v>112</v>
      </c>
      <c r="G114" s="1">
        <v>441596</v>
      </c>
    </row>
    <row r="115" spans="1:10" x14ac:dyDescent="0.2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1848</v>
      </c>
      <c r="D115" s="1" t="s">
        <v>1849</v>
      </c>
      <c r="E115" s="1" t="s">
        <v>1850</v>
      </c>
      <c r="F115" s="1" t="s">
        <v>112</v>
      </c>
      <c r="G115" s="1">
        <v>254324</v>
      </c>
    </row>
    <row r="116" spans="1:10" x14ac:dyDescent="0.2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1851</v>
      </c>
      <c r="D116" s="1" t="s">
        <v>1852</v>
      </c>
      <c r="E116" s="1" t="s">
        <v>1853</v>
      </c>
      <c r="F116" s="1" t="s">
        <v>112</v>
      </c>
      <c r="G116" s="1">
        <v>550221</v>
      </c>
    </row>
    <row r="117" spans="1:10" x14ac:dyDescent="0.2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1854</v>
      </c>
      <c r="D117" s="1" t="s">
        <v>1855</v>
      </c>
      <c r="E117" s="1" t="s">
        <v>1856</v>
      </c>
      <c r="F117" s="1" t="s">
        <v>112</v>
      </c>
      <c r="G117" s="1">
        <v>194907</v>
      </c>
    </row>
    <row r="118" spans="1:10" x14ac:dyDescent="0.2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1857</v>
      </c>
      <c r="D118" s="1" t="s">
        <v>1677</v>
      </c>
      <c r="E118" s="1" t="s">
        <v>1858</v>
      </c>
      <c r="F118" s="1" t="s">
        <v>112</v>
      </c>
      <c r="G118" s="1">
        <v>161727</v>
      </c>
    </row>
    <row r="119" spans="1:10" x14ac:dyDescent="0.2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1859</v>
      </c>
      <c r="D119" s="1" t="s">
        <v>1860</v>
      </c>
      <c r="E119" s="1" t="s">
        <v>1861</v>
      </c>
      <c r="F119" s="1" t="s">
        <v>112</v>
      </c>
      <c r="G119" s="1">
        <v>1012279</v>
      </c>
    </row>
    <row r="120" spans="1:10" x14ac:dyDescent="0.2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1862</v>
      </c>
      <c r="D120" s="1" t="s">
        <v>1863</v>
      </c>
      <c r="E120" s="1" t="s">
        <v>1864</v>
      </c>
      <c r="F120" s="1" t="s">
        <v>112</v>
      </c>
      <c r="G120" s="1">
        <v>1114113</v>
      </c>
    </row>
    <row r="121" spans="1:10" x14ac:dyDescent="0.2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1865</v>
      </c>
      <c r="D121" s="1" t="s">
        <v>1866</v>
      </c>
      <c r="E121" s="1" t="s">
        <v>1867</v>
      </c>
      <c r="F121" s="1" t="s">
        <v>112</v>
      </c>
      <c r="G121" s="1">
        <v>1087486</v>
      </c>
    </row>
    <row r="122" spans="1:10" x14ac:dyDescent="0.2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1868</v>
      </c>
      <c r="D122" s="1" t="s">
        <v>1316</v>
      </c>
      <c r="E122" s="1" t="s">
        <v>1869</v>
      </c>
      <c r="F122" s="1" t="s">
        <v>112</v>
      </c>
      <c r="G122" s="1">
        <v>395849</v>
      </c>
    </row>
    <row r="123" spans="1:10" x14ac:dyDescent="0.2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1870</v>
      </c>
    </row>
    <row r="124" spans="1:10" x14ac:dyDescent="0.2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1871</v>
      </c>
      <c r="D124" s="1" t="s">
        <v>902</v>
      </c>
      <c r="E124" s="1" t="s">
        <v>1872</v>
      </c>
      <c r="F124" s="1" t="s">
        <v>112</v>
      </c>
      <c r="G124" s="1">
        <v>379670</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223</v>
      </c>
      <c r="D126" s="1" t="s">
        <v>112</v>
      </c>
      <c r="E126" s="1" t="s">
        <v>224</v>
      </c>
      <c r="F126" s="1" t="s">
        <v>225</v>
      </c>
      <c r="G126" s="1" t="s">
        <v>226</v>
      </c>
      <c r="H126" s="1" t="s">
        <v>227</v>
      </c>
      <c r="I126" s="1" t="s">
        <v>228</v>
      </c>
      <c r="J126" s="1" t="s">
        <v>229</v>
      </c>
    </row>
    <row r="127" spans="1:10" x14ac:dyDescent="0.2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1873</v>
      </c>
      <c r="D127" s="1" t="s">
        <v>112</v>
      </c>
      <c r="E127" s="1" t="s">
        <v>1874</v>
      </c>
      <c r="F127" s="1" t="s">
        <v>1875</v>
      </c>
      <c r="G127" s="1" t="s">
        <v>1876</v>
      </c>
      <c r="H127" s="1" t="s">
        <v>1877</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235</v>
      </c>
      <c r="D133" s="1" t="s">
        <v>110</v>
      </c>
      <c r="E133" s="1" t="s">
        <v>111</v>
      </c>
      <c r="F133" s="1" t="s">
        <v>112</v>
      </c>
      <c r="G133" s="1" t="s">
        <v>113</v>
      </c>
    </row>
    <row r="134" spans="1:7" x14ac:dyDescent="0.2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1878</v>
      </c>
      <c r="D134" s="1" t="s">
        <v>1879</v>
      </c>
      <c r="E134" s="1" t="s">
        <v>1880</v>
      </c>
      <c r="F134" s="1" t="s">
        <v>112</v>
      </c>
      <c r="G134" s="1">
        <v>1871462</v>
      </c>
    </row>
    <row r="135" spans="1:7" x14ac:dyDescent="0.2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1881</v>
      </c>
      <c r="D135" s="1" t="s">
        <v>1882</v>
      </c>
      <c r="E135" s="1" t="s">
        <v>1883</v>
      </c>
      <c r="F135" s="1" t="s">
        <v>112</v>
      </c>
      <c r="G135" s="1">
        <v>2060356</v>
      </c>
    </row>
    <row r="136" spans="1:7" x14ac:dyDescent="0.2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1884</v>
      </c>
      <c r="D136" s="1" t="s">
        <v>1885</v>
      </c>
      <c r="E136" s="1" t="s">
        <v>1886</v>
      </c>
      <c r="F136" s="1" t="s">
        <v>112</v>
      </c>
      <c r="G136" s="1">
        <v>1883012</v>
      </c>
    </row>
    <row r="137" spans="1:7" x14ac:dyDescent="0.2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1887</v>
      </c>
      <c r="D137" s="1" t="s">
        <v>1888</v>
      </c>
      <c r="E137" s="1" t="s">
        <v>1889</v>
      </c>
      <c r="F137" s="1" t="s">
        <v>112</v>
      </c>
      <c r="G137" s="1">
        <v>2055208</v>
      </c>
    </row>
    <row r="138" spans="1:7" x14ac:dyDescent="0.2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1890</v>
      </c>
      <c r="D138" s="1" t="s">
        <v>1891</v>
      </c>
      <c r="E138" s="1" t="s">
        <v>1892</v>
      </c>
      <c r="F138" s="1" t="s">
        <v>112</v>
      </c>
      <c r="G138" s="1">
        <v>1842434</v>
      </c>
    </row>
    <row r="139" spans="1:7" x14ac:dyDescent="0.2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1893</v>
      </c>
      <c r="D139" s="1" t="s">
        <v>1894</v>
      </c>
      <c r="E139" s="1" t="s">
        <v>1895</v>
      </c>
      <c r="F139" s="1" t="s">
        <v>112</v>
      </c>
      <c r="G139" s="1">
        <v>1916776</v>
      </c>
    </row>
    <row r="140" spans="1:7" x14ac:dyDescent="0.2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1896</v>
      </c>
      <c r="D140" s="1" t="s">
        <v>1897</v>
      </c>
      <c r="E140" s="1" t="s">
        <v>1898</v>
      </c>
      <c r="F140" s="1" t="s">
        <v>112</v>
      </c>
      <c r="G140" s="1">
        <v>2113284</v>
      </c>
    </row>
    <row r="141" spans="1:7" x14ac:dyDescent="0.2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1899</v>
      </c>
      <c r="D141" s="1" t="s">
        <v>1900</v>
      </c>
      <c r="E141" s="1" t="s">
        <v>1901</v>
      </c>
      <c r="F141" s="1" t="s">
        <v>112</v>
      </c>
      <c r="G141" s="1">
        <v>1288363</v>
      </c>
    </row>
    <row r="142" spans="1:7" x14ac:dyDescent="0.2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1902</v>
      </c>
      <c r="D142" s="1" t="s">
        <v>1903</v>
      </c>
      <c r="E142" s="1" t="s">
        <v>1904</v>
      </c>
      <c r="F142" s="1" t="s">
        <v>112</v>
      </c>
      <c r="G142" s="1">
        <v>1932090</v>
      </c>
    </row>
    <row r="143" spans="1:7" x14ac:dyDescent="0.2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1905</v>
      </c>
      <c r="D143" s="1" t="s">
        <v>1906</v>
      </c>
      <c r="E143" s="1" t="s">
        <v>1907</v>
      </c>
      <c r="F143" s="1" t="s">
        <v>112</v>
      </c>
      <c r="G143" s="1">
        <v>3444626</v>
      </c>
    </row>
    <row r="144" spans="1:7" x14ac:dyDescent="0.2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1908</v>
      </c>
      <c r="D144" s="1" t="s">
        <v>1909</v>
      </c>
      <c r="E144" s="1" t="s">
        <v>1910</v>
      </c>
      <c r="F144" s="1" t="s">
        <v>112</v>
      </c>
      <c r="G144" s="1">
        <v>3686232</v>
      </c>
    </row>
    <row r="145" spans="1:10" x14ac:dyDescent="0.2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1911</v>
      </c>
      <c r="D145" s="1" t="s">
        <v>1912</v>
      </c>
      <c r="E145" s="1" t="s">
        <v>1913</v>
      </c>
      <c r="F145" s="1" t="s">
        <v>112</v>
      </c>
      <c r="G145" s="1">
        <v>3479623</v>
      </c>
    </row>
    <row r="146" spans="1:10" x14ac:dyDescent="0.2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1914</v>
      </c>
      <c r="D146" s="1" t="s">
        <v>331</v>
      </c>
      <c r="E146" s="1" t="s">
        <v>1915</v>
      </c>
      <c r="F146" s="1" t="s">
        <v>112</v>
      </c>
      <c r="G146" s="1">
        <v>142130</v>
      </c>
    </row>
    <row r="147" spans="1:10" x14ac:dyDescent="0.2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1916</v>
      </c>
      <c r="D147" s="1" t="s">
        <v>1917</v>
      </c>
      <c r="E147" s="1" t="s">
        <v>1918</v>
      </c>
      <c r="F147" s="1" t="s">
        <v>112</v>
      </c>
      <c r="G147" s="1">
        <v>92252</v>
      </c>
    </row>
    <row r="148" spans="1:10" x14ac:dyDescent="0.2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1919</v>
      </c>
      <c r="D148" s="1" t="s">
        <v>300</v>
      </c>
      <c r="E148" s="1" t="s">
        <v>1920</v>
      </c>
      <c r="F148" s="1" t="s">
        <v>112</v>
      </c>
      <c r="G148" s="1">
        <v>179593</v>
      </c>
    </row>
    <row r="149" spans="1:10" x14ac:dyDescent="0.2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1921</v>
      </c>
      <c r="D149" s="1" t="s">
        <v>1922</v>
      </c>
      <c r="E149" s="1" t="s">
        <v>1923</v>
      </c>
      <c r="F149" s="1" t="s">
        <v>112</v>
      </c>
      <c r="G149" s="1">
        <v>927706</v>
      </c>
    </row>
    <row r="150" spans="1:10" x14ac:dyDescent="0.2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1924</v>
      </c>
      <c r="D150" s="1" t="s">
        <v>1925</v>
      </c>
      <c r="E150" s="1" t="s">
        <v>1926</v>
      </c>
      <c r="F150" s="1" t="s">
        <v>112</v>
      </c>
      <c r="G150" s="1">
        <v>1034298</v>
      </c>
    </row>
    <row r="151" spans="1:10" x14ac:dyDescent="0.2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1927</v>
      </c>
      <c r="D151" s="1" t="s">
        <v>1928</v>
      </c>
      <c r="E151" s="1">
        <v>66</v>
      </c>
      <c r="F151" s="1" t="s">
        <v>112</v>
      </c>
      <c r="G151" s="1">
        <v>983598</v>
      </c>
    </row>
    <row r="152" spans="1:10" x14ac:dyDescent="0.2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1929</v>
      </c>
      <c r="D152" s="1" t="s">
        <v>1930</v>
      </c>
      <c r="E152" s="1" t="s">
        <v>1931</v>
      </c>
      <c r="F152" s="1" t="s">
        <v>112</v>
      </c>
      <c r="G152" s="1">
        <v>970793</v>
      </c>
    </row>
    <row r="153" spans="1:10" x14ac:dyDescent="0.2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1932</v>
      </c>
      <c r="D153" s="1" t="s">
        <v>1933</v>
      </c>
      <c r="E153" s="1" t="s">
        <v>1934</v>
      </c>
      <c r="F153" s="1" t="s">
        <v>112</v>
      </c>
      <c r="G153" s="1">
        <v>1414682</v>
      </c>
    </row>
    <row r="154" spans="1:10" x14ac:dyDescent="0.2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1935</v>
      </c>
      <c r="D154" s="1" t="s">
        <v>1936</v>
      </c>
      <c r="E154" s="1" t="s">
        <v>1937</v>
      </c>
      <c r="F154" s="1" t="s">
        <v>112</v>
      </c>
      <c r="G154" s="1">
        <v>1113183</v>
      </c>
    </row>
    <row r="155" spans="1:10" x14ac:dyDescent="0.2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1938</v>
      </c>
      <c r="D155" s="1" t="s">
        <v>1939</v>
      </c>
      <c r="E155" s="1" t="s">
        <v>1940</v>
      </c>
      <c r="F155" s="1" t="s">
        <v>112</v>
      </c>
      <c r="G155" s="1">
        <v>2257880</v>
      </c>
    </row>
    <row r="156" spans="1:10" x14ac:dyDescent="0.2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1941</v>
      </c>
      <c r="D156" s="1" t="s">
        <v>1942</v>
      </c>
      <c r="E156" s="1" t="s">
        <v>1943</v>
      </c>
      <c r="F156" s="1" t="s">
        <v>112</v>
      </c>
      <c r="G156" s="1">
        <v>2372388</v>
      </c>
    </row>
    <row r="157" spans="1:10" x14ac:dyDescent="0.2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1944</v>
      </c>
      <c r="D157" s="1" t="s">
        <v>1945</v>
      </c>
      <c r="E157" s="1" t="s">
        <v>1946</v>
      </c>
      <c r="F157" s="1" t="s">
        <v>112</v>
      </c>
      <c r="G157" s="1">
        <v>2016555</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223</v>
      </c>
      <c r="D159" s="1" t="s">
        <v>112</v>
      </c>
      <c r="E159" s="1" t="s">
        <v>224</v>
      </c>
      <c r="F159" s="1" t="s">
        <v>225</v>
      </c>
      <c r="G159" s="1" t="s">
        <v>226</v>
      </c>
      <c r="H159" s="1" t="s">
        <v>227</v>
      </c>
      <c r="I159" s="1" t="s">
        <v>228</v>
      </c>
      <c r="J159" s="1" t="s">
        <v>229</v>
      </c>
    </row>
    <row r="160" spans="1:10" x14ac:dyDescent="0.2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1947</v>
      </c>
      <c r="D160" s="1" t="s">
        <v>112</v>
      </c>
      <c r="E160" s="1" t="s">
        <v>1948</v>
      </c>
      <c r="F160" s="1" t="s">
        <v>1949</v>
      </c>
      <c r="G160" s="1" t="s">
        <v>1950</v>
      </c>
      <c r="H160" s="1" t="s">
        <v>1951</v>
      </c>
      <c r="I160" s="1">
        <v>24</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235</v>
      </c>
      <c r="D166" s="1" t="s">
        <v>110</v>
      </c>
      <c r="E166" s="1" t="s">
        <v>111</v>
      </c>
      <c r="F166" s="1" t="s">
        <v>112</v>
      </c>
      <c r="G166" s="1" t="s">
        <v>113</v>
      </c>
    </row>
    <row r="167" spans="1:7" x14ac:dyDescent="0.25">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1952</v>
      </c>
      <c r="D167" s="1" t="s">
        <v>1953</v>
      </c>
      <c r="E167" s="1" t="s">
        <v>1954</v>
      </c>
      <c r="F167" s="1" t="s">
        <v>112</v>
      </c>
      <c r="G167" s="1">
        <v>3200640</v>
      </c>
    </row>
    <row r="168" spans="1:7" x14ac:dyDescent="0.25">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1955</v>
      </c>
      <c r="D168" s="1" t="s">
        <v>1956</v>
      </c>
      <c r="E168" s="1" t="s">
        <v>1957</v>
      </c>
      <c r="F168" s="1" t="s">
        <v>112</v>
      </c>
      <c r="G168" s="1">
        <v>3142694</v>
      </c>
    </row>
    <row r="169" spans="1:7" x14ac:dyDescent="0.25">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1958</v>
      </c>
      <c r="D169" s="1" t="s">
        <v>1959</v>
      </c>
      <c r="E169" s="1" t="s">
        <v>1960</v>
      </c>
      <c r="F169" s="1" t="s">
        <v>112</v>
      </c>
      <c r="G169" s="1">
        <v>3426630</v>
      </c>
    </row>
    <row r="170" spans="1:7" x14ac:dyDescent="0.25">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1961</v>
      </c>
      <c r="D170" s="1" t="s">
        <v>1962</v>
      </c>
      <c r="E170" s="1" t="s">
        <v>1963</v>
      </c>
      <c r="F170" s="1" t="s">
        <v>112</v>
      </c>
      <c r="G170" s="1">
        <v>3257700</v>
      </c>
    </row>
    <row r="171" spans="1:7" x14ac:dyDescent="0.25">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1964</v>
      </c>
    </row>
    <row r="172" spans="1:7" x14ac:dyDescent="0.25">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1965</v>
      </c>
      <c r="D172" s="1" t="s">
        <v>1966</v>
      </c>
      <c r="E172" s="1" t="s">
        <v>1967</v>
      </c>
      <c r="F172" s="1" t="s">
        <v>112</v>
      </c>
      <c r="G172" s="1">
        <v>2749333</v>
      </c>
    </row>
    <row r="173" spans="1:7" x14ac:dyDescent="0.25">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1968</v>
      </c>
      <c r="D173" s="1" t="s">
        <v>1969</v>
      </c>
      <c r="E173" s="1" t="s">
        <v>1970</v>
      </c>
      <c r="F173" s="1" t="s">
        <v>112</v>
      </c>
      <c r="G173" s="1">
        <v>4309129</v>
      </c>
    </row>
    <row r="174" spans="1:7" x14ac:dyDescent="0.25">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1971</v>
      </c>
      <c r="D174" s="1" t="s">
        <v>1972</v>
      </c>
      <c r="E174" s="1" t="s">
        <v>1973</v>
      </c>
      <c r="F174" s="1" t="s">
        <v>112</v>
      </c>
      <c r="G174" s="1">
        <v>3587037</v>
      </c>
    </row>
    <row r="175" spans="1:7" x14ac:dyDescent="0.25">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1974</v>
      </c>
      <c r="D175" s="1" t="s">
        <v>1975</v>
      </c>
      <c r="E175" s="1" t="s">
        <v>1976</v>
      </c>
      <c r="F175" s="1" t="s">
        <v>112</v>
      </c>
      <c r="G175" s="1">
        <v>3668257</v>
      </c>
    </row>
    <row r="176" spans="1:7" x14ac:dyDescent="0.25">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1977</v>
      </c>
      <c r="D176" s="1" t="s">
        <v>1978</v>
      </c>
      <c r="E176" s="1" t="s">
        <v>1979</v>
      </c>
      <c r="F176" s="1" t="s">
        <v>112</v>
      </c>
      <c r="G176" s="1">
        <v>2989057</v>
      </c>
    </row>
    <row r="177" spans="1:10" x14ac:dyDescent="0.25">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1980</v>
      </c>
      <c r="D177" s="1" t="s">
        <v>1981</v>
      </c>
      <c r="E177" s="1" t="s">
        <v>1982</v>
      </c>
      <c r="F177" s="1" t="s">
        <v>112</v>
      </c>
      <c r="G177" s="1">
        <v>3188874</v>
      </c>
    </row>
    <row r="178" spans="1:10" x14ac:dyDescent="0.25">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1983</v>
      </c>
      <c r="D178" s="1" t="s">
        <v>1984</v>
      </c>
      <c r="E178" s="1" t="s">
        <v>1985</v>
      </c>
      <c r="F178" s="1" t="s">
        <v>112</v>
      </c>
      <c r="G178" s="1">
        <v>2711524</v>
      </c>
    </row>
    <row r="179" spans="1:10" x14ac:dyDescent="0.25">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1986</v>
      </c>
      <c r="D179" s="1" t="s">
        <v>1987</v>
      </c>
      <c r="E179" s="1" t="s">
        <v>1988</v>
      </c>
      <c r="F179" s="1" t="s">
        <v>112</v>
      </c>
      <c r="G179" s="1">
        <v>4293880</v>
      </c>
    </row>
    <row r="180" spans="1:10" x14ac:dyDescent="0.25">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1989</v>
      </c>
      <c r="D180" s="1" t="s">
        <v>1990</v>
      </c>
      <c r="E180" s="1" t="s">
        <v>1991</v>
      </c>
      <c r="F180" s="1" t="s">
        <v>112</v>
      </c>
      <c r="G180" s="1">
        <v>4690140</v>
      </c>
    </row>
    <row r="181" spans="1:10" x14ac:dyDescent="0.25">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1992</v>
      </c>
      <c r="D181" s="1" t="s">
        <v>1993</v>
      </c>
      <c r="E181" s="1" t="s">
        <v>1994</v>
      </c>
      <c r="F181" s="1" t="s">
        <v>112</v>
      </c>
      <c r="G181" s="1">
        <v>4085584</v>
      </c>
    </row>
    <row r="182" spans="1:10" x14ac:dyDescent="0.25">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1995</v>
      </c>
      <c r="D182" s="1" t="s">
        <v>1996</v>
      </c>
      <c r="E182" s="1" t="s">
        <v>1997</v>
      </c>
      <c r="F182" s="1" t="s">
        <v>112</v>
      </c>
      <c r="G182" s="1">
        <v>2217107</v>
      </c>
    </row>
    <row r="183" spans="1:10" x14ac:dyDescent="0.25">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1998</v>
      </c>
      <c r="D183" s="1" t="s">
        <v>1999</v>
      </c>
      <c r="E183" s="1" t="s">
        <v>2000</v>
      </c>
      <c r="F183" s="1" t="s">
        <v>112</v>
      </c>
      <c r="G183" s="1">
        <v>2208347</v>
      </c>
    </row>
    <row r="184" spans="1:10" x14ac:dyDescent="0.25">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2001</v>
      </c>
      <c r="D184" s="1" t="s">
        <v>2002</v>
      </c>
      <c r="E184" s="1" t="s">
        <v>2003</v>
      </c>
      <c r="F184" s="1" t="s">
        <v>112</v>
      </c>
      <c r="G184" s="1">
        <v>2390731</v>
      </c>
    </row>
    <row r="185" spans="1:10" x14ac:dyDescent="0.25">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2004</v>
      </c>
      <c r="D185" s="1" t="s">
        <v>2005</v>
      </c>
      <c r="E185" s="1" t="s">
        <v>2006</v>
      </c>
      <c r="F185" s="1" t="s">
        <v>112</v>
      </c>
      <c r="G185" s="1">
        <v>3527295</v>
      </c>
    </row>
    <row r="186" spans="1:10" x14ac:dyDescent="0.25">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2007</v>
      </c>
      <c r="D186" s="1" t="s">
        <v>2008</v>
      </c>
      <c r="E186" s="1" t="s">
        <v>2009</v>
      </c>
      <c r="F186" s="1" t="s">
        <v>112</v>
      </c>
      <c r="G186" s="1">
        <v>3412830</v>
      </c>
    </row>
    <row r="187" spans="1:10" x14ac:dyDescent="0.25">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2010</v>
      </c>
      <c r="D187" s="1" t="s">
        <v>624</v>
      </c>
      <c r="E187" s="1" t="s">
        <v>2011</v>
      </c>
      <c r="F187" s="1" t="s">
        <v>112</v>
      </c>
      <c r="G187" s="1">
        <v>2864793</v>
      </c>
    </row>
    <row r="188" spans="1:10" x14ac:dyDescent="0.25">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2012</v>
      </c>
      <c r="D188" s="1" t="s">
        <v>2013</v>
      </c>
      <c r="E188" s="1" t="s">
        <v>2014</v>
      </c>
      <c r="F188" s="1" t="s">
        <v>112</v>
      </c>
      <c r="G188" s="1">
        <v>3166963</v>
      </c>
    </row>
    <row r="189" spans="1:10" x14ac:dyDescent="0.25">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2015</v>
      </c>
      <c r="D189" s="1" t="s">
        <v>2016</v>
      </c>
      <c r="E189" s="1" t="s">
        <v>2017</v>
      </c>
      <c r="F189" s="1" t="s">
        <v>112</v>
      </c>
      <c r="G189" s="1">
        <v>3292373</v>
      </c>
    </row>
    <row r="190" spans="1:10" x14ac:dyDescent="0.25">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2018</v>
      </c>
      <c r="D190" s="1" t="s">
        <v>2019</v>
      </c>
      <c r="E190" s="1" t="s">
        <v>2020</v>
      </c>
      <c r="F190" s="1" t="s">
        <v>112</v>
      </c>
      <c r="G190" s="1">
        <v>3319107</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223</v>
      </c>
      <c r="D192" s="1" t="s">
        <v>112</v>
      </c>
      <c r="E192" s="1" t="s">
        <v>224</v>
      </c>
      <c r="F192" s="1" t="s">
        <v>225</v>
      </c>
      <c r="G192" s="1" t="s">
        <v>226</v>
      </c>
      <c r="H192" s="1" t="s">
        <v>227</v>
      </c>
      <c r="I192" s="1" t="s">
        <v>228</v>
      </c>
      <c r="J192" s="1" t="s">
        <v>229</v>
      </c>
    </row>
    <row r="193" spans="1:10" x14ac:dyDescent="0.25">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2021</v>
      </c>
      <c r="D193" s="1" t="s">
        <v>112</v>
      </c>
      <c r="E193" s="1" t="s">
        <v>2022</v>
      </c>
      <c r="F193" s="1" t="s">
        <v>2023</v>
      </c>
      <c r="G193" s="1" t="s">
        <v>2024</v>
      </c>
      <c r="H193" s="1" t="s">
        <v>2025</v>
      </c>
      <c r="I193" s="1">
        <v>24</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235</v>
      </c>
      <c r="D199" s="1" t="s">
        <v>110</v>
      </c>
      <c r="E199" s="1" t="s">
        <v>111</v>
      </c>
      <c r="F199" s="1" t="s">
        <v>112</v>
      </c>
      <c r="G199" s="1" t="s">
        <v>113</v>
      </c>
    </row>
    <row r="200" spans="1:10" x14ac:dyDescent="0.2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2026</v>
      </c>
      <c r="D200" s="1" t="s">
        <v>2027</v>
      </c>
      <c r="E200" s="1" t="s">
        <v>2028</v>
      </c>
      <c r="F200" s="1" t="s">
        <v>112</v>
      </c>
      <c r="G200" s="1">
        <v>6325987</v>
      </c>
    </row>
    <row r="201" spans="1:10" x14ac:dyDescent="0.2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2029</v>
      </c>
    </row>
    <row r="202" spans="1:10" x14ac:dyDescent="0.2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2030</v>
      </c>
      <c r="D202" s="1" t="s">
        <v>2031</v>
      </c>
      <c r="E202" s="1" t="s">
        <v>2032</v>
      </c>
      <c r="F202" s="1" t="s">
        <v>112</v>
      </c>
      <c r="G202" s="1">
        <v>5952569</v>
      </c>
    </row>
    <row r="203" spans="1:10" x14ac:dyDescent="0.2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2033</v>
      </c>
      <c r="D203" s="1" t="s">
        <v>2034</v>
      </c>
      <c r="E203" s="1" t="s">
        <v>2035</v>
      </c>
      <c r="F203" s="1" t="s">
        <v>112</v>
      </c>
      <c r="G203" s="1">
        <v>6056306</v>
      </c>
    </row>
    <row r="204" spans="1:10" x14ac:dyDescent="0.2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2036</v>
      </c>
      <c r="D204" s="1" t="s">
        <v>2037</v>
      </c>
      <c r="E204" s="1" t="s">
        <v>2038</v>
      </c>
      <c r="F204" s="1" t="s">
        <v>112</v>
      </c>
      <c r="G204" s="1">
        <v>6309678</v>
      </c>
    </row>
    <row r="205" spans="1:10" x14ac:dyDescent="0.2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2039</v>
      </c>
      <c r="D205" s="1" t="s">
        <v>2040</v>
      </c>
      <c r="E205" s="1" t="s">
        <v>2041</v>
      </c>
      <c r="F205" s="1" t="s">
        <v>112</v>
      </c>
      <c r="G205" s="1">
        <v>5941191</v>
      </c>
    </row>
    <row r="206" spans="1:10" x14ac:dyDescent="0.2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2042</v>
      </c>
      <c r="D206" s="1" t="s">
        <v>2043</v>
      </c>
      <c r="E206" s="1" t="s">
        <v>2044</v>
      </c>
      <c r="F206" s="1" t="s">
        <v>112</v>
      </c>
      <c r="G206" s="1">
        <v>7038411</v>
      </c>
    </row>
    <row r="207" spans="1:10" x14ac:dyDescent="0.2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2045</v>
      </c>
    </row>
    <row r="208" spans="1:10" x14ac:dyDescent="0.2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2046</v>
      </c>
      <c r="D208" s="1" t="s">
        <v>2047</v>
      </c>
      <c r="E208" s="1" t="s">
        <v>2048</v>
      </c>
      <c r="F208" s="1" t="s">
        <v>112</v>
      </c>
      <c r="G208" s="1">
        <v>6710653</v>
      </c>
    </row>
    <row r="209" spans="1:7" x14ac:dyDescent="0.2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2049</v>
      </c>
      <c r="D209" s="1" t="s">
        <v>2050</v>
      </c>
      <c r="E209" s="1" t="s">
        <v>2051</v>
      </c>
      <c r="F209" s="1" t="s">
        <v>112</v>
      </c>
      <c r="G209" s="1">
        <v>6160540</v>
      </c>
    </row>
    <row r="210" spans="1:7" x14ac:dyDescent="0.2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2052</v>
      </c>
      <c r="D210" s="1" t="s">
        <v>2053</v>
      </c>
      <c r="E210" s="1" t="s">
        <v>2054</v>
      </c>
      <c r="F210" s="1" t="s">
        <v>112</v>
      </c>
      <c r="G210" s="1">
        <v>5629353</v>
      </c>
    </row>
    <row r="211" spans="1:7" x14ac:dyDescent="0.2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2055</v>
      </c>
      <c r="D211" s="1" t="s">
        <v>2056</v>
      </c>
      <c r="E211" s="1" t="s">
        <v>2057</v>
      </c>
      <c r="F211" s="1" t="s">
        <v>112</v>
      </c>
      <c r="G211" s="1">
        <v>5579713</v>
      </c>
    </row>
    <row r="212" spans="1:7" x14ac:dyDescent="0.2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2058</v>
      </c>
      <c r="D212" s="1" t="s">
        <v>2059</v>
      </c>
      <c r="E212" s="1" t="s">
        <v>2060</v>
      </c>
      <c r="F212" s="1" t="s">
        <v>112</v>
      </c>
      <c r="G212" s="1">
        <v>4574117</v>
      </c>
    </row>
    <row r="213" spans="1:7" x14ac:dyDescent="0.2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2061</v>
      </c>
      <c r="D213" s="1" t="s">
        <v>2062</v>
      </c>
      <c r="E213" s="1" t="s">
        <v>2063</v>
      </c>
      <c r="F213" s="1" t="s">
        <v>112</v>
      </c>
      <c r="G213" s="1">
        <v>4217894</v>
      </c>
    </row>
    <row r="214" spans="1:7" x14ac:dyDescent="0.2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2064</v>
      </c>
      <c r="D214" s="1" t="s">
        <v>1588</v>
      </c>
      <c r="E214" s="1" t="s">
        <v>2065</v>
      </c>
      <c r="F214" s="1" t="s">
        <v>112</v>
      </c>
      <c r="G214" s="1">
        <v>3937593</v>
      </c>
    </row>
    <row r="215" spans="1:7" x14ac:dyDescent="0.2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2066</v>
      </c>
      <c r="D215" s="1" t="s">
        <v>2067</v>
      </c>
      <c r="E215" s="1" t="s">
        <v>2068</v>
      </c>
      <c r="F215" s="1" t="s">
        <v>112</v>
      </c>
      <c r="G215" s="1">
        <v>6432298</v>
      </c>
    </row>
    <row r="216" spans="1:7" x14ac:dyDescent="0.2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2069</v>
      </c>
      <c r="D216" s="1" t="s">
        <v>2070</v>
      </c>
      <c r="E216" s="1" t="s">
        <v>2071</v>
      </c>
      <c r="F216" s="1" t="s">
        <v>112</v>
      </c>
      <c r="G216" s="1">
        <v>5729175</v>
      </c>
    </row>
    <row r="217" spans="1:7" x14ac:dyDescent="0.2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2072</v>
      </c>
      <c r="D217" s="1" t="s">
        <v>510</v>
      </c>
      <c r="E217" s="1" t="s">
        <v>2073</v>
      </c>
      <c r="F217" s="1" t="s">
        <v>112</v>
      </c>
      <c r="G217" s="1">
        <v>5792032</v>
      </c>
    </row>
    <row r="218" spans="1:7" x14ac:dyDescent="0.2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2074</v>
      </c>
      <c r="D218" s="1" t="s">
        <v>2075</v>
      </c>
      <c r="E218" s="1" t="s">
        <v>2076</v>
      </c>
      <c r="F218" s="1" t="s">
        <v>112</v>
      </c>
      <c r="G218" s="1">
        <v>5493301</v>
      </c>
    </row>
    <row r="219" spans="1:7" x14ac:dyDescent="0.2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2077</v>
      </c>
      <c r="D219" s="1" t="s">
        <v>2078</v>
      </c>
      <c r="E219" s="1" t="s">
        <v>2079</v>
      </c>
      <c r="F219" s="1" t="s">
        <v>112</v>
      </c>
      <c r="G219" s="1">
        <v>5071561</v>
      </c>
    </row>
    <row r="220" spans="1:7" x14ac:dyDescent="0.2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2080</v>
      </c>
      <c r="D220" s="1" t="s">
        <v>2081</v>
      </c>
      <c r="E220" s="1" t="s">
        <v>2082</v>
      </c>
      <c r="F220" s="1" t="s">
        <v>112</v>
      </c>
      <c r="G220" s="1">
        <v>4938711</v>
      </c>
    </row>
    <row r="221" spans="1:7" x14ac:dyDescent="0.2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2083</v>
      </c>
      <c r="D221" s="1" t="s">
        <v>2084</v>
      </c>
      <c r="E221" s="1" t="s">
        <v>2085</v>
      </c>
      <c r="F221" s="1" t="s">
        <v>112</v>
      </c>
      <c r="G221" s="1">
        <v>4831859</v>
      </c>
    </row>
    <row r="222" spans="1:7" x14ac:dyDescent="0.2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2086</v>
      </c>
      <c r="D222" s="1" t="s">
        <v>1333</v>
      </c>
      <c r="E222" s="1" t="s">
        <v>2087</v>
      </c>
      <c r="F222" s="1" t="s">
        <v>112</v>
      </c>
      <c r="G222" s="1">
        <v>4497569</v>
      </c>
    </row>
    <row r="223" spans="1:7" x14ac:dyDescent="0.2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2088</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223</v>
      </c>
      <c r="D225" s="1" t="s">
        <v>112</v>
      </c>
      <c r="E225" s="1" t="s">
        <v>224</v>
      </c>
      <c r="F225" s="1" t="s">
        <v>225</v>
      </c>
      <c r="G225" s="1" t="s">
        <v>226</v>
      </c>
      <c r="H225" s="1" t="s">
        <v>227</v>
      </c>
      <c r="I225" s="1" t="s">
        <v>228</v>
      </c>
      <c r="J225" s="1" t="s">
        <v>229</v>
      </c>
    </row>
    <row r="226" spans="1:10" x14ac:dyDescent="0.2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2089</v>
      </c>
      <c r="D226" s="1" t="s">
        <v>112</v>
      </c>
      <c r="E226" s="1" t="s">
        <v>2090</v>
      </c>
      <c r="F226" s="1" t="s">
        <v>2091</v>
      </c>
      <c r="G226" s="1" t="s">
        <v>2092</v>
      </c>
      <c r="H226" s="1" t="s">
        <v>2093</v>
      </c>
      <c r="I226" s="1">
        <v>24</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235</v>
      </c>
      <c r="D232" s="1" t="s">
        <v>110</v>
      </c>
      <c r="E232" s="1" t="s">
        <v>111</v>
      </c>
      <c r="F232" s="1" t="s">
        <v>112</v>
      </c>
      <c r="G232" s="1" t="s">
        <v>113</v>
      </c>
    </row>
    <row r="233" spans="1:10" x14ac:dyDescent="0.25">
      <c r="A233" s="1" t="str">
        <f t="shared" si="3"/>
        <v>08 Amantadine 0.001 mg_L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2094</v>
      </c>
      <c r="D233" s="1" t="s">
        <v>175</v>
      </c>
      <c r="E233" s="1" t="s">
        <v>2095</v>
      </c>
      <c r="F233" s="1" t="s">
        <v>112</v>
      </c>
      <c r="G233" s="1">
        <v>15076</v>
      </c>
    </row>
    <row r="234" spans="1:10" x14ac:dyDescent="0.25">
      <c r="A234" s="1" t="str">
        <f t="shared" si="3"/>
        <v>08 Amantadine 0.001 mg_L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2096</v>
      </c>
      <c r="D234" s="1" t="s">
        <v>255</v>
      </c>
      <c r="E234" s="1" t="s">
        <v>2097</v>
      </c>
      <c r="F234" s="1" t="s">
        <v>112</v>
      </c>
      <c r="G234" s="1">
        <v>18926</v>
      </c>
    </row>
    <row r="235" spans="1:10" x14ac:dyDescent="0.25">
      <c r="A235" s="1" t="str">
        <f t="shared" si="3"/>
        <v>08 Amantadine 0.001 mg_L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2098</v>
      </c>
    </row>
    <row r="236" spans="1:10" x14ac:dyDescent="0.25">
      <c r="A236" s="1" t="str">
        <f t="shared" si="3"/>
        <v>08 Amantadine 0.001 mg_L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2099</v>
      </c>
      <c r="D236" s="1" t="s">
        <v>1917</v>
      </c>
      <c r="E236" s="1" t="s">
        <v>2100</v>
      </c>
      <c r="F236" s="1" t="s">
        <v>112</v>
      </c>
      <c r="G236" s="1">
        <v>91473</v>
      </c>
    </row>
    <row r="237" spans="1:10" x14ac:dyDescent="0.25">
      <c r="A237" s="1" t="str">
        <f t="shared" si="3"/>
        <v>08 Amantadine 0.001 mg_L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2101</v>
      </c>
      <c r="D237" s="1" t="s">
        <v>353</v>
      </c>
      <c r="E237" s="1" t="s">
        <v>2102</v>
      </c>
      <c r="F237" s="1" t="s">
        <v>112</v>
      </c>
      <c r="G237" s="1">
        <v>67550</v>
      </c>
    </row>
    <row r="238" spans="1:10" x14ac:dyDescent="0.25">
      <c r="A238" s="1" t="str">
        <f t="shared" si="3"/>
        <v>08 Amantadine 0.001 mg_L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2103</v>
      </c>
      <c r="D238" s="1" t="s">
        <v>425</v>
      </c>
      <c r="E238" s="1" t="s">
        <v>2104</v>
      </c>
      <c r="F238" s="1" t="s">
        <v>112</v>
      </c>
      <c r="G238" s="1">
        <v>108647</v>
      </c>
    </row>
    <row r="239" spans="1:10" x14ac:dyDescent="0.25">
      <c r="A239" s="1" t="str">
        <f t="shared" si="3"/>
        <v>08 Amantadine 0.001 mg_L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2105</v>
      </c>
      <c r="D239" s="1" t="s">
        <v>255</v>
      </c>
      <c r="E239" s="1" t="s">
        <v>2106</v>
      </c>
      <c r="F239" s="1" t="s">
        <v>112</v>
      </c>
      <c r="G239" s="1">
        <v>19251</v>
      </c>
    </row>
    <row r="240" spans="1:10" x14ac:dyDescent="0.25">
      <c r="A240" s="1" t="str">
        <f t="shared" si="3"/>
        <v>08 Amantadine 0.001 mg_L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2107</v>
      </c>
      <c r="D240" s="1" t="s">
        <v>933</v>
      </c>
      <c r="E240" s="1" t="s">
        <v>1775</v>
      </c>
      <c r="F240" s="1" t="s">
        <v>112</v>
      </c>
      <c r="G240" s="1">
        <v>59201</v>
      </c>
    </row>
    <row r="241" spans="1:7" x14ac:dyDescent="0.25">
      <c r="A241" s="1" t="str">
        <f t="shared" si="3"/>
        <v>08 Amantadine 0.001 mg_L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2108</v>
      </c>
      <c r="D241" s="1" t="s">
        <v>814</v>
      </c>
      <c r="E241" s="1" t="s">
        <v>338</v>
      </c>
      <c r="F241" s="1" t="s">
        <v>112</v>
      </c>
      <c r="G241" s="1">
        <v>27383</v>
      </c>
    </row>
    <row r="242" spans="1:7" x14ac:dyDescent="0.25">
      <c r="A242" s="1" t="str">
        <f t="shared" si="3"/>
        <v>08 Amantadine 0.001 mg_L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2109</v>
      </c>
      <c r="D242" s="1" t="s">
        <v>722</v>
      </c>
      <c r="E242" s="1" t="s">
        <v>2110</v>
      </c>
      <c r="F242" s="1" t="s">
        <v>112</v>
      </c>
      <c r="G242" s="1">
        <v>51090</v>
      </c>
    </row>
    <row r="243" spans="1:7" x14ac:dyDescent="0.25">
      <c r="A243" s="1" t="str">
        <f t="shared" si="3"/>
        <v>08 Amantadine 0.001 mg_L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2111</v>
      </c>
      <c r="D243" s="1" t="s">
        <v>851</v>
      </c>
      <c r="E243" s="1" t="s">
        <v>2112</v>
      </c>
      <c r="F243" s="1" t="s">
        <v>112</v>
      </c>
      <c r="G243" s="1">
        <v>37139</v>
      </c>
    </row>
    <row r="244" spans="1:7" x14ac:dyDescent="0.25">
      <c r="A244" s="1" t="str">
        <f t="shared" si="3"/>
        <v>08 Amantadine 0.001 mg_L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2113</v>
      </c>
      <c r="D244" s="1" t="s">
        <v>2114</v>
      </c>
      <c r="E244" s="1" t="s">
        <v>2115</v>
      </c>
      <c r="F244" s="1" t="s">
        <v>112</v>
      </c>
      <c r="G244" s="1">
        <v>72417</v>
      </c>
    </row>
    <row r="245" spans="1:7" x14ac:dyDescent="0.25">
      <c r="A245" s="1" t="str">
        <f t="shared" si="3"/>
        <v>08 Amantadine 0.001 mg_L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2116</v>
      </c>
      <c r="D245" s="1" t="s">
        <v>685</v>
      </c>
      <c r="E245" s="1" t="s">
        <v>2117</v>
      </c>
      <c r="F245" s="1" t="s">
        <v>112</v>
      </c>
      <c r="G245" s="1">
        <v>81004</v>
      </c>
    </row>
    <row r="246" spans="1:7" x14ac:dyDescent="0.25">
      <c r="A246" s="1" t="str">
        <f t="shared" si="3"/>
        <v>08 Amantadine 0.001 mg_L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2118</v>
      </c>
      <c r="D246" s="1" t="s">
        <v>2119</v>
      </c>
      <c r="E246" s="1" t="s">
        <v>2120</v>
      </c>
      <c r="F246" s="1" t="s">
        <v>112</v>
      </c>
      <c r="G246" s="1">
        <v>39280</v>
      </c>
    </row>
    <row r="247" spans="1:7" x14ac:dyDescent="0.25">
      <c r="A247" s="1" t="str">
        <f t="shared" si="3"/>
        <v>08 Amantadine 0.001 mg_L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2121</v>
      </c>
      <c r="D247" s="1" t="s">
        <v>258</v>
      </c>
      <c r="E247" s="1" t="s">
        <v>2097</v>
      </c>
      <c r="F247" s="1" t="s">
        <v>112</v>
      </c>
      <c r="G247" s="1">
        <v>10815</v>
      </c>
    </row>
    <row r="248" spans="1:7" x14ac:dyDescent="0.25">
      <c r="A248" s="1" t="str">
        <f t="shared" si="3"/>
        <v>08 Amantadine 0.001 mg_L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2122</v>
      </c>
      <c r="D248" s="1" t="s">
        <v>702</v>
      </c>
      <c r="E248" s="1" t="s">
        <v>2123</v>
      </c>
      <c r="F248" s="1" t="s">
        <v>112</v>
      </c>
      <c r="G248" s="1">
        <v>9733</v>
      </c>
    </row>
    <row r="249" spans="1:7" x14ac:dyDescent="0.25">
      <c r="A249" s="1" t="str">
        <f t="shared" si="3"/>
        <v>08 Amantadine 0.001 mg_L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2124</v>
      </c>
      <c r="D249" s="1" t="s">
        <v>733</v>
      </c>
      <c r="E249" s="1" t="s">
        <v>2125</v>
      </c>
      <c r="F249" s="1" t="s">
        <v>112</v>
      </c>
      <c r="G249" s="1">
        <v>7852</v>
      </c>
    </row>
    <row r="250" spans="1:7" x14ac:dyDescent="0.25">
      <c r="A250" s="1" t="str">
        <f t="shared" si="3"/>
        <v>08 Amantadine 0.001 mg_L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2126</v>
      </c>
      <c r="D250" s="1" t="s">
        <v>764</v>
      </c>
      <c r="E250" s="1" t="s">
        <v>2127</v>
      </c>
      <c r="F250" s="1" t="s">
        <v>112</v>
      </c>
      <c r="G250" s="1">
        <v>25047</v>
      </c>
    </row>
    <row r="251" spans="1:7" x14ac:dyDescent="0.25">
      <c r="A251" s="1" t="str">
        <f t="shared" si="3"/>
        <v>08 Amantadine 0.001 mg_L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2128</v>
      </c>
      <c r="D251" s="1" t="s">
        <v>2129</v>
      </c>
      <c r="E251" s="1" t="s">
        <v>2130</v>
      </c>
      <c r="F251" s="1" t="s">
        <v>112</v>
      </c>
      <c r="G251" s="1">
        <v>557467</v>
      </c>
    </row>
    <row r="252" spans="1:7" x14ac:dyDescent="0.25">
      <c r="A252" s="1" t="str">
        <f t="shared" si="3"/>
        <v>08 Amantadine 0.001 mg_L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2131</v>
      </c>
      <c r="D252" s="1" t="s">
        <v>2119</v>
      </c>
      <c r="E252" s="1" t="s">
        <v>1658</v>
      </c>
      <c r="F252" s="1" t="s">
        <v>112</v>
      </c>
      <c r="G252" s="1">
        <v>38307</v>
      </c>
    </row>
    <row r="253" spans="1:7" x14ac:dyDescent="0.25">
      <c r="A253" s="1" t="str">
        <f t="shared" si="3"/>
        <v>08 Amantadine 0.001 mg_L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2132</v>
      </c>
      <c r="D253" s="1" t="s">
        <v>1843</v>
      </c>
      <c r="E253" s="1" t="s">
        <v>2133</v>
      </c>
      <c r="F253" s="1" t="s">
        <v>112</v>
      </c>
      <c r="G253" s="1">
        <v>262414</v>
      </c>
    </row>
    <row r="254" spans="1:7" x14ac:dyDescent="0.25">
      <c r="A254" s="1" t="str">
        <f t="shared" si="3"/>
        <v>08 Amantadine 0.001 mg_L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2134</v>
      </c>
      <c r="D254" s="1" t="s">
        <v>268</v>
      </c>
      <c r="E254" s="1" t="s">
        <v>2135</v>
      </c>
      <c r="F254" s="1" t="s">
        <v>112</v>
      </c>
      <c r="G254" s="1">
        <v>23079</v>
      </c>
    </row>
    <row r="255" spans="1:7" x14ac:dyDescent="0.25">
      <c r="A255" s="1" t="str">
        <f t="shared" si="3"/>
        <v>08 Amantadine 0.001 mg_L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2136</v>
      </c>
      <c r="D255" s="1" t="s">
        <v>2114</v>
      </c>
      <c r="E255" s="1" t="s">
        <v>2137</v>
      </c>
      <c r="F255" s="1" t="s">
        <v>112</v>
      </c>
      <c r="G255" s="1">
        <v>67939</v>
      </c>
    </row>
    <row r="256" spans="1:7" x14ac:dyDescent="0.25">
      <c r="A256" s="1" t="str">
        <f t="shared" si="3"/>
        <v>08 Amantadine 0.001 mg_L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2138</v>
      </c>
      <c r="D256" s="1" t="s">
        <v>285</v>
      </c>
      <c r="E256" s="1" t="s">
        <v>2139</v>
      </c>
      <c r="F256" s="1" t="s">
        <v>112</v>
      </c>
      <c r="G256" s="1">
        <v>21825</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223</v>
      </c>
      <c r="D258" s="1" t="s">
        <v>112</v>
      </c>
      <c r="E258" s="1" t="s">
        <v>224</v>
      </c>
      <c r="F258" s="1" t="s">
        <v>225</v>
      </c>
      <c r="G258" s="1" t="s">
        <v>226</v>
      </c>
      <c r="H258" s="1" t="s">
        <v>227</v>
      </c>
      <c r="I258" s="1" t="s">
        <v>228</v>
      </c>
      <c r="J258" s="1" t="s">
        <v>229</v>
      </c>
    </row>
    <row r="259" spans="1:10" x14ac:dyDescent="0.25">
      <c r="A259" s="1" t="str">
        <f t="shared" si="4"/>
        <v>08 Amantadine 0.001 mg_L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2140</v>
      </c>
      <c r="D259" s="1" t="s">
        <v>112</v>
      </c>
      <c r="E259" s="1" t="s">
        <v>2141</v>
      </c>
      <c r="F259" s="1" t="s">
        <v>2142</v>
      </c>
      <c r="G259" s="1" t="s">
        <v>2143</v>
      </c>
      <c r="H259" s="1" t="s">
        <v>2144</v>
      </c>
      <c r="I259" s="1">
        <v>24</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235</v>
      </c>
      <c r="D265" s="1" t="s">
        <v>110</v>
      </c>
      <c r="E265" s="1" t="s">
        <v>111</v>
      </c>
      <c r="F265" s="1" t="s">
        <v>112</v>
      </c>
      <c r="G265" s="1" t="s">
        <v>113</v>
      </c>
    </row>
    <row r="266" spans="1:10" x14ac:dyDescent="0.25">
      <c r="A266" s="1" t="str">
        <f t="shared" si="4"/>
        <v>09 Amantadine 0.01 mg_L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2145</v>
      </c>
      <c r="D266" s="1" t="s">
        <v>2146</v>
      </c>
      <c r="E266" s="1" t="s">
        <v>2147</v>
      </c>
      <c r="F266" s="1" t="s">
        <v>112</v>
      </c>
      <c r="G266" s="1">
        <v>512737</v>
      </c>
    </row>
    <row r="267" spans="1:10" x14ac:dyDescent="0.25">
      <c r="A267" s="1" t="str">
        <f t="shared" si="4"/>
        <v>09 Amantadine 0.01 mg_L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2148</v>
      </c>
    </row>
    <row r="268" spans="1:10" x14ac:dyDescent="0.25">
      <c r="A268" s="1" t="str">
        <f t="shared" si="4"/>
        <v>09 Amantadine 0.01 mg_L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2149</v>
      </c>
    </row>
    <row r="269" spans="1:10" x14ac:dyDescent="0.25">
      <c r="A269" s="1" t="str">
        <f t="shared" si="4"/>
        <v>09 Amantadine 0.01 mg_L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2150</v>
      </c>
      <c r="D269" s="1" t="s">
        <v>191</v>
      </c>
      <c r="E269" s="1" t="s">
        <v>2151</v>
      </c>
      <c r="F269" s="1" t="s">
        <v>112</v>
      </c>
      <c r="G269" s="1">
        <v>275219</v>
      </c>
    </row>
    <row r="270" spans="1:10" x14ac:dyDescent="0.25">
      <c r="A270" s="1" t="str">
        <f t="shared" si="4"/>
        <v>09 Amantadine 0.01 mg_L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2152</v>
      </c>
      <c r="D270" s="1" t="s">
        <v>240</v>
      </c>
      <c r="E270" s="1" t="s">
        <v>2153</v>
      </c>
      <c r="F270" s="1" t="s">
        <v>112</v>
      </c>
      <c r="G270" s="1">
        <v>18018</v>
      </c>
    </row>
    <row r="271" spans="1:10" x14ac:dyDescent="0.25">
      <c r="A271" s="1" t="str">
        <f t="shared" si="4"/>
        <v>09 Amantadine 0.01 mg_L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2154</v>
      </c>
      <c r="D271" s="1" t="s">
        <v>263</v>
      </c>
      <c r="E271" s="1" t="s">
        <v>2155</v>
      </c>
      <c r="F271" s="1" t="s">
        <v>112</v>
      </c>
      <c r="G271" s="1">
        <v>198952</v>
      </c>
    </row>
    <row r="272" spans="1:10" x14ac:dyDescent="0.25">
      <c r="A272" s="1" t="str">
        <f t="shared" si="4"/>
        <v>09 Amantadine 0.01 mg_L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2156</v>
      </c>
      <c r="D272" s="1" t="s">
        <v>207</v>
      </c>
      <c r="E272" s="1" t="s">
        <v>2157</v>
      </c>
      <c r="F272" s="1" t="s">
        <v>112</v>
      </c>
      <c r="G272" s="1">
        <v>89245</v>
      </c>
    </row>
    <row r="273" spans="1:7" x14ac:dyDescent="0.25">
      <c r="A273" s="1" t="str">
        <f t="shared" si="4"/>
        <v>09 Amantadine 0.01 mg_L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2158</v>
      </c>
      <c r="D273" s="1" t="s">
        <v>736</v>
      </c>
      <c r="E273" s="1" t="s">
        <v>2159</v>
      </c>
      <c r="F273" s="1" t="s">
        <v>112</v>
      </c>
      <c r="G273" s="1">
        <v>32986</v>
      </c>
    </row>
    <row r="274" spans="1:7" x14ac:dyDescent="0.25">
      <c r="A274" s="1" t="str">
        <f t="shared" si="4"/>
        <v>09 Amantadine 0.01 mg_L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2160</v>
      </c>
      <c r="D274" s="1" t="s">
        <v>2161</v>
      </c>
      <c r="E274" s="1" t="s">
        <v>2162</v>
      </c>
      <c r="F274" s="1" t="s">
        <v>112</v>
      </c>
      <c r="G274" s="1">
        <v>311297</v>
      </c>
    </row>
    <row r="275" spans="1:7" x14ac:dyDescent="0.25">
      <c r="A275" s="1" t="str">
        <f t="shared" si="4"/>
        <v>09 Amantadine 0.01 mg_L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2163</v>
      </c>
      <c r="D275" s="1" t="s">
        <v>246</v>
      </c>
      <c r="E275" s="1" t="s">
        <v>2164</v>
      </c>
      <c r="F275" s="1" t="s">
        <v>112</v>
      </c>
      <c r="G275" s="1">
        <v>30066</v>
      </c>
    </row>
    <row r="276" spans="1:7" x14ac:dyDescent="0.25">
      <c r="A276" s="1" t="str">
        <f t="shared" si="4"/>
        <v>09 Amantadine 0.01 mg_L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2165</v>
      </c>
      <c r="D276" s="1" t="s">
        <v>285</v>
      </c>
      <c r="E276" s="1" t="s">
        <v>2097</v>
      </c>
      <c r="F276" s="1" t="s">
        <v>112</v>
      </c>
      <c r="G276" s="1">
        <v>21630</v>
      </c>
    </row>
    <row r="277" spans="1:7" x14ac:dyDescent="0.25">
      <c r="A277" s="1" t="str">
        <f t="shared" si="4"/>
        <v>09 Amantadine 0.01 mg_L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2166</v>
      </c>
      <c r="D277" s="1" t="s">
        <v>175</v>
      </c>
      <c r="E277" s="1" t="s">
        <v>2095</v>
      </c>
      <c r="F277" s="1" t="s">
        <v>112</v>
      </c>
      <c r="G277" s="1">
        <v>15076</v>
      </c>
    </row>
    <row r="278" spans="1:7" x14ac:dyDescent="0.25">
      <c r="A278" s="1" t="str">
        <f t="shared" si="4"/>
        <v>09 Amantadine 0.01 mg_L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2167</v>
      </c>
      <c r="D278" s="1" t="s">
        <v>2168</v>
      </c>
      <c r="E278" s="1" t="s">
        <v>2169</v>
      </c>
      <c r="F278" s="1" t="s">
        <v>112</v>
      </c>
      <c r="G278" s="1">
        <v>166031</v>
      </c>
    </row>
    <row r="279" spans="1:7" x14ac:dyDescent="0.25">
      <c r="A279" s="1" t="str">
        <f t="shared" si="4"/>
        <v>09 Amantadine 0.01 mg_L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2170</v>
      </c>
      <c r="D279" s="1" t="s">
        <v>668</v>
      </c>
      <c r="E279" s="1" t="s">
        <v>2171</v>
      </c>
      <c r="F279" s="1" t="s">
        <v>112</v>
      </c>
      <c r="G279" s="1">
        <v>47975</v>
      </c>
    </row>
    <row r="280" spans="1:7" x14ac:dyDescent="0.25">
      <c r="A280" s="1" t="str">
        <f t="shared" si="4"/>
        <v>09 Amantadine 0.01 mg_L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2172</v>
      </c>
      <c r="D280" s="1" t="s">
        <v>906</v>
      </c>
      <c r="E280" s="1" t="s">
        <v>2173</v>
      </c>
      <c r="F280" s="1" t="s">
        <v>112</v>
      </c>
      <c r="G280" s="1">
        <v>220452</v>
      </c>
    </row>
    <row r="281" spans="1:7" x14ac:dyDescent="0.25">
      <c r="A281" s="1" t="str">
        <f t="shared" si="4"/>
        <v>09 Amantadine 0.01 mg_L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2174</v>
      </c>
      <c r="D281" s="1" t="s">
        <v>2175</v>
      </c>
      <c r="E281" s="1" t="s">
        <v>2159</v>
      </c>
      <c r="F281" s="1" t="s">
        <v>112</v>
      </c>
      <c r="G281" s="1">
        <v>98957</v>
      </c>
    </row>
    <row r="282" spans="1:7" x14ac:dyDescent="0.25">
      <c r="A282" s="1" t="str">
        <f t="shared" si="4"/>
        <v>09 Amantadine 0.01 mg_L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2176</v>
      </c>
      <c r="D282" s="1" t="s">
        <v>2177</v>
      </c>
      <c r="E282" s="1" t="s">
        <v>2178</v>
      </c>
      <c r="F282" s="1" t="s">
        <v>112</v>
      </c>
      <c r="G282" s="1">
        <v>44514</v>
      </c>
    </row>
    <row r="283" spans="1:7" x14ac:dyDescent="0.25">
      <c r="A283" s="1" t="str">
        <f t="shared" si="4"/>
        <v>09 Amantadine 0.01 mg_L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2179</v>
      </c>
      <c r="D283" s="1" t="s">
        <v>213</v>
      </c>
      <c r="E283" s="1" t="s">
        <v>2180</v>
      </c>
      <c r="F283" s="1" t="s">
        <v>112</v>
      </c>
      <c r="G283" s="1">
        <v>31709</v>
      </c>
    </row>
    <row r="284" spans="1:7" x14ac:dyDescent="0.25">
      <c r="A284" s="1" t="str">
        <f t="shared" si="4"/>
        <v>09 Amantadine 0.01 mg_L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2181</v>
      </c>
      <c r="D284" s="1" t="s">
        <v>2182</v>
      </c>
      <c r="E284" s="1" t="s">
        <v>2183</v>
      </c>
      <c r="F284" s="1" t="s">
        <v>112</v>
      </c>
      <c r="G284" s="1">
        <v>445641</v>
      </c>
    </row>
    <row r="285" spans="1:7" x14ac:dyDescent="0.25">
      <c r="A285" s="1" t="str">
        <f t="shared" si="4"/>
        <v>09 Amantadine 0.01 mg_L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2184</v>
      </c>
    </row>
    <row r="286" spans="1:7" x14ac:dyDescent="0.25">
      <c r="A286" s="1" t="str">
        <f t="shared" si="4"/>
        <v>09 Amantadine 0.01 mg_L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2185</v>
      </c>
      <c r="D286" s="1" t="s">
        <v>1521</v>
      </c>
      <c r="E286" s="1" t="s">
        <v>2186</v>
      </c>
      <c r="F286" s="1" t="s">
        <v>112</v>
      </c>
      <c r="G286" s="1">
        <v>397211</v>
      </c>
    </row>
    <row r="287" spans="1:7" x14ac:dyDescent="0.25">
      <c r="A287" s="1" t="str">
        <f t="shared" si="4"/>
        <v>09 Amantadine 0.01 mg_L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2187</v>
      </c>
      <c r="D287" s="1" t="s">
        <v>2188</v>
      </c>
      <c r="E287" s="1" t="s">
        <v>2189</v>
      </c>
      <c r="F287" s="1" t="s">
        <v>112</v>
      </c>
      <c r="G287" s="1">
        <v>6640</v>
      </c>
    </row>
    <row r="288" spans="1:7" x14ac:dyDescent="0.25">
      <c r="A288" s="1" t="str">
        <f t="shared" si="4"/>
        <v>09 Amantadine 0.01 mg_L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2190</v>
      </c>
      <c r="D288" s="1" t="s">
        <v>175</v>
      </c>
      <c r="E288" s="1" t="s">
        <v>216</v>
      </c>
      <c r="F288" s="1" t="s">
        <v>112</v>
      </c>
      <c r="G288" s="1">
        <v>15357</v>
      </c>
    </row>
    <row r="289" spans="1:10" x14ac:dyDescent="0.25">
      <c r="A289" s="1" t="str">
        <f t="shared" si="4"/>
        <v>09 Amantadine 0.01 mg_L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2191</v>
      </c>
      <c r="D289" s="1" t="s">
        <v>702</v>
      </c>
      <c r="E289" s="1" t="s">
        <v>2192</v>
      </c>
      <c r="F289" s="1" t="s">
        <v>112</v>
      </c>
      <c r="G289" s="1">
        <v>9409</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223</v>
      </c>
      <c r="D291" s="1" t="s">
        <v>112</v>
      </c>
      <c r="E291" s="1" t="s">
        <v>224</v>
      </c>
      <c r="F291" s="1" t="s">
        <v>225</v>
      </c>
      <c r="G291" s="1" t="s">
        <v>226</v>
      </c>
      <c r="H291" s="1" t="s">
        <v>227</v>
      </c>
      <c r="I291" s="1" t="s">
        <v>228</v>
      </c>
      <c r="J291" s="1" t="s">
        <v>229</v>
      </c>
    </row>
    <row r="292" spans="1:10" x14ac:dyDescent="0.25">
      <c r="A292" s="1" t="str">
        <f t="shared" si="4"/>
        <v>09 Amantadine 0.01 mg_L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2193</v>
      </c>
      <c r="D292" s="1" t="s">
        <v>112</v>
      </c>
      <c r="E292" s="1" t="s">
        <v>2194</v>
      </c>
      <c r="F292" s="1" t="s">
        <v>2195</v>
      </c>
      <c r="G292" s="1" t="s">
        <v>2196</v>
      </c>
      <c r="H292" s="1" t="s">
        <v>2197</v>
      </c>
      <c r="I292" s="1">
        <v>24</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235</v>
      </c>
      <c r="D298" s="1" t="s">
        <v>110</v>
      </c>
      <c r="E298" s="1" t="s">
        <v>111</v>
      </c>
      <c r="F298" s="1" t="s">
        <v>112</v>
      </c>
      <c r="G298" s="1" t="s">
        <v>113</v>
      </c>
    </row>
    <row r="299" spans="1:10" x14ac:dyDescent="0.25">
      <c r="A299" s="1" t="str">
        <f t="shared" si="4"/>
        <v>10 Amantadine 0.1 mg_L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2198</v>
      </c>
      <c r="D299" s="1" t="s">
        <v>2199</v>
      </c>
      <c r="E299" s="1" t="s">
        <v>2200</v>
      </c>
      <c r="F299" s="1" t="s">
        <v>112</v>
      </c>
      <c r="G299" s="1">
        <v>144682</v>
      </c>
    </row>
    <row r="300" spans="1:10" x14ac:dyDescent="0.25">
      <c r="A300" s="1" t="str">
        <f t="shared" si="4"/>
        <v>10 Amantadine 0.1 mg_L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2201</v>
      </c>
      <c r="D300" s="1" t="s">
        <v>892</v>
      </c>
      <c r="E300" s="1" t="s">
        <v>2202</v>
      </c>
      <c r="F300" s="1" t="s">
        <v>112</v>
      </c>
      <c r="G300" s="1">
        <v>118791</v>
      </c>
    </row>
    <row r="301" spans="1:10" x14ac:dyDescent="0.25">
      <c r="A301" s="1" t="str">
        <f t="shared" si="4"/>
        <v>10 Amantadine 0.1 mg_L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2203</v>
      </c>
      <c r="D301" s="1" t="s">
        <v>285</v>
      </c>
      <c r="E301" s="1" t="s">
        <v>2204</v>
      </c>
      <c r="F301" s="1" t="s">
        <v>112</v>
      </c>
      <c r="G301" s="1">
        <v>22538</v>
      </c>
    </row>
    <row r="302" spans="1:10" x14ac:dyDescent="0.25">
      <c r="A302" s="1" t="str">
        <f t="shared" si="4"/>
        <v>10 Amantadine 0.1 mg_L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2205</v>
      </c>
      <c r="D302" s="1" t="s">
        <v>2168</v>
      </c>
      <c r="E302" s="1" t="s">
        <v>2206</v>
      </c>
      <c r="F302" s="1" t="s">
        <v>112</v>
      </c>
      <c r="G302" s="1">
        <v>172239</v>
      </c>
    </row>
    <row r="303" spans="1:10" x14ac:dyDescent="0.25">
      <c r="A303" s="1" t="str">
        <f t="shared" si="4"/>
        <v>10 Amantadine 0.1 mg_L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2207</v>
      </c>
      <c r="D303" s="1" t="s">
        <v>1688</v>
      </c>
      <c r="E303" s="1" t="s">
        <v>2208</v>
      </c>
      <c r="F303" s="1" t="s">
        <v>112</v>
      </c>
      <c r="G303" s="1">
        <v>60153</v>
      </c>
    </row>
    <row r="304" spans="1:10" x14ac:dyDescent="0.25">
      <c r="A304" s="1" t="str">
        <f t="shared" si="4"/>
        <v>10 Amantadine 0.1 mg_L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2209</v>
      </c>
      <c r="D304" s="1" t="s">
        <v>744</v>
      </c>
      <c r="E304" s="1" t="s">
        <v>2210</v>
      </c>
      <c r="F304" s="1" t="s">
        <v>112</v>
      </c>
      <c r="G304" s="1">
        <v>143276</v>
      </c>
    </row>
    <row r="305" spans="1:7" x14ac:dyDescent="0.25">
      <c r="A305" s="1" t="str">
        <f t="shared" si="4"/>
        <v>10 Amantadine 0.1 mg_L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2211</v>
      </c>
      <c r="D305" s="1" t="s">
        <v>2212</v>
      </c>
      <c r="E305" s="1" t="s">
        <v>2213</v>
      </c>
      <c r="F305" s="1" t="s">
        <v>112</v>
      </c>
      <c r="G305" s="1">
        <v>126189</v>
      </c>
    </row>
    <row r="306" spans="1:7" x14ac:dyDescent="0.25">
      <c r="A306" s="1" t="str">
        <f t="shared" si="4"/>
        <v>10 Amantadine 0.1 mg_L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2214</v>
      </c>
      <c r="D306" s="1" t="s">
        <v>668</v>
      </c>
      <c r="E306" s="1" t="s">
        <v>2215</v>
      </c>
      <c r="F306" s="1" t="s">
        <v>112</v>
      </c>
      <c r="G306" s="1">
        <v>47737</v>
      </c>
    </row>
    <row r="307" spans="1:7" x14ac:dyDescent="0.25">
      <c r="A307" s="1" t="str">
        <f t="shared" si="4"/>
        <v>10 Amantadine 0.1 mg_L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2216</v>
      </c>
      <c r="D307" s="1" t="s">
        <v>830</v>
      </c>
      <c r="E307" s="1" t="s">
        <v>2217</v>
      </c>
      <c r="F307" s="1" t="s">
        <v>112</v>
      </c>
      <c r="G307" s="1">
        <v>399785</v>
      </c>
    </row>
    <row r="308" spans="1:7" x14ac:dyDescent="0.25">
      <c r="A308" s="1" t="str">
        <f t="shared" si="4"/>
        <v>10 Amantadine 0.1 mg_L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2218</v>
      </c>
      <c r="D308" s="1" t="s">
        <v>696</v>
      </c>
      <c r="E308" s="1" t="s">
        <v>2219</v>
      </c>
      <c r="F308" s="1" t="s">
        <v>112</v>
      </c>
      <c r="G308" s="1">
        <v>127919</v>
      </c>
    </row>
    <row r="309" spans="1:7" x14ac:dyDescent="0.25">
      <c r="A309" s="1" t="str">
        <f t="shared" si="4"/>
        <v>10 Amantadine 0.1 mg_L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2220</v>
      </c>
      <c r="D309" s="1" t="s">
        <v>373</v>
      </c>
      <c r="E309" s="1" t="s">
        <v>2221</v>
      </c>
      <c r="F309" s="1" t="s">
        <v>112</v>
      </c>
      <c r="G309" s="1">
        <v>111070</v>
      </c>
    </row>
    <row r="310" spans="1:7" x14ac:dyDescent="0.25">
      <c r="A310" s="1" t="str">
        <f t="shared" si="4"/>
        <v>10 Amantadine 0.1 mg_L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2222</v>
      </c>
      <c r="D310" s="1" t="s">
        <v>334</v>
      </c>
      <c r="E310" s="1" t="s">
        <v>2223</v>
      </c>
      <c r="F310" s="1" t="s">
        <v>112</v>
      </c>
      <c r="G310" s="1">
        <v>41551</v>
      </c>
    </row>
    <row r="311" spans="1:7" x14ac:dyDescent="0.25">
      <c r="A311" s="1" t="str">
        <f t="shared" si="4"/>
        <v>10 Amantadine 0.1 mg_L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2224</v>
      </c>
      <c r="D311" s="1" t="s">
        <v>356</v>
      </c>
      <c r="E311" s="1" t="s">
        <v>2225</v>
      </c>
      <c r="F311" s="1" t="s">
        <v>112</v>
      </c>
      <c r="G311" s="1">
        <v>77327</v>
      </c>
    </row>
    <row r="312" spans="1:7" x14ac:dyDescent="0.25">
      <c r="A312" s="1" t="str">
        <f t="shared" si="4"/>
        <v>10 Amantadine 0.1 mg_L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2226</v>
      </c>
      <c r="D312" s="1" t="s">
        <v>1203</v>
      </c>
      <c r="E312" s="1" t="s">
        <v>2227</v>
      </c>
      <c r="F312" s="1" t="s">
        <v>112</v>
      </c>
      <c r="G312" s="1">
        <v>171568</v>
      </c>
    </row>
    <row r="313" spans="1:7" x14ac:dyDescent="0.25">
      <c r="A313" s="1" t="str">
        <f t="shared" si="4"/>
        <v>10 Amantadine 0.1 mg_L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2228</v>
      </c>
      <c r="D313" s="1" t="s">
        <v>246</v>
      </c>
      <c r="E313" s="1" t="s">
        <v>2229</v>
      </c>
      <c r="F313" s="1" t="s">
        <v>112</v>
      </c>
      <c r="G313" s="1">
        <v>30109</v>
      </c>
    </row>
    <row r="314" spans="1:7" x14ac:dyDescent="0.25">
      <c r="A314" s="1" t="str">
        <f t="shared" si="4"/>
        <v>10 Amantadine 0.1 mg_L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2230</v>
      </c>
      <c r="D314" s="1" t="s">
        <v>151</v>
      </c>
      <c r="E314" s="1" t="s">
        <v>2231</v>
      </c>
      <c r="F314" s="1" t="s">
        <v>112</v>
      </c>
      <c r="G314" s="1">
        <v>232759</v>
      </c>
    </row>
    <row r="315" spans="1:7" x14ac:dyDescent="0.25">
      <c r="A315" s="1" t="str">
        <f t="shared" si="4"/>
        <v>10 Amantadine 0.1 mg_L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2232</v>
      </c>
      <c r="D315" s="1" t="s">
        <v>2233</v>
      </c>
      <c r="E315" s="1" t="s">
        <v>2234</v>
      </c>
      <c r="F315" s="1" t="s">
        <v>112</v>
      </c>
      <c r="G315" s="1">
        <v>132656</v>
      </c>
    </row>
    <row r="316" spans="1:7" x14ac:dyDescent="0.25">
      <c r="A316" s="1" t="str">
        <f t="shared" si="4"/>
        <v>10 Amantadine 0.1 mg_L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2235</v>
      </c>
      <c r="D316" s="1" t="s">
        <v>1203</v>
      </c>
      <c r="E316" s="1" t="s">
        <v>2236</v>
      </c>
      <c r="F316" s="1" t="s">
        <v>112</v>
      </c>
      <c r="G316" s="1">
        <v>171633</v>
      </c>
    </row>
    <row r="317" spans="1:7" x14ac:dyDescent="0.25">
      <c r="A317" s="1" t="str">
        <f t="shared" si="4"/>
        <v>10 Amantadine 0.1 mg_L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2237</v>
      </c>
      <c r="D317" s="1" t="s">
        <v>1344</v>
      </c>
      <c r="E317" s="1" t="s">
        <v>2238</v>
      </c>
      <c r="F317" s="1" t="s">
        <v>112</v>
      </c>
      <c r="G317" s="1">
        <v>202326</v>
      </c>
    </row>
    <row r="318" spans="1:7" x14ac:dyDescent="0.25">
      <c r="A318" s="1" t="str">
        <f t="shared" si="4"/>
        <v>10 Amantadine 0.1 mg_L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2239</v>
      </c>
      <c r="D318" s="1" t="s">
        <v>255</v>
      </c>
      <c r="E318" s="1" t="s">
        <v>256</v>
      </c>
      <c r="F318" s="1" t="s">
        <v>112</v>
      </c>
      <c r="G318" s="1">
        <v>19315</v>
      </c>
    </row>
    <row r="319" spans="1:7" x14ac:dyDescent="0.25">
      <c r="A319" s="1" t="str">
        <f t="shared" si="4"/>
        <v>10 Amantadine 0.1 mg_L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2240</v>
      </c>
      <c r="D319" s="1" t="s">
        <v>207</v>
      </c>
      <c r="E319" s="1" t="s">
        <v>2241</v>
      </c>
      <c r="F319" s="1" t="s">
        <v>112</v>
      </c>
      <c r="G319" s="1">
        <v>91343</v>
      </c>
    </row>
    <row r="320" spans="1:7" x14ac:dyDescent="0.25">
      <c r="A320" s="1" t="str">
        <f t="shared" si="4"/>
        <v>10 Amantadine 0.1 mg_L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2242</v>
      </c>
      <c r="D320" s="1" t="s">
        <v>303</v>
      </c>
      <c r="E320" s="1" t="s">
        <v>2243</v>
      </c>
      <c r="F320" s="1" t="s">
        <v>112</v>
      </c>
      <c r="G320" s="1">
        <v>210005</v>
      </c>
    </row>
    <row r="321" spans="1:10" x14ac:dyDescent="0.25">
      <c r="A321" s="1" t="str">
        <f t="shared" si="4"/>
        <v>10 Amantadine 0.1 mg_L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2244</v>
      </c>
      <c r="D321" s="1" t="s">
        <v>2199</v>
      </c>
      <c r="E321" s="1" t="s">
        <v>2245</v>
      </c>
      <c r="F321" s="1" t="s">
        <v>112</v>
      </c>
      <c r="G321" s="1">
        <v>140940</v>
      </c>
    </row>
    <row r="322" spans="1:10" x14ac:dyDescent="0.25">
      <c r="A322" s="1" t="str">
        <f t="shared" ref="A322:A385" si="5">IFERROR(LEFT(RIGHT(C322,LEN(C322)-SEARCH("@",C322)),SEARCH("/",RIGHT(C322,LEN(C322)-SEARCH("@",C322)-1))),"")</f>
        <v>10 Amantadine 0.1 mg_L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2246</v>
      </c>
      <c r="D322" s="1" t="s">
        <v>2247</v>
      </c>
      <c r="E322" s="1" t="s">
        <v>2248</v>
      </c>
      <c r="F322" s="1" t="s">
        <v>112</v>
      </c>
      <c r="G322" s="1">
        <v>236782</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223</v>
      </c>
      <c r="D324" s="1" t="s">
        <v>112</v>
      </c>
      <c r="E324" s="1" t="s">
        <v>224</v>
      </c>
      <c r="F324" s="1" t="s">
        <v>225</v>
      </c>
      <c r="G324" s="1" t="s">
        <v>226</v>
      </c>
      <c r="H324" s="1" t="s">
        <v>227</v>
      </c>
      <c r="I324" s="1" t="s">
        <v>228</v>
      </c>
      <c r="J324" s="1" t="s">
        <v>229</v>
      </c>
    </row>
    <row r="325" spans="1:10" x14ac:dyDescent="0.25">
      <c r="A325" s="1" t="str">
        <f t="shared" si="5"/>
        <v>10 Amantadine 0.1 mg_L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2249</v>
      </c>
      <c r="D325" s="1" t="s">
        <v>112</v>
      </c>
      <c r="E325" s="1" t="s">
        <v>2250</v>
      </c>
      <c r="F325" s="1" t="s">
        <v>2251</v>
      </c>
      <c r="G325" s="1" t="s">
        <v>2252</v>
      </c>
      <c r="H325" s="1" t="s">
        <v>2253</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235</v>
      </c>
      <c r="D331" s="1" t="s">
        <v>110</v>
      </c>
      <c r="E331" s="1" t="s">
        <v>111</v>
      </c>
      <c r="F331" s="1" t="s">
        <v>112</v>
      </c>
      <c r="G331" s="1" t="s">
        <v>113</v>
      </c>
    </row>
    <row r="332" spans="1:10" x14ac:dyDescent="0.25">
      <c r="A332" s="1" t="str">
        <f t="shared" si="5"/>
        <v>11 Amantadine 1 mg_L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2254</v>
      </c>
      <c r="D332" s="1" t="s">
        <v>2255</v>
      </c>
      <c r="E332" s="1" t="s">
        <v>2256</v>
      </c>
      <c r="F332" s="1" t="s">
        <v>112</v>
      </c>
      <c r="G332" s="1">
        <v>315818</v>
      </c>
    </row>
    <row r="333" spans="1:10" x14ac:dyDescent="0.25">
      <c r="A333" s="1" t="str">
        <f t="shared" si="5"/>
        <v>11 Amantadine 1 mg_L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2257</v>
      </c>
      <c r="D333" s="1" t="s">
        <v>2258</v>
      </c>
      <c r="E333" s="1" t="s">
        <v>2259</v>
      </c>
      <c r="F333" s="1" t="s">
        <v>112</v>
      </c>
      <c r="G333" s="1">
        <v>382590</v>
      </c>
    </row>
    <row r="334" spans="1:10" x14ac:dyDescent="0.25">
      <c r="A334" s="1" t="str">
        <f t="shared" si="5"/>
        <v>11 Amantadine 1 mg_L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2260</v>
      </c>
      <c r="D334" s="1" t="s">
        <v>1781</v>
      </c>
      <c r="E334" s="1" t="s">
        <v>2261</v>
      </c>
      <c r="F334" s="1" t="s">
        <v>112</v>
      </c>
      <c r="G334" s="1">
        <v>172585</v>
      </c>
    </row>
    <row r="335" spans="1:10" x14ac:dyDescent="0.25">
      <c r="A335" s="1" t="str">
        <f t="shared" si="5"/>
        <v>11 Amantadine 1 mg_L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2262</v>
      </c>
      <c r="D335" s="1" t="s">
        <v>2263</v>
      </c>
      <c r="E335" s="1" t="s">
        <v>2264</v>
      </c>
      <c r="F335" s="1" t="s">
        <v>112</v>
      </c>
      <c r="G335" s="1">
        <v>992358</v>
      </c>
    </row>
    <row r="336" spans="1:10" x14ac:dyDescent="0.25">
      <c r="A336" s="1" t="str">
        <f t="shared" si="5"/>
        <v>11 Amantadine 1 mg_L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2265</v>
      </c>
      <c r="D336" s="1" t="s">
        <v>2266</v>
      </c>
      <c r="E336" s="1" t="s">
        <v>2267</v>
      </c>
      <c r="F336" s="1" t="s">
        <v>112</v>
      </c>
      <c r="G336" s="1">
        <v>489398</v>
      </c>
    </row>
    <row r="337" spans="1:7" x14ac:dyDescent="0.25">
      <c r="A337" s="1" t="str">
        <f t="shared" si="5"/>
        <v>11 Amantadine 1 mg_L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2268</v>
      </c>
      <c r="D337" s="1" t="s">
        <v>2269</v>
      </c>
      <c r="E337" s="1" t="s">
        <v>2270</v>
      </c>
      <c r="F337" s="1" t="s">
        <v>112</v>
      </c>
      <c r="G337" s="1">
        <v>504647</v>
      </c>
    </row>
    <row r="338" spans="1:7" x14ac:dyDescent="0.25">
      <c r="A338" s="1" t="str">
        <f t="shared" si="5"/>
        <v>11 Amantadine 1 mg_L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2271</v>
      </c>
      <c r="D338" s="1" t="s">
        <v>2272</v>
      </c>
      <c r="E338" s="1" t="s">
        <v>2273</v>
      </c>
      <c r="F338" s="1" t="s">
        <v>112</v>
      </c>
      <c r="G338" s="1">
        <v>130277</v>
      </c>
    </row>
    <row r="339" spans="1:7" x14ac:dyDescent="0.25">
      <c r="A339" s="1" t="str">
        <f t="shared" si="5"/>
        <v>11 Amantadine 1 mg_L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2274</v>
      </c>
      <c r="D339" s="1" t="s">
        <v>2114</v>
      </c>
      <c r="E339" s="1" t="s">
        <v>2275</v>
      </c>
      <c r="F339" s="1" t="s">
        <v>112</v>
      </c>
      <c r="G339" s="1">
        <v>71941</v>
      </c>
    </row>
    <row r="340" spans="1:7" x14ac:dyDescent="0.25">
      <c r="A340" s="1" t="str">
        <f t="shared" si="5"/>
        <v>11 Amantadine 1 mg_L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2276</v>
      </c>
      <c r="D340" s="1" t="s">
        <v>930</v>
      </c>
      <c r="E340" s="1">
        <v>63</v>
      </c>
      <c r="F340" s="1" t="s">
        <v>112</v>
      </c>
      <c r="G340" s="1">
        <v>46331</v>
      </c>
    </row>
    <row r="341" spans="1:7" x14ac:dyDescent="0.25">
      <c r="A341" s="1" t="str">
        <f t="shared" si="5"/>
        <v>11 Amantadine 1 mg_L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2277</v>
      </c>
      <c r="D341" s="1" t="s">
        <v>774</v>
      </c>
      <c r="E341" s="1" t="s">
        <v>2278</v>
      </c>
      <c r="F341" s="1" t="s">
        <v>112</v>
      </c>
      <c r="G341" s="1">
        <v>52150</v>
      </c>
    </row>
    <row r="342" spans="1:7" x14ac:dyDescent="0.25">
      <c r="A342" s="1" t="str">
        <f t="shared" si="5"/>
        <v>11 Amantadine 1 mg_L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2279</v>
      </c>
      <c r="D342" s="1" t="s">
        <v>334</v>
      </c>
      <c r="E342" s="1" t="s">
        <v>2280</v>
      </c>
      <c r="F342" s="1" t="s">
        <v>112</v>
      </c>
      <c r="G342" s="1">
        <v>40989</v>
      </c>
    </row>
    <row r="343" spans="1:7" x14ac:dyDescent="0.25">
      <c r="A343" s="1" t="str">
        <f t="shared" si="5"/>
        <v>11 Amantadine 1 mg_L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2281</v>
      </c>
      <c r="D343" s="1" t="s">
        <v>1660</v>
      </c>
      <c r="E343" s="1" t="s">
        <v>2282</v>
      </c>
      <c r="F343" s="1" t="s">
        <v>112</v>
      </c>
      <c r="G343" s="1">
        <v>66123</v>
      </c>
    </row>
    <row r="344" spans="1:7" x14ac:dyDescent="0.25">
      <c r="A344" s="1" t="str">
        <f t="shared" si="5"/>
        <v>11 Amantadine 1 mg_L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2283</v>
      </c>
      <c r="D344" s="1" t="s">
        <v>892</v>
      </c>
      <c r="E344" s="1" t="s">
        <v>2284</v>
      </c>
      <c r="F344" s="1" t="s">
        <v>112</v>
      </c>
      <c r="G344" s="1">
        <v>121127</v>
      </c>
    </row>
    <row r="345" spans="1:7" x14ac:dyDescent="0.25">
      <c r="A345" s="1" t="str">
        <f t="shared" si="5"/>
        <v>11 Amantadine 1 mg_L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2285</v>
      </c>
      <c r="D345" s="1" t="s">
        <v>2286</v>
      </c>
      <c r="E345" s="1" t="s">
        <v>2287</v>
      </c>
      <c r="F345" s="1" t="s">
        <v>112</v>
      </c>
      <c r="G345" s="1">
        <v>177798</v>
      </c>
    </row>
    <row r="346" spans="1:7" x14ac:dyDescent="0.25">
      <c r="A346" s="1" t="str">
        <f t="shared" si="5"/>
        <v>11 Amantadine 1 mg_L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2288</v>
      </c>
      <c r="D346" s="1" t="s">
        <v>2289</v>
      </c>
      <c r="E346" s="1" t="s">
        <v>2290</v>
      </c>
      <c r="F346" s="1" t="s">
        <v>112</v>
      </c>
      <c r="G346" s="1">
        <v>69086</v>
      </c>
    </row>
    <row r="347" spans="1:7" x14ac:dyDescent="0.25">
      <c r="A347" s="1" t="str">
        <f t="shared" si="5"/>
        <v>11 Amantadine 1 mg_L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2291</v>
      </c>
    </row>
    <row r="348" spans="1:7" x14ac:dyDescent="0.25">
      <c r="A348" s="1" t="str">
        <f t="shared" si="5"/>
        <v>11 Amantadine 1 mg_L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2292</v>
      </c>
      <c r="D348" s="1" t="s">
        <v>2293</v>
      </c>
      <c r="E348" s="1" t="s">
        <v>2294</v>
      </c>
      <c r="F348" s="1" t="s">
        <v>112</v>
      </c>
      <c r="G348" s="1">
        <v>642905</v>
      </c>
    </row>
    <row r="349" spans="1:7" x14ac:dyDescent="0.25">
      <c r="A349" s="1" t="str">
        <f t="shared" si="5"/>
        <v>11 Amantadine 1 mg_L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2295</v>
      </c>
      <c r="D349" s="1" t="s">
        <v>784</v>
      </c>
      <c r="E349" s="1" t="s">
        <v>2296</v>
      </c>
      <c r="F349" s="1" t="s">
        <v>112</v>
      </c>
      <c r="G349" s="1">
        <v>398920</v>
      </c>
    </row>
    <row r="350" spans="1:7" x14ac:dyDescent="0.25">
      <c r="A350" s="1" t="str">
        <f t="shared" si="5"/>
        <v>11 Amantadine 1 mg_L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2297</v>
      </c>
      <c r="D350" s="1" t="s">
        <v>2298</v>
      </c>
      <c r="E350" s="1" t="s">
        <v>2299</v>
      </c>
      <c r="F350" s="1" t="s">
        <v>112</v>
      </c>
      <c r="G350" s="1">
        <v>341320</v>
      </c>
    </row>
    <row r="351" spans="1:7" x14ac:dyDescent="0.25">
      <c r="A351" s="1" t="str">
        <f t="shared" si="5"/>
        <v>11 Amantadine 1 mg_L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2300</v>
      </c>
      <c r="D351" s="1" t="s">
        <v>838</v>
      </c>
      <c r="E351" s="1" t="s">
        <v>2301</v>
      </c>
      <c r="F351" s="1" t="s">
        <v>112</v>
      </c>
      <c r="G351" s="1">
        <v>181496</v>
      </c>
    </row>
    <row r="352" spans="1:7" x14ac:dyDescent="0.25">
      <c r="A352" s="1" t="str">
        <f t="shared" si="5"/>
        <v>11 Amantadine 1 mg_L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2302</v>
      </c>
      <c r="D352" s="1" t="s">
        <v>2303</v>
      </c>
      <c r="E352" s="1" t="s">
        <v>2304</v>
      </c>
      <c r="F352" s="1" t="s">
        <v>112</v>
      </c>
      <c r="G352" s="1">
        <v>60326</v>
      </c>
    </row>
    <row r="353" spans="1:10" x14ac:dyDescent="0.25">
      <c r="A353" s="1" t="str">
        <f t="shared" si="5"/>
        <v>11 Amantadine 1 mg_L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2305</v>
      </c>
      <c r="D353" s="1" t="s">
        <v>237</v>
      </c>
      <c r="E353" s="1" t="s">
        <v>2180</v>
      </c>
      <c r="F353" s="1" t="s">
        <v>112</v>
      </c>
      <c r="G353" s="1">
        <v>63419</v>
      </c>
    </row>
    <row r="354" spans="1:10" x14ac:dyDescent="0.25">
      <c r="A354" s="1" t="str">
        <f t="shared" si="5"/>
        <v>11 Amantadine 1 mg_L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2306</v>
      </c>
      <c r="D354" s="1" t="s">
        <v>268</v>
      </c>
      <c r="E354" s="1" t="s">
        <v>2307</v>
      </c>
      <c r="F354" s="1" t="s">
        <v>112</v>
      </c>
      <c r="G354" s="1">
        <v>24031</v>
      </c>
    </row>
    <row r="355" spans="1:10" x14ac:dyDescent="0.25">
      <c r="A355" s="1" t="str">
        <f t="shared" si="5"/>
        <v>11 Amantadine 1 mg_L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2308</v>
      </c>
      <c r="D355" s="1" t="s">
        <v>268</v>
      </c>
      <c r="E355" s="1" t="s">
        <v>2309</v>
      </c>
      <c r="F355" s="1" t="s">
        <v>112</v>
      </c>
      <c r="G355" s="1">
        <v>22906</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223</v>
      </c>
      <c r="D357" s="1" t="s">
        <v>112</v>
      </c>
      <c r="E357" s="1" t="s">
        <v>224</v>
      </c>
      <c r="F357" s="1" t="s">
        <v>225</v>
      </c>
      <c r="G357" s="1" t="s">
        <v>226</v>
      </c>
      <c r="H357" s="1" t="s">
        <v>227</v>
      </c>
      <c r="I357" s="1" t="s">
        <v>228</v>
      </c>
      <c r="J357" s="1" t="s">
        <v>229</v>
      </c>
    </row>
    <row r="358" spans="1:10" x14ac:dyDescent="0.25">
      <c r="A358" s="1" t="str">
        <f t="shared" si="5"/>
        <v>11 Amantadine 1 mg_L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2310</v>
      </c>
      <c r="D358" s="1" t="s">
        <v>112</v>
      </c>
      <c r="E358" s="1" t="s">
        <v>2311</v>
      </c>
      <c r="F358" s="1" t="s">
        <v>2312</v>
      </c>
      <c r="G358" s="1" t="s">
        <v>2313</v>
      </c>
      <c r="H358" s="1" t="s">
        <v>2314</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235</v>
      </c>
      <c r="D364" s="1" t="s">
        <v>110</v>
      </c>
      <c r="E364" s="1" t="s">
        <v>111</v>
      </c>
      <c r="F364" s="1" t="s">
        <v>112</v>
      </c>
      <c r="G364" s="1" t="s">
        <v>113</v>
      </c>
    </row>
    <row r="365" spans="1:10" x14ac:dyDescent="0.25">
      <c r="A365" s="1" t="str">
        <f t="shared" si="5"/>
        <v>12 Amantadine 10 mg_L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2315</v>
      </c>
      <c r="D365" s="1" t="s">
        <v>851</v>
      </c>
      <c r="E365" s="1" t="s">
        <v>2316</v>
      </c>
      <c r="F365" s="1" t="s">
        <v>112</v>
      </c>
      <c r="G365" s="1">
        <v>35408</v>
      </c>
    </row>
    <row r="366" spans="1:10" x14ac:dyDescent="0.25">
      <c r="A366" s="1" t="str">
        <f t="shared" si="5"/>
        <v>12 Amantadine 10 mg_L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2317</v>
      </c>
      <c r="D366" s="1" t="s">
        <v>864</v>
      </c>
      <c r="E366" s="1" t="s">
        <v>2318</v>
      </c>
      <c r="F366" s="1" t="s">
        <v>112</v>
      </c>
      <c r="G366" s="1">
        <v>378285</v>
      </c>
    </row>
    <row r="367" spans="1:10" x14ac:dyDescent="0.25">
      <c r="A367" s="1" t="str">
        <f t="shared" si="5"/>
        <v>12 Amantadine 10 mg_L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2319</v>
      </c>
      <c r="D367" s="1" t="s">
        <v>804</v>
      </c>
      <c r="E367" s="1" t="s">
        <v>2320</v>
      </c>
      <c r="F367" s="1" t="s">
        <v>112</v>
      </c>
      <c r="G367" s="1">
        <v>361911</v>
      </c>
    </row>
    <row r="368" spans="1:10" x14ac:dyDescent="0.25">
      <c r="A368" s="1" t="str">
        <f t="shared" si="5"/>
        <v>12 Amantadine 10 mg_L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2321</v>
      </c>
      <c r="D368" s="1" t="s">
        <v>2212</v>
      </c>
      <c r="E368" s="1" t="s">
        <v>2322</v>
      </c>
      <c r="F368" s="1" t="s">
        <v>112</v>
      </c>
      <c r="G368" s="1">
        <v>124999</v>
      </c>
    </row>
    <row r="369" spans="1:7" x14ac:dyDescent="0.25">
      <c r="A369" s="1" t="str">
        <f t="shared" si="5"/>
        <v>12 Amantadine 10 mg_L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2323</v>
      </c>
      <c r="D369" s="1" t="s">
        <v>2324</v>
      </c>
      <c r="E369" s="1" t="s">
        <v>2325</v>
      </c>
      <c r="F369" s="1" t="s">
        <v>112</v>
      </c>
      <c r="G369" s="1">
        <v>67139</v>
      </c>
    </row>
    <row r="370" spans="1:7" x14ac:dyDescent="0.25">
      <c r="A370" s="1" t="str">
        <f t="shared" si="5"/>
        <v>12 Amantadine 10 mg_L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2326</v>
      </c>
      <c r="D370" s="1" t="s">
        <v>696</v>
      </c>
      <c r="E370" s="1" t="s">
        <v>2327</v>
      </c>
      <c r="F370" s="1" t="s">
        <v>112</v>
      </c>
      <c r="G370" s="1">
        <v>133565</v>
      </c>
    </row>
    <row r="371" spans="1:7" x14ac:dyDescent="0.25">
      <c r="A371" s="1" t="str">
        <f t="shared" si="5"/>
        <v>12 Amantadine 10 mg_L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2328</v>
      </c>
      <c r="D371" s="1" t="s">
        <v>1777</v>
      </c>
      <c r="E371" s="1" t="s">
        <v>2329</v>
      </c>
      <c r="F371" s="1" t="s">
        <v>112</v>
      </c>
      <c r="G371" s="1">
        <v>269855</v>
      </c>
    </row>
    <row r="372" spans="1:7" x14ac:dyDescent="0.25">
      <c r="A372" s="1" t="str">
        <f t="shared" si="5"/>
        <v>12 Amantadine 10 mg_L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2330</v>
      </c>
    </row>
    <row r="373" spans="1:7" x14ac:dyDescent="0.25">
      <c r="A373" s="1" t="str">
        <f t="shared" si="5"/>
        <v>12 Amantadine 10 mg_L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2331</v>
      </c>
      <c r="D373" s="1" t="s">
        <v>699</v>
      </c>
      <c r="E373" s="1" t="s">
        <v>2332</v>
      </c>
      <c r="F373" s="1" t="s">
        <v>112</v>
      </c>
      <c r="G373" s="1">
        <v>257309</v>
      </c>
    </row>
    <row r="374" spans="1:7" x14ac:dyDescent="0.25">
      <c r="A374" s="1" t="str">
        <f t="shared" si="5"/>
        <v>12 Amantadine 10 mg_L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2333</v>
      </c>
      <c r="D374" s="1" t="s">
        <v>240</v>
      </c>
      <c r="E374" s="1" t="s">
        <v>2153</v>
      </c>
      <c r="F374" s="1" t="s">
        <v>112</v>
      </c>
      <c r="G374" s="1">
        <v>18018</v>
      </c>
    </row>
    <row r="375" spans="1:7" x14ac:dyDescent="0.25">
      <c r="A375" s="1" t="str">
        <f t="shared" si="5"/>
        <v>12 Amantadine 10 mg_L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2334</v>
      </c>
      <c r="D375" s="1" t="s">
        <v>1768</v>
      </c>
      <c r="E375" s="1" t="s">
        <v>2335</v>
      </c>
      <c r="F375" s="1" t="s">
        <v>112</v>
      </c>
      <c r="G375" s="1">
        <v>451351</v>
      </c>
    </row>
    <row r="376" spans="1:7" x14ac:dyDescent="0.25">
      <c r="A376" s="1" t="str">
        <f t="shared" si="5"/>
        <v>12 Amantadine 10 mg_L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2336</v>
      </c>
      <c r="D376" s="1" t="s">
        <v>337</v>
      </c>
      <c r="E376" s="1" t="s">
        <v>335</v>
      </c>
      <c r="F376" s="1" t="s">
        <v>112</v>
      </c>
      <c r="G376" s="1">
        <v>13713</v>
      </c>
    </row>
    <row r="377" spans="1:7" x14ac:dyDescent="0.25">
      <c r="A377" s="1" t="str">
        <f t="shared" si="5"/>
        <v>12 Amantadine 10 mg_L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2337</v>
      </c>
    </row>
    <row r="378" spans="1:7" x14ac:dyDescent="0.25">
      <c r="A378" s="1" t="str">
        <f t="shared" si="5"/>
        <v>12 Amantadine 10 mg_L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2338</v>
      </c>
    </row>
    <row r="379" spans="1:7" x14ac:dyDescent="0.25">
      <c r="A379" s="1" t="str">
        <f t="shared" si="5"/>
        <v>12 Amantadine 10 mg_L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2339</v>
      </c>
    </row>
    <row r="380" spans="1:7" x14ac:dyDescent="0.25">
      <c r="A380" s="1" t="str">
        <f t="shared" si="5"/>
        <v>12 Amantadine 10 mg_L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2340</v>
      </c>
      <c r="D380" s="1" t="s">
        <v>175</v>
      </c>
      <c r="E380" s="1" t="s">
        <v>2341</v>
      </c>
      <c r="F380" s="1" t="s">
        <v>112</v>
      </c>
      <c r="G380" s="1">
        <v>15119</v>
      </c>
    </row>
    <row r="381" spans="1:7" x14ac:dyDescent="0.25">
      <c r="A381" s="1" t="str">
        <f t="shared" si="5"/>
        <v>12 Amantadine 10 mg_L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2342</v>
      </c>
    </row>
    <row r="382" spans="1:7" x14ac:dyDescent="0.25">
      <c r="A382" s="1" t="str">
        <f t="shared" si="5"/>
        <v>12 Amantadine 10 mg_L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2343</v>
      </c>
      <c r="D382" s="1" t="s">
        <v>175</v>
      </c>
      <c r="E382" s="1" t="s">
        <v>2344</v>
      </c>
      <c r="F382" s="1" t="s">
        <v>112</v>
      </c>
      <c r="G382" s="1">
        <v>15530</v>
      </c>
    </row>
    <row r="383" spans="1:7" x14ac:dyDescent="0.25">
      <c r="A383" s="1" t="str">
        <f t="shared" si="5"/>
        <v>12 Amantadine 10 mg_L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2345</v>
      </c>
    </row>
    <row r="384" spans="1:7" x14ac:dyDescent="0.25">
      <c r="A384" s="1" t="str">
        <f t="shared" si="5"/>
        <v>12 Amantadine 10 mg_L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2346</v>
      </c>
    </row>
    <row r="385" spans="1:10" x14ac:dyDescent="0.25">
      <c r="A385" s="1" t="str">
        <f t="shared" si="5"/>
        <v>12 Amantadine 10 mg_L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2347</v>
      </c>
    </row>
    <row r="386" spans="1:10" x14ac:dyDescent="0.25">
      <c r="A386" s="1" t="str">
        <f t="shared" ref="A386:A449" si="6">IFERROR(LEFT(RIGHT(C386,LEN(C386)-SEARCH("@",C386)),SEARCH("/",RIGHT(C386,LEN(C386)-SEARCH("@",C386)-1))),"")</f>
        <v>12 Amantadine 10 mg_L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2348</v>
      </c>
    </row>
    <row r="387" spans="1:10" x14ac:dyDescent="0.25">
      <c r="A387" s="1" t="str">
        <f t="shared" si="6"/>
        <v>12 Amantadine 10 mg_L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2349</v>
      </c>
      <c r="D387" s="1" t="s">
        <v>814</v>
      </c>
      <c r="E387" s="1" t="s">
        <v>2350</v>
      </c>
      <c r="F387" s="1" t="s">
        <v>112</v>
      </c>
      <c r="G387" s="1">
        <v>27146</v>
      </c>
    </row>
    <row r="388" spans="1:10" x14ac:dyDescent="0.25">
      <c r="A388" s="1" t="str">
        <f t="shared" si="6"/>
        <v>12 Amantadine 10 mg_L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2351</v>
      </c>
      <c r="D388" s="1" t="s">
        <v>739</v>
      </c>
      <c r="E388" s="1" t="s">
        <v>2352</v>
      </c>
      <c r="F388" s="1" t="s">
        <v>112</v>
      </c>
      <c r="G388" s="1">
        <v>28076</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223</v>
      </c>
      <c r="D390" s="1" t="s">
        <v>112</v>
      </c>
      <c r="E390" s="1" t="s">
        <v>224</v>
      </c>
      <c r="F390" s="1" t="s">
        <v>225</v>
      </c>
      <c r="G390" s="1" t="s">
        <v>226</v>
      </c>
      <c r="H390" s="1" t="s">
        <v>227</v>
      </c>
      <c r="I390" s="1" t="s">
        <v>228</v>
      </c>
      <c r="J390" s="1" t="s">
        <v>229</v>
      </c>
    </row>
    <row r="391" spans="1:10" x14ac:dyDescent="0.25">
      <c r="A391" s="1" t="str">
        <f t="shared" si="6"/>
        <v>12 Amantadine 10 mg_L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2353</v>
      </c>
      <c r="D391" s="1" t="s">
        <v>112</v>
      </c>
      <c r="E391" s="1" t="s">
        <v>2354</v>
      </c>
      <c r="F391" s="1" t="s">
        <v>2355</v>
      </c>
      <c r="G391" s="1" t="s">
        <v>2356</v>
      </c>
      <c r="H391" s="1" t="s">
        <v>2357</v>
      </c>
      <c r="I391" s="1">
        <v>24</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235</v>
      </c>
      <c r="D397" s="1" t="s">
        <v>110</v>
      </c>
      <c r="E397" s="1" t="s">
        <v>111</v>
      </c>
      <c r="F397" s="1" t="s">
        <v>112</v>
      </c>
      <c r="G397" s="1" t="s">
        <v>113</v>
      </c>
    </row>
    <row r="398" spans="1:10" x14ac:dyDescent="0.25">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2358</v>
      </c>
      <c r="D398" s="1" t="s">
        <v>2359</v>
      </c>
      <c r="E398" s="1" t="s">
        <v>2360</v>
      </c>
      <c r="F398" s="1" t="s">
        <v>112</v>
      </c>
      <c r="G398" s="1">
        <v>2073096</v>
      </c>
    </row>
    <row r="399" spans="1:10" x14ac:dyDescent="0.25">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2361</v>
      </c>
      <c r="D399" s="1" t="s">
        <v>2362</v>
      </c>
      <c r="E399" s="1" t="s">
        <v>2363</v>
      </c>
      <c r="F399" s="1" t="s">
        <v>112</v>
      </c>
      <c r="G399" s="1">
        <v>1975610</v>
      </c>
    </row>
    <row r="400" spans="1:10" x14ac:dyDescent="0.25">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2364</v>
      </c>
      <c r="D400" s="1" t="s">
        <v>2365</v>
      </c>
      <c r="E400" s="1" t="s">
        <v>2366</v>
      </c>
      <c r="F400" s="1" t="s">
        <v>112</v>
      </c>
      <c r="G400" s="1">
        <v>1789268</v>
      </c>
    </row>
    <row r="401" spans="1:7" x14ac:dyDescent="0.25">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2367</v>
      </c>
      <c r="D401" s="1" t="s">
        <v>2368</v>
      </c>
      <c r="E401" s="1" t="s">
        <v>2369</v>
      </c>
      <c r="F401" s="1" t="s">
        <v>112</v>
      </c>
      <c r="G401" s="1">
        <v>1400233</v>
      </c>
    </row>
    <row r="402" spans="1:7" x14ac:dyDescent="0.25">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2370</v>
      </c>
      <c r="D402" s="1" t="s">
        <v>2371</v>
      </c>
      <c r="E402" s="1" t="s">
        <v>2372</v>
      </c>
      <c r="F402" s="1" t="s">
        <v>112</v>
      </c>
      <c r="G402" s="1">
        <v>1466291</v>
      </c>
    </row>
    <row r="403" spans="1:7" x14ac:dyDescent="0.25">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2373</v>
      </c>
      <c r="D403" s="1" t="s">
        <v>2374</v>
      </c>
      <c r="E403" s="1" t="s">
        <v>2375</v>
      </c>
      <c r="F403" s="1" t="s">
        <v>112</v>
      </c>
      <c r="G403" s="1">
        <v>1438756</v>
      </c>
    </row>
    <row r="404" spans="1:7" x14ac:dyDescent="0.25">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2376</v>
      </c>
      <c r="D404" s="1" t="s">
        <v>2377</v>
      </c>
      <c r="E404" s="1" t="s">
        <v>2378</v>
      </c>
      <c r="F404" s="1" t="s">
        <v>112</v>
      </c>
      <c r="G404" s="1">
        <v>762432</v>
      </c>
    </row>
    <row r="405" spans="1:7" x14ac:dyDescent="0.25">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2379</v>
      </c>
      <c r="D405" s="1" t="s">
        <v>331</v>
      </c>
      <c r="E405" s="1" t="s">
        <v>2380</v>
      </c>
      <c r="F405" s="1" t="s">
        <v>112</v>
      </c>
      <c r="G405" s="1">
        <v>147602</v>
      </c>
    </row>
    <row r="406" spans="1:7" x14ac:dyDescent="0.25">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2381</v>
      </c>
      <c r="D406" s="1" t="s">
        <v>1692</v>
      </c>
      <c r="E406" s="1" t="s">
        <v>2382</v>
      </c>
      <c r="F406" s="1" t="s">
        <v>112</v>
      </c>
      <c r="G406" s="1">
        <v>356461</v>
      </c>
    </row>
    <row r="407" spans="1:7" x14ac:dyDescent="0.25">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2383</v>
      </c>
      <c r="D407" s="1" t="s">
        <v>2384</v>
      </c>
      <c r="E407" s="1" t="s">
        <v>2385</v>
      </c>
      <c r="F407" s="1" t="s">
        <v>112</v>
      </c>
      <c r="G407" s="1">
        <v>2006627</v>
      </c>
    </row>
    <row r="408" spans="1:7" x14ac:dyDescent="0.25">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2386</v>
      </c>
      <c r="D408" s="1" t="s">
        <v>2387</v>
      </c>
      <c r="E408" s="1" t="s">
        <v>2388</v>
      </c>
      <c r="F408" s="1" t="s">
        <v>112</v>
      </c>
      <c r="G408" s="1">
        <v>1544483</v>
      </c>
    </row>
    <row r="409" spans="1:7" x14ac:dyDescent="0.25">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2389</v>
      </c>
      <c r="D409" s="1" t="s">
        <v>2390</v>
      </c>
      <c r="E409" s="1" t="s">
        <v>2391</v>
      </c>
      <c r="F409" s="1" t="s">
        <v>112</v>
      </c>
      <c r="G409" s="1">
        <v>1739152</v>
      </c>
    </row>
    <row r="410" spans="1:7" x14ac:dyDescent="0.25">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2392</v>
      </c>
      <c r="D410" s="1" t="s">
        <v>2393</v>
      </c>
      <c r="E410" s="1" t="s">
        <v>2394</v>
      </c>
      <c r="F410" s="1" t="s">
        <v>112</v>
      </c>
      <c r="G410" s="1">
        <v>416505</v>
      </c>
    </row>
    <row r="411" spans="1:7" x14ac:dyDescent="0.25">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2395</v>
      </c>
      <c r="D411" s="1" t="s">
        <v>2396</v>
      </c>
      <c r="E411" s="1" t="s">
        <v>2397</v>
      </c>
      <c r="F411" s="1" t="s">
        <v>112</v>
      </c>
      <c r="G411" s="1">
        <v>625104</v>
      </c>
    </row>
    <row r="412" spans="1:7" x14ac:dyDescent="0.25">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2398</v>
      </c>
      <c r="D412" s="1" t="s">
        <v>2399</v>
      </c>
      <c r="E412" s="1" t="s">
        <v>2400</v>
      </c>
      <c r="F412" s="1" t="s">
        <v>112</v>
      </c>
      <c r="G412" s="1">
        <v>547409</v>
      </c>
    </row>
    <row r="413" spans="1:7" x14ac:dyDescent="0.25">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2401</v>
      </c>
      <c r="D413" s="1" t="s">
        <v>2365</v>
      </c>
      <c r="E413" s="1" t="s">
        <v>2402</v>
      </c>
      <c r="F413" s="1" t="s">
        <v>112</v>
      </c>
      <c r="G413" s="1">
        <v>1937065</v>
      </c>
    </row>
    <row r="414" spans="1:7" x14ac:dyDescent="0.25">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2403</v>
      </c>
      <c r="D414" s="1" t="s">
        <v>1448</v>
      </c>
      <c r="E414" s="1" t="s">
        <v>2404</v>
      </c>
      <c r="F414" s="1" t="s">
        <v>112</v>
      </c>
      <c r="G414" s="1">
        <v>1641320</v>
      </c>
    </row>
    <row r="415" spans="1:7" x14ac:dyDescent="0.25">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2405</v>
      </c>
      <c r="D415" s="1" t="s">
        <v>2406</v>
      </c>
      <c r="E415" s="1" t="s">
        <v>2407</v>
      </c>
      <c r="F415" s="1" t="s">
        <v>112</v>
      </c>
      <c r="G415" s="1">
        <v>1340469</v>
      </c>
    </row>
    <row r="416" spans="1:7" x14ac:dyDescent="0.25">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2408</v>
      </c>
      <c r="D416" s="1" t="s">
        <v>2409</v>
      </c>
      <c r="E416" s="1" t="s">
        <v>2410</v>
      </c>
      <c r="F416" s="1" t="s">
        <v>112</v>
      </c>
      <c r="G416" s="1">
        <v>2509176</v>
      </c>
    </row>
    <row r="417" spans="1:10" x14ac:dyDescent="0.25">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2411</v>
      </c>
      <c r="D417" s="1" t="s">
        <v>2412</v>
      </c>
      <c r="E417" s="1" t="s">
        <v>2413</v>
      </c>
      <c r="F417" s="1" t="s">
        <v>112</v>
      </c>
      <c r="G417" s="1">
        <v>1728986</v>
      </c>
    </row>
    <row r="418" spans="1:10" x14ac:dyDescent="0.25">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2414</v>
      </c>
      <c r="D418" s="1" t="s">
        <v>2415</v>
      </c>
      <c r="E418" s="1" t="s">
        <v>2416</v>
      </c>
      <c r="F418" s="1" t="s">
        <v>112</v>
      </c>
      <c r="G418" s="1">
        <v>2563251</v>
      </c>
    </row>
    <row r="419" spans="1:10" x14ac:dyDescent="0.25">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2417</v>
      </c>
      <c r="D419" s="1" t="s">
        <v>2418</v>
      </c>
      <c r="E419" s="1" t="s">
        <v>2419</v>
      </c>
      <c r="F419" s="1" t="s">
        <v>112</v>
      </c>
      <c r="G419" s="1">
        <v>1541022</v>
      </c>
    </row>
    <row r="420" spans="1:10" x14ac:dyDescent="0.25">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2420</v>
      </c>
      <c r="D420" s="1" t="s">
        <v>2421</v>
      </c>
      <c r="E420" s="1" t="s">
        <v>2422</v>
      </c>
      <c r="F420" s="1" t="s">
        <v>112</v>
      </c>
      <c r="G420" s="1">
        <v>1706209</v>
      </c>
    </row>
    <row r="421" spans="1:10" x14ac:dyDescent="0.25">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2423</v>
      </c>
      <c r="D421" s="1" t="s">
        <v>2424</v>
      </c>
      <c r="E421" s="1" t="s">
        <v>2425</v>
      </c>
      <c r="F421" s="1" t="s">
        <v>112</v>
      </c>
      <c r="G421" s="1">
        <v>1273071</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223</v>
      </c>
      <c r="D423" s="1" t="s">
        <v>112</v>
      </c>
      <c r="E423" s="1" t="s">
        <v>224</v>
      </c>
      <c r="F423" s="1" t="s">
        <v>225</v>
      </c>
      <c r="G423" s="1" t="s">
        <v>226</v>
      </c>
      <c r="H423" s="1" t="s">
        <v>227</v>
      </c>
      <c r="I423" s="1" t="s">
        <v>228</v>
      </c>
      <c r="J423" s="1" t="s">
        <v>229</v>
      </c>
    </row>
    <row r="424" spans="1:10" x14ac:dyDescent="0.25">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2426</v>
      </c>
      <c r="D424" s="1" t="s">
        <v>112</v>
      </c>
      <c r="E424" s="1" t="s">
        <v>2427</v>
      </c>
      <c r="F424" s="1" t="s">
        <v>2428</v>
      </c>
      <c r="G424" s="1" t="s">
        <v>2429</v>
      </c>
      <c r="H424" s="1" t="s">
        <v>2430</v>
      </c>
      <c r="I424" s="1">
        <v>24</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235</v>
      </c>
      <c r="D430" s="1" t="s">
        <v>110</v>
      </c>
      <c r="E430" s="1" t="s">
        <v>111</v>
      </c>
      <c r="F430" s="1" t="s">
        <v>112</v>
      </c>
      <c r="G430" s="1" t="s">
        <v>113</v>
      </c>
    </row>
    <row r="431" spans="1:10" x14ac:dyDescent="0.25">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2431</v>
      </c>
      <c r="D431" s="1" t="s">
        <v>2432</v>
      </c>
      <c r="E431" s="1" t="s">
        <v>2433</v>
      </c>
      <c r="F431" s="1" t="s">
        <v>112</v>
      </c>
      <c r="G431" s="1">
        <v>2843855</v>
      </c>
    </row>
    <row r="432" spans="1:10" x14ac:dyDescent="0.25">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2434</v>
      </c>
      <c r="D432" s="1" t="s">
        <v>2435</v>
      </c>
      <c r="E432" s="1" t="s">
        <v>2436</v>
      </c>
      <c r="F432" s="1" t="s">
        <v>112</v>
      </c>
      <c r="G432" s="1">
        <v>2662705</v>
      </c>
    </row>
    <row r="433" spans="1:7" x14ac:dyDescent="0.25">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2437</v>
      </c>
      <c r="D433" s="1" t="s">
        <v>2438</v>
      </c>
      <c r="E433" s="1" t="s">
        <v>2439</v>
      </c>
      <c r="F433" s="1" t="s">
        <v>112</v>
      </c>
      <c r="G433" s="1">
        <v>2812081</v>
      </c>
    </row>
    <row r="434" spans="1:7" x14ac:dyDescent="0.25">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2440</v>
      </c>
      <c r="D434" s="1" t="s">
        <v>2441</v>
      </c>
      <c r="E434" s="1" t="s">
        <v>2442</v>
      </c>
      <c r="F434" s="1" t="s">
        <v>112</v>
      </c>
      <c r="G434" s="1">
        <v>1705885</v>
      </c>
    </row>
    <row r="435" spans="1:7" x14ac:dyDescent="0.25">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2443</v>
      </c>
      <c r="D435" s="1" t="s">
        <v>2444</v>
      </c>
      <c r="E435" s="1" t="s">
        <v>2445</v>
      </c>
      <c r="F435" s="1" t="s">
        <v>112</v>
      </c>
      <c r="G435" s="1">
        <v>1678761</v>
      </c>
    </row>
    <row r="436" spans="1:7" x14ac:dyDescent="0.25">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2446</v>
      </c>
      <c r="D436" s="1" t="s">
        <v>2447</v>
      </c>
      <c r="E436" s="1" t="s">
        <v>2448</v>
      </c>
      <c r="F436" s="1" t="s">
        <v>112</v>
      </c>
      <c r="G436" s="1">
        <v>1525470</v>
      </c>
    </row>
    <row r="437" spans="1:7" x14ac:dyDescent="0.25">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2449</v>
      </c>
      <c r="D437" s="1" t="s">
        <v>2450</v>
      </c>
      <c r="E437" s="1" t="s">
        <v>2451</v>
      </c>
      <c r="F437" s="1" t="s">
        <v>112</v>
      </c>
      <c r="G437" s="1">
        <v>1814316</v>
      </c>
    </row>
    <row r="438" spans="1:7" x14ac:dyDescent="0.25">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2452</v>
      </c>
      <c r="D438" s="1" t="s">
        <v>159</v>
      </c>
      <c r="E438" s="1" t="s">
        <v>2453</v>
      </c>
      <c r="F438" s="1" t="s">
        <v>112</v>
      </c>
      <c r="G438" s="1">
        <v>1540524</v>
      </c>
    </row>
    <row r="439" spans="1:7" x14ac:dyDescent="0.25">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2454</v>
      </c>
      <c r="D439" s="1" t="s">
        <v>2455</v>
      </c>
      <c r="E439" s="1" t="s">
        <v>2456</v>
      </c>
      <c r="F439" s="1" t="s">
        <v>112</v>
      </c>
      <c r="G439" s="1">
        <v>1717716</v>
      </c>
    </row>
    <row r="440" spans="1:7" x14ac:dyDescent="0.25">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2457</v>
      </c>
      <c r="D440" s="1" t="s">
        <v>2458</v>
      </c>
      <c r="E440" s="1" t="s">
        <v>2459</v>
      </c>
      <c r="F440" s="1" t="s">
        <v>112</v>
      </c>
      <c r="G440" s="1">
        <v>2458238</v>
      </c>
    </row>
    <row r="441" spans="1:7" x14ac:dyDescent="0.25">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2460</v>
      </c>
      <c r="D441" s="1" t="s">
        <v>2406</v>
      </c>
      <c r="E441" s="1" t="s">
        <v>2461</v>
      </c>
      <c r="F441" s="1" t="s">
        <v>112</v>
      </c>
      <c r="G441" s="1">
        <v>1304261</v>
      </c>
    </row>
    <row r="442" spans="1:7" x14ac:dyDescent="0.25">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2462</v>
      </c>
      <c r="D442" s="1" t="s">
        <v>2463</v>
      </c>
      <c r="E442" s="1" t="s">
        <v>2464</v>
      </c>
      <c r="F442" s="1" t="s">
        <v>112</v>
      </c>
      <c r="G442" s="1">
        <v>1835383</v>
      </c>
    </row>
    <row r="443" spans="1:7" x14ac:dyDescent="0.25">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2465</v>
      </c>
      <c r="D443" s="1" t="s">
        <v>2466</v>
      </c>
      <c r="E443" s="1" t="s">
        <v>2467</v>
      </c>
      <c r="F443" s="1" t="s">
        <v>112</v>
      </c>
      <c r="G443" s="1">
        <v>1612314</v>
      </c>
    </row>
    <row r="444" spans="1:7" x14ac:dyDescent="0.25">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2468</v>
      </c>
    </row>
    <row r="445" spans="1:7" x14ac:dyDescent="0.25">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2469</v>
      </c>
      <c r="D445" s="1" t="s">
        <v>2470</v>
      </c>
      <c r="E445" s="1" t="s">
        <v>2471</v>
      </c>
      <c r="F445" s="1" t="s">
        <v>112</v>
      </c>
      <c r="G445" s="1">
        <v>1288103</v>
      </c>
    </row>
    <row r="446" spans="1:7" x14ac:dyDescent="0.25">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2472</v>
      </c>
      <c r="D446" s="1" t="s">
        <v>1843</v>
      </c>
      <c r="E446" s="1" t="s">
        <v>2473</v>
      </c>
      <c r="F446" s="1" t="s">
        <v>112</v>
      </c>
      <c r="G446" s="1">
        <v>247251</v>
      </c>
    </row>
    <row r="447" spans="1:7" x14ac:dyDescent="0.25">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2474</v>
      </c>
      <c r="D447" s="1" t="s">
        <v>1247</v>
      </c>
      <c r="E447" s="1" t="s">
        <v>2475</v>
      </c>
      <c r="F447" s="1" t="s">
        <v>112</v>
      </c>
      <c r="G447" s="1">
        <v>393080</v>
      </c>
    </row>
    <row r="448" spans="1:7" x14ac:dyDescent="0.25">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2476</v>
      </c>
      <c r="D448" s="1" t="s">
        <v>2477</v>
      </c>
      <c r="E448" s="1" t="s">
        <v>2478</v>
      </c>
      <c r="F448" s="1" t="s">
        <v>112</v>
      </c>
      <c r="G448" s="1">
        <v>311146</v>
      </c>
    </row>
    <row r="449" spans="1:10" x14ac:dyDescent="0.25">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2479</v>
      </c>
      <c r="D449" s="1" t="s">
        <v>2480</v>
      </c>
      <c r="E449" s="1" t="s">
        <v>2481</v>
      </c>
      <c r="F449" s="1" t="s">
        <v>112</v>
      </c>
      <c r="G449" s="1">
        <v>4031877</v>
      </c>
    </row>
    <row r="450" spans="1:10" x14ac:dyDescent="0.25">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2482</v>
      </c>
      <c r="D450" s="1" t="s">
        <v>2483</v>
      </c>
      <c r="E450" s="1" t="s">
        <v>2484</v>
      </c>
      <c r="F450" s="1" t="s">
        <v>112</v>
      </c>
      <c r="G450" s="1">
        <v>4314753</v>
      </c>
    </row>
    <row r="451" spans="1:10" x14ac:dyDescent="0.25">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2485</v>
      </c>
      <c r="D451" s="1" t="s">
        <v>2486</v>
      </c>
      <c r="E451" s="1" t="s">
        <v>2487</v>
      </c>
      <c r="F451" s="1" t="s">
        <v>112</v>
      </c>
      <c r="G451" s="1">
        <v>4215991</v>
      </c>
    </row>
    <row r="452" spans="1:10" x14ac:dyDescent="0.25">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2488</v>
      </c>
      <c r="D452" s="1" t="s">
        <v>407</v>
      </c>
      <c r="E452" s="1" t="s">
        <v>2489</v>
      </c>
      <c r="F452" s="1" t="s">
        <v>112</v>
      </c>
      <c r="G452" s="1">
        <v>984312</v>
      </c>
    </row>
    <row r="453" spans="1:10" x14ac:dyDescent="0.25">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2490</v>
      </c>
      <c r="D453" s="1" t="s">
        <v>2491</v>
      </c>
      <c r="E453" s="1" t="s">
        <v>2492</v>
      </c>
      <c r="F453" s="1" t="s">
        <v>112</v>
      </c>
      <c r="G453" s="1">
        <v>792346</v>
      </c>
    </row>
    <row r="454" spans="1:10" x14ac:dyDescent="0.25">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2493</v>
      </c>
      <c r="D454" s="1" t="s">
        <v>2494</v>
      </c>
      <c r="E454" s="1" t="s">
        <v>1788</v>
      </c>
      <c r="F454" s="1" t="s">
        <v>112</v>
      </c>
      <c r="G454" s="1">
        <v>818324</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223</v>
      </c>
      <c r="D456" s="1" t="s">
        <v>112</v>
      </c>
      <c r="E456" s="1" t="s">
        <v>224</v>
      </c>
      <c r="F456" s="1" t="s">
        <v>225</v>
      </c>
      <c r="G456" s="1" t="s">
        <v>226</v>
      </c>
      <c r="H456" s="1" t="s">
        <v>227</v>
      </c>
      <c r="I456" s="1" t="s">
        <v>228</v>
      </c>
      <c r="J456" s="1" t="s">
        <v>229</v>
      </c>
    </row>
    <row r="457" spans="1:10" x14ac:dyDescent="0.25">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2495</v>
      </c>
      <c r="D457" s="1" t="s">
        <v>112</v>
      </c>
      <c r="E457" s="1" t="s">
        <v>2496</v>
      </c>
      <c r="F457" s="1" t="s">
        <v>2497</v>
      </c>
      <c r="G457" s="1" t="s">
        <v>2498</v>
      </c>
      <c r="H457" s="1" t="s">
        <v>2499</v>
      </c>
      <c r="I457" s="1">
        <v>24</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235</v>
      </c>
      <c r="D463" s="1" t="s">
        <v>110</v>
      </c>
      <c r="E463" s="1" t="s">
        <v>111</v>
      </c>
      <c r="F463" s="1" t="s">
        <v>112</v>
      </c>
      <c r="G463" s="1" t="s">
        <v>113</v>
      </c>
    </row>
    <row r="464" spans="1:10" x14ac:dyDescent="0.25">
      <c r="A464" s="1" t="str">
        <f t="shared" si="7"/>
        <v>03 Testo+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2500</v>
      </c>
      <c r="D464" s="1" t="s">
        <v>2501</v>
      </c>
      <c r="E464" s="1" t="s">
        <v>2502</v>
      </c>
      <c r="F464" s="1" t="s">
        <v>112</v>
      </c>
      <c r="G464" s="1">
        <v>2888716</v>
      </c>
    </row>
    <row r="465" spans="1:7" x14ac:dyDescent="0.25">
      <c r="A465" s="1" t="str">
        <f t="shared" si="7"/>
        <v>03 Testo+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2503</v>
      </c>
      <c r="D465" s="1" t="s">
        <v>2504</v>
      </c>
      <c r="E465" s="1" t="s">
        <v>2505</v>
      </c>
      <c r="F465" s="1" t="s">
        <v>112</v>
      </c>
      <c r="G465" s="1">
        <v>2525723</v>
      </c>
    </row>
    <row r="466" spans="1:7" x14ac:dyDescent="0.25">
      <c r="A466" s="1" t="str">
        <f t="shared" si="7"/>
        <v>03 Testo+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2506</v>
      </c>
      <c r="D466" s="1" t="s">
        <v>2507</v>
      </c>
      <c r="E466" s="1" t="s">
        <v>2508</v>
      </c>
      <c r="F466" s="1" t="s">
        <v>112</v>
      </c>
      <c r="G466" s="1">
        <v>2998639</v>
      </c>
    </row>
    <row r="467" spans="1:7" x14ac:dyDescent="0.25">
      <c r="A467" s="1" t="str">
        <f t="shared" si="7"/>
        <v>03 Testo+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2509</v>
      </c>
      <c r="D467" s="1" t="s">
        <v>2510</v>
      </c>
      <c r="E467" s="1" t="s">
        <v>2511</v>
      </c>
      <c r="F467" s="1" t="s">
        <v>112</v>
      </c>
      <c r="G467" s="1">
        <v>3404372</v>
      </c>
    </row>
    <row r="468" spans="1:7" x14ac:dyDescent="0.25">
      <c r="A468" s="1" t="str">
        <f t="shared" si="7"/>
        <v>03 Testo+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2512</v>
      </c>
    </row>
    <row r="469" spans="1:7" x14ac:dyDescent="0.25">
      <c r="A469" s="1" t="str">
        <f t="shared" si="7"/>
        <v>03 Testo+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2513</v>
      </c>
      <c r="D469" s="1" t="s">
        <v>2514</v>
      </c>
      <c r="E469" s="1" t="s">
        <v>2515</v>
      </c>
      <c r="F469" s="1" t="s">
        <v>112</v>
      </c>
      <c r="G469" s="1">
        <v>3101294</v>
      </c>
    </row>
    <row r="470" spans="1:7" x14ac:dyDescent="0.25">
      <c r="A470" s="1" t="str">
        <f t="shared" si="7"/>
        <v>03 Testo+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2516</v>
      </c>
      <c r="D470" s="1" t="s">
        <v>2517</v>
      </c>
      <c r="E470" s="1" t="s">
        <v>2518</v>
      </c>
      <c r="F470" s="1" t="s">
        <v>112</v>
      </c>
      <c r="G470" s="1">
        <v>4281876</v>
      </c>
    </row>
    <row r="471" spans="1:7" x14ac:dyDescent="0.25">
      <c r="A471" s="1" t="str">
        <f t="shared" si="7"/>
        <v>03 Testo+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2519</v>
      </c>
      <c r="D471" s="1" t="s">
        <v>2520</v>
      </c>
      <c r="E471" s="1" t="s">
        <v>2521</v>
      </c>
      <c r="F471" s="1" t="s">
        <v>112</v>
      </c>
      <c r="G471" s="1">
        <v>4431079</v>
      </c>
    </row>
    <row r="472" spans="1:7" x14ac:dyDescent="0.25">
      <c r="A472" s="1" t="str">
        <f t="shared" si="7"/>
        <v>03 Testo+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2522</v>
      </c>
      <c r="D472" s="1" t="s">
        <v>2523</v>
      </c>
      <c r="E472" s="1" t="s">
        <v>2524</v>
      </c>
      <c r="F472" s="1" t="s">
        <v>112</v>
      </c>
      <c r="G472" s="1">
        <v>4950326</v>
      </c>
    </row>
    <row r="473" spans="1:7" x14ac:dyDescent="0.25">
      <c r="A473" s="1" t="str">
        <f t="shared" si="7"/>
        <v>03 Testo+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2525</v>
      </c>
      <c r="D473" s="1" t="s">
        <v>1984</v>
      </c>
      <c r="E473" s="1" t="s">
        <v>2526</v>
      </c>
      <c r="F473" s="1" t="s">
        <v>112</v>
      </c>
      <c r="G473" s="1">
        <v>2966237</v>
      </c>
    </row>
    <row r="474" spans="1:7" x14ac:dyDescent="0.25">
      <c r="A474" s="1" t="str">
        <f t="shared" si="7"/>
        <v>03 Testo+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2527</v>
      </c>
      <c r="D474" s="1" t="s">
        <v>2528</v>
      </c>
      <c r="E474" s="1" t="s">
        <v>2529</v>
      </c>
      <c r="F474" s="1" t="s">
        <v>112</v>
      </c>
      <c r="G474" s="1">
        <v>3352872</v>
      </c>
    </row>
    <row r="475" spans="1:7" x14ac:dyDescent="0.25">
      <c r="A475" s="1" t="str">
        <f t="shared" si="7"/>
        <v>03 Testo+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2530</v>
      </c>
      <c r="D475" s="1" t="s">
        <v>2531</v>
      </c>
      <c r="E475" s="1" t="s">
        <v>2532</v>
      </c>
      <c r="F475" s="1" t="s">
        <v>112</v>
      </c>
      <c r="G475" s="1">
        <v>3737819</v>
      </c>
    </row>
    <row r="476" spans="1:7" x14ac:dyDescent="0.25">
      <c r="A476" s="1" t="str">
        <f t="shared" si="7"/>
        <v>03 Testo+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2533</v>
      </c>
    </row>
    <row r="477" spans="1:7" x14ac:dyDescent="0.25">
      <c r="A477" s="1" t="str">
        <f t="shared" si="7"/>
        <v>03 Testo+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2534</v>
      </c>
    </row>
    <row r="478" spans="1:7" x14ac:dyDescent="0.25">
      <c r="A478" s="1" t="str">
        <f t="shared" si="7"/>
        <v>03 Testo+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2535</v>
      </c>
    </row>
    <row r="479" spans="1:7" x14ac:dyDescent="0.25">
      <c r="A479" s="1" t="str">
        <f t="shared" si="7"/>
        <v>03 Testo+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2536</v>
      </c>
      <c r="D479" s="1" t="s">
        <v>2537</v>
      </c>
      <c r="E479" s="1" t="s">
        <v>2538</v>
      </c>
      <c r="F479" s="1" t="s">
        <v>112</v>
      </c>
      <c r="G479" s="1">
        <v>2820214</v>
      </c>
    </row>
    <row r="480" spans="1:7" x14ac:dyDescent="0.25">
      <c r="A480" s="1" t="str">
        <f t="shared" si="7"/>
        <v>03 Testo+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2539</v>
      </c>
      <c r="D480" s="1" t="s">
        <v>2540</v>
      </c>
      <c r="E480" s="1" t="s">
        <v>2541</v>
      </c>
      <c r="F480" s="1" t="s">
        <v>112</v>
      </c>
      <c r="G480" s="1">
        <v>3030629</v>
      </c>
    </row>
    <row r="481" spans="1:10" x14ac:dyDescent="0.25">
      <c r="A481" s="1" t="str">
        <f t="shared" si="7"/>
        <v>03 Testo+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2542</v>
      </c>
      <c r="D481" s="1" t="s">
        <v>2543</v>
      </c>
      <c r="E481" s="1" t="s">
        <v>2544</v>
      </c>
      <c r="F481" s="1" t="s">
        <v>112</v>
      </c>
      <c r="G481" s="1">
        <v>2703867</v>
      </c>
    </row>
    <row r="482" spans="1:10" x14ac:dyDescent="0.25">
      <c r="A482" s="1" t="str">
        <f t="shared" si="7"/>
        <v>03 Testo+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2545</v>
      </c>
      <c r="D482" s="1" t="s">
        <v>2546</v>
      </c>
      <c r="E482" s="1" t="s">
        <v>2547</v>
      </c>
      <c r="F482" s="1" t="s">
        <v>112</v>
      </c>
      <c r="G482" s="1">
        <v>3741215</v>
      </c>
    </row>
    <row r="483" spans="1:10" x14ac:dyDescent="0.25">
      <c r="A483" s="1" t="str">
        <f t="shared" si="7"/>
        <v>03 Testo+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2548</v>
      </c>
      <c r="D483" s="1" t="s">
        <v>2549</v>
      </c>
      <c r="E483" s="1" t="s">
        <v>2550</v>
      </c>
      <c r="F483" s="1" t="s">
        <v>112</v>
      </c>
      <c r="G483" s="1">
        <v>3459074</v>
      </c>
    </row>
    <row r="484" spans="1:10" x14ac:dyDescent="0.25">
      <c r="A484" s="1" t="str">
        <f t="shared" si="7"/>
        <v>03 Testo+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2551</v>
      </c>
      <c r="D484" s="1" t="s">
        <v>2552</v>
      </c>
      <c r="E484" s="1" t="s">
        <v>2553</v>
      </c>
      <c r="F484" s="1" t="s">
        <v>112</v>
      </c>
      <c r="G484" s="1">
        <v>3101359</v>
      </c>
    </row>
    <row r="485" spans="1:10" x14ac:dyDescent="0.25">
      <c r="A485" s="1" t="str">
        <f t="shared" si="7"/>
        <v>03 Testo+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2554</v>
      </c>
      <c r="D485" s="1" t="s">
        <v>2555</v>
      </c>
      <c r="E485" s="1" t="s">
        <v>2556</v>
      </c>
      <c r="F485" s="1" t="s">
        <v>112</v>
      </c>
      <c r="G485" s="1">
        <v>4450437</v>
      </c>
    </row>
    <row r="486" spans="1:10" x14ac:dyDescent="0.25">
      <c r="A486" s="1" t="str">
        <f t="shared" si="7"/>
        <v>03 Testo+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2557</v>
      </c>
      <c r="D486" s="1" t="s">
        <v>2558</v>
      </c>
      <c r="E486" s="1" t="s">
        <v>2559</v>
      </c>
      <c r="F486" s="1" t="s">
        <v>112</v>
      </c>
      <c r="G486" s="1">
        <v>4194296</v>
      </c>
    </row>
    <row r="487" spans="1:10" x14ac:dyDescent="0.25">
      <c r="A487" s="1" t="str">
        <f t="shared" si="7"/>
        <v>03 Testo+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2560</v>
      </c>
      <c r="D487" s="1" t="s">
        <v>2561</v>
      </c>
      <c r="E487" s="1" t="s">
        <v>2562</v>
      </c>
      <c r="F487" s="1" t="s">
        <v>112</v>
      </c>
      <c r="G487" s="1">
        <v>4167821</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223</v>
      </c>
      <c r="D489" s="1" t="s">
        <v>112</v>
      </c>
      <c r="E489" s="1" t="s">
        <v>224</v>
      </c>
      <c r="F489" s="1" t="s">
        <v>225</v>
      </c>
      <c r="G489" s="1" t="s">
        <v>226</v>
      </c>
      <c r="H489" s="1" t="s">
        <v>227</v>
      </c>
      <c r="I489" s="1" t="s">
        <v>228</v>
      </c>
      <c r="J489" s="1" t="s">
        <v>229</v>
      </c>
    </row>
    <row r="490" spans="1:10" x14ac:dyDescent="0.25">
      <c r="A490" s="1" t="str">
        <f t="shared" si="7"/>
        <v>03 Testo+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2563</v>
      </c>
      <c r="D490" s="1" t="s">
        <v>112</v>
      </c>
      <c r="E490" s="1" t="s">
        <v>2564</v>
      </c>
      <c r="F490" s="1" t="s">
        <v>2565</v>
      </c>
      <c r="G490" s="1" t="s">
        <v>2566</v>
      </c>
      <c r="H490" s="1" t="s">
        <v>2567</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235</v>
      </c>
      <c r="D496" s="1" t="s">
        <v>110</v>
      </c>
      <c r="E496" s="1" t="s">
        <v>111</v>
      </c>
      <c r="F496" s="1" t="s">
        <v>112</v>
      </c>
      <c r="G496" s="1" t="s">
        <v>113</v>
      </c>
    </row>
    <row r="497" spans="1:7" x14ac:dyDescent="0.25">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2568</v>
      </c>
      <c r="D497" s="1" t="s">
        <v>2569</v>
      </c>
      <c r="E497" s="1" t="s">
        <v>2570</v>
      </c>
      <c r="F497" s="1" t="s">
        <v>112</v>
      </c>
      <c r="G497" s="1">
        <v>289754</v>
      </c>
    </row>
    <row r="498" spans="1:7" x14ac:dyDescent="0.25">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2571</v>
      </c>
      <c r="D498" s="1" t="s">
        <v>933</v>
      </c>
      <c r="E498" s="1" t="s">
        <v>2572</v>
      </c>
      <c r="F498" s="1" t="s">
        <v>112</v>
      </c>
      <c r="G498" s="1">
        <v>57514</v>
      </c>
    </row>
    <row r="499" spans="1:7" x14ac:dyDescent="0.25">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2573</v>
      </c>
      <c r="D499" s="1" t="s">
        <v>2574</v>
      </c>
      <c r="E499" s="1" t="s">
        <v>2575</v>
      </c>
      <c r="F499" s="1" t="s">
        <v>112</v>
      </c>
      <c r="G499" s="1">
        <v>226638</v>
      </c>
    </row>
    <row r="500" spans="1:7" x14ac:dyDescent="0.25">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2576</v>
      </c>
      <c r="D500" s="1" t="s">
        <v>246</v>
      </c>
      <c r="E500" s="1" t="s">
        <v>2577</v>
      </c>
      <c r="F500" s="1" t="s">
        <v>112</v>
      </c>
      <c r="G500" s="1">
        <v>29914</v>
      </c>
    </row>
    <row r="501" spans="1:7" x14ac:dyDescent="0.25">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2578</v>
      </c>
    </row>
    <row r="502" spans="1:7" x14ac:dyDescent="0.25">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2579</v>
      </c>
      <c r="D502" s="1" t="s">
        <v>764</v>
      </c>
      <c r="E502" s="1" t="s">
        <v>2580</v>
      </c>
      <c r="F502" s="1" t="s">
        <v>112</v>
      </c>
      <c r="G502" s="1">
        <v>24485</v>
      </c>
    </row>
    <row r="503" spans="1:7" x14ac:dyDescent="0.25">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2581</v>
      </c>
      <c r="D503" s="1" t="s">
        <v>1031</v>
      </c>
      <c r="E503" s="1" t="s">
        <v>2582</v>
      </c>
      <c r="F503" s="1" t="s">
        <v>112</v>
      </c>
      <c r="G503" s="1">
        <v>163154</v>
      </c>
    </row>
    <row r="504" spans="1:7" x14ac:dyDescent="0.25">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2583</v>
      </c>
    </row>
    <row r="505" spans="1:7" x14ac:dyDescent="0.25">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2584</v>
      </c>
      <c r="D505" s="1" t="s">
        <v>1692</v>
      </c>
      <c r="E505" s="1" t="s">
        <v>2585</v>
      </c>
      <c r="F505" s="1" t="s">
        <v>112</v>
      </c>
      <c r="G505" s="1">
        <v>366800</v>
      </c>
    </row>
    <row r="506" spans="1:7" x14ac:dyDescent="0.25">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2586</v>
      </c>
      <c r="D506" s="1" t="s">
        <v>713</v>
      </c>
      <c r="E506" s="1" t="s">
        <v>2587</v>
      </c>
      <c r="F506" s="1" t="s">
        <v>112</v>
      </c>
      <c r="G506" s="1">
        <v>529219</v>
      </c>
    </row>
    <row r="507" spans="1:7" x14ac:dyDescent="0.25">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2588</v>
      </c>
      <c r="D507" s="1" t="s">
        <v>1849</v>
      </c>
      <c r="E507" s="1">
        <v>69</v>
      </c>
      <c r="F507" s="1" t="s">
        <v>112</v>
      </c>
      <c r="G507" s="1">
        <v>268643</v>
      </c>
    </row>
    <row r="508" spans="1:7" x14ac:dyDescent="0.25">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2589</v>
      </c>
      <c r="D508" s="1" t="s">
        <v>702</v>
      </c>
      <c r="E508" s="1" t="s">
        <v>2590</v>
      </c>
      <c r="F508" s="1" t="s">
        <v>112</v>
      </c>
      <c r="G508" s="1">
        <v>9669</v>
      </c>
    </row>
    <row r="509" spans="1:7" x14ac:dyDescent="0.25">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2591</v>
      </c>
      <c r="D509" s="1" t="s">
        <v>282</v>
      </c>
      <c r="E509" s="1" t="s">
        <v>2592</v>
      </c>
      <c r="F509" s="1" t="s">
        <v>112</v>
      </c>
      <c r="G509" s="1">
        <v>55221</v>
      </c>
    </row>
    <row r="510" spans="1:7" x14ac:dyDescent="0.25">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2593</v>
      </c>
      <c r="D510" s="1" t="s">
        <v>213</v>
      </c>
      <c r="E510" s="1" t="s">
        <v>2594</v>
      </c>
      <c r="F510" s="1" t="s">
        <v>112</v>
      </c>
      <c r="G510" s="1">
        <v>32358</v>
      </c>
    </row>
    <row r="511" spans="1:7" x14ac:dyDescent="0.25">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2595</v>
      </c>
      <c r="D511" s="1" t="s">
        <v>1232</v>
      </c>
      <c r="E511" s="1" t="s">
        <v>2596</v>
      </c>
      <c r="F511" s="1" t="s">
        <v>112</v>
      </c>
      <c r="G511" s="1">
        <v>301888</v>
      </c>
    </row>
    <row r="512" spans="1:7" x14ac:dyDescent="0.25">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2597</v>
      </c>
      <c r="D512" s="1" t="s">
        <v>2598</v>
      </c>
      <c r="E512" s="1" t="s">
        <v>2599</v>
      </c>
      <c r="F512" s="1" t="s">
        <v>112</v>
      </c>
      <c r="G512" s="1">
        <v>109750</v>
      </c>
    </row>
    <row r="513" spans="1:10" x14ac:dyDescent="0.25">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2600</v>
      </c>
      <c r="D513" s="1" t="s">
        <v>699</v>
      </c>
      <c r="E513" s="1" t="s">
        <v>2601</v>
      </c>
      <c r="F513" s="1" t="s">
        <v>112</v>
      </c>
      <c r="G513" s="1">
        <v>259364</v>
      </c>
    </row>
    <row r="514" spans="1:10" x14ac:dyDescent="0.25">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2602</v>
      </c>
      <c r="D514" s="1" t="s">
        <v>401</v>
      </c>
      <c r="E514" s="1" t="s">
        <v>2603</v>
      </c>
      <c r="F514" s="1" t="s">
        <v>112</v>
      </c>
      <c r="G514" s="1">
        <v>286791</v>
      </c>
    </row>
    <row r="515" spans="1:10" x14ac:dyDescent="0.25">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2604</v>
      </c>
      <c r="D515" s="1" t="s">
        <v>2114</v>
      </c>
      <c r="E515" s="1" t="s">
        <v>2605</v>
      </c>
      <c r="F515" s="1" t="s">
        <v>112</v>
      </c>
      <c r="G515" s="1">
        <v>69454</v>
      </c>
    </row>
    <row r="516" spans="1:10" x14ac:dyDescent="0.25">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2606</v>
      </c>
      <c r="D516" s="1" t="s">
        <v>273</v>
      </c>
      <c r="E516" s="1" t="s">
        <v>2607</v>
      </c>
      <c r="F516" s="1" t="s">
        <v>112</v>
      </c>
      <c r="G516" s="1">
        <v>208555</v>
      </c>
    </row>
    <row r="517" spans="1:10" x14ac:dyDescent="0.25">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2608</v>
      </c>
      <c r="D517" s="1" t="s">
        <v>880</v>
      </c>
      <c r="E517" s="1" t="s">
        <v>2609</v>
      </c>
      <c r="F517" s="1" t="s">
        <v>112</v>
      </c>
      <c r="G517" s="1">
        <v>101487</v>
      </c>
    </row>
    <row r="518" spans="1:10" x14ac:dyDescent="0.25">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2610</v>
      </c>
      <c r="D518" s="1" t="s">
        <v>2611</v>
      </c>
      <c r="E518" s="1" t="s">
        <v>2612</v>
      </c>
      <c r="F518" s="1" t="s">
        <v>112</v>
      </c>
      <c r="G518" s="1">
        <v>465086</v>
      </c>
    </row>
    <row r="519" spans="1:10" x14ac:dyDescent="0.25">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2613</v>
      </c>
      <c r="D519" s="1" t="s">
        <v>2614</v>
      </c>
      <c r="E519" s="1" t="s">
        <v>2615</v>
      </c>
      <c r="F519" s="1" t="s">
        <v>112</v>
      </c>
      <c r="G519" s="1">
        <v>382114</v>
      </c>
    </row>
    <row r="520" spans="1:10" x14ac:dyDescent="0.25">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2616</v>
      </c>
      <c r="D520" s="1" t="s">
        <v>2114</v>
      </c>
      <c r="E520" s="1" t="s">
        <v>2617</v>
      </c>
      <c r="F520" s="1" t="s">
        <v>112</v>
      </c>
      <c r="G520" s="1">
        <v>69670</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223</v>
      </c>
      <c r="D522" s="1" t="s">
        <v>112</v>
      </c>
      <c r="E522" s="1" t="s">
        <v>224</v>
      </c>
      <c r="F522" s="1" t="s">
        <v>225</v>
      </c>
      <c r="G522" s="1" t="s">
        <v>226</v>
      </c>
      <c r="H522" s="1" t="s">
        <v>227</v>
      </c>
      <c r="I522" s="1" t="s">
        <v>228</v>
      </c>
      <c r="J522" s="1" t="s">
        <v>229</v>
      </c>
    </row>
    <row r="523" spans="1:10" x14ac:dyDescent="0.25">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2618</v>
      </c>
      <c r="D523" s="1" t="s">
        <v>112</v>
      </c>
      <c r="E523" s="1" t="s">
        <v>2619</v>
      </c>
      <c r="F523" s="1" t="s">
        <v>2620</v>
      </c>
      <c r="G523" s="1" t="s">
        <v>2621</v>
      </c>
      <c r="H523" s="1" t="s">
        <v>2622</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235</v>
      </c>
      <c r="D529" s="1" t="s">
        <v>110</v>
      </c>
      <c r="E529" s="1" t="s">
        <v>111</v>
      </c>
      <c r="F529" s="1" t="s">
        <v>112</v>
      </c>
      <c r="G529" s="1" t="s">
        <v>113</v>
      </c>
    </row>
    <row r="530" spans="1:7" x14ac:dyDescent="0.25">
      <c r="A530" s="1" t="str">
        <f t="shared" si="8"/>
        <v>05 Amantadine 0.001 mg_L dopé</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2623</v>
      </c>
      <c r="D530" s="1" t="s">
        <v>2624</v>
      </c>
      <c r="E530" s="1" t="s">
        <v>2625</v>
      </c>
      <c r="F530" s="1" t="s">
        <v>112</v>
      </c>
      <c r="G530" s="1">
        <v>1839925</v>
      </c>
    </row>
    <row r="531" spans="1:7" x14ac:dyDescent="0.25">
      <c r="A531" s="1" t="str">
        <f t="shared" si="8"/>
        <v>05 Amantadine 0.001 mg_L dopé</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2626</v>
      </c>
      <c r="D531" s="1" t="s">
        <v>2627</v>
      </c>
      <c r="E531" s="1" t="s">
        <v>2628</v>
      </c>
      <c r="F531" s="1" t="s">
        <v>112</v>
      </c>
      <c r="G531" s="1">
        <v>1706577</v>
      </c>
    </row>
    <row r="532" spans="1:7" x14ac:dyDescent="0.25">
      <c r="A532" s="1" t="str">
        <f t="shared" si="8"/>
        <v>05 Amantadine 0.001 mg_L dopé</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2629</v>
      </c>
      <c r="D532" s="1" t="s">
        <v>2630</v>
      </c>
      <c r="E532" s="1" t="s">
        <v>2631</v>
      </c>
      <c r="F532" s="1" t="s">
        <v>112</v>
      </c>
      <c r="G532" s="1">
        <v>1820718</v>
      </c>
    </row>
    <row r="533" spans="1:7" x14ac:dyDescent="0.25">
      <c r="A533" s="1" t="str">
        <f t="shared" si="8"/>
        <v>05 Amantadine 0.001 mg_L dopé</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2632</v>
      </c>
      <c r="D533" s="1" t="s">
        <v>477</v>
      </c>
      <c r="E533" s="1" t="s">
        <v>2633</v>
      </c>
      <c r="F533" s="1" t="s">
        <v>112</v>
      </c>
      <c r="G533" s="1">
        <v>2529595</v>
      </c>
    </row>
    <row r="534" spans="1:7" x14ac:dyDescent="0.25">
      <c r="A534" s="1" t="str">
        <f t="shared" si="8"/>
        <v>05 Amantadine 0.001 mg_L dopé</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2634</v>
      </c>
      <c r="D534" s="1" t="s">
        <v>2635</v>
      </c>
      <c r="E534" s="1" t="s">
        <v>2636</v>
      </c>
      <c r="F534" s="1" t="s">
        <v>112</v>
      </c>
      <c r="G534" s="1">
        <v>2666706</v>
      </c>
    </row>
    <row r="535" spans="1:7" x14ac:dyDescent="0.25">
      <c r="A535" s="1" t="str">
        <f t="shared" si="8"/>
        <v>05 Amantadine 0.001 mg_L dopé</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2637</v>
      </c>
      <c r="D535" s="1" t="s">
        <v>2638</v>
      </c>
      <c r="E535" s="1" t="s">
        <v>2639</v>
      </c>
      <c r="F535" s="1" t="s">
        <v>112</v>
      </c>
      <c r="G535" s="1">
        <v>2617866</v>
      </c>
    </row>
    <row r="536" spans="1:7" x14ac:dyDescent="0.25">
      <c r="A536" s="1" t="str">
        <f t="shared" si="8"/>
        <v>05 Amantadine 0.001 mg_L dopé</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2640</v>
      </c>
      <c r="D536" s="1" t="s">
        <v>980</v>
      </c>
      <c r="E536" s="1" t="s">
        <v>2641</v>
      </c>
      <c r="F536" s="1" t="s">
        <v>112</v>
      </c>
      <c r="G536" s="1">
        <v>2166861</v>
      </c>
    </row>
    <row r="537" spans="1:7" x14ac:dyDescent="0.25">
      <c r="A537" s="1" t="str">
        <f t="shared" si="8"/>
        <v>05 Amantadine 0.001 mg_L dopé</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2642</v>
      </c>
      <c r="D537" s="1" t="s">
        <v>2643</v>
      </c>
      <c r="E537" s="1" t="s">
        <v>2644</v>
      </c>
      <c r="F537" s="1" t="s">
        <v>112</v>
      </c>
      <c r="G537" s="1">
        <v>1688386</v>
      </c>
    </row>
    <row r="538" spans="1:7" x14ac:dyDescent="0.25">
      <c r="A538" s="1" t="str">
        <f t="shared" si="8"/>
        <v>05 Amantadine 0.001 mg_L dopé</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2645</v>
      </c>
      <c r="D538" s="1" t="s">
        <v>2646</v>
      </c>
      <c r="E538" s="1" t="s">
        <v>2647</v>
      </c>
      <c r="F538" s="1" t="s">
        <v>112</v>
      </c>
      <c r="G538" s="1">
        <v>1521901</v>
      </c>
    </row>
    <row r="539" spans="1:7" x14ac:dyDescent="0.25">
      <c r="A539" s="1" t="str">
        <f t="shared" si="8"/>
        <v>05 Amantadine 0.001 mg_L dopé</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2648</v>
      </c>
      <c r="D539" s="1" t="s">
        <v>2649</v>
      </c>
      <c r="E539" s="1" t="s">
        <v>2650</v>
      </c>
      <c r="F539" s="1" t="s">
        <v>112</v>
      </c>
      <c r="G539" s="1">
        <v>2604585</v>
      </c>
    </row>
    <row r="540" spans="1:7" x14ac:dyDescent="0.25">
      <c r="A540" s="1" t="str">
        <f t="shared" si="8"/>
        <v>05 Amantadine 0.001 mg_L dopé</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2651</v>
      </c>
    </row>
    <row r="541" spans="1:7" x14ac:dyDescent="0.25">
      <c r="A541" s="1" t="str">
        <f t="shared" si="8"/>
        <v>05 Amantadine 0.001 mg_L dopé</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2652</v>
      </c>
      <c r="D541" s="1" t="s">
        <v>2653</v>
      </c>
      <c r="E541" s="1" t="s">
        <v>2654</v>
      </c>
      <c r="F541" s="1" t="s">
        <v>112</v>
      </c>
      <c r="G541" s="1">
        <v>2637484</v>
      </c>
    </row>
    <row r="542" spans="1:7" x14ac:dyDescent="0.25">
      <c r="A542" s="1" t="str">
        <f t="shared" si="8"/>
        <v>05 Amantadine 0.001 mg_L dopé</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2655</v>
      </c>
      <c r="D542" s="1" t="s">
        <v>2656</v>
      </c>
      <c r="E542" s="1" t="s">
        <v>2657</v>
      </c>
      <c r="F542" s="1" t="s">
        <v>112</v>
      </c>
      <c r="G542" s="1">
        <v>4516517</v>
      </c>
    </row>
    <row r="543" spans="1:7" x14ac:dyDescent="0.25">
      <c r="A543" s="1" t="str">
        <f t="shared" si="8"/>
        <v>05 Amantadine 0.001 mg_L dopé</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2658</v>
      </c>
      <c r="D543" s="1" t="s">
        <v>2659</v>
      </c>
      <c r="E543" s="1" t="s">
        <v>2660</v>
      </c>
      <c r="F543" s="1" t="s">
        <v>112</v>
      </c>
      <c r="G543" s="1">
        <v>4632756</v>
      </c>
    </row>
    <row r="544" spans="1:7" x14ac:dyDescent="0.25">
      <c r="A544" s="1" t="str">
        <f t="shared" si="8"/>
        <v>05 Amantadine 0.001 mg_L dopé</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2661</v>
      </c>
      <c r="D544" s="1" t="s">
        <v>2662</v>
      </c>
      <c r="E544" s="1" t="s">
        <v>2663</v>
      </c>
      <c r="F544" s="1" t="s">
        <v>112</v>
      </c>
      <c r="G544" s="1">
        <v>4539466</v>
      </c>
    </row>
    <row r="545" spans="1:10" x14ac:dyDescent="0.25">
      <c r="A545" s="1" t="str">
        <f t="shared" si="8"/>
        <v>05 Amantadine 0.001 mg_L dopé</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2664</v>
      </c>
      <c r="D545" s="1" t="s">
        <v>2665</v>
      </c>
      <c r="E545" s="1" t="s">
        <v>2666</v>
      </c>
      <c r="F545" s="1" t="s">
        <v>112</v>
      </c>
      <c r="G545" s="1">
        <v>2020665</v>
      </c>
    </row>
    <row r="546" spans="1:10" x14ac:dyDescent="0.25">
      <c r="A546" s="1" t="str">
        <f t="shared" si="8"/>
        <v>05 Amantadine 0.001 mg_L dopé</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2667</v>
      </c>
      <c r="D546" s="1" t="s">
        <v>1257</v>
      </c>
      <c r="E546" s="1" t="s">
        <v>2668</v>
      </c>
      <c r="F546" s="1" t="s">
        <v>112</v>
      </c>
      <c r="G546" s="1">
        <v>1230979</v>
      </c>
    </row>
    <row r="547" spans="1:10" x14ac:dyDescent="0.25">
      <c r="A547" s="1" t="str">
        <f t="shared" si="8"/>
        <v>05 Amantadine 0.001 mg_L dopé</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2669</v>
      </c>
      <c r="D547" s="1" t="s">
        <v>2670</v>
      </c>
      <c r="E547" s="1" t="s">
        <v>2671</v>
      </c>
      <c r="F547" s="1" t="s">
        <v>112</v>
      </c>
      <c r="G547" s="1">
        <v>1698942</v>
      </c>
    </row>
    <row r="548" spans="1:10" x14ac:dyDescent="0.25">
      <c r="A548" s="1" t="str">
        <f t="shared" si="8"/>
        <v>05 Amantadine 0.001 mg_L dopé</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2672</v>
      </c>
      <c r="D548" s="1" t="s">
        <v>2673</v>
      </c>
      <c r="E548" s="1" t="s">
        <v>2674</v>
      </c>
      <c r="F548" s="1" t="s">
        <v>112</v>
      </c>
      <c r="G548" s="1">
        <v>3237671</v>
      </c>
    </row>
    <row r="549" spans="1:10" x14ac:dyDescent="0.25">
      <c r="A549" s="1" t="str">
        <f t="shared" si="8"/>
        <v>05 Amantadine 0.001 mg_L dopé</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2675</v>
      </c>
      <c r="D549" s="1" t="s">
        <v>2676</v>
      </c>
      <c r="E549" s="1" t="s">
        <v>2677</v>
      </c>
      <c r="F549" s="1" t="s">
        <v>112</v>
      </c>
      <c r="G549" s="1">
        <v>3265249</v>
      </c>
    </row>
    <row r="550" spans="1:10" x14ac:dyDescent="0.25">
      <c r="A550" s="1" t="str">
        <f t="shared" si="8"/>
        <v>05 Amantadine 0.001 mg_L dopé</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2678</v>
      </c>
      <c r="D550" s="1" t="s">
        <v>2679</v>
      </c>
      <c r="E550" s="1" t="s">
        <v>2680</v>
      </c>
      <c r="F550" s="1" t="s">
        <v>112</v>
      </c>
      <c r="G550" s="1">
        <v>3378763</v>
      </c>
    </row>
    <row r="551" spans="1:10" x14ac:dyDescent="0.25">
      <c r="A551" s="1" t="str">
        <f t="shared" si="8"/>
        <v>05 Amantadine 0.001 mg_L dopé</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2681</v>
      </c>
      <c r="D551" s="1" t="s">
        <v>2682</v>
      </c>
      <c r="E551" s="1" t="s">
        <v>2683</v>
      </c>
      <c r="F551" s="1" t="s">
        <v>112</v>
      </c>
      <c r="G551" s="1">
        <v>1726066</v>
      </c>
    </row>
    <row r="552" spans="1:10" x14ac:dyDescent="0.25">
      <c r="A552" s="1" t="str">
        <f t="shared" si="8"/>
        <v>05 Amantadine 0.001 mg_L dopé</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2684</v>
      </c>
      <c r="D552" s="1" t="s">
        <v>2685</v>
      </c>
      <c r="E552" s="1" t="s">
        <v>2686</v>
      </c>
      <c r="F552" s="1" t="s">
        <v>112</v>
      </c>
      <c r="G552" s="1">
        <v>1747220</v>
      </c>
    </row>
    <row r="553" spans="1:10" x14ac:dyDescent="0.25">
      <c r="A553" s="1" t="str">
        <f t="shared" si="8"/>
        <v>05 Amantadine 0.001 mg_L dopé</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2687</v>
      </c>
      <c r="D553" s="1" t="s">
        <v>2421</v>
      </c>
      <c r="E553" s="1" t="s">
        <v>2688</v>
      </c>
      <c r="F553" s="1" t="s">
        <v>112</v>
      </c>
      <c r="G553" s="1">
        <v>1684277</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223</v>
      </c>
      <c r="D555" s="1" t="s">
        <v>112</v>
      </c>
      <c r="E555" s="1" t="s">
        <v>224</v>
      </c>
      <c r="F555" s="1" t="s">
        <v>225</v>
      </c>
      <c r="G555" s="1" t="s">
        <v>226</v>
      </c>
      <c r="H555" s="1" t="s">
        <v>227</v>
      </c>
      <c r="I555" s="1" t="s">
        <v>228</v>
      </c>
      <c r="J555" s="1" t="s">
        <v>229</v>
      </c>
    </row>
    <row r="556" spans="1:10" x14ac:dyDescent="0.25">
      <c r="A556" s="1" t="str">
        <f t="shared" si="8"/>
        <v>05 Amantadine 0.001 mg_L dopé</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2689</v>
      </c>
      <c r="D556" s="1" t="s">
        <v>112</v>
      </c>
      <c r="E556" s="1" t="s">
        <v>2690</v>
      </c>
      <c r="F556" s="1" t="s">
        <v>2691</v>
      </c>
      <c r="G556" s="1" t="s">
        <v>2692</v>
      </c>
      <c r="H556" s="1" t="s">
        <v>2693</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235</v>
      </c>
      <c r="D562" s="1" t="s">
        <v>110</v>
      </c>
      <c r="E562" s="1" t="s">
        <v>111</v>
      </c>
      <c r="F562" s="1" t="s">
        <v>112</v>
      </c>
      <c r="G562" s="1" t="s">
        <v>113</v>
      </c>
    </row>
    <row r="563" spans="1:7" x14ac:dyDescent="0.25">
      <c r="A563" s="1" t="str">
        <f t="shared" si="8"/>
        <v>06  Amantadine 0.01 mg_LLdopé</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2694</v>
      </c>
    </row>
    <row r="564" spans="1:7" x14ac:dyDescent="0.25">
      <c r="A564" s="1" t="str">
        <f t="shared" si="8"/>
        <v>06  Amantadine 0.01 mg_LLdopé</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2695</v>
      </c>
      <c r="D564" s="1" t="s">
        <v>175</v>
      </c>
      <c r="E564" s="1" t="s">
        <v>2696</v>
      </c>
      <c r="F564" s="1" t="s">
        <v>112</v>
      </c>
      <c r="G564" s="1">
        <v>15141</v>
      </c>
    </row>
    <row r="565" spans="1:7" x14ac:dyDescent="0.25">
      <c r="A565" s="1" t="str">
        <f t="shared" si="8"/>
        <v>06  Amantadine 0.01 mg_LLdopé</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2697</v>
      </c>
      <c r="D565" s="1" t="s">
        <v>688</v>
      </c>
      <c r="E565" s="1" t="s">
        <v>2698</v>
      </c>
      <c r="F565" s="1" t="s">
        <v>112</v>
      </c>
      <c r="G565" s="1">
        <v>35841</v>
      </c>
    </row>
    <row r="566" spans="1:7" x14ac:dyDescent="0.25">
      <c r="A566" s="1" t="str">
        <f t="shared" si="8"/>
        <v>06  Amantadine 0.01 mg_LLdopé</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2699</v>
      </c>
      <c r="D566" s="1" t="s">
        <v>2700</v>
      </c>
      <c r="E566" s="1" t="s">
        <v>2701</v>
      </c>
      <c r="F566" s="1" t="s">
        <v>112</v>
      </c>
      <c r="G566" s="1">
        <v>3173084</v>
      </c>
    </row>
    <row r="567" spans="1:7" x14ac:dyDescent="0.25">
      <c r="A567" s="1" t="str">
        <f t="shared" si="8"/>
        <v>06  Amantadine 0.01 mg_LLdopé</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2702</v>
      </c>
      <c r="D567" s="1" t="s">
        <v>2507</v>
      </c>
      <c r="E567" s="1" t="s">
        <v>2703</v>
      </c>
      <c r="F567" s="1" t="s">
        <v>112</v>
      </c>
      <c r="G567" s="1">
        <v>2891203</v>
      </c>
    </row>
    <row r="568" spans="1:7" x14ac:dyDescent="0.25">
      <c r="A568" s="1" t="str">
        <f t="shared" si="8"/>
        <v>06  Amantadine 0.01 mg_LLdopé</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2704</v>
      </c>
      <c r="D568" s="1" t="s">
        <v>2705</v>
      </c>
      <c r="E568" s="1" t="s">
        <v>2706</v>
      </c>
      <c r="F568" s="1" t="s">
        <v>112</v>
      </c>
      <c r="G568" s="1">
        <v>2356685</v>
      </c>
    </row>
    <row r="569" spans="1:7" x14ac:dyDescent="0.25">
      <c r="A569" s="1" t="str">
        <f t="shared" si="8"/>
        <v>06  Amantadine 0.01 mg_LLdopé</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2707</v>
      </c>
      <c r="D569" s="1" t="s">
        <v>2708</v>
      </c>
      <c r="E569" s="1" t="s">
        <v>2709</v>
      </c>
      <c r="F569" s="1" t="s">
        <v>112</v>
      </c>
      <c r="G569" s="1">
        <v>2577051</v>
      </c>
    </row>
    <row r="570" spans="1:7" x14ac:dyDescent="0.25">
      <c r="A570" s="1" t="str">
        <f t="shared" si="8"/>
        <v>06  Amantadine 0.01 mg_LLdopé</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2710</v>
      </c>
      <c r="D570" s="1" t="s">
        <v>2711</v>
      </c>
      <c r="E570" s="1" t="s">
        <v>2712</v>
      </c>
      <c r="F570" s="1" t="s">
        <v>112</v>
      </c>
      <c r="G570" s="1">
        <v>3237541</v>
      </c>
    </row>
    <row r="571" spans="1:7" x14ac:dyDescent="0.25">
      <c r="A571" s="1" t="str">
        <f t="shared" si="8"/>
        <v>06  Amantadine 0.01 mg_LLdopé</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2713</v>
      </c>
      <c r="D571" s="1" t="s">
        <v>2714</v>
      </c>
      <c r="E571" s="1" t="s">
        <v>2715</v>
      </c>
      <c r="F571" s="1" t="s">
        <v>112</v>
      </c>
      <c r="G571" s="1">
        <v>3013542</v>
      </c>
    </row>
    <row r="572" spans="1:7" x14ac:dyDescent="0.25">
      <c r="A572" s="1" t="str">
        <f t="shared" si="8"/>
        <v>06  Amantadine 0.01 mg_LLdopé</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2716</v>
      </c>
      <c r="D572" s="1" t="s">
        <v>2717</v>
      </c>
      <c r="E572" s="1" t="s">
        <v>2718</v>
      </c>
      <c r="F572" s="1" t="s">
        <v>112</v>
      </c>
      <c r="G572" s="1">
        <v>2066823</v>
      </c>
    </row>
    <row r="573" spans="1:7" x14ac:dyDescent="0.25">
      <c r="A573" s="1" t="str">
        <f t="shared" si="8"/>
        <v>06  Amantadine 0.01 mg_LLdopé</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2719</v>
      </c>
      <c r="D573" s="1" t="s">
        <v>2720</v>
      </c>
      <c r="E573" s="1" t="s">
        <v>2721</v>
      </c>
      <c r="F573" s="1" t="s">
        <v>112</v>
      </c>
      <c r="G573" s="1">
        <v>1777826</v>
      </c>
    </row>
    <row r="574" spans="1:7" x14ac:dyDescent="0.25">
      <c r="A574" s="1" t="str">
        <f t="shared" si="8"/>
        <v>06  Amantadine 0.01 mg_LLdopé</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2722</v>
      </c>
      <c r="D574" s="1" t="s">
        <v>2387</v>
      </c>
      <c r="E574" s="1" t="s">
        <v>2723</v>
      </c>
      <c r="F574" s="1" t="s">
        <v>112</v>
      </c>
      <c r="G574" s="1">
        <v>1723124</v>
      </c>
    </row>
    <row r="575" spans="1:7" x14ac:dyDescent="0.25">
      <c r="A575" s="1" t="str">
        <f t="shared" si="8"/>
        <v>06  Amantadine 0.01 mg_LLdopé</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2724</v>
      </c>
      <c r="D575" s="1" t="s">
        <v>2725</v>
      </c>
      <c r="E575" s="1" t="s">
        <v>2726</v>
      </c>
      <c r="F575" s="1" t="s">
        <v>112</v>
      </c>
      <c r="G575" s="1">
        <v>2242393</v>
      </c>
    </row>
    <row r="576" spans="1:7" x14ac:dyDescent="0.25">
      <c r="A576" s="1" t="str">
        <f t="shared" si="8"/>
        <v>06  Amantadine 0.01 mg_LLdopé</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2727</v>
      </c>
      <c r="D576" s="1" t="s">
        <v>2728</v>
      </c>
      <c r="E576" s="1" t="s">
        <v>2729</v>
      </c>
      <c r="F576" s="1" t="s">
        <v>112</v>
      </c>
      <c r="G576" s="1">
        <v>2263936</v>
      </c>
    </row>
    <row r="577" spans="1:10" x14ac:dyDescent="0.25">
      <c r="A577" s="1" t="str">
        <f t="shared" si="8"/>
        <v>06  Amantadine 0.01 mg_LLdopé</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2730</v>
      </c>
      <c r="D577" s="1" t="s">
        <v>2731</v>
      </c>
      <c r="E577" s="1" t="s">
        <v>2732</v>
      </c>
      <c r="F577" s="1" t="s">
        <v>112</v>
      </c>
      <c r="G577" s="1">
        <v>2461331</v>
      </c>
    </row>
    <row r="578" spans="1:10" x14ac:dyDescent="0.25">
      <c r="A578" s="1" t="str">
        <f t="shared" ref="A578:A641" si="9">IFERROR(LEFT(RIGHT(C578,LEN(C578)-SEARCH("@",C578)),SEARCH("/",RIGHT(C578,LEN(C578)-SEARCH("@",C578)-1))),"")</f>
        <v>06  Amantadine 0.01 mg_LLdopé</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2733</v>
      </c>
      <c r="D578" s="1" t="s">
        <v>2734</v>
      </c>
      <c r="E578" s="1" t="s">
        <v>2735</v>
      </c>
      <c r="F578" s="1" t="s">
        <v>112</v>
      </c>
      <c r="G578" s="1">
        <v>4158347</v>
      </c>
    </row>
    <row r="579" spans="1:10" x14ac:dyDescent="0.25">
      <c r="A579" s="1" t="str">
        <f t="shared" si="9"/>
        <v>06  Amantadine 0.01 mg_LLdopé</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2736</v>
      </c>
      <c r="D579" s="1" t="s">
        <v>2737</v>
      </c>
      <c r="E579" s="1" t="s">
        <v>2738</v>
      </c>
      <c r="F579" s="1" t="s">
        <v>112</v>
      </c>
      <c r="G579" s="1">
        <v>4724142</v>
      </c>
    </row>
    <row r="580" spans="1:10" x14ac:dyDescent="0.25">
      <c r="A580" s="1" t="str">
        <f t="shared" si="9"/>
        <v>06  Amantadine 0.01 mg_LLdopé</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2739</v>
      </c>
      <c r="D580" s="1" t="s">
        <v>2740</v>
      </c>
      <c r="E580" s="1" t="s">
        <v>2741</v>
      </c>
      <c r="F580" s="1" t="s">
        <v>112</v>
      </c>
      <c r="G580" s="1">
        <v>4448188</v>
      </c>
    </row>
    <row r="581" spans="1:10" x14ac:dyDescent="0.25">
      <c r="A581" s="1" t="str">
        <f t="shared" si="9"/>
        <v>06  Amantadine 0.01 mg_LLdopé</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2742</v>
      </c>
      <c r="D581" s="1" t="s">
        <v>2743</v>
      </c>
      <c r="E581" s="1" t="s">
        <v>2744</v>
      </c>
      <c r="F581" s="1" t="s">
        <v>112</v>
      </c>
      <c r="G581" s="1">
        <v>969041</v>
      </c>
    </row>
    <row r="582" spans="1:10" x14ac:dyDescent="0.25">
      <c r="A582" s="1" t="str">
        <f t="shared" si="9"/>
        <v>06  Amantadine 0.01 mg_LLdopé</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2745</v>
      </c>
      <c r="D582" s="1" t="s">
        <v>2746</v>
      </c>
      <c r="E582" s="1" t="s">
        <v>2747</v>
      </c>
      <c r="F582" s="1" t="s">
        <v>112</v>
      </c>
      <c r="G582" s="1">
        <v>610417</v>
      </c>
    </row>
    <row r="583" spans="1:10" x14ac:dyDescent="0.25">
      <c r="A583" s="1" t="str">
        <f t="shared" si="9"/>
        <v>06  Amantadine 0.01 mg_LLdopé</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2748</v>
      </c>
      <c r="D583" s="1" t="s">
        <v>2749</v>
      </c>
      <c r="E583" s="1" t="s">
        <v>2750</v>
      </c>
      <c r="F583" s="1" t="s">
        <v>112</v>
      </c>
      <c r="G583" s="1">
        <v>854597</v>
      </c>
    </row>
    <row r="584" spans="1:10" x14ac:dyDescent="0.25">
      <c r="A584" s="1" t="str">
        <f t="shared" si="9"/>
        <v>06  Amantadine 0.01 mg_LLdopé</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2751</v>
      </c>
      <c r="D584" s="1" t="s">
        <v>2752</v>
      </c>
      <c r="E584" s="1" t="s">
        <v>2753</v>
      </c>
      <c r="F584" s="1" t="s">
        <v>112</v>
      </c>
      <c r="G584" s="1">
        <v>1950043</v>
      </c>
    </row>
    <row r="585" spans="1:10" x14ac:dyDescent="0.25">
      <c r="A585" s="1" t="str">
        <f t="shared" si="9"/>
        <v>06  Amantadine 0.01 mg_LLdopé</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2754</v>
      </c>
      <c r="D585" s="1" t="s">
        <v>2755</v>
      </c>
      <c r="E585" s="1" t="s">
        <v>2756</v>
      </c>
      <c r="F585" s="1" t="s">
        <v>112</v>
      </c>
      <c r="G585" s="1">
        <v>1908406</v>
      </c>
    </row>
    <row r="586" spans="1:10" x14ac:dyDescent="0.25">
      <c r="A586" s="1" t="str">
        <f t="shared" si="9"/>
        <v>06  Amantadine 0.01 mg_LLdopé</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2757</v>
      </c>
      <c r="D586" s="1" t="s">
        <v>2758</v>
      </c>
      <c r="E586" s="1" t="s">
        <v>2759</v>
      </c>
      <c r="F586" s="1" t="s">
        <v>112</v>
      </c>
      <c r="G586" s="1">
        <v>1890777</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223</v>
      </c>
      <c r="D588" s="1" t="s">
        <v>112</v>
      </c>
      <c r="E588" s="1" t="s">
        <v>224</v>
      </c>
      <c r="F588" s="1" t="s">
        <v>225</v>
      </c>
      <c r="G588" s="1" t="s">
        <v>226</v>
      </c>
      <c r="H588" s="1" t="s">
        <v>227</v>
      </c>
      <c r="I588" s="1" t="s">
        <v>228</v>
      </c>
      <c r="J588" s="1" t="s">
        <v>229</v>
      </c>
    </row>
    <row r="589" spans="1:10" x14ac:dyDescent="0.25">
      <c r="A589" s="1" t="str">
        <f t="shared" si="9"/>
        <v>06  Amantadine 0.01 mg_LLdopé</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2760</v>
      </c>
      <c r="D589" s="1" t="s">
        <v>112</v>
      </c>
      <c r="E589" s="1" t="s">
        <v>2761</v>
      </c>
      <c r="F589" s="1" t="s">
        <v>2762</v>
      </c>
      <c r="G589" s="1" t="s">
        <v>2763</v>
      </c>
      <c r="H589" s="1" t="s">
        <v>2764</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235</v>
      </c>
      <c r="D595" s="1" t="s">
        <v>110</v>
      </c>
      <c r="E595" s="1" t="s">
        <v>111</v>
      </c>
      <c r="F595" s="1" t="s">
        <v>112</v>
      </c>
      <c r="G595" s="1" t="s">
        <v>113</v>
      </c>
    </row>
    <row r="596" spans="1:7" x14ac:dyDescent="0.25">
      <c r="A596" s="1" t="str">
        <f t="shared" si="9"/>
        <v>07  Amantadine 0.1 mg_Ldopé</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2765</v>
      </c>
      <c r="D596" s="1" t="s">
        <v>2766</v>
      </c>
      <c r="E596" s="1" t="s">
        <v>2767</v>
      </c>
      <c r="F596" s="1" t="s">
        <v>112</v>
      </c>
      <c r="G596" s="1">
        <v>1599033</v>
      </c>
    </row>
    <row r="597" spans="1:7" x14ac:dyDescent="0.25">
      <c r="A597" s="1" t="str">
        <f t="shared" si="9"/>
        <v>07  Amantadine 0.1 mg_Ldopé</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2768</v>
      </c>
      <c r="D597" s="1" t="s">
        <v>2769</v>
      </c>
      <c r="E597" s="1" t="s">
        <v>2770</v>
      </c>
      <c r="F597" s="1" t="s">
        <v>112</v>
      </c>
      <c r="G597" s="1">
        <v>1578831</v>
      </c>
    </row>
    <row r="598" spans="1:7" x14ac:dyDescent="0.25">
      <c r="A598" s="1" t="str">
        <f t="shared" si="9"/>
        <v>07  Amantadine 0.1 mg_Ldopé</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2771</v>
      </c>
      <c r="D598" s="1" t="s">
        <v>2772</v>
      </c>
      <c r="E598" s="1" t="s">
        <v>2773</v>
      </c>
      <c r="F598" s="1" t="s">
        <v>112</v>
      </c>
      <c r="G598" s="1">
        <v>1837460</v>
      </c>
    </row>
    <row r="599" spans="1:7" x14ac:dyDescent="0.25">
      <c r="A599" s="1" t="str">
        <f t="shared" si="9"/>
        <v>07  Amantadine 0.1 mg_Ldopé</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2774</v>
      </c>
      <c r="D599" s="1" t="s">
        <v>2775</v>
      </c>
      <c r="E599" s="1" t="s">
        <v>2776</v>
      </c>
      <c r="F599" s="1" t="s">
        <v>112</v>
      </c>
      <c r="G599" s="1">
        <v>1906502</v>
      </c>
    </row>
    <row r="600" spans="1:7" x14ac:dyDescent="0.25">
      <c r="A600" s="1" t="str">
        <f t="shared" si="9"/>
        <v>07  Amantadine 0.1 mg_Ldopé</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2777</v>
      </c>
      <c r="D600" s="1" t="s">
        <v>2778</v>
      </c>
      <c r="E600" s="1" t="s">
        <v>2779</v>
      </c>
      <c r="F600" s="1" t="s">
        <v>112</v>
      </c>
      <c r="G600" s="1">
        <v>1858678</v>
      </c>
    </row>
    <row r="601" spans="1:7" x14ac:dyDescent="0.25">
      <c r="A601" s="1" t="str">
        <f t="shared" si="9"/>
        <v>07  Amantadine 0.1 mg_Ldopé</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2780</v>
      </c>
      <c r="D601" s="1" t="s">
        <v>2781</v>
      </c>
      <c r="E601" s="1" t="s">
        <v>2782</v>
      </c>
      <c r="F601" s="1" t="s">
        <v>112</v>
      </c>
      <c r="G601" s="1">
        <v>1735691</v>
      </c>
    </row>
    <row r="602" spans="1:7" x14ac:dyDescent="0.25">
      <c r="A602" s="1" t="str">
        <f t="shared" si="9"/>
        <v>07  Amantadine 0.1 mg_Ldopé</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2783</v>
      </c>
      <c r="D602" s="1" t="s">
        <v>2784</v>
      </c>
      <c r="E602" s="1" t="s">
        <v>2785</v>
      </c>
      <c r="F602" s="1" t="s">
        <v>112</v>
      </c>
      <c r="G602" s="1">
        <v>1956813</v>
      </c>
    </row>
    <row r="603" spans="1:7" x14ac:dyDescent="0.25">
      <c r="A603" s="1" t="str">
        <f t="shared" si="9"/>
        <v>07  Amantadine 0.1 mg_Ldopé</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2786</v>
      </c>
      <c r="D603" s="1" t="s">
        <v>1882</v>
      </c>
      <c r="E603" s="1" t="s">
        <v>2787</v>
      </c>
      <c r="F603" s="1" t="s">
        <v>112</v>
      </c>
      <c r="G603" s="1">
        <v>2012207</v>
      </c>
    </row>
    <row r="604" spans="1:7" x14ac:dyDescent="0.25">
      <c r="A604" s="1" t="str">
        <f t="shared" si="9"/>
        <v>07  Amantadine 0.1 mg_Ldopé</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2788</v>
      </c>
      <c r="D604" s="1" t="s">
        <v>2789</v>
      </c>
      <c r="E604" s="1" t="s">
        <v>2790</v>
      </c>
      <c r="F604" s="1" t="s">
        <v>112</v>
      </c>
      <c r="G604" s="1">
        <v>1671364</v>
      </c>
    </row>
    <row r="605" spans="1:7" x14ac:dyDescent="0.25">
      <c r="A605" s="1" t="str">
        <f t="shared" si="9"/>
        <v>07  Amantadine 0.1 mg_Ldopé</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2791</v>
      </c>
      <c r="D605" s="1" t="s">
        <v>2792</v>
      </c>
      <c r="E605" s="1" t="s">
        <v>2793</v>
      </c>
      <c r="F605" s="1" t="s">
        <v>112</v>
      </c>
      <c r="G605" s="1">
        <v>3330550</v>
      </c>
    </row>
    <row r="606" spans="1:7" x14ac:dyDescent="0.25">
      <c r="A606" s="1" t="str">
        <f t="shared" si="9"/>
        <v>07  Amantadine 0.1 mg_Ldopé</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2794</v>
      </c>
      <c r="D606" s="1" t="s">
        <v>2795</v>
      </c>
      <c r="E606" s="1" t="s">
        <v>2796</v>
      </c>
      <c r="F606" s="1" t="s">
        <v>112</v>
      </c>
      <c r="G606" s="1">
        <v>3173062</v>
      </c>
    </row>
    <row r="607" spans="1:7" x14ac:dyDescent="0.25">
      <c r="A607" s="1" t="str">
        <f t="shared" si="9"/>
        <v>07  Amantadine 0.1 mg_Ldopé</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2797</v>
      </c>
      <c r="D607" s="1" t="s">
        <v>2798</v>
      </c>
      <c r="E607" s="1" t="s">
        <v>2799</v>
      </c>
      <c r="F607" s="1" t="s">
        <v>112</v>
      </c>
      <c r="G607" s="1">
        <v>3590995</v>
      </c>
    </row>
    <row r="608" spans="1:7" x14ac:dyDescent="0.25">
      <c r="A608" s="1" t="str">
        <f t="shared" si="9"/>
        <v>07  Amantadine 0.1 mg_Ldopé</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2800</v>
      </c>
      <c r="D608" s="1" t="s">
        <v>2801</v>
      </c>
      <c r="E608" s="1" t="s">
        <v>2802</v>
      </c>
      <c r="F608" s="1" t="s">
        <v>112</v>
      </c>
      <c r="G608" s="1">
        <v>2973353</v>
      </c>
    </row>
    <row r="609" spans="1:10" x14ac:dyDescent="0.25">
      <c r="A609" s="1" t="str">
        <f t="shared" si="9"/>
        <v>07  Amantadine 0.1 mg_Ldopé</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2803</v>
      </c>
      <c r="D609" s="1" t="s">
        <v>2804</v>
      </c>
      <c r="E609" s="1" t="s">
        <v>2805</v>
      </c>
      <c r="F609" s="1" t="s">
        <v>112</v>
      </c>
      <c r="G609" s="1">
        <v>3025395</v>
      </c>
    </row>
    <row r="610" spans="1:10" x14ac:dyDescent="0.25">
      <c r="A610" s="1" t="str">
        <f t="shared" si="9"/>
        <v>07  Amantadine 0.1 mg_Ldopé</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2806</v>
      </c>
      <c r="D610" s="1" t="s">
        <v>2807</v>
      </c>
      <c r="E610" s="1" t="s">
        <v>2808</v>
      </c>
      <c r="F610" s="1" t="s">
        <v>112</v>
      </c>
      <c r="G610" s="1">
        <v>2681155</v>
      </c>
    </row>
    <row r="611" spans="1:10" x14ac:dyDescent="0.25">
      <c r="A611" s="1" t="str">
        <f t="shared" si="9"/>
        <v>07  Amantadine 0.1 mg_Ldopé</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2809</v>
      </c>
      <c r="D611" s="1" t="s">
        <v>2810</v>
      </c>
      <c r="E611" s="1" t="s">
        <v>2811</v>
      </c>
      <c r="F611" s="1" t="s">
        <v>112</v>
      </c>
      <c r="G611" s="1">
        <v>2466673</v>
      </c>
    </row>
    <row r="612" spans="1:10" x14ac:dyDescent="0.25">
      <c r="A612" s="1" t="str">
        <f t="shared" si="9"/>
        <v>07  Amantadine 0.1 mg_Ldopé</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2812</v>
      </c>
      <c r="D612" s="1" t="s">
        <v>2813</v>
      </c>
      <c r="E612" s="1" t="s">
        <v>2814</v>
      </c>
      <c r="F612" s="1" t="s">
        <v>112</v>
      </c>
      <c r="G612" s="1">
        <v>2173458</v>
      </c>
    </row>
    <row r="613" spans="1:10" x14ac:dyDescent="0.25">
      <c r="A613" s="1" t="str">
        <f t="shared" si="9"/>
        <v>07  Amantadine 0.1 mg_Ldopé</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2815</v>
      </c>
      <c r="D613" s="1" t="s">
        <v>2816</v>
      </c>
      <c r="E613" s="1" t="s">
        <v>2817</v>
      </c>
      <c r="F613" s="1" t="s">
        <v>112</v>
      </c>
      <c r="G613" s="1">
        <v>2108223</v>
      </c>
    </row>
    <row r="614" spans="1:10" x14ac:dyDescent="0.25">
      <c r="A614" s="1" t="str">
        <f t="shared" si="9"/>
        <v>07  Amantadine 0.1 mg_Ldopé</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2818</v>
      </c>
      <c r="D614" s="1" t="s">
        <v>1471</v>
      </c>
      <c r="E614" s="1" t="s">
        <v>2819</v>
      </c>
      <c r="F614" s="1" t="s">
        <v>112</v>
      </c>
      <c r="G614" s="1">
        <v>1868888</v>
      </c>
    </row>
    <row r="615" spans="1:10" x14ac:dyDescent="0.25">
      <c r="A615" s="1" t="str">
        <f t="shared" si="9"/>
        <v>07  Amantadine 0.1 mg_Ldopé</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2820</v>
      </c>
      <c r="D615" s="1" t="s">
        <v>2821</v>
      </c>
      <c r="E615" s="1" t="s">
        <v>2822</v>
      </c>
      <c r="F615" s="1" t="s">
        <v>112</v>
      </c>
      <c r="G615" s="1">
        <v>1840596</v>
      </c>
    </row>
    <row r="616" spans="1:10" x14ac:dyDescent="0.25">
      <c r="A616" s="1" t="str">
        <f t="shared" si="9"/>
        <v>07  Amantadine 0.1 mg_Ldopé</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2823</v>
      </c>
      <c r="D616" s="1" t="s">
        <v>2824</v>
      </c>
      <c r="E616" s="1" t="s">
        <v>2825</v>
      </c>
      <c r="F616" s="1" t="s">
        <v>112</v>
      </c>
      <c r="G616" s="1">
        <v>1606733</v>
      </c>
    </row>
    <row r="617" spans="1:10" x14ac:dyDescent="0.25">
      <c r="A617" s="1" t="str">
        <f t="shared" si="9"/>
        <v>07  Amantadine 0.1 mg_Ldopé</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2826</v>
      </c>
      <c r="D617" s="1" t="s">
        <v>2827</v>
      </c>
      <c r="E617" s="1" t="s">
        <v>2828</v>
      </c>
      <c r="F617" s="1" t="s">
        <v>112</v>
      </c>
      <c r="G617" s="1">
        <v>3202392</v>
      </c>
    </row>
    <row r="618" spans="1:10" x14ac:dyDescent="0.25">
      <c r="A618" s="1" t="str">
        <f t="shared" si="9"/>
        <v>07  Amantadine 0.1 mg_Ldopé</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2829</v>
      </c>
      <c r="D618" s="1" t="s">
        <v>2830</v>
      </c>
      <c r="E618" s="1" t="s">
        <v>2831</v>
      </c>
      <c r="F618" s="1" t="s">
        <v>112</v>
      </c>
      <c r="G618" s="1">
        <v>2886791</v>
      </c>
    </row>
    <row r="619" spans="1:10" x14ac:dyDescent="0.25">
      <c r="A619" s="1" t="str">
        <f t="shared" si="9"/>
        <v>07  Amantadine 0.1 mg_Ldopé</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2832</v>
      </c>
      <c r="D619" s="1" t="s">
        <v>2833</v>
      </c>
      <c r="E619" s="1" t="s">
        <v>2834</v>
      </c>
      <c r="F619" s="1" t="s">
        <v>112</v>
      </c>
      <c r="G619" s="1">
        <v>3181282</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223</v>
      </c>
      <c r="D621" s="1" t="s">
        <v>112</v>
      </c>
      <c r="E621" s="1" t="s">
        <v>224</v>
      </c>
      <c r="F621" s="1" t="s">
        <v>225</v>
      </c>
      <c r="G621" s="1" t="s">
        <v>226</v>
      </c>
      <c r="H621" s="1" t="s">
        <v>227</v>
      </c>
      <c r="I621" s="1" t="s">
        <v>228</v>
      </c>
      <c r="J621" s="1" t="s">
        <v>229</v>
      </c>
    </row>
    <row r="622" spans="1:10" x14ac:dyDescent="0.25">
      <c r="A622" s="1" t="str">
        <f t="shared" si="9"/>
        <v>07  Amantadine 0.1 mg_Ldopé</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2835</v>
      </c>
      <c r="D622" s="1" t="s">
        <v>112</v>
      </c>
      <c r="E622" s="1" t="s">
        <v>2836</v>
      </c>
      <c r="F622" s="1" t="s">
        <v>2837</v>
      </c>
      <c r="G622" s="1" t="s">
        <v>2838</v>
      </c>
      <c r="H622" s="1" t="s">
        <v>2839</v>
      </c>
      <c r="I622" s="1">
        <v>24</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235</v>
      </c>
      <c r="D628" s="1" t="s">
        <v>110</v>
      </c>
      <c r="E628" s="1" t="s">
        <v>111</v>
      </c>
      <c r="F628" s="1" t="s">
        <v>112</v>
      </c>
      <c r="G628" s="1" t="s">
        <v>113</v>
      </c>
    </row>
    <row r="629" spans="1:7" x14ac:dyDescent="0.25">
      <c r="A629" s="1" t="str">
        <f t="shared" si="9"/>
        <v>08  TAmantadine 1 mg_Ldopé</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2840</v>
      </c>
      <c r="D629" s="1" t="s">
        <v>2841</v>
      </c>
      <c r="E629" s="1" t="s">
        <v>2842</v>
      </c>
      <c r="F629" s="1" t="s">
        <v>112</v>
      </c>
      <c r="G629" s="1">
        <v>2416513</v>
      </c>
    </row>
    <row r="630" spans="1:7" x14ac:dyDescent="0.25">
      <c r="A630" s="1" t="str">
        <f t="shared" si="9"/>
        <v>08  TAmantadine 1 mg_Ldopé</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2843</v>
      </c>
      <c r="D630" s="1" t="s">
        <v>1439</v>
      </c>
      <c r="E630" s="1" t="s">
        <v>2844</v>
      </c>
      <c r="F630" s="1" t="s">
        <v>112</v>
      </c>
      <c r="G630" s="1">
        <v>2601882</v>
      </c>
    </row>
    <row r="631" spans="1:7" x14ac:dyDescent="0.25">
      <c r="A631" s="1" t="str">
        <f t="shared" si="9"/>
        <v>08  TAmantadine 1 mg_Ldopé</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2845</v>
      </c>
      <c r="D631" s="1" t="s">
        <v>2846</v>
      </c>
      <c r="E631" s="1" t="s">
        <v>2847</v>
      </c>
      <c r="F631" s="1" t="s">
        <v>112</v>
      </c>
      <c r="G631" s="1">
        <v>2628422</v>
      </c>
    </row>
    <row r="632" spans="1:7" x14ac:dyDescent="0.25">
      <c r="A632" s="1" t="str">
        <f t="shared" si="9"/>
        <v>08  TAmantadine 1 mg_Ldopé</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2848</v>
      </c>
      <c r="D632" s="1" t="s">
        <v>2849</v>
      </c>
      <c r="E632" s="1" t="s">
        <v>2850</v>
      </c>
      <c r="F632" s="1" t="s">
        <v>112</v>
      </c>
      <c r="G632" s="1">
        <v>2912595</v>
      </c>
    </row>
    <row r="633" spans="1:7" x14ac:dyDescent="0.25">
      <c r="A633" s="1" t="str">
        <f t="shared" si="9"/>
        <v>08  TAmantadine 1 mg_Ldopé</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2851</v>
      </c>
    </row>
    <row r="634" spans="1:7" x14ac:dyDescent="0.25">
      <c r="A634" s="1" t="str">
        <f t="shared" si="9"/>
        <v>08  TAmantadine 1 mg_Ldopé</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2852</v>
      </c>
      <c r="D634" s="1" t="s">
        <v>2853</v>
      </c>
      <c r="E634" s="1" t="s">
        <v>2854</v>
      </c>
      <c r="F634" s="1" t="s">
        <v>112</v>
      </c>
      <c r="G634" s="1">
        <v>3041963</v>
      </c>
    </row>
    <row r="635" spans="1:7" x14ac:dyDescent="0.25">
      <c r="A635" s="1" t="str">
        <f t="shared" si="9"/>
        <v>08  TAmantadine 1 mg_Ldopé</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2855</v>
      </c>
      <c r="D635" s="1" t="s">
        <v>624</v>
      </c>
      <c r="E635" s="1" t="s">
        <v>2856</v>
      </c>
      <c r="F635" s="1" t="s">
        <v>112</v>
      </c>
      <c r="G635" s="1">
        <v>3028726</v>
      </c>
    </row>
    <row r="636" spans="1:7" x14ac:dyDescent="0.25">
      <c r="A636" s="1" t="str">
        <f t="shared" si="9"/>
        <v>08  TAmantadine 1 mg_Ldopé</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2857</v>
      </c>
      <c r="D636" s="1" t="s">
        <v>627</v>
      </c>
      <c r="E636" s="1" t="s">
        <v>2858</v>
      </c>
      <c r="F636" s="1" t="s">
        <v>112</v>
      </c>
      <c r="G636" s="1">
        <v>2894686</v>
      </c>
    </row>
    <row r="637" spans="1:7" x14ac:dyDescent="0.25">
      <c r="A637" s="1" t="str">
        <f t="shared" si="9"/>
        <v>08  TAmantadine 1 mg_Ldopé</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2859</v>
      </c>
      <c r="D637" s="1" t="s">
        <v>2860</v>
      </c>
      <c r="E637" s="1" t="s">
        <v>2861</v>
      </c>
      <c r="F637" s="1" t="s">
        <v>112</v>
      </c>
      <c r="G637" s="1">
        <v>2851123</v>
      </c>
    </row>
    <row r="638" spans="1:7" x14ac:dyDescent="0.25">
      <c r="A638" s="1" t="str">
        <f t="shared" si="9"/>
        <v>08  TAmantadine 1 mg_Ldopé</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2862</v>
      </c>
      <c r="D638" s="1" t="s">
        <v>2863</v>
      </c>
      <c r="E638" s="1" t="s">
        <v>2864</v>
      </c>
      <c r="F638" s="1" t="s">
        <v>112</v>
      </c>
      <c r="G638" s="1">
        <v>3903028</v>
      </c>
    </row>
    <row r="639" spans="1:7" x14ac:dyDescent="0.25">
      <c r="A639" s="1" t="str">
        <f t="shared" si="9"/>
        <v>08  TAmantadine 1 mg_Ldopé</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2865</v>
      </c>
      <c r="D639" s="1" t="s">
        <v>2866</v>
      </c>
      <c r="E639" s="1" t="s">
        <v>2867</v>
      </c>
      <c r="F639" s="1" t="s">
        <v>112</v>
      </c>
      <c r="G639" s="1">
        <v>3647990</v>
      </c>
    </row>
    <row r="640" spans="1:7" x14ac:dyDescent="0.25">
      <c r="A640" s="1" t="str">
        <f t="shared" si="9"/>
        <v>08  TAmantadine 1 mg_Ldopé</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2868</v>
      </c>
      <c r="D640" s="1" t="s">
        <v>2869</v>
      </c>
      <c r="E640" s="1" t="s">
        <v>2870</v>
      </c>
      <c r="F640" s="1" t="s">
        <v>112</v>
      </c>
      <c r="G640" s="1">
        <v>4277030</v>
      </c>
    </row>
    <row r="641" spans="1:10" x14ac:dyDescent="0.25">
      <c r="A641" s="1" t="str">
        <f t="shared" si="9"/>
        <v>08  TAmantadine 1 mg_Ldopé</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2871</v>
      </c>
      <c r="D641" s="1" t="s">
        <v>2872</v>
      </c>
      <c r="E641" s="1" t="s">
        <v>2873</v>
      </c>
      <c r="F641" s="1" t="s">
        <v>112</v>
      </c>
      <c r="G641" s="1">
        <v>2691473</v>
      </c>
    </row>
    <row r="642" spans="1:10" x14ac:dyDescent="0.25">
      <c r="A642" s="1" t="str">
        <f t="shared" ref="A642:A705" si="10">IFERROR(LEFT(RIGHT(C642,LEN(C642)-SEARCH("@",C642)),SEARCH("/",RIGHT(C642,LEN(C642)-SEARCH("@",C642)-1))),"")</f>
        <v>08  TAmantadine 1 mg_Ldopé</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2874</v>
      </c>
      <c r="D642" s="1" t="s">
        <v>2875</v>
      </c>
      <c r="E642" s="1" t="s">
        <v>2876</v>
      </c>
      <c r="F642" s="1" t="s">
        <v>112</v>
      </c>
      <c r="G642" s="1">
        <v>2920014</v>
      </c>
    </row>
    <row r="643" spans="1:10" x14ac:dyDescent="0.25">
      <c r="A643" s="1" t="str">
        <f t="shared" si="10"/>
        <v>08  TAmantadine 1 mg_Ldopé</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2877</v>
      </c>
      <c r="D643" s="1" t="s">
        <v>2878</v>
      </c>
      <c r="E643" s="1" t="s">
        <v>2879</v>
      </c>
      <c r="F643" s="1" t="s">
        <v>112</v>
      </c>
      <c r="G643" s="1">
        <v>2383679</v>
      </c>
    </row>
    <row r="644" spans="1:10" x14ac:dyDescent="0.25">
      <c r="A644" s="1" t="str">
        <f t="shared" si="10"/>
        <v>08  TAmantadine 1 mg_Ldopé</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2880</v>
      </c>
      <c r="D644" s="1" t="s">
        <v>2175</v>
      </c>
      <c r="E644" s="1" t="s">
        <v>2881</v>
      </c>
      <c r="F644" s="1" t="s">
        <v>112</v>
      </c>
      <c r="G644" s="1">
        <v>100428</v>
      </c>
    </row>
    <row r="645" spans="1:10" x14ac:dyDescent="0.25">
      <c r="A645" s="1" t="str">
        <f t="shared" si="10"/>
        <v>08  TAmantadine 1 mg_Ldopé</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2882</v>
      </c>
    </row>
    <row r="646" spans="1:10" x14ac:dyDescent="0.25">
      <c r="A646" s="1" t="str">
        <f t="shared" si="10"/>
        <v>08  TAmantadine 1 mg_Ldopé</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2883</v>
      </c>
    </row>
    <row r="647" spans="1:10" x14ac:dyDescent="0.25">
      <c r="A647" s="1" t="str">
        <f t="shared" si="10"/>
        <v>08  TAmantadine 1 mg_Ldopé</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2884</v>
      </c>
      <c r="D647" s="1" t="s">
        <v>2885</v>
      </c>
      <c r="E647" s="1" t="s">
        <v>2886</v>
      </c>
      <c r="F647" s="1" t="s">
        <v>112</v>
      </c>
      <c r="G647" s="1">
        <v>4143423</v>
      </c>
    </row>
    <row r="648" spans="1:10" x14ac:dyDescent="0.25">
      <c r="A648" s="1" t="str">
        <f t="shared" si="10"/>
        <v>08  TAmantadine 1 mg_Ldopé</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2887</v>
      </c>
      <c r="D648" s="1" t="s">
        <v>2005</v>
      </c>
      <c r="E648" s="1" t="s">
        <v>2888</v>
      </c>
      <c r="F648" s="1" t="s">
        <v>112</v>
      </c>
      <c r="G648" s="1">
        <v>3811923</v>
      </c>
    </row>
    <row r="649" spans="1:10" x14ac:dyDescent="0.25">
      <c r="A649" s="1" t="str">
        <f t="shared" si="10"/>
        <v>08  TAmantadine 1 mg_Ldopé</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2889</v>
      </c>
      <c r="D649" s="1" t="s">
        <v>2890</v>
      </c>
      <c r="E649" s="1" t="s">
        <v>2891</v>
      </c>
      <c r="F649" s="1" t="s">
        <v>112</v>
      </c>
      <c r="G649" s="1">
        <v>4343261</v>
      </c>
    </row>
    <row r="650" spans="1:10" x14ac:dyDescent="0.25">
      <c r="A650" s="1" t="str">
        <f t="shared" si="10"/>
        <v>08  TAmantadine 1 mg_Ldopé</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2892</v>
      </c>
      <c r="D650" s="1" t="s">
        <v>2893</v>
      </c>
      <c r="E650" s="1" t="s">
        <v>2894</v>
      </c>
      <c r="F650" s="1" t="s">
        <v>112</v>
      </c>
      <c r="G650" s="1">
        <v>2466197</v>
      </c>
    </row>
    <row r="651" spans="1:10" x14ac:dyDescent="0.25">
      <c r="A651" s="1" t="str">
        <f t="shared" si="10"/>
        <v>08  TAmantadine 1 mg_Ldopé</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2895</v>
      </c>
      <c r="D651" s="1" t="s">
        <v>2896</v>
      </c>
      <c r="E651" s="1" t="s">
        <v>2897</v>
      </c>
      <c r="F651" s="1" t="s">
        <v>112</v>
      </c>
      <c r="G651" s="1">
        <v>1975718</v>
      </c>
    </row>
    <row r="652" spans="1:10" x14ac:dyDescent="0.25">
      <c r="A652" s="1" t="str">
        <f t="shared" si="10"/>
        <v>08  TAmantadine 1 mg_Ldopé</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2898</v>
      </c>
      <c r="D652" s="1" t="s">
        <v>1156</v>
      </c>
      <c r="E652" s="1" t="s">
        <v>2899</v>
      </c>
      <c r="F652" s="1" t="s">
        <v>112</v>
      </c>
      <c r="G652" s="1">
        <v>2145231</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223</v>
      </c>
      <c r="D654" s="1" t="s">
        <v>112</v>
      </c>
      <c r="E654" s="1" t="s">
        <v>224</v>
      </c>
      <c r="F654" s="1" t="s">
        <v>225</v>
      </c>
      <c r="G654" s="1" t="s">
        <v>226</v>
      </c>
      <c r="H654" s="1" t="s">
        <v>227</v>
      </c>
      <c r="I654" s="1" t="s">
        <v>228</v>
      </c>
      <c r="J654" s="1" t="s">
        <v>229</v>
      </c>
    </row>
    <row r="655" spans="1:10" x14ac:dyDescent="0.25">
      <c r="A655" s="1" t="str">
        <f t="shared" si="10"/>
        <v>08  TAmantadine 1 mg_Ldopé</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2900</v>
      </c>
      <c r="D655" s="1" t="s">
        <v>112</v>
      </c>
      <c r="E655" s="1" t="s">
        <v>2901</v>
      </c>
      <c r="F655" s="1" t="s">
        <v>2902</v>
      </c>
      <c r="G655" s="1">
        <v>2618634</v>
      </c>
      <c r="H655" s="1" t="s">
        <v>2903</v>
      </c>
      <c r="I655" s="1">
        <v>24</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235</v>
      </c>
      <c r="D661" s="1" t="s">
        <v>110</v>
      </c>
      <c r="E661" s="1" t="s">
        <v>111</v>
      </c>
      <c r="F661" s="1" t="s">
        <v>112</v>
      </c>
      <c r="G661" s="1" t="s">
        <v>113</v>
      </c>
    </row>
    <row r="662" spans="1:7" x14ac:dyDescent="0.25">
      <c r="A662" s="1" t="str">
        <f t="shared" si="10"/>
        <v>09  Amantadine 10 mg_L dopé</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2904</v>
      </c>
      <c r="D662" s="1" t="s">
        <v>2905</v>
      </c>
      <c r="E662" s="1" t="s">
        <v>2906</v>
      </c>
      <c r="F662" s="1" t="s">
        <v>112</v>
      </c>
      <c r="G662" s="1">
        <v>4171109</v>
      </c>
    </row>
    <row r="663" spans="1:7" x14ac:dyDescent="0.25">
      <c r="A663" s="1" t="str">
        <f t="shared" si="10"/>
        <v>09  Amantadine 10 mg_L dopé</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2907</v>
      </c>
      <c r="D663" s="1" t="s">
        <v>2908</v>
      </c>
      <c r="E663" s="1" t="s">
        <v>2909</v>
      </c>
      <c r="F663" s="1" t="s">
        <v>112</v>
      </c>
      <c r="G663" s="1">
        <v>3919185</v>
      </c>
    </row>
    <row r="664" spans="1:7" x14ac:dyDescent="0.25">
      <c r="A664" s="1" t="str">
        <f t="shared" si="10"/>
        <v>09  Amantadine 10 mg_L dopé</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2910</v>
      </c>
      <c r="D664" s="1" t="s">
        <v>2911</v>
      </c>
      <c r="E664" s="1" t="s">
        <v>2912</v>
      </c>
      <c r="F664" s="1" t="s">
        <v>112</v>
      </c>
      <c r="G664" s="1">
        <v>3914362</v>
      </c>
    </row>
    <row r="665" spans="1:7" x14ac:dyDescent="0.25">
      <c r="A665" s="1" t="str">
        <f t="shared" si="10"/>
        <v>09  Amantadine 10 mg_L dopé</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2913</v>
      </c>
      <c r="D665" s="1" t="s">
        <v>2914</v>
      </c>
      <c r="E665" s="1" t="s">
        <v>2915</v>
      </c>
      <c r="F665" s="1" t="s">
        <v>112</v>
      </c>
      <c r="G665" s="1">
        <v>3348178</v>
      </c>
    </row>
    <row r="666" spans="1:7" x14ac:dyDescent="0.25">
      <c r="A666" s="1" t="str">
        <f t="shared" si="10"/>
        <v>09  Amantadine 10 mg_L dopé</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2916</v>
      </c>
      <c r="D666" s="1" t="s">
        <v>566</v>
      </c>
      <c r="E666" s="1" t="s">
        <v>2917</v>
      </c>
      <c r="F666" s="1" t="s">
        <v>112</v>
      </c>
      <c r="G666" s="1">
        <v>3136638</v>
      </c>
    </row>
    <row r="667" spans="1:7" x14ac:dyDescent="0.25">
      <c r="A667" s="1" t="str">
        <f t="shared" si="10"/>
        <v>09  Amantadine 10 mg_L dopé</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2918</v>
      </c>
      <c r="D667" s="1" t="s">
        <v>2919</v>
      </c>
      <c r="E667" s="1" t="s">
        <v>2920</v>
      </c>
      <c r="F667" s="1" t="s">
        <v>112</v>
      </c>
      <c r="G667" s="1">
        <v>3384343</v>
      </c>
    </row>
    <row r="668" spans="1:7" x14ac:dyDescent="0.25">
      <c r="A668" s="1" t="str">
        <f t="shared" si="10"/>
        <v>09  Amantadine 10 mg_L dopé</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2921</v>
      </c>
      <c r="D668" s="1" t="s">
        <v>2922</v>
      </c>
      <c r="E668" s="1" t="s">
        <v>2923</v>
      </c>
      <c r="F668" s="1" t="s">
        <v>112</v>
      </c>
      <c r="G668" s="1">
        <v>1263986</v>
      </c>
    </row>
    <row r="669" spans="1:7" x14ac:dyDescent="0.25">
      <c r="A669" s="1" t="str">
        <f t="shared" si="10"/>
        <v>09  Amantadine 10 mg_L dopé</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2924</v>
      </c>
      <c r="D669" s="1" t="s">
        <v>2925</v>
      </c>
      <c r="E669" s="1" t="s">
        <v>2926</v>
      </c>
      <c r="F669" s="1" t="s">
        <v>112</v>
      </c>
      <c r="G669" s="1">
        <v>1419570</v>
      </c>
    </row>
    <row r="670" spans="1:7" x14ac:dyDescent="0.25">
      <c r="A670" s="1" t="str">
        <f t="shared" si="10"/>
        <v>09  Amantadine 10 mg_L dopé</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2927</v>
      </c>
      <c r="D670" s="1" t="s">
        <v>2928</v>
      </c>
      <c r="E670" s="1" t="s">
        <v>2929</v>
      </c>
      <c r="F670" s="1" t="s">
        <v>112</v>
      </c>
      <c r="G670" s="1">
        <v>1244498</v>
      </c>
    </row>
    <row r="671" spans="1:7" x14ac:dyDescent="0.25">
      <c r="A671" s="1" t="str">
        <f t="shared" si="10"/>
        <v>09  Amantadine 10 mg_L dopé</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2930</v>
      </c>
      <c r="D671" s="1" t="s">
        <v>2931</v>
      </c>
      <c r="E671" s="1" t="s">
        <v>2932</v>
      </c>
      <c r="F671" s="1" t="s">
        <v>112</v>
      </c>
      <c r="G671" s="1">
        <v>2115036</v>
      </c>
    </row>
    <row r="672" spans="1:7" x14ac:dyDescent="0.25">
      <c r="A672" s="1" t="str">
        <f t="shared" si="10"/>
        <v>09  Amantadine 10 mg_L dopé</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2933</v>
      </c>
      <c r="D672" s="1" t="s">
        <v>2934</v>
      </c>
      <c r="E672" s="1" t="s">
        <v>2935</v>
      </c>
      <c r="F672" s="1" t="s">
        <v>112</v>
      </c>
      <c r="G672" s="1">
        <v>3136248</v>
      </c>
    </row>
    <row r="673" spans="1:10" x14ac:dyDescent="0.25">
      <c r="A673" s="1" t="str">
        <f t="shared" si="10"/>
        <v>09  Amantadine 10 mg_L dopé</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2936</v>
      </c>
      <c r="D673" s="1" t="s">
        <v>983</v>
      </c>
      <c r="E673" s="1" t="s">
        <v>2937</v>
      </c>
      <c r="F673" s="1" t="s">
        <v>112</v>
      </c>
      <c r="G673" s="1">
        <v>1814618</v>
      </c>
    </row>
    <row r="674" spans="1:10" x14ac:dyDescent="0.25">
      <c r="A674" s="1" t="str">
        <f t="shared" si="10"/>
        <v>09  Amantadine 10 mg_L dopé</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2938</v>
      </c>
      <c r="D674" s="1" t="s">
        <v>2939</v>
      </c>
      <c r="E674" s="1" t="s">
        <v>2940</v>
      </c>
      <c r="F674" s="1" t="s">
        <v>112</v>
      </c>
      <c r="G674" s="1">
        <v>3639468</v>
      </c>
    </row>
    <row r="675" spans="1:10" x14ac:dyDescent="0.25">
      <c r="A675" s="1" t="str">
        <f t="shared" si="10"/>
        <v>09  Amantadine 10 mg_L dopé</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2941</v>
      </c>
      <c r="D675" s="1" t="s">
        <v>2942</v>
      </c>
      <c r="E675" s="1" t="s">
        <v>2943</v>
      </c>
      <c r="F675" s="1" t="s">
        <v>112</v>
      </c>
      <c r="G675" s="1">
        <v>3445145</v>
      </c>
    </row>
    <row r="676" spans="1:10" x14ac:dyDescent="0.25">
      <c r="A676" s="1" t="str">
        <f t="shared" si="10"/>
        <v>09  Amantadine 10 mg_L dopé</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2944</v>
      </c>
      <c r="D676" s="1" t="s">
        <v>581</v>
      </c>
      <c r="E676" s="1" t="s">
        <v>2945</v>
      </c>
      <c r="F676" s="1" t="s">
        <v>112</v>
      </c>
      <c r="G676" s="1">
        <v>3460610</v>
      </c>
    </row>
    <row r="677" spans="1:10" x14ac:dyDescent="0.25">
      <c r="A677" s="1" t="str">
        <f t="shared" si="10"/>
        <v>09  Amantadine 10 mg_L dopé</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2946</v>
      </c>
    </row>
    <row r="678" spans="1:10" x14ac:dyDescent="0.25">
      <c r="A678" s="1" t="str">
        <f t="shared" si="10"/>
        <v>09  Amantadine 10 mg_L dopé</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2947</v>
      </c>
      <c r="D678" s="1" t="s">
        <v>2948</v>
      </c>
      <c r="E678" s="1" t="s">
        <v>2949</v>
      </c>
      <c r="F678" s="1" t="s">
        <v>112</v>
      </c>
      <c r="G678" s="1">
        <v>3387696</v>
      </c>
    </row>
    <row r="679" spans="1:10" x14ac:dyDescent="0.25">
      <c r="A679" s="1" t="str">
        <f t="shared" si="10"/>
        <v>09  Amantadine 10 mg_L dopé</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2950</v>
      </c>
      <c r="D679" s="1" t="s">
        <v>2951</v>
      </c>
      <c r="E679" s="1" t="s">
        <v>2952</v>
      </c>
      <c r="F679" s="1" t="s">
        <v>112</v>
      </c>
      <c r="G679" s="1">
        <v>3777120</v>
      </c>
    </row>
    <row r="680" spans="1:10" x14ac:dyDescent="0.25">
      <c r="A680" s="1" t="str">
        <f t="shared" si="10"/>
        <v>09  Amantadine 10 mg_L dopé</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2953</v>
      </c>
      <c r="D680" s="1" t="s">
        <v>2954</v>
      </c>
      <c r="E680" s="1" t="s">
        <v>2955</v>
      </c>
      <c r="F680" s="1" t="s">
        <v>112</v>
      </c>
      <c r="G680" s="1">
        <v>2726232</v>
      </c>
    </row>
    <row r="681" spans="1:10" x14ac:dyDescent="0.25">
      <c r="A681" s="1" t="str">
        <f t="shared" si="10"/>
        <v>09  Amantadine 10 mg_L dopé</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2956</v>
      </c>
      <c r="D681" s="1" t="s">
        <v>2957</v>
      </c>
      <c r="E681" s="1" t="s">
        <v>2958</v>
      </c>
      <c r="F681" s="1" t="s">
        <v>112</v>
      </c>
      <c r="G681" s="1">
        <v>2664543</v>
      </c>
    </row>
    <row r="682" spans="1:10" x14ac:dyDescent="0.25">
      <c r="A682" s="1" t="str">
        <f t="shared" si="10"/>
        <v>09  Amantadine 10 mg_L dopé</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2959</v>
      </c>
      <c r="D682" s="1" t="s">
        <v>2960</v>
      </c>
      <c r="E682" s="1" t="s">
        <v>2961</v>
      </c>
      <c r="F682" s="1" t="s">
        <v>112</v>
      </c>
      <c r="G682" s="1">
        <v>2613583</v>
      </c>
    </row>
    <row r="683" spans="1:10" x14ac:dyDescent="0.25">
      <c r="A683" s="1" t="str">
        <f t="shared" si="10"/>
        <v>09  Amantadine 10 mg_L dopé</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2962</v>
      </c>
      <c r="D683" s="1" t="s">
        <v>2963</v>
      </c>
      <c r="E683" s="1" t="s">
        <v>2964</v>
      </c>
      <c r="F683" s="1" t="s">
        <v>112</v>
      </c>
      <c r="G683" s="1">
        <v>2846992</v>
      </c>
    </row>
    <row r="684" spans="1:10" x14ac:dyDescent="0.25">
      <c r="A684" s="1" t="str">
        <f t="shared" si="10"/>
        <v>09  Amantadine 10 mg_L dopé</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2965</v>
      </c>
      <c r="D684" s="1" t="s">
        <v>2966</v>
      </c>
      <c r="E684" s="1" t="s">
        <v>2967</v>
      </c>
      <c r="F684" s="1" t="s">
        <v>112</v>
      </c>
      <c r="G684" s="1">
        <v>3291421</v>
      </c>
    </row>
    <row r="685" spans="1:10" x14ac:dyDescent="0.25">
      <c r="A685" s="1" t="str">
        <f t="shared" si="10"/>
        <v>09  Amantadine 10 mg_L dopé</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2968</v>
      </c>
      <c r="D685" s="1" t="s">
        <v>2807</v>
      </c>
      <c r="E685" s="1" t="s">
        <v>2969</v>
      </c>
      <c r="F685" s="1" t="s">
        <v>112</v>
      </c>
      <c r="G685" s="1">
        <v>2705164</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223</v>
      </c>
      <c r="D687" s="1" t="s">
        <v>112</v>
      </c>
      <c r="E687" s="1" t="s">
        <v>224</v>
      </c>
      <c r="F687" s="1" t="s">
        <v>225</v>
      </c>
      <c r="G687" s="1" t="s">
        <v>226</v>
      </c>
      <c r="H687" s="1" t="s">
        <v>227</v>
      </c>
      <c r="I687" s="1" t="s">
        <v>228</v>
      </c>
      <c r="J687" s="1" t="s">
        <v>229</v>
      </c>
    </row>
    <row r="688" spans="1:10" x14ac:dyDescent="0.25">
      <c r="A688" s="1" t="str">
        <f t="shared" si="10"/>
        <v>09  Amantadine 10 mg_L dopé</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2970</v>
      </c>
      <c r="D688" s="1" t="s">
        <v>112</v>
      </c>
      <c r="E688" s="1" t="s">
        <v>2971</v>
      </c>
      <c r="F688" s="1" t="s">
        <v>2972</v>
      </c>
      <c r="G688" s="1" t="s">
        <v>2973</v>
      </c>
      <c r="H688" s="1" t="s">
        <v>2974</v>
      </c>
      <c r="I688" s="1">
        <v>24</v>
      </c>
      <c r="J688" s="1">
        <v>24</v>
      </c>
    </row>
    <row r="689" spans="1:3"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3"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3"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6"/>
  <sheetViews>
    <sheetView showGridLines="0" topLeftCell="L31" zoomScaleNormal="100" zoomScaleSheetLayoutView="40" zoomScalePageLayoutView="30" workbookViewId="0">
      <selection activeCell="R63" sqref="R63"/>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75" thickBot="1" x14ac:dyDescent="0.3"/>
    <row r="3" spans="1:22" ht="15.75" thickBot="1" x14ac:dyDescent="0.3">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Amantadine-0,001mg/L</v>
      </c>
      <c r="J4" s="35" t="str">
        <f>'Page de garde'!A16</f>
        <v>Amantadine-0,01mg/L</v>
      </c>
      <c r="K4" s="35" t="str">
        <f>'Page de garde'!A17</f>
        <v>Amantadine-0,1mg/L</v>
      </c>
      <c r="L4" s="35" t="str">
        <f>'Page de garde'!A18</f>
        <v>Amantadine-1mg/L</v>
      </c>
      <c r="M4" s="35" t="str">
        <f>'Page de garde'!A19</f>
        <v>Amantadine-10mg/L</v>
      </c>
      <c r="N4" s="3"/>
      <c r="O4" s="36" t="str">
        <f>'Page de garde'!A36</f>
        <v>Testo -30µg/L</v>
      </c>
      <c r="P4" s="36" t="str">
        <f>'Page de garde'!A37</f>
        <v>Testo 30µg/L + EE2 -64ng/L</v>
      </c>
      <c r="Q4" s="36" t="str">
        <f>'Page de garde'!A38</f>
        <v>Testo 30µg/L + FAD-10µg/L</v>
      </c>
      <c r="R4" s="36" t="str">
        <f>'Page de garde'!A39</f>
        <v>Amantadine-0,001mg/L + Testostérone</v>
      </c>
      <c r="S4" s="36" t="str">
        <f>'Page de garde'!A40</f>
        <v>Amantadine-0,01mg/L + Testostérone</v>
      </c>
      <c r="T4" s="36" t="str">
        <f>'Page de garde'!A41</f>
        <v>Amantadine-0,1mg/L + Testostérone</v>
      </c>
      <c r="U4" s="36" t="str">
        <f>'Page de garde'!A42</f>
        <v>Amantadine-1mg/L + Testostérone</v>
      </c>
      <c r="V4" s="36" t="str">
        <f>'Page de garde'!A43</f>
        <v>Amantadine-10mg/L + Testostérone</v>
      </c>
    </row>
    <row r="5" spans="1:22" x14ac:dyDescent="0.25">
      <c r="A5" s="226" t="s">
        <v>33</v>
      </c>
      <c r="B5" s="195">
        <v>314664.33333333331</v>
      </c>
      <c r="C5" s="195">
        <v>312047.33333333331</v>
      </c>
      <c r="D5" s="195">
        <v>183392.66666666666</v>
      </c>
      <c r="E5" s="195">
        <v>747666</v>
      </c>
      <c r="F5" s="195">
        <v>1938276.6666666667</v>
      </c>
      <c r="G5" s="195">
        <v>3256654.6666666665</v>
      </c>
      <c r="H5" s="195">
        <v>6139278</v>
      </c>
      <c r="I5" s="195">
        <v>17001</v>
      </c>
      <c r="J5" s="195">
        <v>512737</v>
      </c>
      <c r="K5" s="195">
        <v>95337</v>
      </c>
      <c r="L5" s="195">
        <v>290331</v>
      </c>
      <c r="M5" s="195">
        <v>258534.66666666666</v>
      </c>
      <c r="N5" s="3"/>
      <c r="O5" s="195">
        <v>1945991.3333333333</v>
      </c>
      <c r="P5" s="195">
        <v>2804359.3333333335</v>
      </c>
      <c r="Q5" s="195">
        <v>191302</v>
      </c>
      <c r="R5" s="195">
        <v>1789073.3333333333</v>
      </c>
      <c r="S5" s="195">
        <v>25491</v>
      </c>
      <c r="T5" s="195">
        <v>1671774.6666666667</v>
      </c>
      <c r="U5" s="195">
        <v>2548939</v>
      </c>
      <c r="V5" s="195">
        <v>4001552</v>
      </c>
    </row>
    <row r="6" spans="1:22" x14ac:dyDescent="0.25">
      <c r="A6" s="226"/>
      <c r="B6" s="195">
        <v>227171.66666666666</v>
      </c>
      <c r="C6" s="195">
        <v>116563.5</v>
      </c>
      <c r="D6" s="195">
        <v>511006</v>
      </c>
      <c r="E6" s="195">
        <v>2374948</v>
      </c>
      <c r="F6" s="195">
        <v>1938139.3333333333</v>
      </c>
      <c r="G6" s="195">
        <v>3003516.5</v>
      </c>
      <c r="H6" s="195">
        <v>6102391.666666667</v>
      </c>
      <c r="I6" s="195">
        <v>89223.333333333328</v>
      </c>
      <c r="J6" s="195">
        <v>164063</v>
      </c>
      <c r="K6" s="195">
        <v>125222.66666666667</v>
      </c>
      <c r="L6" s="195">
        <v>662134.33333333337</v>
      </c>
      <c r="M6" s="195">
        <v>108567.66666666667</v>
      </c>
      <c r="N6" s="3"/>
      <c r="O6" s="195">
        <v>1435093.3333333333</v>
      </c>
      <c r="P6" s="195">
        <v>3252833</v>
      </c>
      <c r="Q6" s="195">
        <v>27199.5</v>
      </c>
      <c r="R6" s="195">
        <v>2604722.3333333335</v>
      </c>
      <c r="S6" s="195">
        <v>2806990.6666666665</v>
      </c>
      <c r="T6" s="195">
        <v>1833623.6666666667</v>
      </c>
      <c r="U6" s="195">
        <v>2977279</v>
      </c>
      <c r="V6" s="195">
        <v>3289719.6666666665</v>
      </c>
    </row>
    <row r="7" spans="1:22" x14ac:dyDescent="0.25">
      <c r="A7" s="226"/>
      <c r="B7" s="195">
        <v>22603</v>
      </c>
      <c r="C7" s="195">
        <v>281643</v>
      </c>
      <c r="D7" s="195">
        <v>46381.666666666664</v>
      </c>
      <c r="E7" s="195">
        <v>1389331</v>
      </c>
      <c r="F7" s="195">
        <v>1777912.3333333333</v>
      </c>
      <c r="G7" s="195">
        <v>3854807.6666666665</v>
      </c>
      <c r="H7" s="195">
        <v>6874532</v>
      </c>
      <c r="I7" s="195">
        <v>35278.333333333336</v>
      </c>
      <c r="J7" s="195">
        <v>144509.33333333334</v>
      </c>
      <c r="K7" s="195">
        <v>191237</v>
      </c>
      <c r="L7" s="195">
        <v>82849.666666666672</v>
      </c>
      <c r="M7" s="195">
        <v>263582</v>
      </c>
      <c r="N7" s="3"/>
      <c r="O7" s="195">
        <v>422165</v>
      </c>
      <c r="P7" s="195">
        <v>4554427</v>
      </c>
      <c r="Q7" s="195">
        <v>264977</v>
      </c>
      <c r="R7" s="195">
        <v>1792382.6666666667</v>
      </c>
      <c r="S7" s="195">
        <v>2942711.3333333335</v>
      </c>
      <c r="T7" s="195">
        <v>1880128</v>
      </c>
      <c r="U7" s="195">
        <v>2924845</v>
      </c>
      <c r="V7" s="195">
        <v>1309351.3333333333</v>
      </c>
    </row>
    <row r="8" spans="1:22" x14ac:dyDescent="0.25">
      <c r="A8" s="226"/>
      <c r="B8" s="195">
        <v>62863.666666666664</v>
      </c>
      <c r="C8" s="195">
        <v>11691</v>
      </c>
      <c r="D8" s="195">
        <v>216320.5</v>
      </c>
      <c r="E8" s="195">
        <v>219752.66666666666</v>
      </c>
      <c r="F8" s="195">
        <v>3536827</v>
      </c>
      <c r="G8" s="195">
        <v>2963151.6666666665</v>
      </c>
      <c r="H8" s="195">
        <v>5789868.666666667</v>
      </c>
      <c r="I8" s="195">
        <v>53548.666666666664</v>
      </c>
      <c r="J8" s="195">
        <v>22257.333333333332</v>
      </c>
      <c r="K8" s="195">
        <v>93513.333333333328</v>
      </c>
      <c r="L8" s="195">
        <v>53087.333333333336</v>
      </c>
      <c r="M8" s="195">
        <v>161027.33333333334</v>
      </c>
      <c r="N8" s="3"/>
      <c r="O8" s="195">
        <v>1763420.6666666667</v>
      </c>
      <c r="P8" s="195">
        <v>3352309.3333333335</v>
      </c>
      <c r="Q8" s="195">
        <v>269177</v>
      </c>
      <c r="R8" s="195">
        <v>2621034.5</v>
      </c>
      <c r="S8" s="195">
        <v>1855924.3333333333</v>
      </c>
      <c r="T8" s="195">
        <v>3364869</v>
      </c>
      <c r="U8" s="195">
        <v>3942682.6666666665</v>
      </c>
      <c r="V8" s="195">
        <v>2355300.6666666665</v>
      </c>
    </row>
    <row r="9" spans="1:22" x14ac:dyDescent="0.25">
      <c r="A9" s="226"/>
      <c r="B9" s="195">
        <v>721674.33333333337</v>
      </c>
      <c r="C9" s="195">
        <v>119721.5</v>
      </c>
      <c r="D9" s="195">
        <v>541439.66666666663</v>
      </c>
      <c r="E9" s="195">
        <v>311535.33333333331</v>
      </c>
      <c r="F9" s="195">
        <v>137991.66666666666</v>
      </c>
      <c r="G9" s="195">
        <v>4356534.666666667</v>
      </c>
      <c r="H9" s="195">
        <v>4243201.333333333</v>
      </c>
      <c r="I9" s="195">
        <v>43699.666666666664</v>
      </c>
      <c r="J9" s="195">
        <v>144819.33333333334</v>
      </c>
      <c r="K9" s="195">
        <v>93001.333333333328</v>
      </c>
      <c r="L9" s="195">
        <v>122670.33333333333</v>
      </c>
      <c r="M9" s="195"/>
      <c r="N9" s="3"/>
      <c r="O9" s="195">
        <v>529672.66666666663</v>
      </c>
      <c r="P9" s="195"/>
      <c r="Q9" s="195">
        <v>129822.33333333333</v>
      </c>
      <c r="R9" s="195">
        <v>4562913</v>
      </c>
      <c r="S9" s="195">
        <v>2322553.3333333335</v>
      </c>
      <c r="T9" s="195">
        <v>2893301</v>
      </c>
      <c r="U9" s="195">
        <v>2665055.3333333335</v>
      </c>
      <c r="V9" s="195">
        <v>3515074.3333333335</v>
      </c>
    </row>
    <row r="10" spans="1:22" x14ac:dyDescent="0.25">
      <c r="A10" s="226"/>
      <c r="B10" s="195">
        <v>109317.66666666667</v>
      </c>
      <c r="C10" s="195">
        <v>85315.333333333328</v>
      </c>
      <c r="D10" s="195"/>
      <c r="E10" s="195">
        <v>302285</v>
      </c>
      <c r="F10" s="195">
        <v>981867.33333333337</v>
      </c>
      <c r="G10" s="195">
        <v>2272061.6666666665</v>
      </c>
      <c r="H10" s="195">
        <v>5984501.666666667</v>
      </c>
      <c r="I10" s="195">
        <v>14210.666666666666</v>
      </c>
      <c r="J10" s="195">
        <v>58393.333333333336</v>
      </c>
      <c r="K10" s="195">
        <v>179016</v>
      </c>
      <c r="L10" s="195">
        <v>520912.5</v>
      </c>
      <c r="M10" s="195">
        <v>15324.5</v>
      </c>
      <c r="N10" s="3"/>
      <c r="O10" s="195">
        <v>1639618</v>
      </c>
      <c r="P10" s="195">
        <v>2851570</v>
      </c>
      <c r="Q10" s="195">
        <v>218635</v>
      </c>
      <c r="R10" s="195">
        <v>1650195.3333333333</v>
      </c>
      <c r="S10" s="195">
        <v>4443559</v>
      </c>
      <c r="T10" s="195">
        <v>2249451.3333333335</v>
      </c>
      <c r="U10" s="195">
        <v>100428</v>
      </c>
      <c r="V10" s="195">
        <v>3582408</v>
      </c>
    </row>
    <row r="11" spans="1:22" x14ac:dyDescent="0.25">
      <c r="A11" s="226"/>
      <c r="B11" s="195">
        <v>72157.666666666672</v>
      </c>
      <c r="C11" s="195">
        <v>155288</v>
      </c>
      <c r="D11" s="195">
        <v>68747</v>
      </c>
      <c r="E11" s="195">
        <v>1071292.6666666667</v>
      </c>
      <c r="F11" s="195">
        <v>1166219.3333333333</v>
      </c>
      <c r="G11" s="195">
        <v>3268306</v>
      </c>
      <c r="H11" s="195">
        <v>5167857.666666667</v>
      </c>
      <c r="I11" s="195">
        <v>286062.66666666669</v>
      </c>
      <c r="J11" s="195">
        <v>421426</v>
      </c>
      <c r="K11" s="195">
        <v>104328</v>
      </c>
      <c r="L11" s="195">
        <v>194380.66666666666</v>
      </c>
      <c r="M11" s="195"/>
      <c r="N11" s="3"/>
      <c r="O11" s="195">
        <v>2267137.6666666665</v>
      </c>
      <c r="P11" s="195">
        <v>3433882.6666666665</v>
      </c>
      <c r="Q11" s="195">
        <v>126498.66666666667</v>
      </c>
      <c r="R11" s="195">
        <v>3293894.3333333335</v>
      </c>
      <c r="S11" s="195">
        <v>811351.66666666663</v>
      </c>
      <c r="T11" s="195">
        <v>1772072.3333333333</v>
      </c>
      <c r="U11" s="195">
        <v>4099535.6666666665</v>
      </c>
      <c r="V11" s="195">
        <v>2668119.3333333335</v>
      </c>
    </row>
    <row r="12" spans="1:22" x14ac:dyDescent="0.25">
      <c r="A12" s="226"/>
      <c r="B12" s="195">
        <v>139599</v>
      </c>
      <c r="C12" s="195">
        <v>454992</v>
      </c>
      <c r="D12" s="195">
        <v>146347.66666666666</v>
      </c>
      <c r="E12" s="195">
        <v>387759.5</v>
      </c>
      <c r="F12" s="195">
        <v>2215607.6666666665</v>
      </c>
      <c r="G12" s="195">
        <v>3259481</v>
      </c>
      <c r="H12" s="195">
        <v>4664714</v>
      </c>
      <c r="I12" s="195">
        <v>37614.333333333336</v>
      </c>
      <c r="J12" s="195">
        <v>10468.666666666666</v>
      </c>
      <c r="K12" s="195">
        <v>195909</v>
      </c>
      <c r="L12" s="195">
        <v>36785.333333333336</v>
      </c>
      <c r="M12" s="195">
        <v>27611</v>
      </c>
      <c r="N12" s="3"/>
      <c r="O12" s="195">
        <v>1506767.3333333333</v>
      </c>
      <c r="P12" s="195">
        <v>4270851.333333333</v>
      </c>
      <c r="Q12" s="195">
        <v>305623.33333333331</v>
      </c>
      <c r="R12" s="195">
        <v>1719187.6666666667</v>
      </c>
      <c r="S12" s="195">
        <v>1916408.6666666667</v>
      </c>
      <c r="T12" s="195">
        <v>3090155</v>
      </c>
      <c r="U12" s="195">
        <v>2195715.3333333335</v>
      </c>
      <c r="V12" s="195">
        <v>2947859</v>
      </c>
    </row>
    <row r="13" spans="1:22" ht="16.5" x14ac:dyDescent="0.25">
      <c r="A13" s="226"/>
      <c r="B13" s="14"/>
      <c r="C13" s="13"/>
      <c r="D13" s="32"/>
      <c r="E13" s="32"/>
      <c r="F13" s="32"/>
      <c r="G13" s="32"/>
      <c r="H13" s="32"/>
      <c r="I13" s="32"/>
      <c r="J13" s="32"/>
      <c r="K13" s="13"/>
      <c r="L13" s="13"/>
      <c r="M13" s="13"/>
      <c r="N13" s="3"/>
      <c r="O13" s="195">
        <v>2772880.3333333335</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5">
        <v>1636705.3333333333</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5">
        <v>1690852</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5">
        <v>1865960.6666666667</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5">
        <v>1450208.5</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5">
        <v>317159</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5">
        <v>4187540.3333333335</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5">
        <v>864994</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Amantadine-0,001mg/L</v>
      </c>
      <c r="J22" s="3" t="str">
        <f t="shared" si="0"/>
        <v>Amantadine-0,01mg/L</v>
      </c>
      <c r="K22" s="3" t="str">
        <f t="shared" si="0"/>
        <v>Amantadine-0,1mg/L</v>
      </c>
      <c r="L22" s="3" t="str">
        <f t="shared" si="0"/>
        <v>Amantadine-1mg/L</v>
      </c>
      <c r="M22" s="3" t="str">
        <f t="shared" si="0"/>
        <v>Amantadine-10mg/L</v>
      </c>
      <c r="N22" s="3" t="s">
        <v>41</v>
      </c>
      <c r="O22" s="3" t="str">
        <f t="shared" si="0"/>
        <v>Testo -30µg/L</v>
      </c>
      <c r="P22" s="3" t="str">
        <f t="shared" si="0"/>
        <v>Testo 30µg/L + EE2 -64ng/L</v>
      </c>
      <c r="Q22" s="3" t="str">
        <f t="shared" si="0"/>
        <v>Testo 30µg/L + FAD-10µg/L</v>
      </c>
      <c r="R22" s="3" t="str">
        <f t="shared" si="0"/>
        <v>Amantadine-0,001mg/L + Testostérone</v>
      </c>
      <c r="S22" s="3" t="str">
        <f t="shared" si="0"/>
        <v>Amantadine-0,01mg/L + Testostérone</v>
      </c>
      <c r="T22" s="3" t="str">
        <f t="shared" si="0"/>
        <v>Amantadine-0,1mg/L + Testostérone</v>
      </c>
      <c r="U22" s="3" t="str">
        <f t="shared" si="0"/>
        <v>Amantadine-1mg/L + Testostérone</v>
      </c>
      <c r="V22" s="3" t="str">
        <f t="shared" si="0"/>
        <v>Amantadine-10mg/L + Testostérone</v>
      </c>
    </row>
    <row r="23" spans="1:22" x14ac:dyDescent="0.25">
      <c r="A23" s="5" t="s">
        <v>0</v>
      </c>
      <c r="B23" s="5">
        <f t="shared" ref="B23:J23" si="1">AVERAGE(B5:B20)</f>
        <v>208756.41666666669</v>
      </c>
      <c r="C23" s="5">
        <f t="shared" si="1"/>
        <v>192157.70833333331</v>
      </c>
      <c r="D23" s="5">
        <f t="shared" si="1"/>
        <v>244805.02380952382</v>
      </c>
      <c r="E23" s="5">
        <f t="shared" si="1"/>
        <v>850571.27083333337</v>
      </c>
      <c r="F23" s="5">
        <f t="shared" si="1"/>
        <v>1711605.1666666665</v>
      </c>
      <c r="G23" s="5">
        <f t="shared" si="1"/>
        <v>3279314.2291666665</v>
      </c>
      <c r="H23" s="5">
        <f t="shared" si="1"/>
        <v>5620793.125</v>
      </c>
      <c r="I23" s="5">
        <f t="shared" si="1"/>
        <v>72079.833333333328</v>
      </c>
      <c r="J23" s="5">
        <f t="shared" si="1"/>
        <v>184834.25000000003</v>
      </c>
      <c r="K23" s="5"/>
      <c r="L23" s="5">
        <f>AVERAGE(L5:L20)</f>
        <v>245393.89583333331</v>
      </c>
      <c r="M23" s="5"/>
      <c r="N23" s="5" t="s">
        <v>0</v>
      </c>
      <c r="O23" s="5">
        <f>AVERAGE(O5:O20)</f>
        <v>1643510.3854166667</v>
      </c>
      <c r="P23" s="5">
        <f>AVERAGE(P5:P20)</f>
        <v>3502890.3809523811</v>
      </c>
      <c r="Q23" s="5">
        <f>AVERAGE(Q5:Q20)</f>
        <v>191654.35416666669</v>
      </c>
      <c r="R23" s="5">
        <f>AVERAGE(R5:R20)</f>
        <v>2504175.3958333335</v>
      </c>
      <c r="S23" s="5">
        <f>AVERAGE(S5:S20)</f>
        <v>2140623.75</v>
      </c>
      <c r="T23" s="5">
        <f t="shared" ref="T23:V23" si="2">AVERAGE(T5:T20)</f>
        <v>2344421.875</v>
      </c>
      <c r="U23" s="5">
        <f t="shared" si="2"/>
        <v>2681810</v>
      </c>
      <c r="V23" s="5">
        <f t="shared" si="2"/>
        <v>2958673.0416666665</v>
      </c>
    </row>
    <row r="24" spans="1:22" x14ac:dyDescent="0.25">
      <c r="A24" s="3" t="s">
        <v>1</v>
      </c>
      <c r="B24" s="3">
        <f t="shared" ref="B24:J24" si="3">STDEV(B5:B20)</f>
        <v>228006.33396755756</v>
      </c>
      <c r="C24" s="3">
        <f t="shared" si="3"/>
        <v>145291.5268394523</v>
      </c>
      <c r="D24" s="3">
        <f t="shared" si="3"/>
        <v>201453.06498758675</v>
      </c>
      <c r="E24" s="3">
        <f t="shared" si="3"/>
        <v>744177.23607311992</v>
      </c>
      <c r="F24" s="3">
        <f t="shared" si="3"/>
        <v>999912.14319736906</v>
      </c>
      <c r="G24" s="3">
        <f t="shared" si="3"/>
        <v>619124.43238558096</v>
      </c>
      <c r="H24" s="3">
        <f t="shared" si="3"/>
        <v>866066.00679166627</v>
      </c>
      <c r="I24" s="3">
        <f t="shared" si="3"/>
        <v>89567.317043201998</v>
      </c>
      <c r="J24" s="3">
        <f t="shared" si="3"/>
        <v>185154.9632079349</v>
      </c>
      <c r="K24" s="3"/>
      <c r="L24" s="3">
        <f>STDEV(L5:L20)</f>
        <v>231820.69176952157</v>
      </c>
      <c r="M24" s="3"/>
      <c r="N24" s="3" t="s">
        <v>1</v>
      </c>
      <c r="O24" s="3">
        <f>STDEV(O5:O20)</f>
        <v>948375.89519903786</v>
      </c>
      <c r="P24" s="3">
        <f>STDEV(P5:P20)</f>
        <v>670524.98822607123</v>
      </c>
      <c r="Q24" s="3">
        <f>STDEV(Q5:Q20)</f>
        <v>92749.15486503407</v>
      </c>
      <c r="R24" s="3">
        <f>STDEV(R5:R20)</f>
        <v>1017653.4486678746</v>
      </c>
      <c r="S24" s="3">
        <f>STDEV(S5:S20)</f>
        <v>1352039.4901801485</v>
      </c>
      <c r="T24" s="3">
        <f t="shared" ref="T24:V24" si="4">STDEV(T5:T20)</f>
        <v>672334.92960959615</v>
      </c>
      <c r="U24" s="3">
        <f t="shared" si="4"/>
        <v>1234264.9845752877</v>
      </c>
      <c r="V24" s="3">
        <f t="shared" si="4"/>
        <v>850602.71124907082</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Amantadine-0,001mg/L</v>
      </c>
      <c r="J27" s="35" t="str">
        <f t="shared" si="5"/>
        <v>Amantadine-0,01mg/L</v>
      </c>
      <c r="K27" s="35" t="str">
        <f t="shared" si="5"/>
        <v>Amantadine-0,1mg/L</v>
      </c>
      <c r="L27" s="35" t="str">
        <f t="shared" si="5"/>
        <v>Amantadine-1mg/L</v>
      </c>
      <c r="M27" s="35" t="str">
        <f t="shared" si="5"/>
        <v>Amantadine-10mg/L</v>
      </c>
      <c r="N27" s="3"/>
      <c r="O27" s="36" t="str">
        <f>O4</f>
        <v>Testo -30µg/L</v>
      </c>
      <c r="P27" s="36" t="str">
        <f t="shared" ref="P27:R27" si="6">P4</f>
        <v>Testo 30µg/L + EE2 -64ng/L</v>
      </c>
      <c r="Q27" s="36" t="str">
        <f t="shared" si="6"/>
        <v>Testo 30µg/L + FAD-10µg/L</v>
      </c>
      <c r="R27" s="36" t="str">
        <f t="shared" si="6"/>
        <v>Amantadine-0,001mg/L + Testostérone</v>
      </c>
      <c r="S27" s="36" t="str">
        <f t="shared" ref="S27:V27" si="7">S4</f>
        <v>Amantadine-0,01mg/L + Testostérone</v>
      </c>
      <c r="T27" s="36" t="str">
        <f t="shared" si="7"/>
        <v>Amantadine-0,1mg/L + Testostérone</v>
      </c>
      <c r="U27" s="36" t="str">
        <f t="shared" si="7"/>
        <v>Amantadine-1mg/L + Testostérone</v>
      </c>
      <c r="V27" s="36" t="str">
        <f t="shared" si="7"/>
        <v>Amantadine-10mg/L + Testostérone</v>
      </c>
    </row>
    <row r="28" spans="1:22" x14ac:dyDescent="0.25">
      <c r="A28" s="227" t="s">
        <v>34</v>
      </c>
      <c r="B28" s="11">
        <f t="shared" ref="B28:M28" si="8">IF(B5="","",(B5/$O$23))</f>
        <v>0.19145868266208665</v>
      </c>
      <c r="C28" s="11">
        <f t="shared" si="8"/>
        <v>0.1898663592893709</v>
      </c>
      <c r="D28" s="11">
        <f t="shared" si="8"/>
        <v>0.11158594937638469</v>
      </c>
      <c r="E28" s="11">
        <f t="shared" si="8"/>
        <v>0.45492015543938891</v>
      </c>
      <c r="F28" s="11">
        <f t="shared" si="8"/>
        <v>1.1793516389464556</v>
      </c>
      <c r="G28" s="11">
        <f t="shared" si="8"/>
        <v>1.9815236311032081</v>
      </c>
      <c r="H28" s="11">
        <f t="shared" si="8"/>
        <v>3.7354665078332046</v>
      </c>
      <c r="I28" s="11">
        <f t="shared" si="8"/>
        <v>1.0344321612357725E-2</v>
      </c>
      <c r="J28" s="11">
        <f t="shared" si="8"/>
        <v>0.31197673257781677</v>
      </c>
      <c r="K28" s="11">
        <f t="shared" si="8"/>
        <v>5.8008151847382415E-2</v>
      </c>
      <c r="L28" s="11">
        <f t="shared" si="8"/>
        <v>0.17665297559187287</v>
      </c>
      <c r="M28" s="11">
        <f t="shared" si="8"/>
        <v>0.15730637844501502</v>
      </c>
      <c r="N28" s="6"/>
      <c r="O28" s="11">
        <f t="shared" ref="O28:S37" si="9">IF(O5="","",(O5/$O$23))</f>
        <v>1.1840456565414283</v>
      </c>
      <c r="P28" s="11">
        <f t="shared" si="9"/>
        <v>1.7063228551624672</v>
      </c>
      <c r="Q28" s="11">
        <f t="shared" si="9"/>
        <v>0.11639841262791939</v>
      </c>
      <c r="R28" s="11">
        <f t="shared" si="9"/>
        <v>1.0885683164574362</v>
      </c>
      <c r="S28" s="11">
        <f t="shared" si="9"/>
        <v>1.5510093654526838E-2</v>
      </c>
      <c r="T28" s="11">
        <f t="shared" ref="T28:V28" si="10">IF(T5="","",(T5/$O$23))</f>
        <v>1.0171975069344235</v>
      </c>
      <c r="U28" s="11">
        <f t="shared" si="10"/>
        <v>1.5509114044045342</v>
      </c>
      <c r="V28" s="11">
        <f t="shared" si="10"/>
        <v>2.434759181023074</v>
      </c>
    </row>
    <row r="29" spans="1:22" x14ac:dyDescent="0.25">
      <c r="A29" s="227"/>
      <c r="B29" s="11">
        <f t="shared" ref="B29:M29" si="11">IF(B6="","",(B6/$O$23))</f>
        <v>0.13822344457475</v>
      </c>
      <c r="C29" s="11">
        <f t="shared" si="11"/>
        <v>7.092349463337802E-2</v>
      </c>
      <c r="D29" s="11">
        <f t="shared" si="11"/>
        <v>0.31092349919678086</v>
      </c>
      <c r="E29" s="11">
        <f t="shared" si="11"/>
        <v>1.4450459340406889</v>
      </c>
      <c r="F29" s="11">
        <f t="shared" si="11"/>
        <v>1.1792680779695661</v>
      </c>
      <c r="G29" s="11">
        <f t="shared" si="11"/>
        <v>1.8275007731323469</v>
      </c>
      <c r="H29" s="11">
        <f t="shared" si="11"/>
        <v>3.7130228812759061</v>
      </c>
      <c r="I29" s="11">
        <f t="shared" si="11"/>
        <v>5.4288268650467465E-2</v>
      </c>
      <c r="J29" s="11">
        <f t="shared" si="11"/>
        <v>9.9824741879198015E-2</v>
      </c>
      <c r="K29" s="11">
        <f t="shared" si="11"/>
        <v>7.6192196762370878E-2</v>
      </c>
      <c r="L29" s="11">
        <f t="shared" si="11"/>
        <v>0.40287809508758743</v>
      </c>
      <c r="M29" s="11">
        <f t="shared" si="11"/>
        <v>6.6058400135477285E-2</v>
      </c>
      <c r="N29" s="6"/>
      <c r="O29" s="11">
        <f t="shared" si="9"/>
        <v>0.87318787034589074</v>
      </c>
      <c r="P29" s="11">
        <f t="shared" si="9"/>
        <v>1.9791983238215642</v>
      </c>
      <c r="Q29" s="11">
        <f t="shared" si="9"/>
        <v>1.6549636826970408E-2</v>
      </c>
      <c r="R29" s="11">
        <f t="shared" si="9"/>
        <v>1.5848529808182368</v>
      </c>
      <c r="S29" s="11">
        <f t="shared" si="9"/>
        <v>1.7079238997051007</v>
      </c>
      <c r="T29" s="11">
        <f t="shared" ref="T29:V29" si="12">IF(T6="","",(T6/$O$23))</f>
        <v>1.1156751322881371</v>
      </c>
      <c r="U29" s="11">
        <f t="shared" si="12"/>
        <v>1.8115364687794127</v>
      </c>
      <c r="V29" s="11">
        <f t="shared" si="12"/>
        <v>2.0016421531967676</v>
      </c>
    </row>
    <row r="30" spans="1:22" x14ac:dyDescent="0.25">
      <c r="A30" s="227"/>
      <c r="B30" s="11">
        <f t="shared" ref="B30:M30" si="13">IF(B7="","",(B7/$O$23))</f>
        <v>1.3752879324988039E-2</v>
      </c>
      <c r="C30" s="11">
        <f t="shared" si="13"/>
        <v>0.17136672971409134</v>
      </c>
      <c r="D30" s="11">
        <f t="shared" si="13"/>
        <v>2.8221097401162982E-2</v>
      </c>
      <c r="E30" s="11">
        <f t="shared" si="13"/>
        <v>0.84534360861235047</v>
      </c>
      <c r="F30" s="11">
        <f t="shared" si="13"/>
        <v>1.08177736454193</v>
      </c>
      <c r="G30" s="11">
        <f t="shared" si="13"/>
        <v>2.3454720462197667</v>
      </c>
      <c r="H30" s="11">
        <f t="shared" si="13"/>
        <v>4.1828345357593539</v>
      </c>
      <c r="I30" s="11">
        <f t="shared" si="13"/>
        <v>2.1465232983233926E-2</v>
      </c>
      <c r="J30" s="11">
        <f t="shared" si="13"/>
        <v>8.7927240749803348E-2</v>
      </c>
      <c r="K30" s="11">
        <f t="shared" si="13"/>
        <v>0.11635886313643046</v>
      </c>
      <c r="L30" s="11">
        <f t="shared" si="13"/>
        <v>5.0410187487596812E-2</v>
      </c>
      <c r="M30" s="11">
        <f t="shared" si="13"/>
        <v>0.1603774471636065</v>
      </c>
      <c r="N30" s="6"/>
      <c r="O30" s="11">
        <f t="shared" si="9"/>
        <v>0.25686786268343031</v>
      </c>
      <c r="P30" s="11">
        <f t="shared" si="9"/>
        <v>2.7711580288221609</v>
      </c>
      <c r="Q30" s="11">
        <f t="shared" si="9"/>
        <v>0.16122624009633038</v>
      </c>
      <c r="R30" s="11">
        <f t="shared" si="9"/>
        <v>1.0905818926189854</v>
      </c>
      <c r="S30" s="11">
        <f t="shared" si="9"/>
        <v>1.7905036435697912</v>
      </c>
      <c r="T30" s="11">
        <f t="shared" ref="T30:V30" si="14">IF(T7="","",(T7/$O$23))</f>
        <v>1.1439708666783663</v>
      </c>
      <c r="U30" s="11">
        <f t="shared" si="14"/>
        <v>1.779632806675868</v>
      </c>
      <c r="V30" s="11">
        <f t="shared" si="14"/>
        <v>0.79667968328741856</v>
      </c>
    </row>
    <row r="31" spans="1:22" x14ac:dyDescent="0.25">
      <c r="A31" s="227"/>
      <c r="B31" s="11">
        <f t="shared" ref="B31:M31" si="15">IF(B8="","",(B8/$O$23))</f>
        <v>3.8249631535324506E-2</v>
      </c>
      <c r="C31" s="11">
        <f t="shared" si="15"/>
        <v>7.113432384569976E-3</v>
      </c>
      <c r="D31" s="11">
        <f t="shared" si="15"/>
        <v>0.13162101190200748</v>
      </c>
      <c r="E31" s="11">
        <f t="shared" si="15"/>
        <v>0.13370932646157538</v>
      </c>
      <c r="F31" s="11">
        <f t="shared" si="15"/>
        <v>2.1519955282201244</v>
      </c>
      <c r="G31" s="11">
        <f t="shared" si="15"/>
        <v>1.8029406403266757</v>
      </c>
      <c r="H31" s="11">
        <f t="shared" si="15"/>
        <v>3.5228671008359984</v>
      </c>
      <c r="I31" s="11">
        <f t="shared" si="15"/>
        <v>3.258188517810362E-2</v>
      </c>
      <c r="J31" s="11">
        <f t="shared" si="15"/>
        <v>1.3542557157428975E-2</v>
      </c>
      <c r="K31" s="11">
        <f t="shared" si="15"/>
        <v>5.6898535088736664E-2</v>
      </c>
      <c r="L31" s="11">
        <f t="shared" si="15"/>
        <v>3.2301185197484775E-2</v>
      </c>
      <c r="M31" s="11">
        <f t="shared" si="15"/>
        <v>9.7977679217712582E-2</v>
      </c>
      <c r="N31" s="6"/>
      <c r="O31" s="11">
        <f t="shared" si="9"/>
        <v>1.07295985611895</v>
      </c>
      <c r="P31" s="11">
        <f t="shared" si="9"/>
        <v>2.0397250684141239</v>
      </c>
      <c r="Q31" s="11">
        <f t="shared" si="9"/>
        <v>0.1637817457002303</v>
      </c>
      <c r="R31" s="11">
        <f t="shared" si="9"/>
        <v>1.5947781792297644</v>
      </c>
      <c r="S31" s="11">
        <f t="shared" si="9"/>
        <v>1.1292440557732253</v>
      </c>
      <c r="T31" s="11">
        <f t="shared" ref="T31:V31" si="16">IF(T8="","",(T8/$O$23))</f>
        <v>2.0473670442593099</v>
      </c>
      <c r="U31" s="11">
        <f t="shared" si="16"/>
        <v>2.39893991644422</v>
      </c>
      <c r="V31" s="11">
        <f t="shared" si="16"/>
        <v>1.4330914410799691</v>
      </c>
    </row>
    <row r="32" spans="1:22" x14ac:dyDescent="0.25">
      <c r="A32" s="227"/>
      <c r="B32" s="11">
        <f t="shared" ref="B32:M32" si="17">IF(B9="","",(B9/$O$23))</f>
        <v>0.4391054292914448</v>
      </c>
      <c r="C32" s="11">
        <f t="shared" si="17"/>
        <v>7.2844991466024661E-2</v>
      </c>
      <c r="D32" s="11">
        <f t="shared" si="17"/>
        <v>0.32944097674770673</v>
      </c>
      <c r="E32" s="11">
        <f t="shared" si="17"/>
        <v>0.18955483098718121</v>
      </c>
      <c r="F32" s="11">
        <f t="shared" si="17"/>
        <v>8.3961542251941829E-2</v>
      </c>
      <c r="G32" s="11">
        <f t="shared" si="17"/>
        <v>2.6507497033930747</v>
      </c>
      <c r="H32" s="11">
        <f t="shared" si="17"/>
        <v>2.5817916156687906</v>
      </c>
      <c r="I32" s="11">
        <f t="shared" si="17"/>
        <v>2.6589224536958323E-2</v>
      </c>
      <c r="J32" s="11">
        <f t="shared" si="17"/>
        <v>8.8115861401519766E-2</v>
      </c>
      <c r="K32" s="11">
        <f t="shared" si="17"/>
        <v>5.6587006786546962E-2</v>
      </c>
      <c r="L32" s="11">
        <f t="shared" si="17"/>
        <v>7.4639220063239003E-2</v>
      </c>
      <c r="M32" s="11" t="str">
        <f t="shared" si="17"/>
        <v/>
      </c>
      <c r="N32" s="6"/>
      <c r="O32" s="11">
        <f t="shared" si="9"/>
        <v>0.32228130188078047</v>
      </c>
      <c r="P32" s="11" t="str">
        <f t="shared" si="9"/>
        <v/>
      </c>
      <c r="Q32" s="11">
        <f t="shared" si="9"/>
        <v>7.8990881034451427E-2</v>
      </c>
      <c r="R32" s="11">
        <f t="shared" si="9"/>
        <v>2.7763213670494689</v>
      </c>
      <c r="S32" s="11">
        <f t="shared" si="9"/>
        <v>1.4131662044499427</v>
      </c>
      <c r="T32" s="11">
        <f t="shared" ref="T32:V32" si="18">IF(T9="","",(T9/$O$23))</f>
        <v>1.7604397426831491</v>
      </c>
      <c r="U32" s="11">
        <f t="shared" si="18"/>
        <v>1.6215628188182591</v>
      </c>
      <c r="V32" s="11">
        <f t="shared" si="18"/>
        <v>2.1387600373709739</v>
      </c>
    </row>
    <row r="33" spans="1:22" x14ac:dyDescent="0.25">
      <c r="A33" s="227"/>
      <c r="B33" s="11">
        <f t="shared" ref="B33:M33" si="19">IF(B10="","",(B10/$O$23))</f>
        <v>6.6514740421887986E-2</v>
      </c>
      <c r="C33" s="11">
        <f t="shared" si="19"/>
        <v>5.1910431531410117E-2</v>
      </c>
      <c r="D33" s="11" t="str">
        <f t="shared" si="19"/>
        <v/>
      </c>
      <c r="E33" s="11">
        <f t="shared" si="19"/>
        <v>0.18392643130354419</v>
      </c>
      <c r="F33" s="11">
        <f t="shared" si="19"/>
        <v>0.59742082681419018</v>
      </c>
      <c r="G33" s="11">
        <f t="shared" si="19"/>
        <v>1.3824443622792491</v>
      </c>
      <c r="H33" s="11">
        <f t="shared" si="19"/>
        <v>3.6412922727892965</v>
      </c>
      <c r="I33" s="11">
        <f t="shared" si="19"/>
        <v>8.6465329290048524E-3</v>
      </c>
      <c r="J33" s="11">
        <f t="shared" si="19"/>
        <v>3.5529640610411667E-2</v>
      </c>
      <c r="K33" s="11">
        <f t="shared" si="19"/>
        <v>0.10892295028279693</v>
      </c>
      <c r="L33" s="11">
        <f t="shared" si="19"/>
        <v>0.31695114592655099</v>
      </c>
      <c r="M33" s="11">
        <f t="shared" si="19"/>
        <v>9.3242489588010093E-3</v>
      </c>
      <c r="N33" s="6"/>
      <c r="O33" s="11">
        <f t="shared" si="9"/>
        <v>0.99763166363218325</v>
      </c>
      <c r="P33" s="11">
        <f t="shared" si="9"/>
        <v>1.7350483606935425</v>
      </c>
      <c r="Q33" s="11">
        <f t="shared" si="9"/>
        <v>0.13302927802587089</v>
      </c>
      <c r="R33" s="11">
        <f t="shared" si="9"/>
        <v>1.0040674813959096</v>
      </c>
      <c r="S33" s="11">
        <f t="shared" si="9"/>
        <v>2.7036999823237857</v>
      </c>
      <c r="T33" s="11">
        <f t="shared" ref="T33:V33" si="20">IF(T10="","",(T10/$O$23))</f>
        <v>1.3686870209603494</v>
      </c>
      <c r="U33" s="11">
        <f t="shared" si="20"/>
        <v>6.1105789711538239E-2</v>
      </c>
      <c r="V33" s="11">
        <f t="shared" si="20"/>
        <v>2.1797294570133059</v>
      </c>
    </row>
    <row r="34" spans="1:22" x14ac:dyDescent="0.25">
      <c r="A34" s="227"/>
      <c r="B34" s="11">
        <f t="shared" ref="B34:M34" si="21">IF(B11="","",(B11/$O$23))</f>
        <v>4.3904600364525891E-2</v>
      </c>
      <c r="C34" s="11">
        <f t="shared" si="21"/>
        <v>9.4485560528192833E-2</v>
      </c>
      <c r="D34" s="11">
        <f t="shared" si="21"/>
        <v>4.1829367559835101E-2</v>
      </c>
      <c r="E34" s="11">
        <f t="shared" si="21"/>
        <v>0.6518320031151309</v>
      </c>
      <c r="F34" s="11">
        <f t="shared" si="21"/>
        <v>0.70959048612137032</v>
      </c>
      <c r="G34" s="11">
        <f t="shared" si="21"/>
        <v>1.9886129281570746</v>
      </c>
      <c r="H34" s="11">
        <f t="shared" si="21"/>
        <v>3.1444021969818579</v>
      </c>
      <c r="I34" s="11">
        <f t="shared" si="21"/>
        <v>0.17405589231743332</v>
      </c>
      <c r="J34" s="11">
        <f t="shared" si="21"/>
        <v>0.25641821538788701</v>
      </c>
      <c r="K34" s="11">
        <f t="shared" si="21"/>
        <v>6.3478759200873869E-2</v>
      </c>
      <c r="L34" s="11">
        <f t="shared" si="21"/>
        <v>0.11827163879915903</v>
      </c>
      <c r="M34" s="11" t="str">
        <f t="shared" si="21"/>
        <v/>
      </c>
      <c r="N34" s="6"/>
      <c r="O34" s="11">
        <f t="shared" si="9"/>
        <v>1.3794483361855339</v>
      </c>
      <c r="P34" s="11">
        <f t="shared" si="9"/>
        <v>2.0893586661432018</v>
      </c>
      <c r="Q34" s="11">
        <f t="shared" si="9"/>
        <v>7.6968583702984275E-2</v>
      </c>
      <c r="R34" s="11">
        <f t="shared" si="9"/>
        <v>2.0041822446398823</v>
      </c>
      <c r="S34" s="11">
        <f t="shared" si="9"/>
        <v>0.49366993592861952</v>
      </c>
      <c r="T34" s="11">
        <f t="shared" ref="T34:V34" si="22">IF(T11="","",(T11/$O$23))</f>
        <v>1.0782239948450787</v>
      </c>
      <c r="U34" s="11">
        <f t="shared" si="22"/>
        <v>2.4943777070367235</v>
      </c>
      <c r="V34" s="11">
        <f t="shared" si="22"/>
        <v>1.6234271210016755</v>
      </c>
    </row>
    <row r="35" spans="1:22" x14ac:dyDescent="0.25">
      <c r="A35" s="227"/>
      <c r="B35" s="11">
        <f t="shared" ref="B35:M35" si="23">IF(B12="","",(B12/$O$23))</f>
        <v>8.4939530190196219E-2</v>
      </c>
      <c r="C35" s="11">
        <f t="shared" si="23"/>
        <v>0.276841572792769</v>
      </c>
      <c r="D35" s="11">
        <f t="shared" si="23"/>
        <v>8.9045781496272222E-2</v>
      </c>
      <c r="E35" s="11">
        <f t="shared" si="23"/>
        <v>0.23593370838462591</v>
      </c>
      <c r="F35" s="11">
        <f t="shared" si="23"/>
        <v>1.3480947162405428</v>
      </c>
      <c r="G35" s="11">
        <f t="shared" si="23"/>
        <v>1.9832433241203087</v>
      </c>
      <c r="H35" s="11">
        <f t="shared" si="23"/>
        <v>2.8382625637119965</v>
      </c>
      <c r="I35" s="11">
        <f t="shared" si="23"/>
        <v>2.288658086197445E-2</v>
      </c>
      <c r="J35" s="11">
        <f t="shared" si="23"/>
        <v>6.3696991266730717E-3</v>
      </c>
      <c r="K35" s="11">
        <f t="shared" si="23"/>
        <v>0.11920155889391151</v>
      </c>
      <c r="L35" s="11">
        <f t="shared" si="23"/>
        <v>2.2382172732061823E-2</v>
      </c>
      <c r="M35" s="11">
        <f t="shared" si="23"/>
        <v>1.680001553078108E-2</v>
      </c>
      <c r="N35" s="6"/>
      <c r="O35" s="11">
        <f t="shared" si="9"/>
        <v>0.91679818193015794</v>
      </c>
      <c r="P35" s="11">
        <f t="shared" si="9"/>
        <v>2.5986153608944651</v>
      </c>
      <c r="Q35" s="11">
        <f t="shared" si="9"/>
        <v>0.18595765262283448</v>
      </c>
      <c r="R35" s="11">
        <f t="shared" si="9"/>
        <v>1.0460461229338773</v>
      </c>
      <c r="S35" s="11">
        <f t="shared" si="9"/>
        <v>1.16604597310215</v>
      </c>
      <c r="T35" s="11">
        <f t="shared" ref="T35:V35" si="24">IF(T12="","",(T12/$O$23))</f>
        <v>1.880216290337938</v>
      </c>
      <c r="U35" s="11">
        <f t="shared" si="24"/>
        <v>1.3359911521195957</v>
      </c>
      <c r="V35" s="11">
        <f t="shared" si="24"/>
        <v>1.793635760477809</v>
      </c>
    </row>
    <row r="36" spans="1:22" x14ac:dyDescent="0.2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1.6871693406612371</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2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0.99585944077766919</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2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1.028805181277471</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2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1.1353507000770207</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2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0.88238474966030689</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2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0.19297657186364117</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2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2.5479244734262498</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2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0.52630881293804821</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Amantadine-0,001mg/L</v>
      </c>
      <c r="J45" s="7" t="str">
        <f t="shared" si="41"/>
        <v>Amantadine-0,01mg/L</v>
      </c>
      <c r="K45" s="7" t="str">
        <f t="shared" ref="K45:M45" si="42">K4</f>
        <v>Amantadine-0,1mg/L</v>
      </c>
      <c r="L45" s="7" t="str">
        <f t="shared" si="42"/>
        <v>Amantadine-1mg/L</v>
      </c>
      <c r="M45" s="7" t="str">
        <f t="shared" si="42"/>
        <v>Amantadine-10mg/L</v>
      </c>
      <c r="N45" s="7"/>
      <c r="O45" s="7" t="str">
        <f t="shared" si="41"/>
        <v>Testo -30µg/L</v>
      </c>
      <c r="P45" s="7" t="str">
        <f t="shared" si="41"/>
        <v>Testo 30µg/L + EE2 -64ng/L</v>
      </c>
      <c r="Q45" s="7" t="str">
        <f t="shared" si="41"/>
        <v>Testo 30µg/L + FAD-10µg/L</v>
      </c>
      <c r="R45" s="7" t="str">
        <f t="shared" si="41"/>
        <v>Amantadine-0,001mg/L + Testostérone</v>
      </c>
      <c r="S45" s="7" t="str">
        <f t="shared" ref="S45:V45" si="43">S4</f>
        <v>Amantadine-0,01mg/L + Testostérone</v>
      </c>
      <c r="T45" s="7" t="str">
        <f t="shared" si="43"/>
        <v>Amantadine-0,1mg/L + Testostérone</v>
      </c>
      <c r="U45" s="7" t="str">
        <f t="shared" si="43"/>
        <v>Amantadine-1mg/L + Testostérone</v>
      </c>
      <c r="V45" s="7" t="str">
        <f t="shared" si="43"/>
        <v>Amantadine-10mg/L + Testostérone</v>
      </c>
    </row>
    <row r="46" spans="1:22" x14ac:dyDescent="0.25">
      <c r="A46" s="8" t="s">
        <v>0</v>
      </c>
      <c r="B46" s="10">
        <f t="shared" ref="B46:H46" si="44">AVERAGE(B28:B43)</f>
        <v>0.1270186172956505</v>
      </c>
      <c r="C46" s="10">
        <f t="shared" si="44"/>
        <v>0.11691907154247586</v>
      </c>
      <c r="D46" s="10">
        <f t="shared" si="44"/>
        <v>0.14895252624002145</v>
      </c>
      <c r="E46" s="10">
        <f t="shared" si="44"/>
        <v>0.5175332497930607</v>
      </c>
      <c r="F46" s="10">
        <f t="shared" si="44"/>
        <v>1.041432522638265</v>
      </c>
      <c r="G46" s="10">
        <f t="shared" si="44"/>
        <v>1.9953109260914632</v>
      </c>
      <c r="H46" s="10">
        <f t="shared" si="44"/>
        <v>3.4199924593570508</v>
      </c>
      <c r="I46" s="10">
        <f>AVERAGE(I28:I43)</f>
        <v>4.3857242383691708E-2</v>
      </c>
      <c r="J46" s="9">
        <f>AVERAGE(J28:J43)</f>
        <v>0.11246308611134231</v>
      </c>
      <c r="K46" s="9">
        <f t="shared" ref="K46:M46" si="45">AVERAGE(K28:K43)</f>
        <v>8.1956002749881213E-2</v>
      </c>
      <c r="L46" s="9">
        <f t="shared" si="45"/>
        <v>0.14931082761069409</v>
      </c>
      <c r="M46" s="9">
        <f t="shared" si="45"/>
        <v>8.4640694908565572E-2</v>
      </c>
      <c r="N46" s="8" t="s">
        <v>0</v>
      </c>
      <c r="O46" s="10">
        <f t="shared" ref="O46:R46" si="46">AVERAGE(O28:O43)</f>
        <v>1</v>
      </c>
      <c r="P46" s="10">
        <f t="shared" si="46"/>
        <v>2.1313466662787897</v>
      </c>
      <c r="Q46" s="10">
        <f t="shared" si="46"/>
        <v>0.11661280382969895</v>
      </c>
      <c r="R46" s="10">
        <f t="shared" si="46"/>
        <v>1.5236748231429449</v>
      </c>
      <c r="S46" s="10">
        <f t="shared" ref="S46:V46" si="47">AVERAGE(S28:S43)</f>
        <v>1.3024704735633927</v>
      </c>
      <c r="T46" s="10">
        <f t="shared" si="47"/>
        <v>1.4264721998733438</v>
      </c>
      <c r="U46" s="10">
        <f t="shared" si="47"/>
        <v>1.6317572579987687</v>
      </c>
      <c r="V46" s="10">
        <f t="shared" si="47"/>
        <v>1.8002156043063742</v>
      </c>
    </row>
    <row r="47" spans="1:22" x14ac:dyDescent="0.25">
      <c r="A47" s="8" t="s">
        <v>1</v>
      </c>
      <c r="B47" s="8">
        <f t="shared" ref="B47:J47" si="48">STDEV(B28:B43)</f>
        <v>0.13873130099494493</v>
      </c>
      <c r="C47" s="8">
        <f t="shared" si="48"/>
        <v>8.8403169294617875E-2</v>
      </c>
      <c r="D47" s="8">
        <f t="shared" si="48"/>
        <v>0.122574865832998</v>
      </c>
      <c r="E47" s="8">
        <f t="shared" si="48"/>
        <v>0.45279740406657326</v>
      </c>
      <c r="F47" s="8">
        <f t="shared" si="48"/>
        <v>0.60840025841629808</v>
      </c>
      <c r="G47" s="8">
        <f t="shared" si="48"/>
        <v>0.37670856106493056</v>
      </c>
      <c r="H47" s="8">
        <f t="shared" si="48"/>
        <v>0.52696107945317117</v>
      </c>
      <c r="I47" s="8">
        <f t="shared" si="48"/>
        <v>5.4497566816710238E-2</v>
      </c>
      <c r="J47" s="8">
        <f t="shared" si="48"/>
        <v>0.11265822525422867</v>
      </c>
      <c r="K47" s="8">
        <f t="shared" ref="K47:M47" si="49">STDEV(K28:K43)</f>
        <v>2.8075400284015322E-2</v>
      </c>
      <c r="L47" s="8">
        <f t="shared" si="49"/>
        <v>0.14105216117070643</v>
      </c>
      <c r="M47" s="8">
        <f t="shared" si="49"/>
        <v>6.6052189735693698E-2</v>
      </c>
      <c r="N47" s="8" t="s">
        <v>1</v>
      </c>
      <c r="O47" s="8">
        <f t="shared" ref="O47:R47" si="50">STDEV(O28:O43)</f>
        <v>0.57704283685350943</v>
      </c>
      <c r="P47" s="8">
        <f t="shared" si="50"/>
        <v>0.40798342023015194</v>
      </c>
      <c r="Q47" s="8">
        <f t="shared" si="50"/>
        <v>5.6433567860613244E-2</v>
      </c>
      <c r="R47" s="8">
        <f t="shared" si="50"/>
        <v>0.61919502164257856</v>
      </c>
      <c r="S47" s="8">
        <f t="shared" ref="S47:V47" si="51">STDEV(S28:S43)</f>
        <v>0.82265345091651232</v>
      </c>
      <c r="T47" s="8">
        <f t="shared" si="51"/>
        <v>0.40908468578928148</v>
      </c>
      <c r="U47" s="8">
        <f t="shared" si="51"/>
        <v>0.75099311542371194</v>
      </c>
      <c r="V47" s="8">
        <f t="shared" si="51"/>
        <v>0.51755237983082347</v>
      </c>
    </row>
    <row r="48" spans="1:22" x14ac:dyDescent="0.25">
      <c r="A48" s="8" t="s">
        <v>2</v>
      </c>
      <c r="B48" s="8">
        <f t="shared" ref="B48:J48" si="52" xml:space="preserve"> B47/SQRT(COUNT(B28:B43))</f>
        <v>4.9048921848178793E-2</v>
      </c>
      <c r="C48" s="8">
        <f t="shared" si="52"/>
        <v>3.1255240243303339E-2</v>
      </c>
      <c r="D48" s="8">
        <f t="shared" si="52"/>
        <v>4.6328944568745818E-2</v>
      </c>
      <c r="E48" s="8">
        <f t="shared" si="52"/>
        <v>0.16008805745956958</v>
      </c>
      <c r="F48" s="8">
        <f t="shared" si="52"/>
        <v>0.2151019742009061</v>
      </c>
      <c r="G48" s="8">
        <f t="shared" si="52"/>
        <v>0.13318658903001951</v>
      </c>
      <c r="H48" s="8">
        <f t="shared" si="52"/>
        <v>0.18630887635136018</v>
      </c>
      <c r="I48" s="8">
        <f t="shared" si="52"/>
        <v>1.9267799527131389E-2</v>
      </c>
      <c r="J48" s="8">
        <f t="shared" si="52"/>
        <v>3.9830697516853322E-2</v>
      </c>
      <c r="K48" s="8">
        <f t="shared" ref="K48:M48" si="53" xml:space="preserve"> K47/SQRT(COUNT(K28:K43))</f>
        <v>9.9261529626769769E-3</v>
      </c>
      <c r="L48" s="8">
        <f t="shared" si="53"/>
        <v>4.9869469832412174E-2</v>
      </c>
      <c r="M48" s="8">
        <f t="shared" si="53"/>
        <v>2.6965693540991674E-2</v>
      </c>
      <c r="N48" s="8" t="s">
        <v>2</v>
      </c>
      <c r="O48" s="8">
        <f t="shared" ref="O48:R48" si="54" xml:space="preserve"> O47/SQRT(COUNT(O28:O43))</f>
        <v>0.14426070921337736</v>
      </c>
      <c r="P48" s="8">
        <f t="shared" si="54"/>
        <v>0.15420323842379147</v>
      </c>
      <c r="Q48" s="8">
        <f t="shared" si="54"/>
        <v>1.9952279260395413E-2</v>
      </c>
      <c r="R48" s="8">
        <f t="shared" si="54"/>
        <v>0.21891849934020916</v>
      </c>
      <c r="S48" s="8">
        <f t="shared" ref="S48:V48" si="55" xml:space="preserve"> S47/SQRT(COUNT(S28:S43))</f>
        <v>0.29085191685479023</v>
      </c>
      <c r="T48" s="8">
        <f t="shared" si="55"/>
        <v>0.14463327770058448</v>
      </c>
      <c r="U48" s="8">
        <f t="shared" si="55"/>
        <v>0.26551616227025915</v>
      </c>
      <c r="V48" s="8">
        <f t="shared" si="55"/>
        <v>0.1829823986988055</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75" thickBot="1" x14ac:dyDescent="0.3"/>
    <row r="52" spans="1:22" x14ac:dyDescent="0.2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Amantadine-0,001mg/L</v>
      </c>
      <c r="J52" s="46" t="str">
        <f>J4</f>
        <v>Amantadine-0,01mg/L</v>
      </c>
      <c r="K52" s="46" t="str">
        <f t="shared" ref="K52:M52" si="57">K4</f>
        <v>Amantadine-0,1mg/L</v>
      </c>
      <c r="L52" s="46" t="str">
        <f t="shared" si="57"/>
        <v>Amantadine-1mg/L</v>
      </c>
      <c r="M52" s="46" t="str">
        <f t="shared" si="57"/>
        <v>Amantadine-10mg/L</v>
      </c>
      <c r="N52" s="47"/>
      <c r="O52" s="46" t="str">
        <f>O27</f>
        <v>Testo -30µg/L</v>
      </c>
      <c r="P52" s="46" t="str">
        <f>P27</f>
        <v>Testo 30µg/L + EE2 -64ng/L</v>
      </c>
      <c r="Q52" s="46" t="str">
        <f>Q27</f>
        <v>Testo 30µg/L + FAD-10µg/L</v>
      </c>
      <c r="R52" s="46" t="str">
        <f>R27</f>
        <v>Amantadine-0,001mg/L + Testostérone</v>
      </c>
      <c r="S52" s="46" t="str">
        <f t="shared" ref="S52:V52" si="58">S27</f>
        <v>Amantadine-0,01mg/L + Testostérone</v>
      </c>
      <c r="T52" s="46" t="str">
        <f t="shared" si="58"/>
        <v>Amantadine-0,1mg/L + Testostérone</v>
      </c>
      <c r="U52" s="46" t="str">
        <f t="shared" si="58"/>
        <v>Amantadine-1mg/L + Testostérone</v>
      </c>
      <c r="V52" s="46" t="str">
        <f t="shared" si="58"/>
        <v>Amantadine-10mg/L + Testostérone</v>
      </c>
    </row>
    <row r="53" spans="1:22" s="3" customFormat="1" x14ac:dyDescent="0.25">
      <c r="A53" s="61" t="s">
        <v>32</v>
      </c>
      <c r="B53" s="141">
        <f t="shared" ref="B53" si="59">B46</f>
        <v>0.1270186172956505</v>
      </c>
      <c r="C53" s="141">
        <f t="shared" ref="C53:V53" si="60">C46</f>
        <v>0.11691907154247586</v>
      </c>
      <c r="D53" s="141">
        <f t="shared" si="60"/>
        <v>0.14895252624002145</v>
      </c>
      <c r="E53" s="141">
        <f t="shared" si="60"/>
        <v>0.5175332497930607</v>
      </c>
      <c r="F53" s="141">
        <f t="shared" si="60"/>
        <v>1.041432522638265</v>
      </c>
      <c r="G53" s="141">
        <f t="shared" si="60"/>
        <v>1.9953109260914632</v>
      </c>
      <c r="H53" s="141">
        <f t="shared" si="60"/>
        <v>3.4199924593570508</v>
      </c>
      <c r="I53" s="141">
        <f t="shared" si="60"/>
        <v>4.3857242383691708E-2</v>
      </c>
      <c r="J53" s="141">
        <f t="shared" si="60"/>
        <v>0.11246308611134231</v>
      </c>
      <c r="K53" s="141">
        <f t="shared" si="60"/>
        <v>8.1956002749881213E-2</v>
      </c>
      <c r="L53" s="141">
        <f t="shared" si="60"/>
        <v>0.14931082761069409</v>
      </c>
      <c r="M53" s="141">
        <f t="shared" si="60"/>
        <v>8.4640694908565572E-2</v>
      </c>
      <c r="N53" s="141"/>
      <c r="O53" s="141">
        <f t="shared" si="60"/>
        <v>1</v>
      </c>
      <c r="P53" s="141">
        <f t="shared" si="60"/>
        <v>2.1313466662787897</v>
      </c>
      <c r="Q53" s="141">
        <f t="shared" si="60"/>
        <v>0.11661280382969895</v>
      </c>
      <c r="R53" s="141">
        <f t="shared" si="60"/>
        <v>1.5236748231429449</v>
      </c>
      <c r="S53" s="141">
        <f t="shared" si="60"/>
        <v>1.3024704735633927</v>
      </c>
      <c r="T53" s="141">
        <f t="shared" si="60"/>
        <v>1.4264721998733438</v>
      </c>
      <c r="U53" s="141">
        <f t="shared" si="60"/>
        <v>1.6317572579987687</v>
      </c>
      <c r="V53" s="141">
        <f t="shared" si="60"/>
        <v>1.8002156043063742</v>
      </c>
    </row>
    <row r="54" spans="1:22" s="3" customFormat="1" x14ac:dyDescent="0.25">
      <c r="A54" s="61" t="s">
        <v>2</v>
      </c>
      <c r="B54" s="141">
        <f t="shared" ref="B54" si="61">B48</f>
        <v>4.9048921848178793E-2</v>
      </c>
      <c r="C54" s="141">
        <f t="shared" ref="C54:V54" si="62">C48</f>
        <v>3.1255240243303339E-2</v>
      </c>
      <c r="D54" s="141">
        <f t="shared" si="62"/>
        <v>4.6328944568745818E-2</v>
      </c>
      <c r="E54" s="141">
        <f t="shared" si="62"/>
        <v>0.16008805745956958</v>
      </c>
      <c r="F54" s="141">
        <f t="shared" si="62"/>
        <v>0.2151019742009061</v>
      </c>
      <c r="G54" s="141">
        <f t="shared" si="62"/>
        <v>0.13318658903001951</v>
      </c>
      <c r="H54" s="141">
        <f t="shared" si="62"/>
        <v>0.18630887635136018</v>
      </c>
      <c r="I54" s="141">
        <f t="shared" si="62"/>
        <v>1.9267799527131389E-2</v>
      </c>
      <c r="J54" s="141">
        <f t="shared" si="62"/>
        <v>3.9830697516853322E-2</v>
      </c>
      <c r="K54" s="141">
        <f t="shared" si="62"/>
        <v>9.9261529626769769E-3</v>
      </c>
      <c r="L54" s="141">
        <f t="shared" si="62"/>
        <v>4.9869469832412174E-2</v>
      </c>
      <c r="M54" s="141">
        <f t="shared" si="62"/>
        <v>2.6965693540991674E-2</v>
      </c>
      <c r="N54" s="141"/>
      <c r="O54" s="141">
        <f t="shared" si="62"/>
        <v>0.14426070921337736</v>
      </c>
      <c r="P54" s="141">
        <f t="shared" si="62"/>
        <v>0.15420323842379147</v>
      </c>
      <c r="Q54" s="141">
        <f t="shared" si="62"/>
        <v>1.9952279260395413E-2</v>
      </c>
      <c r="R54" s="141">
        <f t="shared" si="62"/>
        <v>0.21891849934020916</v>
      </c>
      <c r="S54" s="141">
        <f t="shared" si="62"/>
        <v>0.29085191685479023</v>
      </c>
      <c r="T54" s="141">
        <f t="shared" si="62"/>
        <v>0.14463327770058448</v>
      </c>
      <c r="U54" s="141">
        <f t="shared" si="62"/>
        <v>0.26551616227025915</v>
      </c>
      <c r="V54" s="141">
        <f t="shared" si="62"/>
        <v>0.1829823986988055</v>
      </c>
    </row>
    <row r="55" spans="1:22" s="3" customFormat="1" x14ac:dyDescent="0.25">
      <c r="A55" s="61" t="s">
        <v>79</v>
      </c>
      <c r="B55" s="141">
        <f>(B53*100/$B53)-100</f>
        <v>0</v>
      </c>
      <c r="C55" s="141">
        <f t="shared" ref="C55:M55" si="63">(C53*100/$B53)-100</f>
        <v>-7.9512326367612616</v>
      </c>
      <c r="D55" s="141">
        <f t="shared" si="63"/>
        <v>17.268263039989833</v>
      </c>
      <c r="E55" s="141">
        <f t="shared" si="63"/>
        <v>307.44676710536243</v>
      </c>
      <c r="F55" s="141">
        <f t="shared" si="63"/>
        <v>719.90541608102262</v>
      </c>
      <c r="G55" s="141">
        <f t="shared" si="63"/>
        <v>1470.880685503879</v>
      </c>
      <c r="H55" s="141">
        <f t="shared" si="63"/>
        <v>2592.5127451172161</v>
      </c>
      <c r="I55" s="141">
        <f t="shared" si="63"/>
        <v>-65.47179986882638</v>
      </c>
      <c r="J55" s="141">
        <f t="shared" si="63"/>
        <v>-11.45936831482625</v>
      </c>
      <c r="K55" s="141">
        <f t="shared" si="63"/>
        <v>-35.477172957158587</v>
      </c>
      <c r="L55" s="141">
        <f t="shared" si="63"/>
        <v>17.550348751754939</v>
      </c>
      <c r="M55" s="141">
        <f t="shared" si="63"/>
        <v>-33.363551965335461</v>
      </c>
      <c r="N55" s="141"/>
      <c r="O55" s="141">
        <f>(O53*100/$O53)-100</f>
        <v>0</v>
      </c>
      <c r="P55" s="141">
        <f t="shared" ref="P55:V55" si="64">(P53*100/$O53)-100</f>
        <v>113.13466662787897</v>
      </c>
      <c r="Q55" s="141">
        <f t="shared" si="64"/>
        <v>-88.338719617030108</v>
      </c>
      <c r="R55" s="141">
        <f t="shared" si="64"/>
        <v>52.367482314294477</v>
      </c>
      <c r="S55" s="141">
        <f t="shared" si="64"/>
        <v>30.247047356339266</v>
      </c>
      <c r="T55" s="141">
        <f t="shared" si="64"/>
        <v>42.647219987334381</v>
      </c>
      <c r="U55" s="141">
        <f t="shared" si="64"/>
        <v>63.175725799876858</v>
      </c>
      <c r="V55" s="141">
        <f t="shared" si="64"/>
        <v>80.021560430637408</v>
      </c>
    </row>
    <row r="56" spans="1:22" s="3" customFormat="1" x14ac:dyDescent="0.25">
      <c r="A56" s="61" t="s">
        <v>81</v>
      </c>
      <c r="B56" s="141">
        <f>[1]!SWTEST(B28:B43)</f>
        <v>1.5845269770999426E-2</v>
      </c>
      <c r="C56" s="141">
        <f>[1]!SWTEST(C28:C43)</f>
        <v>0.52290744223772934</v>
      </c>
      <c r="D56" s="141">
        <f>[1]!SWTEST(D28:D43)</f>
        <v>0.10016745525494242</v>
      </c>
      <c r="E56" s="141">
        <f>[1]!SWTEST(E28:E43)</f>
        <v>7.0031089805074664E-2</v>
      </c>
      <c r="F56" s="141">
        <f>[1]!SWTEST(F28:F43)</f>
        <v>0.80240622380853055</v>
      </c>
      <c r="G56" s="141">
        <f>[1]!SWTEST(G28:G43)</f>
        <v>0.63035184280869505</v>
      </c>
      <c r="H56" s="141">
        <f>[1]!SWTEST(H28:H43)</f>
        <v>0.70941125214892797</v>
      </c>
      <c r="I56" s="141">
        <f>[1]!SWTEST(I28:I43)</f>
        <v>5.8586321287923404E-4</v>
      </c>
      <c r="J56" s="141">
        <f>[1]!SWTEST(J28:J43)</f>
        <v>7.3383037402195539E-2</v>
      </c>
      <c r="K56" s="141">
        <f>[1]!SWTEST(K28:K43)</f>
        <v>2.6789512847522401E-2</v>
      </c>
      <c r="L56" s="141">
        <f>[1]!SWTEST(L28:L43)</f>
        <v>0.10405082654223508</v>
      </c>
      <c r="M56" s="141">
        <f>[1]!SWTEST(M28:M43)</f>
        <v>0.32117483405167246</v>
      </c>
      <c r="N56" s="141"/>
      <c r="O56" s="141">
        <f>[1]!SWTEST(O28:O43)</f>
        <v>7.7509160482405637E-2</v>
      </c>
      <c r="P56" s="141">
        <f>[1]!SWTEST(P28:P43)</f>
        <v>0.25505428311527478</v>
      </c>
      <c r="Q56" s="141">
        <f>[1]!SWTEST(Q28:Q43)</f>
        <v>0.68127905111215914</v>
      </c>
      <c r="R56" s="141">
        <f>[1]!SWTEST(R28:R43)</f>
        <v>5.8487485319324795E-2</v>
      </c>
      <c r="S56" s="141">
        <f>[1]!SWTEST(S28:S43)</f>
        <v>0.94996577386901737</v>
      </c>
      <c r="T56" s="141">
        <f>[1]!SWTEST(T28:T43)</f>
        <v>0.11483996484916648</v>
      </c>
      <c r="U56" s="141">
        <f>[1]!SWTEST(U28:U43)</f>
        <v>0.18499722201508162</v>
      </c>
      <c r="V56" s="141">
        <f>[1]!SWTEST(V28:V43)</f>
        <v>0.63479070684810091</v>
      </c>
    </row>
    <row r="57" spans="1:22" s="3" customFormat="1" x14ac:dyDescent="0.25">
      <c r="A57" s="61" t="s">
        <v>85</v>
      </c>
      <c r="B57" s="141" t="str">
        <f>IF(B56&gt;0.05,"Oui","Non")</f>
        <v>Non</v>
      </c>
      <c r="C57" s="141" t="str">
        <f t="shared" ref="C57:V57" si="65">IF(C56&gt;0.05,"Oui","Non")</f>
        <v>Oui</v>
      </c>
      <c r="D57" s="141" t="str">
        <f t="shared" si="65"/>
        <v>Oui</v>
      </c>
      <c r="E57" s="141" t="str">
        <f t="shared" si="65"/>
        <v>Oui</v>
      </c>
      <c r="F57" s="141" t="str">
        <f t="shared" si="65"/>
        <v>Oui</v>
      </c>
      <c r="G57" s="141" t="str">
        <f t="shared" si="65"/>
        <v>Oui</v>
      </c>
      <c r="H57" s="141" t="str">
        <f t="shared" si="65"/>
        <v>Oui</v>
      </c>
      <c r="I57" s="141" t="str">
        <f t="shared" si="65"/>
        <v>Non</v>
      </c>
      <c r="J57" s="141" t="str">
        <f t="shared" si="65"/>
        <v>Oui</v>
      </c>
      <c r="K57" s="141" t="str">
        <f t="shared" si="65"/>
        <v>Non</v>
      </c>
      <c r="L57" s="141" t="str">
        <f t="shared" si="65"/>
        <v>Oui</v>
      </c>
      <c r="M57" s="141" t="str">
        <f t="shared" si="65"/>
        <v>Oui</v>
      </c>
      <c r="N57" s="141"/>
      <c r="O57" s="141" t="str">
        <f t="shared" si="65"/>
        <v>Oui</v>
      </c>
      <c r="P57" s="141" t="str">
        <f t="shared" si="65"/>
        <v>Oui</v>
      </c>
      <c r="Q57" s="141" t="str">
        <f t="shared" si="65"/>
        <v>Oui</v>
      </c>
      <c r="R57" s="141" t="str">
        <f t="shared" si="65"/>
        <v>Oui</v>
      </c>
      <c r="S57" s="141" t="str">
        <f t="shared" si="65"/>
        <v>Oui</v>
      </c>
      <c r="T57" s="141" t="str">
        <f t="shared" si="65"/>
        <v>Oui</v>
      </c>
      <c r="U57" s="141" t="str">
        <f t="shared" si="65"/>
        <v>Oui</v>
      </c>
      <c r="V57" s="141" t="str">
        <f t="shared" si="65"/>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2975</v>
      </c>
      <c r="D59" s="150" t="s">
        <v>2975</v>
      </c>
      <c r="E59" s="150" t="s">
        <v>2975</v>
      </c>
      <c r="F59" s="150" t="s">
        <v>2975</v>
      </c>
      <c r="G59" s="150" t="s">
        <v>2975</v>
      </c>
      <c r="H59" s="150" t="s">
        <v>2975</v>
      </c>
      <c r="I59" s="150" t="s">
        <v>2975</v>
      </c>
      <c r="J59" s="150" t="s">
        <v>2975</v>
      </c>
      <c r="K59" s="150" t="s">
        <v>2975</v>
      </c>
      <c r="L59" s="150" t="s">
        <v>2975</v>
      </c>
      <c r="M59" s="150" t="s">
        <v>2975</v>
      </c>
      <c r="N59" s="150"/>
      <c r="O59" s="150" t="str">
        <f t="shared" ref="O59" si="66">IF($B57="Non",IF(O57="Non","MW",IF(O57="Oui","MW","")),IF($B57="Oui",IF(O57="Oui","T-Test Welch",IF(O57="Non","MW",""))))</f>
        <v>MW</v>
      </c>
      <c r="P59" s="150" t="str">
        <f>IF($O57="Non",IF(P57="Non","MW",IF(P57="Oui","MW","")),IF($O57="Oui",IF(P57="Oui","T-Test Welch",IF(P57="Non","MW",""))))</f>
        <v>T-Test Welch</v>
      </c>
      <c r="Q59" s="150" t="str">
        <f t="shared" ref="Q59" si="67">IF($O57="Non",IF(Q57="Non","MW",IF(Q57="Oui","MW","")),IF($O57="Oui",IF(Q57="Oui","T-Test Welch",IF(Q57="Non","MW",""))))</f>
        <v>T-Test Welch</v>
      </c>
      <c r="R59" s="150" t="s">
        <v>1638</v>
      </c>
      <c r="S59" s="150" t="s">
        <v>1638</v>
      </c>
      <c r="T59" s="150" t="s">
        <v>1638</v>
      </c>
      <c r="U59" s="150" t="s">
        <v>1638</v>
      </c>
      <c r="V59" s="150" t="s">
        <v>1638</v>
      </c>
    </row>
    <row r="60" spans="1:22" s="3" customFormat="1" ht="15.75" x14ac:dyDescent="0.25">
      <c r="A60" s="61" t="s">
        <v>83</v>
      </c>
      <c r="B60" s="151"/>
      <c r="C60" s="196">
        <v>0.99990000000000001</v>
      </c>
      <c r="D60" s="196">
        <v>0.99990000000000001</v>
      </c>
      <c r="E60" s="196">
        <v>0.46710000000000002</v>
      </c>
      <c r="F60" s="196">
        <v>7.8600000000000003E-2</v>
      </c>
      <c r="G60" s="196">
        <v>1E-3</v>
      </c>
      <c r="H60" s="196">
        <v>1E-4</v>
      </c>
      <c r="I60" s="196">
        <v>0.2417</v>
      </c>
      <c r="J60" s="196">
        <v>0.99990000000000001</v>
      </c>
      <c r="K60" s="196">
        <v>0.99990000000000001</v>
      </c>
      <c r="L60" s="196">
        <v>0.99990000000000001</v>
      </c>
      <c r="M60" s="196">
        <v>0.99990000000000001</v>
      </c>
      <c r="N60" s="151"/>
      <c r="O60" s="196">
        <v>1E-4</v>
      </c>
      <c r="P60" s="196">
        <v>1E-4</v>
      </c>
      <c r="Q60" s="196">
        <v>1E-4</v>
      </c>
      <c r="R60" s="196">
        <v>0.2046</v>
      </c>
      <c r="S60" s="196">
        <v>0.69169999999999998</v>
      </c>
      <c r="T60" s="196">
        <v>0.38090000000000002</v>
      </c>
      <c r="U60" s="196">
        <v>0.09</v>
      </c>
      <c r="V60" s="196">
        <v>1.9800000000000002E-2</v>
      </c>
    </row>
    <row r="61" spans="1:22" s="3" customFormat="1" ht="15.75" thickBot="1" x14ac:dyDescent="0.3">
      <c r="A61" s="62" t="s">
        <v>84</v>
      </c>
      <c r="B61" s="142"/>
      <c r="C61" s="142" t="str">
        <f t="shared" ref="C61:O61" si="68">IF(C60&gt;0.05,"NS",IF(C60&gt;0.01,"*",IF(C60&gt;0.001,"**","***")))</f>
        <v>NS</v>
      </c>
      <c r="D61" s="142" t="str">
        <f t="shared" si="68"/>
        <v>NS</v>
      </c>
      <c r="E61" s="142" t="str">
        <f t="shared" si="68"/>
        <v>NS</v>
      </c>
      <c r="F61" s="142" t="str">
        <f t="shared" si="68"/>
        <v>NS</v>
      </c>
      <c r="G61" s="142" t="str">
        <f t="shared" si="68"/>
        <v>***</v>
      </c>
      <c r="H61" s="142" t="str">
        <f t="shared" si="68"/>
        <v>***</v>
      </c>
      <c r="I61" s="142" t="str">
        <f t="shared" si="68"/>
        <v>NS</v>
      </c>
      <c r="J61" s="142" t="str">
        <f t="shared" si="68"/>
        <v>NS</v>
      </c>
      <c r="K61" s="142" t="str">
        <f t="shared" si="68"/>
        <v>NS</v>
      </c>
      <c r="L61" s="142" t="str">
        <f t="shared" si="68"/>
        <v>NS</v>
      </c>
      <c r="M61" s="142" t="str">
        <f t="shared" si="68"/>
        <v>NS</v>
      </c>
      <c r="N61" s="142"/>
      <c r="O61" s="142" t="str">
        <f t="shared" si="68"/>
        <v>***</v>
      </c>
      <c r="P61" s="142" t="str">
        <f>IF(P60&gt;0.05,"NS",IF(P60&gt;0.01,"*",IF(P60&gt;0.001,"**","***")))</f>
        <v>***</v>
      </c>
      <c r="Q61" s="142" t="str">
        <f t="shared" ref="Q61:V61" si="69">IF(Q60&gt;0.05,"NS",IF(Q60&gt;0.01,"*",IF(Q60&gt;0.001,"**","***")))</f>
        <v>***</v>
      </c>
      <c r="R61" s="142" t="str">
        <f t="shared" si="69"/>
        <v>NS</v>
      </c>
      <c r="S61" s="142" t="str">
        <f t="shared" si="69"/>
        <v>NS</v>
      </c>
      <c r="T61" s="142" t="str">
        <f t="shared" si="69"/>
        <v>NS</v>
      </c>
      <c r="U61" s="142" t="str">
        <f t="shared" si="69"/>
        <v>NS</v>
      </c>
      <c r="V61" s="142" t="str">
        <f t="shared" si="69"/>
        <v>*</v>
      </c>
    </row>
    <row r="63" spans="1:22" x14ac:dyDescent="0.25">
      <c r="A63" s="2" t="s">
        <v>39</v>
      </c>
    </row>
    <row r="64" spans="1:22" x14ac:dyDescent="0.25">
      <c r="A64" s="1" t="s">
        <v>23</v>
      </c>
      <c r="B64" s="1">
        <f>B46+(3*B47)</f>
        <v>0.54321252028048539</v>
      </c>
    </row>
    <row r="65" spans="1:22" x14ac:dyDescent="0.25">
      <c r="A65" s="1" t="s">
        <v>24</v>
      </c>
      <c r="B65" s="1">
        <f>B46+(10*B47)</f>
        <v>1.5143316272450997</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96"/>
      <c r="E69" s="12"/>
      <c r="F69" s="12"/>
      <c r="I69" s="196"/>
      <c r="N69" s="12"/>
      <c r="O69" s="12"/>
      <c r="P69" s="12"/>
      <c r="Q69" s="12"/>
      <c r="R69" s="12"/>
      <c r="S69" s="12"/>
      <c r="T69" s="12"/>
      <c r="U69" s="12"/>
      <c r="V69" s="12"/>
    </row>
    <row r="70" spans="1:22" ht="16.5" x14ac:dyDescent="0.25">
      <c r="A70" s="12"/>
      <c r="B70" s="12"/>
      <c r="C70" s="12"/>
      <c r="D70" s="196"/>
      <c r="E70" s="12"/>
      <c r="F70" s="12"/>
      <c r="I70" s="196"/>
      <c r="N70" s="12"/>
      <c r="O70" s="12"/>
      <c r="P70" s="12"/>
      <c r="Q70" s="12"/>
      <c r="R70" s="12"/>
      <c r="S70" s="12"/>
      <c r="T70" s="12"/>
      <c r="U70" s="12"/>
      <c r="V70" s="12"/>
    </row>
    <row r="71" spans="1:22" ht="16.5" x14ac:dyDescent="0.25">
      <c r="A71" s="12"/>
      <c r="B71" s="12"/>
      <c r="C71" s="12"/>
      <c r="D71" s="196"/>
      <c r="E71" s="12"/>
      <c r="F71" s="12"/>
      <c r="I71" s="196"/>
      <c r="N71" s="12"/>
      <c r="O71" s="12"/>
      <c r="P71" s="12"/>
      <c r="Q71" s="12"/>
      <c r="R71" s="12"/>
      <c r="S71" s="12"/>
      <c r="T71" s="12"/>
      <c r="U71" s="12"/>
      <c r="V71" s="12"/>
    </row>
    <row r="72" spans="1:22" ht="16.5" x14ac:dyDescent="0.25">
      <c r="A72" s="12"/>
      <c r="B72" s="12"/>
      <c r="C72" s="12"/>
      <c r="D72" s="196"/>
      <c r="E72" s="12"/>
      <c r="F72" s="12"/>
      <c r="I72" s="196"/>
      <c r="N72" s="12"/>
      <c r="O72" s="12"/>
      <c r="P72" s="12"/>
      <c r="Q72" s="12"/>
      <c r="R72" s="196"/>
      <c r="S72" s="12"/>
      <c r="T72" s="12"/>
      <c r="U72" s="12"/>
      <c r="V72" s="12"/>
    </row>
    <row r="73" spans="1:22" ht="16.5" x14ac:dyDescent="0.25">
      <c r="A73" s="12"/>
      <c r="B73" s="12"/>
      <c r="C73" s="12"/>
      <c r="D73" s="196"/>
      <c r="E73" s="12"/>
      <c r="F73" s="12"/>
      <c r="I73" s="196"/>
      <c r="N73" s="12"/>
      <c r="O73" s="12"/>
      <c r="P73" s="12"/>
      <c r="Q73" s="12"/>
      <c r="R73" s="196"/>
      <c r="S73" s="12"/>
      <c r="T73" s="12"/>
      <c r="U73" s="12"/>
      <c r="V73" s="12"/>
    </row>
    <row r="74" spans="1:22" ht="16.5" x14ac:dyDescent="0.25">
      <c r="A74" s="12"/>
      <c r="B74" s="12"/>
      <c r="C74" s="12"/>
      <c r="D74" s="196"/>
      <c r="E74" s="12"/>
      <c r="F74" s="12"/>
      <c r="N74" s="12"/>
      <c r="O74" s="12"/>
      <c r="P74" s="12"/>
      <c r="Q74" s="12"/>
      <c r="R74" s="196"/>
      <c r="S74" s="12"/>
      <c r="T74" s="12"/>
      <c r="U74" s="12"/>
      <c r="V74" s="12"/>
    </row>
    <row r="75" spans="1:22" ht="15.75" x14ac:dyDescent="0.25">
      <c r="R75" s="196"/>
    </row>
    <row r="76" spans="1:22" ht="15.75" x14ac:dyDescent="0.25">
      <c r="R76" s="196"/>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K1" zoomScale="80" zoomScaleNormal="80" workbookViewId="0">
      <selection activeCell="AB5" sqref="AB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1608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2976</v>
      </c>
      <c r="D2" s="1" t="s">
        <v>191</v>
      </c>
      <c r="E2" s="1" t="s">
        <v>2977</v>
      </c>
      <c r="F2" s="1" t="s">
        <v>112</v>
      </c>
      <c r="G2" s="1">
        <v>263582</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2978</v>
      </c>
      <c r="D3" s="1" t="s">
        <v>221</v>
      </c>
      <c r="E3" s="1" t="s">
        <v>2979</v>
      </c>
      <c r="F3" s="1" t="s">
        <v>112</v>
      </c>
      <c r="G3" s="1">
        <v>175613</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2980</v>
      </c>
      <c r="D4" s="1" t="s">
        <v>2324</v>
      </c>
      <c r="E4" s="1" t="s">
        <v>2981</v>
      </c>
      <c r="F4" s="1" t="s">
        <v>112</v>
      </c>
      <c r="G4" s="1">
        <v>65647</v>
      </c>
      <c r="K4" s="118" t="s">
        <v>100</v>
      </c>
      <c r="L4" s="1" t="s">
        <v>1609</v>
      </c>
      <c r="M4" s="1" t="s">
        <v>1610</v>
      </c>
      <c r="N4" s="1" t="s">
        <v>1611</v>
      </c>
      <c r="O4" s="1" t="s">
        <v>1612</v>
      </c>
      <c r="P4" s="1" t="s">
        <v>1613</v>
      </c>
      <c r="Q4" s="1" t="s">
        <v>1614</v>
      </c>
      <c r="R4" s="1" t="s">
        <v>1615</v>
      </c>
      <c r="S4" s="1" t="s">
        <v>1616</v>
      </c>
      <c r="T4" s="1" t="s">
        <v>1617</v>
      </c>
      <c r="U4" s="1" t="s">
        <v>1618</v>
      </c>
      <c r="V4" s="1" t="s">
        <v>1619</v>
      </c>
      <c r="W4" s="1" t="s">
        <v>1620</v>
      </c>
      <c r="X4" s="1" t="s">
        <v>1621</v>
      </c>
      <c r="Y4" s="1" t="s">
        <v>1622</v>
      </c>
      <c r="Z4" s="1" t="s">
        <v>1623</v>
      </c>
      <c r="AA4" s="1" t="s">
        <v>1624</v>
      </c>
      <c r="AB4" s="1" t="s">
        <v>1625</v>
      </c>
      <c r="AC4" s="1" t="s">
        <v>1626</v>
      </c>
      <c r="AD4" s="1" t="s">
        <v>1627</v>
      </c>
      <c r="AE4" s="1" t="s">
        <v>1628</v>
      </c>
      <c r="AF4" s="1" t="s">
        <v>1629</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2982</v>
      </c>
      <c r="D5" s="1" t="s">
        <v>2983</v>
      </c>
      <c r="E5" s="1" t="s">
        <v>2984</v>
      </c>
      <c r="F5" s="1" t="s">
        <v>112</v>
      </c>
      <c r="G5" s="1">
        <v>446809</v>
      </c>
      <c r="K5" s="145" t="s">
        <v>164</v>
      </c>
      <c r="L5" s="44">
        <v>168280.66666666666</v>
      </c>
      <c r="M5" s="44">
        <v>697282.66666666663</v>
      </c>
      <c r="N5" s="44">
        <v>433528</v>
      </c>
      <c r="O5" s="44">
        <v>324484.33333333331</v>
      </c>
      <c r="P5" s="44">
        <v>183032</v>
      </c>
      <c r="Q5" s="44">
        <v>2100010.3333333335</v>
      </c>
      <c r="R5" s="44">
        <v>3524908.3333333335</v>
      </c>
      <c r="S5" s="44">
        <v>284952.33333333331</v>
      </c>
      <c r="T5" s="44">
        <v>162173.66666666666</v>
      </c>
      <c r="U5" s="44"/>
      <c r="V5" s="44">
        <v>27416</v>
      </c>
      <c r="W5" s="44">
        <v>331687</v>
      </c>
      <c r="X5" s="44">
        <v>266451.33333333331</v>
      </c>
      <c r="Y5" s="44">
        <v>1827603.3333333333</v>
      </c>
      <c r="Z5" s="44">
        <v>3051934.6666666665</v>
      </c>
      <c r="AA5" s="44">
        <v>209139.5</v>
      </c>
      <c r="AB5" s="44">
        <v>2648696</v>
      </c>
      <c r="AC5" s="44">
        <v>4036600</v>
      </c>
      <c r="AD5" s="44">
        <v>208988</v>
      </c>
      <c r="AE5" s="44">
        <v>208908.33333333334</v>
      </c>
      <c r="AF5" s="44">
        <v>807415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2985</v>
      </c>
      <c r="D6" s="1" t="s">
        <v>713</v>
      </c>
      <c r="E6" s="1" t="s">
        <v>2986</v>
      </c>
      <c r="F6" s="1" t="s">
        <v>112</v>
      </c>
      <c r="G6" s="1">
        <v>469455</v>
      </c>
      <c r="K6" s="145" t="s">
        <v>1630</v>
      </c>
      <c r="L6" s="44">
        <v>482036.66666666669</v>
      </c>
      <c r="M6" s="44">
        <v>136008.66666666666</v>
      </c>
      <c r="N6" s="44">
        <v>576329</v>
      </c>
      <c r="O6" s="44">
        <v>299841</v>
      </c>
      <c r="P6" s="44">
        <v>755604.33333333337</v>
      </c>
      <c r="Q6" s="44">
        <v>2969366.3333333335</v>
      </c>
      <c r="R6" s="44">
        <v>5199077</v>
      </c>
      <c r="S6" s="44">
        <v>190609.66666666666</v>
      </c>
      <c r="T6" s="44">
        <v>83498.666666666672</v>
      </c>
      <c r="U6" s="44">
        <v>73318.333333333328</v>
      </c>
      <c r="V6" s="44">
        <v>286906</v>
      </c>
      <c r="W6" s="44">
        <v>194330</v>
      </c>
      <c r="X6" s="44">
        <v>1452202.3333333333</v>
      </c>
      <c r="Y6" s="44">
        <v>2484676.6666666665</v>
      </c>
      <c r="Z6" s="44">
        <v>942803.66666666663</v>
      </c>
      <c r="AA6" s="44">
        <v>290914.66666666669</v>
      </c>
      <c r="AB6" s="44">
        <v>1967137.6666666667</v>
      </c>
      <c r="AC6" s="44">
        <v>271130.66666666669</v>
      </c>
      <c r="AD6" s="44">
        <v>72373.666666666672</v>
      </c>
      <c r="AE6" s="44">
        <v>1345292.6666666667</v>
      </c>
      <c r="AF6" s="44">
        <v>1622660</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2987</v>
      </c>
      <c r="D7" s="1" t="s">
        <v>2988</v>
      </c>
      <c r="E7" s="1" t="s">
        <v>2989</v>
      </c>
      <c r="F7" s="1" t="s">
        <v>112</v>
      </c>
      <c r="G7" s="1">
        <v>529846</v>
      </c>
      <c r="K7" s="145" t="s">
        <v>1631</v>
      </c>
      <c r="L7" s="44">
        <v>103045</v>
      </c>
      <c r="M7" s="44">
        <v>58703.666666666664</v>
      </c>
      <c r="N7" s="44">
        <v>23230.666666666668</v>
      </c>
      <c r="O7" s="44">
        <v>405560.66666666669</v>
      </c>
      <c r="P7" s="44">
        <v>4180669</v>
      </c>
      <c r="Q7" s="44">
        <v>1427147.3333333333</v>
      </c>
      <c r="R7" s="44">
        <v>4850431.666666667</v>
      </c>
      <c r="S7" s="44">
        <v>280403</v>
      </c>
      <c r="T7" s="44">
        <v>98445</v>
      </c>
      <c r="U7" s="44"/>
      <c r="V7" s="44">
        <v>226566</v>
      </c>
      <c r="W7" s="44">
        <v>8709.6666666666661</v>
      </c>
      <c r="X7" s="44">
        <v>2799499.6666666665</v>
      </c>
      <c r="Y7" s="44">
        <v>3274496</v>
      </c>
      <c r="Z7" s="44">
        <v>1010289</v>
      </c>
      <c r="AA7" s="44">
        <v>40880.666666666664</v>
      </c>
      <c r="AB7" s="44">
        <v>327245.66666666669</v>
      </c>
      <c r="AC7" s="44">
        <v>3119485</v>
      </c>
      <c r="AD7" s="44">
        <v>118294</v>
      </c>
      <c r="AE7" s="44">
        <v>142497.5</v>
      </c>
      <c r="AF7" s="44">
        <v>1134257.3333333333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2990</v>
      </c>
      <c r="D8" s="1" t="s">
        <v>2991</v>
      </c>
      <c r="E8" s="1" t="s">
        <v>2992</v>
      </c>
      <c r="F8" s="1" t="s">
        <v>112</v>
      </c>
      <c r="G8" s="1">
        <v>199536</v>
      </c>
      <c r="K8" s="145" t="s">
        <v>1632</v>
      </c>
      <c r="L8" s="44">
        <v>99205.5</v>
      </c>
      <c r="M8" s="44">
        <v>128438.33333333333</v>
      </c>
      <c r="N8" s="44">
        <v>172657</v>
      </c>
      <c r="O8" s="44">
        <v>334167.33333333331</v>
      </c>
      <c r="P8" s="44">
        <v>2828310.3333333335</v>
      </c>
      <c r="Q8" s="44">
        <v>873509</v>
      </c>
      <c r="R8" s="44">
        <v>6624003.5</v>
      </c>
      <c r="S8" s="44">
        <v>495562.66666666669</v>
      </c>
      <c r="T8" s="44">
        <v>165281.33333333334</v>
      </c>
      <c r="U8" s="44">
        <v>21312.666666666668</v>
      </c>
      <c r="V8" s="44">
        <v>42178.333333333336</v>
      </c>
      <c r="W8" s="44">
        <v>304722</v>
      </c>
      <c r="X8" s="44">
        <v>584036</v>
      </c>
      <c r="Y8" s="44">
        <v>235715.66666666666</v>
      </c>
      <c r="Z8" s="44">
        <v>1976417.3333333333</v>
      </c>
      <c r="AA8" s="44">
        <v>143233</v>
      </c>
      <c r="AB8" s="44">
        <v>1105273.3333333333</v>
      </c>
      <c r="AC8" s="44">
        <v>1075489</v>
      </c>
      <c r="AD8" s="44">
        <v>891346.33333333337</v>
      </c>
      <c r="AE8" s="44">
        <v>3714891</v>
      </c>
      <c r="AF8" s="44">
        <v>2007831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2993</v>
      </c>
      <c r="K9" s="145" t="s">
        <v>1633</v>
      </c>
      <c r="L9" s="44">
        <v>164098.66666666666</v>
      </c>
      <c r="M9" s="44">
        <v>108337</v>
      </c>
      <c r="N9" s="44">
        <v>172693</v>
      </c>
      <c r="O9" s="44">
        <v>737255</v>
      </c>
      <c r="P9" s="44">
        <v>1882255</v>
      </c>
      <c r="Q9" s="44">
        <v>2337881.6666666665</v>
      </c>
      <c r="R9" s="44">
        <v>4760350.333333333</v>
      </c>
      <c r="S9" s="44">
        <v>157573.66666666666</v>
      </c>
      <c r="T9" s="44">
        <v>57398.666666666664</v>
      </c>
      <c r="U9" s="44">
        <v>268045</v>
      </c>
      <c r="V9" s="44">
        <v>27052</v>
      </c>
      <c r="W9" s="44">
        <v>178900.66666666666</v>
      </c>
      <c r="X9" s="44">
        <v>168323.66666666666</v>
      </c>
      <c r="Y9" s="44">
        <v>2415461</v>
      </c>
      <c r="Z9" s="44">
        <v>4757473.333333333</v>
      </c>
      <c r="AA9" s="44">
        <v>247997.5</v>
      </c>
      <c r="AB9" s="44">
        <v>749490.33333333337</v>
      </c>
      <c r="AC9" s="44">
        <v>2659958</v>
      </c>
      <c r="AD9" s="44">
        <v>1615017.6666666667</v>
      </c>
      <c r="AE9" s="44">
        <v>1338948</v>
      </c>
      <c r="AF9" s="44">
        <v>2863308</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2994</v>
      </c>
      <c r="D10" s="1" t="s">
        <v>2188</v>
      </c>
      <c r="E10" s="1" t="s">
        <v>2995</v>
      </c>
      <c r="F10" s="1" t="s">
        <v>112</v>
      </c>
      <c r="G10" s="1">
        <v>6554</v>
      </c>
      <c r="K10" s="145" t="s">
        <v>1634</v>
      </c>
      <c r="L10" s="44">
        <v>179001.66666666666</v>
      </c>
      <c r="M10" s="44">
        <v>204395.33333333334</v>
      </c>
      <c r="N10" s="44">
        <v>136124.33333333334</v>
      </c>
      <c r="O10" s="44">
        <v>389006.33333333331</v>
      </c>
      <c r="P10" s="44">
        <v>1397947</v>
      </c>
      <c r="Q10" s="44">
        <v>4019461.6666666665</v>
      </c>
      <c r="R10" s="44">
        <v>5427207.333333333</v>
      </c>
      <c r="S10" s="44"/>
      <c r="T10" s="44">
        <v>239111.33333333334</v>
      </c>
      <c r="U10" s="44">
        <v>400268.33333333331</v>
      </c>
      <c r="V10" s="44">
        <v>322725.33333333331</v>
      </c>
      <c r="W10" s="44">
        <v>15963</v>
      </c>
      <c r="X10" s="44">
        <v>1062583</v>
      </c>
      <c r="Y10" s="44">
        <v>1061458.3333333333</v>
      </c>
      <c r="Z10" s="44">
        <v>4174656.3333333335</v>
      </c>
      <c r="AA10" s="44">
        <v>100849.5</v>
      </c>
      <c r="AB10" s="44">
        <v>537192.66666666663</v>
      </c>
      <c r="AC10" s="44">
        <v>483060</v>
      </c>
      <c r="AD10" s="44">
        <v>209009.33333333334</v>
      </c>
      <c r="AE10" s="44">
        <v>1257886.3333333333</v>
      </c>
      <c r="AF10" s="44">
        <v>339214.66666666669</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2996</v>
      </c>
      <c r="D11" s="1" t="s">
        <v>2199</v>
      </c>
      <c r="E11" s="1" t="s">
        <v>2997</v>
      </c>
      <c r="F11" s="1" t="s">
        <v>112</v>
      </c>
      <c r="G11" s="1">
        <v>145634</v>
      </c>
      <c r="K11" s="145" t="s">
        <v>1635</v>
      </c>
      <c r="L11" s="44">
        <v>89403.666666666672</v>
      </c>
      <c r="M11" s="44">
        <v>41839.333333333336</v>
      </c>
      <c r="N11" s="44">
        <v>326734</v>
      </c>
      <c r="O11" s="44">
        <v>252449.66666666666</v>
      </c>
      <c r="P11" s="44">
        <v>1615915.5</v>
      </c>
      <c r="Q11" s="44">
        <v>2892638</v>
      </c>
      <c r="R11" s="44">
        <v>5539106</v>
      </c>
      <c r="S11" s="44">
        <v>431041</v>
      </c>
      <c r="T11" s="44">
        <v>15537.333333333334</v>
      </c>
      <c r="U11" s="44">
        <v>56245</v>
      </c>
      <c r="V11" s="44">
        <v>326611.66666666669</v>
      </c>
      <c r="W11" s="44">
        <v>78819.5</v>
      </c>
      <c r="X11" s="44">
        <v>2288543.6666666665</v>
      </c>
      <c r="Y11" s="44">
        <v>1211764.3333333333</v>
      </c>
      <c r="Z11" s="44">
        <v>3422130.6666666665</v>
      </c>
      <c r="AA11" s="44">
        <v>61133.333333333336</v>
      </c>
      <c r="AB11" s="44">
        <v>2791965</v>
      </c>
      <c r="AC11" s="44">
        <v>893163</v>
      </c>
      <c r="AD11" s="44">
        <v>200278.33333333334</v>
      </c>
      <c r="AE11" s="44">
        <v>425849.33333333331</v>
      </c>
      <c r="AF11" s="44">
        <v>529565</v>
      </c>
      <c r="AG11"/>
    </row>
    <row r="12" spans="1:144" x14ac:dyDescent="0.25">
      <c r="A12" s="1" t="str">
        <f t="shared" si="0"/>
        <v>01 Evian + 0.2% DMSO</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2998</v>
      </c>
      <c r="K12" s="145" t="s">
        <v>1636</v>
      </c>
      <c r="L12" s="44">
        <v>96938</v>
      </c>
      <c r="M12" s="44">
        <v>546386</v>
      </c>
      <c r="N12" s="44">
        <v>265925</v>
      </c>
      <c r="O12" s="44">
        <v>427204.66666666669</v>
      </c>
      <c r="P12" s="44">
        <v>410218.33333333331</v>
      </c>
      <c r="Q12" s="44">
        <v>4587715</v>
      </c>
      <c r="R12" s="44">
        <v>5739262</v>
      </c>
      <c r="S12" s="44">
        <v>360267.66666666669</v>
      </c>
      <c r="T12" s="44">
        <v>191244.33333333334</v>
      </c>
      <c r="U12" s="44">
        <v>40361</v>
      </c>
      <c r="V12" s="44">
        <v>190638.66666666666</v>
      </c>
      <c r="W12" s="44">
        <v>43541</v>
      </c>
      <c r="X12" s="44"/>
      <c r="Y12" s="44">
        <v>2949892.3333333335</v>
      </c>
      <c r="Z12" s="44">
        <v>1697427.6666666667</v>
      </c>
      <c r="AA12" s="44">
        <v>385567</v>
      </c>
      <c r="AB12" s="44">
        <v>2392749.6666666665</v>
      </c>
      <c r="AC12" s="44"/>
      <c r="AD12" s="44">
        <v>2215038.3333333335</v>
      </c>
      <c r="AE12" s="44">
        <v>2449852.3333333335</v>
      </c>
      <c r="AF12" s="44">
        <v>1190877</v>
      </c>
      <c r="AG12"/>
    </row>
    <row r="13" spans="1:144" x14ac:dyDescent="0.25">
      <c r="A13" s="1" t="str">
        <f t="shared" si="0"/>
        <v>01 Evian + 0.2% DMSO</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2999</v>
      </c>
      <c r="D13" s="1" t="s">
        <v>184</v>
      </c>
      <c r="E13" s="1" t="s">
        <v>3000</v>
      </c>
      <c r="F13" s="1" t="s">
        <v>112</v>
      </c>
      <c r="G13" s="1">
        <v>52777</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3001</v>
      </c>
      <c r="D14" s="1" t="s">
        <v>2247</v>
      </c>
      <c r="E14" s="1" t="s">
        <v>3002</v>
      </c>
      <c r="F14" s="1" t="s">
        <v>112</v>
      </c>
      <c r="G14" s="1">
        <v>232435</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3003</v>
      </c>
      <c r="D15" s="1" t="s">
        <v>781</v>
      </c>
      <c r="E15" s="1" t="s">
        <v>3004</v>
      </c>
      <c r="F15" s="1" t="s">
        <v>112</v>
      </c>
      <c r="G15" s="1">
        <v>192852</v>
      </c>
    </row>
    <row r="16" spans="1:144" x14ac:dyDescent="0.25">
      <c r="A16" s="1" t="str">
        <f t="shared" si="0"/>
        <v>01 Evian + 0.2% DMSO</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3005</v>
      </c>
      <c r="D16" s="1" t="s">
        <v>237</v>
      </c>
      <c r="E16" s="1" t="s">
        <v>3006</v>
      </c>
      <c r="F16" s="1" t="s">
        <v>112</v>
      </c>
      <c r="G16" s="1">
        <v>67009</v>
      </c>
    </row>
    <row r="17" spans="1:10" x14ac:dyDescent="0.25">
      <c r="A17" s="1" t="str">
        <f t="shared" si="0"/>
        <v>01 Evian + 0.2% DMSO</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3007</v>
      </c>
      <c r="D17" s="1" t="s">
        <v>1760</v>
      </c>
      <c r="E17" s="1" t="s">
        <v>3008</v>
      </c>
      <c r="F17" s="1" t="s">
        <v>112</v>
      </c>
      <c r="G17" s="1">
        <v>198216</v>
      </c>
    </row>
    <row r="18" spans="1:10" x14ac:dyDescent="0.25">
      <c r="A18" s="1" t="str">
        <f t="shared" si="0"/>
        <v>01 Evian + 0.2% DMSO</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3009</v>
      </c>
      <c r="D18" s="1" t="s">
        <v>1723</v>
      </c>
      <c r="E18" s="1" t="s">
        <v>3010</v>
      </c>
      <c r="F18" s="1" t="s">
        <v>112</v>
      </c>
      <c r="G18" s="1">
        <v>12048</v>
      </c>
    </row>
    <row r="19" spans="1:10" x14ac:dyDescent="0.25">
      <c r="A19" s="1" t="str">
        <f t="shared" si="0"/>
        <v>01 Evian + 0.2% DMSO</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3011</v>
      </c>
      <c r="D19" s="1" t="s">
        <v>1787</v>
      </c>
      <c r="E19" s="1" t="s">
        <v>3012</v>
      </c>
      <c r="F19" s="1" t="s">
        <v>112</v>
      </c>
      <c r="G19" s="1">
        <v>326741</v>
      </c>
    </row>
    <row r="20" spans="1:10" x14ac:dyDescent="0.25">
      <c r="A20" s="1" t="str">
        <f t="shared" si="0"/>
        <v>01 Evian + 0.2% DMSO</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3013</v>
      </c>
      <c r="D20" s="1" t="s">
        <v>178</v>
      </c>
      <c r="E20" s="1" t="s">
        <v>3014</v>
      </c>
      <c r="F20" s="1" t="s">
        <v>112</v>
      </c>
      <c r="G20" s="1">
        <v>95907</v>
      </c>
    </row>
    <row r="21" spans="1:10" x14ac:dyDescent="0.25">
      <c r="A21" s="1" t="str">
        <f t="shared" si="0"/>
        <v>01 Evian + 0.2% DMSO</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3015</v>
      </c>
      <c r="D21" s="1" t="s">
        <v>331</v>
      </c>
      <c r="E21" s="1" t="s">
        <v>3016</v>
      </c>
      <c r="F21" s="1" t="s">
        <v>112</v>
      </c>
      <c r="G21" s="1">
        <v>144985</v>
      </c>
    </row>
    <row r="22" spans="1:10" x14ac:dyDescent="0.25">
      <c r="A22" s="1" t="str">
        <f t="shared" si="0"/>
        <v>01 Evian + 0.2% DMSO</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3017</v>
      </c>
      <c r="D22" s="1" t="s">
        <v>814</v>
      </c>
      <c r="E22" s="1" t="s">
        <v>3018</v>
      </c>
      <c r="F22" s="1" t="s">
        <v>112</v>
      </c>
      <c r="G22" s="1">
        <v>27319</v>
      </c>
    </row>
    <row r="23" spans="1:10" x14ac:dyDescent="0.25">
      <c r="A23" s="1" t="str">
        <f t="shared" si="0"/>
        <v>01 Evian + 0.2% DMSO</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3019</v>
      </c>
      <c r="D23" s="1" t="s">
        <v>3020</v>
      </c>
      <c r="E23" s="1" t="s">
        <v>3021</v>
      </c>
      <c r="F23" s="1" t="s">
        <v>112</v>
      </c>
      <c r="G23" s="1">
        <v>263063</v>
      </c>
    </row>
    <row r="24" spans="1:10" x14ac:dyDescent="0.25">
      <c r="A24" s="1" t="str">
        <f t="shared" si="0"/>
        <v>01 Evian + 0.2% DMSO</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3022</v>
      </c>
      <c r="D24" s="1" t="s">
        <v>240</v>
      </c>
      <c r="E24" s="1" t="s">
        <v>3023</v>
      </c>
      <c r="F24" s="1" t="s">
        <v>112</v>
      </c>
      <c r="G24" s="1">
        <v>18061</v>
      </c>
    </row>
    <row r="25" spans="1:10" x14ac:dyDescent="0.25">
      <c r="A25" s="1" t="str">
        <f t="shared" si="0"/>
        <v>01 Evian + 0.2% DMSO</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3024</v>
      </c>
      <c r="D25" s="1" t="s">
        <v>702</v>
      </c>
      <c r="E25" s="1">
        <v>64</v>
      </c>
      <c r="F25" s="1" t="s">
        <v>112</v>
      </c>
      <c r="G25" s="1">
        <v>9690</v>
      </c>
    </row>
    <row r="26" spans="1:10"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223</v>
      </c>
      <c r="D27" s="1" t="s">
        <v>112</v>
      </c>
      <c r="E27" s="1" t="s">
        <v>224</v>
      </c>
      <c r="F27" s="1" t="s">
        <v>225</v>
      </c>
      <c r="G27" s="1" t="s">
        <v>226</v>
      </c>
      <c r="H27" s="1" t="s">
        <v>227</v>
      </c>
      <c r="I27" s="1" t="s">
        <v>228</v>
      </c>
      <c r="J27" s="1" t="s">
        <v>229</v>
      </c>
    </row>
    <row r="28" spans="1:10" x14ac:dyDescent="0.25">
      <c r="A28" s="1" t="str">
        <f t="shared" si="0"/>
        <v>01 Evian + 0.2% DMSO</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3025</v>
      </c>
      <c r="D28" s="1" t="s">
        <v>112</v>
      </c>
      <c r="E28" s="1" t="s">
        <v>3026</v>
      </c>
      <c r="F28" s="1" t="s">
        <v>3027</v>
      </c>
      <c r="G28" s="1" t="s">
        <v>3028</v>
      </c>
      <c r="H28" s="1" t="s">
        <v>3029</v>
      </c>
      <c r="I28" s="1">
        <v>24</v>
      </c>
      <c r="J28" s="1">
        <v>24</v>
      </c>
    </row>
    <row r="29" spans="1:10"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235</v>
      </c>
      <c r="D34" s="1" t="s">
        <v>110</v>
      </c>
      <c r="E34" s="1" t="s">
        <v>111</v>
      </c>
      <c r="F34" s="1" t="s">
        <v>112</v>
      </c>
      <c r="G34" s="1" t="s">
        <v>113</v>
      </c>
    </row>
    <row r="35" spans="1:7" x14ac:dyDescent="0.25">
      <c r="A35" s="1" t="str">
        <f t="shared" si="0"/>
        <v>02 EE2 33.8</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3030</v>
      </c>
      <c r="D35" s="1" t="s">
        <v>3031</v>
      </c>
      <c r="E35" s="1" t="s">
        <v>3032</v>
      </c>
      <c r="F35" s="1" t="s">
        <v>112</v>
      </c>
      <c r="G35" s="1">
        <v>637584</v>
      </c>
    </row>
    <row r="36" spans="1:7" x14ac:dyDescent="0.25">
      <c r="A36" s="1" t="str">
        <f t="shared" si="0"/>
        <v>02 EE2 33.8</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3033</v>
      </c>
      <c r="D36" s="1" t="s">
        <v>3034</v>
      </c>
      <c r="E36" s="1" t="s">
        <v>3035</v>
      </c>
      <c r="F36" s="1" t="s">
        <v>112</v>
      </c>
      <c r="G36" s="1">
        <v>932746</v>
      </c>
    </row>
    <row r="37" spans="1:7" x14ac:dyDescent="0.25">
      <c r="A37" s="1" t="str">
        <f t="shared" si="0"/>
        <v>02 EE2 33.8</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3036</v>
      </c>
      <c r="D37" s="1" t="s">
        <v>3037</v>
      </c>
      <c r="E37" s="1" t="s">
        <v>3038</v>
      </c>
      <c r="F37" s="1" t="s">
        <v>112</v>
      </c>
      <c r="G37" s="1">
        <v>521518</v>
      </c>
    </row>
    <row r="38" spans="1:7" x14ac:dyDescent="0.25">
      <c r="A38" s="1" t="str">
        <f t="shared" si="0"/>
        <v>02 EE2 33.8</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3039</v>
      </c>
      <c r="D38" s="1" t="s">
        <v>1319</v>
      </c>
      <c r="E38" s="1" t="s">
        <v>3040</v>
      </c>
      <c r="F38" s="1" t="s">
        <v>112</v>
      </c>
      <c r="G38" s="1">
        <v>105467</v>
      </c>
    </row>
    <row r="39" spans="1:7" x14ac:dyDescent="0.25">
      <c r="A39" s="1" t="str">
        <f t="shared" si="0"/>
        <v>02 EE2 33.8</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3041</v>
      </c>
      <c r="D39" s="1" t="s">
        <v>841</v>
      </c>
      <c r="E39" s="1" t="s">
        <v>3042</v>
      </c>
      <c r="F39" s="1" t="s">
        <v>112</v>
      </c>
      <c r="G39" s="1">
        <v>151236</v>
      </c>
    </row>
    <row r="40" spans="1:7" x14ac:dyDescent="0.25">
      <c r="A40" s="1" t="str">
        <f t="shared" si="0"/>
        <v>02 EE2 33.8</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3043</v>
      </c>
      <c r="D40" s="1" t="s">
        <v>3044</v>
      </c>
      <c r="E40" s="1" t="s">
        <v>3045</v>
      </c>
      <c r="F40" s="1" t="s">
        <v>112</v>
      </c>
      <c r="G40" s="1">
        <v>151323</v>
      </c>
    </row>
    <row r="41" spans="1:7" x14ac:dyDescent="0.25">
      <c r="A41" s="1" t="str">
        <f t="shared" si="0"/>
        <v>02 EE2 33.8</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3046</v>
      </c>
      <c r="D41" s="1" t="s">
        <v>933</v>
      </c>
      <c r="E41" s="1" t="s">
        <v>3047</v>
      </c>
      <c r="F41" s="1" t="s">
        <v>112</v>
      </c>
      <c r="G41" s="1">
        <v>58206</v>
      </c>
    </row>
    <row r="42" spans="1:7" x14ac:dyDescent="0.25">
      <c r="A42" s="1" t="str">
        <f t="shared" si="0"/>
        <v>02 EE2 33.8</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3048</v>
      </c>
      <c r="D42" s="1" t="s">
        <v>2289</v>
      </c>
      <c r="E42" s="1" t="s">
        <v>3049</v>
      </c>
      <c r="F42" s="1" t="s">
        <v>112</v>
      </c>
      <c r="G42" s="1">
        <v>70557</v>
      </c>
    </row>
    <row r="43" spans="1:7" x14ac:dyDescent="0.25">
      <c r="A43" s="1" t="str">
        <f t="shared" si="0"/>
        <v>02 EE2 33.8</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3050</v>
      </c>
      <c r="D43" s="1" t="s">
        <v>668</v>
      </c>
      <c r="E43" s="1" t="s">
        <v>3051</v>
      </c>
      <c r="F43" s="1" t="s">
        <v>112</v>
      </c>
      <c r="G43" s="1">
        <v>47348</v>
      </c>
    </row>
    <row r="44" spans="1:7" x14ac:dyDescent="0.25">
      <c r="A44" s="1" t="str">
        <f t="shared" si="0"/>
        <v>02 EE2 33.8</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3052</v>
      </c>
      <c r="D44" s="1" t="s">
        <v>1692</v>
      </c>
      <c r="E44" s="1" t="s">
        <v>3053</v>
      </c>
      <c r="F44" s="1" t="s">
        <v>112</v>
      </c>
      <c r="G44" s="1">
        <v>350426</v>
      </c>
    </row>
    <row r="45" spans="1:7" x14ac:dyDescent="0.25">
      <c r="A45" s="1" t="str">
        <f t="shared" si="0"/>
        <v>02 EE2 33.8</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3054</v>
      </c>
      <c r="D45" s="1" t="s">
        <v>202</v>
      </c>
      <c r="E45" s="1" t="s">
        <v>734</v>
      </c>
      <c r="F45" s="1" t="s">
        <v>112</v>
      </c>
      <c r="G45" s="1">
        <v>16525</v>
      </c>
    </row>
    <row r="46" spans="1:7" x14ac:dyDescent="0.25">
      <c r="A46" s="1" t="str">
        <f t="shared" si="0"/>
        <v>02 EE2 33.8</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3055</v>
      </c>
      <c r="D46" s="1" t="s">
        <v>240</v>
      </c>
      <c r="E46" s="1" t="s">
        <v>241</v>
      </c>
      <c r="F46" s="1" t="s">
        <v>112</v>
      </c>
      <c r="G46" s="1">
        <v>18364</v>
      </c>
    </row>
    <row r="47" spans="1:7" x14ac:dyDescent="0.25">
      <c r="A47" s="1" t="str">
        <f t="shared" si="0"/>
        <v>02 EE2 33.8</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3056</v>
      </c>
      <c r="D47" s="1" t="s">
        <v>3057</v>
      </c>
      <c r="E47" s="1" t="s">
        <v>3058</v>
      </c>
      <c r="F47" s="1" t="s">
        <v>112</v>
      </c>
      <c r="G47" s="1">
        <v>137955</v>
      </c>
    </row>
    <row r="48" spans="1:7" x14ac:dyDescent="0.25">
      <c r="A48" s="1" t="str">
        <f t="shared" si="0"/>
        <v>02 EE2 33.8</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3059</v>
      </c>
      <c r="D48" s="1" t="s">
        <v>3060</v>
      </c>
      <c r="E48" s="1" t="s">
        <v>3061</v>
      </c>
      <c r="F48" s="1" t="s">
        <v>112</v>
      </c>
      <c r="G48" s="1">
        <v>39345</v>
      </c>
    </row>
    <row r="49" spans="1:10" x14ac:dyDescent="0.25">
      <c r="A49" s="1" t="str">
        <f t="shared" si="0"/>
        <v>02 EE2 33.8</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3062</v>
      </c>
      <c r="D49" s="1" t="s">
        <v>1713</v>
      </c>
      <c r="E49" s="1" t="s">
        <v>3063</v>
      </c>
      <c r="F49" s="1" t="s">
        <v>112</v>
      </c>
      <c r="G49" s="1">
        <v>147711</v>
      </c>
    </row>
    <row r="50" spans="1:10" x14ac:dyDescent="0.25">
      <c r="A50" s="1" t="str">
        <f t="shared" si="0"/>
        <v>02 EE2 33.8</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3064</v>
      </c>
      <c r="D50" s="1" t="s">
        <v>322</v>
      </c>
      <c r="E50" s="1" t="s">
        <v>3065</v>
      </c>
      <c r="F50" s="1" t="s">
        <v>112</v>
      </c>
      <c r="G50" s="1">
        <v>237777</v>
      </c>
    </row>
    <row r="51" spans="1:10" x14ac:dyDescent="0.25">
      <c r="A51" s="1" t="str">
        <f t="shared" si="0"/>
        <v>02 EE2 33.8</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3066</v>
      </c>
      <c r="D51" s="1" t="s">
        <v>178</v>
      </c>
      <c r="E51" s="1" t="s">
        <v>3067</v>
      </c>
      <c r="F51" s="1" t="s">
        <v>112</v>
      </c>
      <c r="G51" s="1">
        <v>97313</v>
      </c>
    </row>
    <row r="52" spans="1:10" x14ac:dyDescent="0.25">
      <c r="A52" s="1" t="str">
        <f t="shared" si="0"/>
        <v>02 EE2 33.8</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3068</v>
      </c>
      <c r="D52" s="1" t="s">
        <v>401</v>
      </c>
      <c r="E52" s="1" t="s">
        <v>3069</v>
      </c>
      <c r="F52" s="1" t="s">
        <v>112</v>
      </c>
      <c r="G52" s="1">
        <v>278096</v>
      </c>
    </row>
    <row r="53" spans="1:10" x14ac:dyDescent="0.25">
      <c r="A53" s="1" t="str">
        <f t="shared" si="0"/>
        <v>02 EE2 33.8</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3070</v>
      </c>
      <c r="D53" s="1" t="s">
        <v>471</v>
      </c>
      <c r="E53" s="1" t="s">
        <v>3071</v>
      </c>
      <c r="F53" s="1" t="s">
        <v>112</v>
      </c>
      <c r="G53" s="1">
        <v>87471</v>
      </c>
    </row>
    <row r="54" spans="1:10" x14ac:dyDescent="0.25">
      <c r="A54" s="1" t="str">
        <f t="shared" si="0"/>
        <v>02 EE2 33.8</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3072</v>
      </c>
      <c r="D54" s="1" t="s">
        <v>268</v>
      </c>
      <c r="E54" s="1" t="s">
        <v>3073</v>
      </c>
      <c r="F54" s="1" t="s">
        <v>112</v>
      </c>
      <c r="G54" s="1">
        <v>22949</v>
      </c>
    </row>
    <row r="55" spans="1:10" x14ac:dyDescent="0.25">
      <c r="A55" s="1" t="str">
        <f t="shared" si="0"/>
        <v>02 EE2 33.8</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3074</v>
      </c>
      <c r="D55" s="1" t="s">
        <v>175</v>
      </c>
      <c r="E55" s="1" t="s">
        <v>3075</v>
      </c>
      <c r="F55" s="1" t="s">
        <v>112</v>
      </c>
      <c r="G55" s="1">
        <v>15098</v>
      </c>
    </row>
    <row r="56" spans="1:10" x14ac:dyDescent="0.25">
      <c r="A56" s="1" t="str">
        <f t="shared" si="0"/>
        <v>02 EE2 33.8</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3076</v>
      </c>
      <c r="D56" s="1" t="s">
        <v>3077</v>
      </c>
      <c r="E56" s="1" t="s">
        <v>3078</v>
      </c>
      <c r="F56" s="1" t="s">
        <v>112</v>
      </c>
      <c r="G56" s="1">
        <v>647275</v>
      </c>
    </row>
    <row r="57" spans="1:10" x14ac:dyDescent="0.25">
      <c r="A57" s="1" t="str">
        <f t="shared" si="0"/>
        <v>02 EE2 33.8</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3079</v>
      </c>
      <c r="D57" s="1" t="s">
        <v>187</v>
      </c>
      <c r="E57" s="1" t="s">
        <v>3080</v>
      </c>
      <c r="F57" s="1" t="s">
        <v>112</v>
      </c>
      <c r="G57" s="1">
        <v>610634</v>
      </c>
    </row>
    <row r="58" spans="1:10" x14ac:dyDescent="0.25">
      <c r="A58" s="1" t="str">
        <f t="shared" si="0"/>
        <v>02 EE2 33.8</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3081</v>
      </c>
      <c r="D58" s="1" t="s">
        <v>291</v>
      </c>
      <c r="E58" s="1" t="s">
        <v>3082</v>
      </c>
      <c r="F58" s="1" t="s">
        <v>112</v>
      </c>
      <c r="G58" s="1">
        <v>381249</v>
      </c>
    </row>
    <row r="59" spans="1:10"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223</v>
      </c>
      <c r="D60" s="1" t="s">
        <v>112</v>
      </c>
      <c r="E60" s="1" t="s">
        <v>224</v>
      </c>
      <c r="F60" s="1" t="s">
        <v>225</v>
      </c>
      <c r="G60" s="1" t="s">
        <v>226</v>
      </c>
      <c r="H60" s="1" t="s">
        <v>227</v>
      </c>
      <c r="I60" s="1" t="s">
        <v>228</v>
      </c>
      <c r="J60" s="1" t="s">
        <v>229</v>
      </c>
    </row>
    <row r="61" spans="1:10" x14ac:dyDescent="0.25">
      <c r="A61" s="1" t="str">
        <f t="shared" si="0"/>
        <v>02 EE2 33.8</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3083</v>
      </c>
      <c r="D61" s="1" t="s">
        <v>112</v>
      </c>
      <c r="E61" s="1" t="s">
        <v>3084</v>
      </c>
      <c r="F61" s="1" t="s">
        <v>3085</v>
      </c>
      <c r="G61" s="1" t="s">
        <v>3086</v>
      </c>
      <c r="H61" s="1" t="s">
        <v>3087</v>
      </c>
      <c r="I61" s="1">
        <v>24</v>
      </c>
      <c r="J61" s="1">
        <v>24</v>
      </c>
    </row>
    <row r="62" spans="1:10"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235</v>
      </c>
      <c r="D67" s="1" t="s">
        <v>110</v>
      </c>
      <c r="E67" s="1" t="s">
        <v>111</v>
      </c>
      <c r="F67" s="1" t="s">
        <v>112</v>
      </c>
      <c r="G67" s="1" t="s">
        <v>113</v>
      </c>
    </row>
    <row r="68" spans="1:7" x14ac:dyDescent="0.25">
      <c r="A68" s="1" t="str">
        <f t="shared" si="1"/>
        <v>03 EE2 50.6</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3088</v>
      </c>
      <c r="D68" s="1" t="s">
        <v>2266</v>
      </c>
      <c r="E68" s="1" t="s">
        <v>3089</v>
      </c>
      <c r="F68" s="1" t="s">
        <v>112</v>
      </c>
      <c r="G68" s="1">
        <v>498764</v>
      </c>
    </row>
    <row r="69" spans="1:7" x14ac:dyDescent="0.25">
      <c r="A69" s="1" t="str">
        <f t="shared" si="1"/>
        <v>03 EE2 50.6</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3090</v>
      </c>
      <c r="D69" s="1" t="s">
        <v>3091</v>
      </c>
      <c r="E69" s="1" t="s">
        <v>3092</v>
      </c>
      <c r="F69" s="1" t="s">
        <v>112</v>
      </c>
      <c r="G69" s="1">
        <v>383801</v>
      </c>
    </row>
    <row r="70" spans="1:7" x14ac:dyDescent="0.25">
      <c r="A70" s="1" t="str">
        <f t="shared" si="1"/>
        <v>03 EE2 50.6</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3093</v>
      </c>
      <c r="D70" s="1" t="s">
        <v>830</v>
      </c>
      <c r="E70" s="1" t="s">
        <v>3094</v>
      </c>
      <c r="F70" s="1" t="s">
        <v>112</v>
      </c>
      <c r="G70" s="1">
        <v>418019</v>
      </c>
    </row>
    <row r="71" spans="1:7" x14ac:dyDescent="0.25">
      <c r="A71" s="1" t="str">
        <f t="shared" si="1"/>
        <v>03 EE2 50.6</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3095</v>
      </c>
    </row>
    <row r="72" spans="1:7" x14ac:dyDescent="0.25">
      <c r="A72" s="1" t="str">
        <f t="shared" si="1"/>
        <v>03 EE2 50.6</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3096</v>
      </c>
    </row>
    <row r="73" spans="1:7" x14ac:dyDescent="0.25">
      <c r="A73" s="1" t="str">
        <f t="shared" si="1"/>
        <v>03 EE2 50.6</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3097</v>
      </c>
      <c r="D73" s="1" t="s">
        <v>381</v>
      </c>
      <c r="E73" s="1" t="s">
        <v>3098</v>
      </c>
      <c r="F73" s="1" t="s">
        <v>112</v>
      </c>
      <c r="G73" s="1">
        <v>576329</v>
      </c>
    </row>
    <row r="74" spans="1:7" x14ac:dyDescent="0.25">
      <c r="A74" s="1" t="str">
        <f t="shared" si="1"/>
        <v>03 EE2 50.6</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3099</v>
      </c>
      <c r="D74" s="1" t="s">
        <v>246</v>
      </c>
      <c r="E74" s="1">
        <v>64</v>
      </c>
      <c r="F74" s="1" t="s">
        <v>112</v>
      </c>
      <c r="G74" s="1">
        <v>30455</v>
      </c>
    </row>
    <row r="75" spans="1:7" x14ac:dyDescent="0.25">
      <c r="A75" s="1" t="str">
        <f t="shared" si="1"/>
        <v>03 EE2 50.6</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3100</v>
      </c>
      <c r="D75" s="1" t="s">
        <v>175</v>
      </c>
      <c r="E75" s="1" t="s">
        <v>2178</v>
      </c>
      <c r="F75" s="1" t="s">
        <v>112</v>
      </c>
      <c r="G75" s="1">
        <v>14838</v>
      </c>
    </row>
    <row r="76" spans="1:7" x14ac:dyDescent="0.25">
      <c r="A76" s="1" t="str">
        <f t="shared" si="1"/>
        <v>03 EE2 50.6</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3101</v>
      </c>
      <c r="D76" s="1" t="s">
        <v>764</v>
      </c>
      <c r="E76" s="1" t="s">
        <v>779</v>
      </c>
      <c r="F76" s="1" t="s">
        <v>112</v>
      </c>
      <c r="G76" s="1">
        <v>24399</v>
      </c>
    </row>
    <row r="77" spans="1:7" x14ac:dyDescent="0.25">
      <c r="A77" s="1" t="str">
        <f t="shared" si="1"/>
        <v>03 EE2 50.6</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3102</v>
      </c>
      <c r="D77" s="1" t="s">
        <v>749</v>
      </c>
      <c r="E77" s="1" t="s">
        <v>3103</v>
      </c>
      <c r="F77" s="1" t="s">
        <v>112</v>
      </c>
      <c r="G77" s="1">
        <v>104040</v>
      </c>
    </row>
    <row r="78" spans="1:7" x14ac:dyDescent="0.25">
      <c r="A78" s="1" t="str">
        <f t="shared" si="1"/>
        <v>03 EE2 50.6</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3104</v>
      </c>
      <c r="D78" s="1" t="s">
        <v>3105</v>
      </c>
      <c r="E78" s="1" t="s">
        <v>3106</v>
      </c>
      <c r="F78" s="1" t="s">
        <v>112</v>
      </c>
      <c r="G78" s="1">
        <v>121538</v>
      </c>
    </row>
    <row r="79" spans="1:7" x14ac:dyDescent="0.25">
      <c r="A79" s="1" t="str">
        <f t="shared" si="1"/>
        <v>03 EE2 50.6</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3107</v>
      </c>
      <c r="D79" s="1" t="s">
        <v>3108</v>
      </c>
      <c r="E79" s="1" t="s">
        <v>3109</v>
      </c>
      <c r="F79" s="1" t="s">
        <v>112</v>
      </c>
      <c r="G79" s="1">
        <v>292393</v>
      </c>
    </row>
    <row r="80" spans="1:7" x14ac:dyDescent="0.25">
      <c r="A80" s="1" t="str">
        <f t="shared" si="1"/>
        <v>03 EE2 50.6</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3110</v>
      </c>
      <c r="D80" s="1" t="s">
        <v>3111</v>
      </c>
      <c r="E80" s="1" t="s">
        <v>3112</v>
      </c>
      <c r="F80" s="1" t="s">
        <v>112</v>
      </c>
      <c r="G80" s="1">
        <v>295919</v>
      </c>
    </row>
    <row r="81" spans="1:10" x14ac:dyDescent="0.25">
      <c r="A81" s="1" t="str">
        <f t="shared" si="1"/>
        <v>03 EE2 50.6</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3113</v>
      </c>
      <c r="D81" s="1" t="s">
        <v>892</v>
      </c>
      <c r="E81" s="1" t="s">
        <v>3114</v>
      </c>
      <c r="F81" s="1" t="s">
        <v>112</v>
      </c>
      <c r="G81" s="1">
        <v>118856</v>
      </c>
    </row>
    <row r="82" spans="1:10" x14ac:dyDescent="0.25">
      <c r="A82" s="1" t="str">
        <f t="shared" si="1"/>
        <v>03 EE2 50.6</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3115</v>
      </c>
      <c r="D82" s="1" t="s">
        <v>844</v>
      </c>
      <c r="E82" s="1" t="s">
        <v>3116</v>
      </c>
      <c r="F82" s="1" t="s">
        <v>112</v>
      </c>
      <c r="G82" s="1">
        <v>103304</v>
      </c>
    </row>
    <row r="83" spans="1:10" x14ac:dyDescent="0.25">
      <c r="A83" s="1" t="str">
        <f t="shared" si="1"/>
        <v>03 EE2 50.6</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3117</v>
      </c>
      <c r="D83" s="1" t="s">
        <v>3111</v>
      </c>
      <c r="E83" s="1" t="s">
        <v>3118</v>
      </c>
      <c r="F83" s="1" t="s">
        <v>112</v>
      </c>
      <c r="G83" s="1">
        <v>297260</v>
      </c>
    </row>
    <row r="84" spans="1:10" x14ac:dyDescent="0.25">
      <c r="A84" s="1" t="str">
        <f t="shared" si="1"/>
        <v>03 EE2 50.6</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3119</v>
      </c>
      <c r="D84" s="1" t="s">
        <v>1917</v>
      </c>
      <c r="E84" s="1" t="s">
        <v>3120</v>
      </c>
      <c r="F84" s="1" t="s">
        <v>112</v>
      </c>
      <c r="G84" s="1">
        <v>93117</v>
      </c>
    </row>
    <row r="85" spans="1:10" x14ac:dyDescent="0.25">
      <c r="A85" s="1" t="str">
        <f t="shared" si="1"/>
        <v>03 EE2 50.6</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3121</v>
      </c>
      <c r="D85" s="1" t="s">
        <v>240</v>
      </c>
      <c r="E85" s="1">
        <v>64</v>
      </c>
      <c r="F85" s="1" t="s">
        <v>112</v>
      </c>
      <c r="G85" s="1">
        <v>17996</v>
      </c>
    </row>
    <row r="86" spans="1:10" x14ac:dyDescent="0.25">
      <c r="A86" s="1" t="str">
        <f t="shared" si="1"/>
        <v>03 EE2 50.6</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3122</v>
      </c>
      <c r="D86" s="1" t="s">
        <v>325</v>
      </c>
      <c r="E86" s="1" t="s">
        <v>3123</v>
      </c>
      <c r="F86" s="1" t="s">
        <v>112</v>
      </c>
      <c r="G86" s="1">
        <v>78798</v>
      </c>
    </row>
    <row r="87" spans="1:10" x14ac:dyDescent="0.25">
      <c r="A87" s="1" t="str">
        <f t="shared" si="1"/>
        <v>03 EE2 50.6</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3124</v>
      </c>
      <c r="D87" s="1" t="s">
        <v>2182</v>
      </c>
      <c r="E87" s="1" t="s">
        <v>3125</v>
      </c>
      <c r="F87" s="1" t="s">
        <v>112</v>
      </c>
      <c r="G87" s="1">
        <v>487970</v>
      </c>
    </row>
    <row r="88" spans="1:10" x14ac:dyDescent="0.25">
      <c r="A88" s="1" t="str">
        <f t="shared" si="1"/>
        <v>03 EE2 50.6</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3126</v>
      </c>
      <c r="D88" s="1" t="s">
        <v>2614</v>
      </c>
      <c r="E88" s="1" t="s">
        <v>3127</v>
      </c>
      <c r="F88" s="1" t="s">
        <v>112</v>
      </c>
      <c r="G88" s="1">
        <v>413434</v>
      </c>
    </row>
    <row r="89" spans="1:10" x14ac:dyDescent="0.25">
      <c r="A89" s="1" t="str">
        <f t="shared" si="1"/>
        <v>03 EE2 50.6</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3128</v>
      </c>
      <c r="D89" s="1" t="s">
        <v>2983</v>
      </c>
      <c r="E89" s="1" t="s">
        <v>3129</v>
      </c>
      <c r="F89" s="1" t="s">
        <v>112</v>
      </c>
      <c r="G89" s="1">
        <v>419252</v>
      </c>
    </row>
    <row r="90" spans="1:10" x14ac:dyDescent="0.25">
      <c r="A90" s="1" t="str">
        <f t="shared" si="1"/>
        <v>03 EE2 50.6</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3130</v>
      </c>
      <c r="D90" s="1" t="s">
        <v>1787</v>
      </c>
      <c r="E90" s="1" t="s">
        <v>3131</v>
      </c>
      <c r="F90" s="1" t="s">
        <v>112</v>
      </c>
      <c r="G90" s="1">
        <v>327022</v>
      </c>
    </row>
    <row r="91" spans="1:10" x14ac:dyDescent="0.25">
      <c r="A91" s="1" t="str">
        <f t="shared" si="1"/>
        <v>03 EE2 50.6</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3132</v>
      </c>
      <c r="D91" s="1" t="s">
        <v>722</v>
      </c>
      <c r="E91" s="1" t="s">
        <v>3133</v>
      </c>
      <c r="F91" s="1" t="s">
        <v>112</v>
      </c>
      <c r="G91" s="1">
        <v>51501</v>
      </c>
    </row>
    <row r="92" spans="1:10"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223</v>
      </c>
      <c r="D93" s="1" t="s">
        <v>112</v>
      </c>
      <c r="E93" s="1" t="s">
        <v>224</v>
      </c>
      <c r="F93" s="1" t="s">
        <v>225</v>
      </c>
      <c r="G93" s="1" t="s">
        <v>226</v>
      </c>
      <c r="H93" s="1" t="s">
        <v>227</v>
      </c>
      <c r="I93" s="1" t="s">
        <v>228</v>
      </c>
      <c r="J93" s="1" t="s">
        <v>229</v>
      </c>
    </row>
    <row r="94" spans="1:10" x14ac:dyDescent="0.25">
      <c r="A94" s="1" t="str">
        <f t="shared" si="1"/>
        <v>03 EE2 50.6</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3134</v>
      </c>
      <c r="D94" s="1" t="s">
        <v>112</v>
      </c>
      <c r="E94" s="1" t="s">
        <v>3135</v>
      </c>
      <c r="F94" s="1" t="s">
        <v>3136</v>
      </c>
      <c r="G94" s="1" t="s">
        <v>3137</v>
      </c>
      <c r="H94" s="1" t="s">
        <v>3138</v>
      </c>
      <c r="I94" s="1">
        <v>24</v>
      </c>
      <c r="J94" s="1">
        <v>24</v>
      </c>
    </row>
    <row r="95" spans="1:10"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235</v>
      </c>
      <c r="D100" s="1" t="s">
        <v>110</v>
      </c>
      <c r="E100" s="1" t="s">
        <v>111</v>
      </c>
      <c r="F100" s="1" t="s">
        <v>112</v>
      </c>
      <c r="G100" s="1" t="s">
        <v>113</v>
      </c>
    </row>
    <row r="101" spans="1:7" x14ac:dyDescent="0.2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3139</v>
      </c>
      <c r="D101" s="1" t="s">
        <v>3140</v>
      </c>
      <c r="E101" s="1" t="s">
        <v>3141</v>
      </c>
      <c r="F101" s="1" t="s">
        <v>112</v>
      </c>
      <c r="G101" s="1">
        <v>306885</v>
      </c>
    </row>
    <row r="102" spans="1:7" x14ac:dyDescent="0.2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3142</v>
      </c>
      <c r="D102" s="1" t="s">
        <v>757</v>
      </c>
      <c r="E102" s="1" t="s">
        <v>3143</v>
      </c>
      <c r="F102" s="1" t="s">
        <v>112</v>
      </c>
      <c r="G102" s="1">
        <v>279458</v>
      </c>
    </row>
    <row r="103" spans="1:7" x14ac:dyDescent="0.2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3144</v>
      </c>
      <c r="D103" s="1" t="s">
        <v>676</v>
      </c>
      <c r="E103" s="1" t="s">
        <v>3145</v>
      </c>
      <c r="F103" s="1" t="s">
        <v>112</v>
      </c>
      <c r="G103" s="1">
        <v>387110</v>
      </c>
    </row>
    <row r="104" spans="1:7" x14ac:dyDescent="0.2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3146</v>
      </c>
      <c r="D104" s="1" t="s">
        <v>3147</v>
      </c>
      <c r="E104" s="1" t="s">
        <v>3148</v>
      </c>
      <c r="F104" s="1" t="s">
        <v>112</v>
      </c>
      <c r="G104" s="1">
        <v>370845</v>
      </c>
    </row>
    <row r="105" spans="1:7" x14ac:dyDescent="0.2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3149</v>
      </c>
      <c r="D105" s="1" t="s">
        <v>1247</v>
      </c>
      <c r="E105" s="1" t="s">
        <v>3150</v>
      </c>
      <c r="F105" s="1" t="s">
        <v>112</v>
      </c>
      <c r="G105" s="1">
        <v>393794</v>
      </c>
    </row>
    <row r="106" spans="1:7" x14ac:dyDescent="0.2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3151</v>
      </c>
      <c r="D106" s="1" t="s">
        <v>3057</v>
      </c>
      <c r="E106" s="1" t="s">
        <v>3152</v>
      </c>
      <c r="F106" s="1" t="s">
        <v>112</v>
      </c>
      <c r="G106" s="1">
        <v>134884</v>
      </c>
    </row>
    <row r="107" spans="1:7" x14ac:dyDescent="0.2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3153</v>
      </c>
      <c r="D107" s="1" t="s">
        <v>1244</v>
      </c>
      <c r="E107" s="1" t="s">
        <v>3154</v>
      </c>
      <c r="F107" s="1" t="s">
        <v>112</v>
      </c>
      <c r="G107" s="1">
        <v>491821</v>
      </c>
    </row>
    <row r="108" spans="1:7" x14ac:dyDescent="0.2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3155</v>
      </c>
      <c r="D108" s="1" t="s">
        <v>693</v>
      </c>
      <c r="E108" s="1" t="s">
        <v>3156</v>
      </c>
      <c r="F108" s="1" t="s">
        <v>112</v>
      </c>
      <c r="G108" s="1">
        <v>314542</v>
      </c>
    </row>
    <row r="109" spans="1:7" x14ac:dyDescent="0.2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3157</v>
      </c>
      <c r="D109" s="1" t="s">
        <v>319</v>
      </c>
      <c r="E109" s="1" t="s">
        <v>3158</v>
      </c>
      <c r="F109" s="1" t="s">
        <v>112</v>
      </c>
      <c r="G109" s="1">
        <v>410319</v>
      </c>
    </row>
    <row r="110" spans="1:7" x14ac:dyDescent="0.2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3159</v>
      </c>
      <c r="D110" s="1" t="s">
        <v>3160</v>
      </c>
      <c r="E110" s="1" t="s">
        <v>3161</v>
      </c>
      <c r="F110" s="1" t="s">
        <v>112</v>
      </c>
      <c r="G110" s="1">
        <v>376512</v>
      </c>
    </row>
    <row r="111" spans="1:7" x14ac:dyDescent="0.2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3162</v>
      </c>
      <c r="D111" s="1" t="s">
        <v>381</v>
      </c>
      <c r="E111" s="1" t="s">
        <v>3163</v>
      </c>
      <c r="F111" s="1" t="s">
        <v>112</v>
      </c>
      <c r="G111" s="1">
        <v>557986</v>
      </c>
    </row>
    <row r="112" spans="1:7" x14ac:dyDescent="0.2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3164</v>
      </c>
      <c r="D112" s="1" t="s">
        <v>2114</v>
      </c>
      <c r="E112" s="1" t="s">
        <v>3165</v>
      </c>
      <c r="F112" s="1" t="s">
        <v>112</v>
      </c>
      <c r="G112" s="1">
        <v>68004</v>
      </c>
    </row>
    <row r="113" spans="1:10" x14ac:dyDescent="0.2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3166</v>
      </c>
      <c r="D113" s="1" t="s">
        <v>3167</v>
      </c>
      <c r="E113" s="1" t="s">
        <v>3168</v>
      </c>
      <c r="F113" s="1" t="s">
        <v>112</v>
      </c>
      <c r="G113" s="1">
        <v>545636</v>
      </c>
    </row>
    <row r="114" spans="1:10" x14ac:dyDescent="0.2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3169</v>
      </c>
      <c r="D114" s="1" t="s">
        <v>3170</v>
      </c>
      <c r="E114" s="1" t="s">
        <v>3171</v>
      </c>
      <c r="F114" s="1" t="s">
        <v>112</v>
      </c>
      <c r="G114" s="1">
        <v>749952</v>
      </c>
    </row>
    <row r="115" spans="1:10" x14ac:dyDescent="0.2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3172</v>
      </c>
      <c r="D115" s="1" t="s">
        <v>3173</v>
      </c>
      <c r="E115" s="1" t="s">
        <v>3174</v>
      </c>
      <c r="F115" s="1" t="s">
        <v>112</v>
      </c>
      <c r="G115" s="1">
        <v>916177</v>
      </c>
    </row>
    <row r="116" spans="1:10" x14ac:dyDescent="0.2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3175</v>
      </c>
      <c r="D116" s="1" t="s">
        <v>662</v>
      </c>
      <c r="E116" s="1" t="s">
        <v>3176</v>
      </c>
      <c r="F116" s="1" t="s">
        <v>112</v>
      </c>
      <c r="G116" s="1">
        <v>470061</v>
      </c>
    </row>
    <row r="117" spans="1:10" x14ac:dyDescent="0.2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3177</v>
      </c>
      <c r="D117" s="1" t="s">
        <v>445</v>
      </c>
      <c r="E117" s="1" t="s">
        <v>3178</v>
      </c>
      <c r="F117" s="1" t="s">
        <v>112</v>
      </c>
      <c r="G117" s="1">
        <v>282746</v>
      </c>
    </row>
    <row r="118" spans="1:10" x14ac:dyDescent="0.2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3179</v>
      </c>
      <c r="D118" s="1" t="s">
        <v>1846</v>
      </c>
      <c r="E118" s="1" t="s">
        <v>3180</v>
      </c>
      <c r="F118" s="1" t="s">
        <v>112</v>
      </c>
      <c r="G118" s="1">
        <v>414212</v>
      </c>
    </row>
    <row r="119" spans="1:10" x14ac:dyDescent="0.2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3181</v>
      </c>
      <c r="D119" s="1" t="s">
        <v>390</v>
      </c>
      <c r="E119" s="1" t="s">
        <v>3182</v>
      </c>
      <c r="F119" s="1" t="s">
        <v>112</v>
      </c>
      <c r="G119" s="1">
        <v>375365</v>
      </c>
    </row>
    <row r="120" spans="1:10" x14ac:dyDescent="0.2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3183</v>
      </c>
      <c r="D120" s="1" t="s">
        <v>3184</v>
      </c>
      <c r="E120" s="1" t="s">
        <v>3185</v>
      </c>
      <c r="F120" s="1" t="s">
        <v>112</v>
      </c>
      <c r="G120" s="1">
        <v>143017</v>
      </c>
    </row>
    <row r="121" spans="1:10" x14ac:dyDescent="0.2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3186</v>
      </c>
      <c r="D121" s="1" t="s">
        <v>276</v>
      </c>
      <c r="E121" s="1" t="s">
        <v>3187</v>
      </c>
      <c r="F121" s="1" t="s">
        <v>112</v>
      </c>
      <c r="G121" s="1">
        <v>238967</v>
      </c>
    </row>
    <row r="122" spans="1:10" x14ac:dyDescent="0.2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3188</v>
      </c>
      <c r="D122" s="1" t="s">
        <v>359</v>
      </c>
      <c r="E122" s="1" t="s">
        <v>3189</v>
      </c>
      <c r="F122" s="1" t="s">
        <v>112</v>
      </c>
      <c r="G122" s="1">
        <v>519766</v>
      </c>
    </row>
    <row r="123" spans="1:10" x14ac:dyDescent="0.2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3190</v>
      </c>
      <c r="D123" s="1" t="s">
        <v>3108</v>
      </c>
      <c r="E123" s="1" t="s">
        <v>3191</v>
      </c>
      <c r="F123" s="1" t="s">
        <v>112</v>
      </c>
      <c r="G123" s="1">
        <v>306214</v>
      </c>
    </row>
    <row r="124" spans="1:10" x14ac:dyDescent="0.2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3192</v>
      </c>
      <c r="D124" s="1" t="s">
        <v>3193</v>
      </c>
      <c r="E124" s="1" t="s">
        <v>3194</v>
      </c>
      <c r="F124" s="1" t="s">
        <v>112</v>
      </c>
      <c r="G124" s="1">
        <v>455634</v>
      </c>
    </row>
    <row r="125" spans="1:10"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223</v>
      </c>
      <c r="D126" s="1" t="s">
        <v>112</v>
      </c>
      <c r="E126" s="1" t="s">
        <v>224</v>
      </c>
      <c r="F126" s="1" t="s">
        <v>225</v>
      </c>
      <c r="G126" s="1" t="s">
        <v>226</v>
      </c>
      <c r="H126" s="1" t="s">
        <v>227</v>
      </c>
      <c r="I126" s="1" t="s">
        <v>228</v>
      </c>
      <c r="J126" s="1" t="s">
        <v>229</v>
      </c>
    </row>
    <row r="127" spans="1:10" x14ac:dyDescent="0.2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3195</v>
      </c>
      <c r="D127" s="1" t="s">
        <v>112</v>
      </c>
      <c r="E127" s="1" t="s">
        <v>3196</v>
      </c>
      <c r="F127" s="1" t="s">
        <v>3197</v>
      </c>
      <c r="G127" s="1" t="s">
        <v>3198</v>
      </c>
      <c r="H127" s="1" t="s">
        <v>3199</v>
      </c>
      <c r="I127" s="1">
        <v>24</v>
      </c>
      <c r="J127" s="1">
        <v>24</v>
      </c>
    </row>
    <row r="128" spans="1:10"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235</v>
      </c>
      <c r="D133" s="1" t="s">
        <v>110</v>
      </c>
      <c r="E133" s="1" t="s">
        <v>111</v>
      </c>
      <c r="F133" s="1" t="s">
        <v>112</v>
      </c>
      <c r="G133" s="1" t="s">
        <v>113</v>
      </c>
    </row>
    <row r="134" spans="1:7" x14ac:dyDescent="0.2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3200</v>
      </c>
      <c r="D134" s="1" t="s">
        <v>2598</v>
      </c>
      <c r="E134" s="1" t="s">
        <v>3201</v>
      </c>
      <c r="F134" s="1" t="s">
        <v>112</v>
      </c>
      <c r="G134" s="1">
        <v>111718</v>
      </c>
    </row>
    <row r="135" spans="1:7" x14ac:dyDescent="0.2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3202</v>
      </c>
      <c r="D135" s="1" t="s">
        <v>3203</v>
      </c>
      <c r="E135" s="1" t="s">
        <v>3204</v>
      </c>
      <c r="F135" s="1" t="s">
        <v>112</v>
      </c>
      <c r="G135" s="1">
        <v>286445</v>
      </c>
    </row>
    <row r="136" spans="1:7" x14ac:dyDescent="0.2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3205</v>
      </c>
      <c r="D136" s="1" t="s">
        <v>3206</v>
      </c>
      <c r="E136" s="1" t="s">
        <v>3207</v>
      </c>
      <c r="F136" s="1" t="s">
        <v>112</v>
      </c>
      <c r="G136" s="1">
        <v>150933</v>
      </c>
    </row>
    <row r="137" spans="1:7" x14ac:dyDescent="0.2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3208</v>
      </c>
      <c r="D137" s="1" t="s">
        <v>3209</v>
      </c>
      <c r="E137" s="1" t="s">
        <v>3210</v>
      </c>
      <c r="F137" s="1" t="s">
        <v>112</v>
      </c>
      <c r="G137" s="1">
        <v>917497</v>
      </c>
    </row>
    <row r="138" spans="1:7" x14ac:dyDescent="0.2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3211</v>
      </c>
      <c r="D138" s="1" t="s">
        <v>3212</v>
      </c>
      <c r="E138" s="1" t="s">
        <v>3213</v>
      </c>
      <c r="F138" s="1" t="s">
        <v>112</v>
      </c>
      <c r="G138" s="1">
        <v>874864</v>
      </c>
    </row>
    <row r="139" spans="1:7" x14ac:dyDescent="0.2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3214</v>
      </c>
      <c r="D139" s="1" t="s">
        <v>3215</v>
      </c>
      <c r="E139" s="1" t="s">
        <v>3216</v>
      </c>
      <c r="F139" s="1" t="s">
        <v>112</v>
      </c>
      <c r="G139" s="1">
        <v>474452</v>
      </c>
    </row>
    <row r="140" spans="1:7" x14ac:dyDescent="0.2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3217</v>
      </c>
    </row>
    <row r="141" spans="1:7" x14ac:dyDescent="0.2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3218</v>
      </c>
      <c r="D141" s="1" t="s">
        <v>1993</v>
      </c>
      <c r="E141" s="1" t="s">
        <v>3219</v>
      </c>
      <c r="F141" s="1" t="s">
        <v>112</v>
      </c>
      <c r="G141" s="1">
        <v>4490755</v>
      </c>
    </row>
    <row r="142" spans="1:7" x14ac:dyDescent="0.2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3220</v>
      </c>
      <c r="D142" s="1" t="s">
        <v>3221</v>
      </c>
      <c r="E142" s="1" t="s">
        <v>3222</v>
      </c>
      <c r="F142" s="1" t="s">
        <v>112</v>
      </c>
      <c r="G142" s="1">
        <v>3870583</v>
      </c>
    </row>
    <row r="143" spans="1:7" x14ac:dyDescent="0.2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3223</v>
      </c>
      <c r="D143" s="1" t="s">
        <v>1404</v>
      </c>
      <c r="E143" s="1" t="s">
        <v>3224</v>
      </c>
      <c r="F143" s="1" t="s">
        <v>112</v>
      </c>
      <c r="G143" s="1">
        <v>2662099</v>
      </c>
    </row>
    <row r="144" spans="1:7" x14ac:dyDescent="0.2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3225</v>
      </c>
      <c r="D144" s="1" t="s">
        <v>3226</v>
      </c>
      <c r="E144" s="1" t="s">
        <v>3227</v>
      </c>
      <c r="F144" s="1" t="s">
        <v>112</v>
      </c>
      <c r="G144" s="1">
        <v>2851577</v>
      </c>
    </row>
    <row r="145" spans="1:10" x14ac:dyDescent="0.2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3228</v>
      </c>
      <c r="D145" s="1" t="s">
        <v>2507</v>
      </c>
      <c r="E145" s="1" t="s">
        <v>3229</v>
      </c>
      <c r="F145" s="1" t="s">
        <v>112</v>
      </c>
      <c r="G145" s="1">
        <v>2971255</v>
      </c>
    </row>
    <row r="146" spans="1:10" x14ac:dyDescent="0.2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3230</v>
      </c>
      <c r="D146" s="1" t="s">
        <v>3231</v>
      </c>
      <c r="E146" s="1" t="s">
        <v>3232</v>
      </c>
      <c r="F146" s="1" t="s">
        <v>112</v>
      </c>
      <c r="G146" s="1">
        <v>1810336</v>
      </c>
    </row>
    <row r="147" spans="1:10" x14ac:dyDescent="0.2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3233</v>
      </c>
      <c r="D147" s="1" t="s">
        <v>3234</v>
      </c>
      <c r="E147" s="1" t="s">
        <v>3235</v>
      </c>
      <c r="F147" s="1" t="s">
        <v>112</v>
      </c>
      <c r="G147" s="1">
        <v>1901635</v>
      </c>
    </row>
    <row r="148" spans="1:10" x14ac:dyDescent="0.2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3236</v>
      </c>
      <c r="D148" s="1" t="s">
        <v>3237</v>
      </c>
      <c r="E148" s="1" t="s">
        <v>3238</v>
      </c>
      <c r="F148" s="1" t="s">
        <v>112</v>
      </c>
      <c r="G148" s="1">
        <v>1934794</v>
      </c>
    </row>
    <row r="149" spans="1:10" x14ac:dyDescent="0.2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3239</v>
      </c>
      <c r="D149" s="1" t="s">
        <v>3240</v>
      </c>
      <c r="E149" s="1" t="s">
        <v>3241</v>
      </c>
      <c r="F149" s="1" t="s">
        <v>112</v>
      </c>
      <c r="G149" s="1">
        <v>1272097</v>
      </c>
    </row>
    <row r="150" spans="1:10" x14ac:dyDescent="0.2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3242</v>
      </c>
      <c r="D150" s="1" t="s">
        <v>3243</v>
      </c>
      <c r="E150" s="1" t="s">
        <v>3244</v>
      </c>
      <c r="F150" s="1" t="s">
        <v>112</v>
      </c>
      <c r="G150" s="1">
        <v>1354961</v>
      </c>
    </row>
    <row r="151" spans="1:10" x14ac:dyDescent="0.2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3245</v>
      </c>
      <c r="D151" s="1" t="s">
        <v>3246</v>
      </c>
      <c r="E151" s="1" t="s">
        <v>3247</v>
      </c>
      <c r="F151" s="1" t="s">
        <v>112</v>
      </c>
      <c r="G151" s="1">
        <v>1566783</v>
      </c>
    </row>
    <row r="152" spans="1:10" x14ac:dyDescent="0.2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3248</v>
      </c>
      <c r="D152" s="1" t="s">
        <v>3249</v>
      </c>
      <c r="E152" s="1" t="s">
        <v>3250</v>
      </c>
      <c r="F152" s="1" t="s">
        <v>112</v>
      </c>
      <c r="G152" s="1">
        <v>1528152</v>
      </c>
    </row>
    <row r="153" spans="1:10" x14ac:dyDescent="0.2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3251</v>
      </c>
      <c r="D153" s="1" t="s">
        <v>3252</v>
      </c>
      <c r="E153" s="1" t="s">
        <v>3253</v>
      </c>
      <c r="F153" s="1" t="s">
        <v>112</v>
      </c>
      <c r="G153" s="1">
        <v>1703679</v>
      </c>
    </row>
    <row r="154" spans="1:10" x14ac:dyDescent="0.2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3254</v>
      </c>
    </row>
    <row r="155" spans="1:10" x14ac:dyDescent="0.2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3255</v>
      </c>
      <c r="D155" s="1" t="s">
        <v>3256</v>
      </c>
      <c r="E155" s="1" t="s">
        <v>3257</v>
      </c>
      <c r="F155" s="1" t="s">
        <v>112</v>
      </c>
      <c r="G155" s="1">
        <v>455764</v>
      </c>
    </row>
    <row r="156" spans="1:10" x14ac:dyDescent="0.2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3258</v>
      </c>
      <c r="D156" s="1" t="s">
        <v>3259</v>
      </c>
      <c r="E156" s="1" t="s">
        <v>3260</v>
      </c>
      <c r="F156" s="1" t="s">
        <v>112</v>
      </c>
      <c r="G156" s="1">
        <v>429332</v>
      </c>
    </row>
    <row r="157" spans="1:10" x14ac:dyDescent="0.2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3261</v>
      </c>
      <c r="D157" s="1" t="s">
        <v>801</v>
      </c>
      <c r="E157" s="1" t="s">
        <v>3262</v>
      </c>
      <c r="F157" s="1" t="s">
        <v>112</v>
      </c>
      <c r="G157" s="1">
        <v>345559</v>
      </c>
    </row>
    <row r="158" spans="1:10"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223</v>
      </c>
      <c r="D159" s="1" t="s">
        <v>112</v>
      </c>
      <c r="E159" s="1" t="s">
        <v>224</v>
      </c>
      <c r="F159" s="1" t="s">
        <v>225</v>
      </c>
      <c r="G159" s="1" t="s">
        <v>226</v>
      </c>
      <c r="H159" s="1" t="s">
        <v>227</v>
      </c>
      <c r="I159" s="1" t="s">
        <v>228</v>
      </c>
      <c r="J159" s="1" t="s">
        <v>229</v>
      </c>
    </row>
    <row r="160" spans="1:10" x14ac:dyDescent="0.2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3263</v>
      </c>
      <c r="D160" s="1" t="s">
        <v>112</v>
      </c>
      <c r="E160" s="1" t="s">
        <v>3264</v>
      </c>
      <c r="F160" s="1" t="s">
        <v>3265</v>
      </c>
      <c r="G160" s="1" t="s">
        <v>3266</v>
      </c>
      <c r="H160" s="1" t="s">
        <v>3267</v>
      </c>
      <c r="I160" s="1">
        <v>24</v>
      </c>
      <c r="J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235</v>
      </c>
      <c r="D166" s="1" t="s">
        <v>110</v>
      </c>
      <c r="E166" s="1" t="s">
        <v>111</v>
      </c>
      <c r="F166" s="1" t="s">
        <v>112</v>
      </c>
      <c r="G166" s="1" t="s">
        <v>113</v>
      </c>
    </row>
    <row r="167" spans="1:7" x14ac:dyDescent="0.25">
      <c r="A167" s="1" t="str">
        <f t="shared" si="2"/>
        <v>06 EE2 170.9</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3268</v>
      </c>
      <c r="D167" s="1" t="s">
        <v>1601</v>
      </c>
      <c r="E167" s="1" t="s">
        <v>3269</v>
      </c>
      <c r="F167" s="1" t="s">
        <v>112</v>
      </c>
      <c r="G167" s="1">
        <v>2403622</v>
      </c>
    </row>
    <row r="168" spans="1:7" x14ac:dyDescent="0.25">
      <c r="A168" s="1" t="str">
        <f t="shared" si="2"/>
        <v>06 EE2 170.9</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3270</v>
      </c>
      <c r="D168" s="1" t="s">
        <v>3271</v>
      </c>
      <c r="E168" s="1" t="s">
        <v>3272</v>
      </c>
      <c r="F168" s="1" t="s">
        <v>112</v>
      </c>
      <c r="G168" s="1">
        <v>1997542</v>
      </c>
    </row>
    <row r="169" spans="1:7" x14ac:dyDescent="0.25">
      <c r="A169" s="1" t="str">
        <f t="shared" si="2"/>
        <v>06 EE2 170.9</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3273</v>
      </c>
      <c r="D169" s="1" t="s">
        <v>3274</v>
      </c>
      <c r="E169" s="1" t="s">
        <v>3275</v>
      </c>
      <c r="F169" s="1" t="s">
        <v>112</v>
      </c>
      <c r="G169" s="1">
        <v>1898867</v>
      </c>
    </row>
    <row r="170" spans="1:7" x14ac:dyDescent="0.25">
      <c r="A170" s="1" t="str">
        <f t="shared" si="2"/>
        <v>06 EE2 170.9</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3276</v>
      </c>
      <c r="D170" s="1" t="s">
        <v>3277</v>
      </c>
      <c r="E170" s="1" t="s">
        <v>3278</v>
      </c>
      <c r="F170" s="1" t="s">
        <v>112</v>
      </c>
      <c r="G170" s="1">
        <v>3286836</v>
      </c>
    </row>
    <row r="171" spans="1:7" x14ac:dyDescent="0.25">
      <c r="A171" s="1" t="str">
        <f t="shared" si="2"/>
        <v>06 EE2 170.9</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3279</v>
      </c>
      <c r="D171" s="1" t="s">
        <v>3280</v>
      </c>
      <c r="E171" s="1" t="s">
        <v>3281</v>
      </c>
      <c r="F171" s="1" t="s">
        <v>112</v>
      </c>
      <c r="G171" s="1">
        <v>2632185</v>
      </c>
    </row>
    <row r="172" spans="1:7" x14ac:dyDescent="0.25">
      <c r="A172" s="1" t="str">
        <f t="shared" si="2"/>
        <v>06 EE2 170.9</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3282</v>
      </c>
      <c r="D172" s="1" t="s">
        <v>3283</v>
      </c>
      <c r="E172" s="1" t="s">
        <v>3284</v>
      </c>
      <c r="F172" s="1" t="s">
        <v>112</v>
      </c>
      <c r="G172" s="1">
        <v>2989078</v>
      </c>
    </row>
    <row r="173" spans="1:7" x14ac:dyDescent="0.25">
      <c r="A173" s="1" t="str">
        <f t="shared" si="2"/>
        <v>06 EE2 170.9</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3285</v>
      </c>
      <c r="D173" s="1" t="s">
        <v>3286</v>
      </c>
      <c r="E173" s="1" t="s">
        <v>3287</v>
      </c>
      <c r="F173" s="1" t="s">
        <v>112</v>
      </c>
      <c r="G173" s="1">
        <v>1452512</v>
      </c>
    </row>
    <row r="174" spans="1:7" x14ac:dyDescent="0.25">
      <c r="A174" s="1" t="str">
        <f t="shared" si="2"/>
        <v>06 EE2 170.9</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3288</v>
      </c>
      <c r="D174" s="1" t="s">
        <v>3289</v>
      </c>
      <c r="E174" s="1" t="s">
        <v>3290</v>
      </c>
      <c r="F174" s="1" t="s">
        <v>112</v>
      </c>
      <c r="G174" s="1">
        <v>1367896</v>
      </c>
    </row>
    <row r="175" spans="1:7" x14ac:dyDescent="0.25">
      <c r="A175" s="1" t="str">
        <f t="shared" si="2"/>
        <v>06 EE2 170.9</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3291</v>
      </c>
      <c r="D175" s="1" t="s">
        <v>1582</v>
      </c>
      <c r="E175" s="1" t="s">
        <v>3292</v>
      </c>
      <c r="F175" s="1" t="s">
        <v>112</v>
      </c>
      <c r="G175" s="1">
        <v>1461034</v>
      </c>
    </row>
    <row r="176" spans="1:7" x14ac:dyDescent="0.25">
      <c r="A176" s="1" t="str">
        <f t="shared" si="2"/>
        <v>06 EE2 170.9</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3293</v>
      </c>
      <c r="D176" s="1" t="s">
        <v>3294</v>
      </c>
      <c r="E176" s="1" t="s">
        <v>3295</v>
      </c>
      <c r="F176" s="1" t="s">
        <v>112</v>
      </c>
      <c r="G176" s="1">
        <v>1040420</v>
      </c>
    </row>
    <row r="177" spans="1:10" x14ac:dyDescent="0.25">
      <c r="A177" s="1" t="str">
        <f t="shared" si="2"/>
        <v>06 EE2 170.9</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3296</v>
      </c>
      <c r="D177" s="1" t="s">
        <v>3297</v>
      </c>
      <c r="E177" s="1" t="s">
        <v>3298</v>
      </c>
      <c r="F177" s="1" t="s">
        <v>112</v>
      </c>
      <c r="G177" s="1">
        <v>1096636</v>
      </c>
    </row>
    <row r="178" spans="1:10" x14ac:dyDescent="0.25">
      <c r="A178" s="1" t="str">
        <f t="shared" si="2"/>
        <v>06 EE2 170.9</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3299</v>
      </c>
      <c r="D178" s="1" t="s">
        <v>3215</v>
      </c>
      <c r="E178" s="1" t="s">
        <v>3300</v>
      </c>
      <c r="F178" s="1" t="s">
        <v>112</v>
      </c>
      <c r="G178" s="1">
        <v>483471</v>
      </c>
    </row>
    <row r="179" spans="1:10" x14ac:dyDescent="0.25">
      <c r="A179" s="1" t="str">
        <f t="shared" si="2"/>
        <v>06 EE2 170.9</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3301</v>
      </c>
      <c r="D179" s="1" t="s">
        <v>1369</v>
      </c>
      <c r="E179" s="1" t="s">
        <v>3302</v>
      </c>
      <c r="F179" s="1" t="s">
        <v>112</v>
      </c>
      <c r="G179" s="1">
        <v>2488779</v>
      </c>
    </row>
    <row r="180" spans="1:10" x14ac:dyDescent="0.25">
      <c r="A180" s="1" t="str">
        <f t="shared" si="2"/>
        <v>06 EE2 170.9</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3303</v>
      </c>
      <c r="D180" s="1" t="s">
        <v>3304</v>
      </c>
      <c r="E180" s="1" t="s">
        <v>3305</v>
      </c>
      <c r="F180" s="1" t="s">
        <v>112</v>
      </c>
      <c r="G180" s="1">
        <v>2255760</v>
      </c>
    </row>
    <row r="181" spans="1:10" x14ac:dyDescent="0.25">
      <c r="A181" s="1" t="str">
        <f t="shared" si="2"/>
        <v>06 EE2 170.9</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3306</v>
      </c>
      <c r="D181" s="1" t="s">
        <v>3307</v>
      </c>
      <c r="E181" s="1" t="s">
        <v>3308</v>
      </c>
      <c r="F181" s="1" t="s">
        <v>112</v>
      </c>
      <c r="G181" s="1">
        <v>2269106</v>
      </c>
    </row>
    <row r="182" spans="1:10" x14ac:dyDescent="0.25">
      <c r="A182" s="1" t="str">
        <f t="shared" si="2"/>
        <v>06 EE2 170.9</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3309</v>
      </c>
      <c r="D182" s="1" t="s">
        <v>3310</v>
      </c>
      <c r="E182" s="1" t="s">
        <v>3311</v>
      </c>
      <c r="F182" s="1" t="s">
        <v>112</v>
      </c>
      <c r="G182" s="1">
        <v>3561881</v>
      </c>
    </row>
    <row r="183" spans="1:10" x14ac:dyDescent="0.25">
      <c r="A183" s="1" t="str">
        <f t="shared" si="2"/>
        <v>06 EE2 170.9</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3312</v>
      </c>
      <c r="D183" s="1" t="s">
        <v>3313</v>
      </c>
      <c r="E183" s="1" t="s">
        <v>3314</v>
      </c>
      <c r="F183" s="1" t="s">
        <v>112</v>
      </c>
      <c r="G183" s="1">
        <v>4393616</v>
      </c>
    </row>
    <row r="184" spans="1:10" x14ac:dyDescent="0.25">
      <c r="A184" s="1" t="str">
        <f t="shared" si="2"/>
        <v>06 EE2 170.9</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3315</v>
      </c>
      <c r="D184" s="1" t="s">
        <v>2911</v>
      </c>
      <c r="E184" s="1" t="s">
        <v>3316</v>
      </c>
      <c r="F184" s="1" t="s">
        <v>112</v>
      </c>
      <c r="G184" s="1">
        <v>4102888</v>
      </c>
    </row>
    <row r="185" spans="1:10" x14ac:dyDescent="0.25">
      <c r="A185" s="1" t="str">
        <f t="shared" si="2"/>
        <v>06 EE2 170.9</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3317</v>
      </c>
      <c r="D185" s="1" t="s">
        <v>3318</v>
      </c>
      <c r="E185" s="1" t="s">
        <v>3319</v>
      </c>
      <c r="F185" s="1" t="s">
        <v>112</v>
      </c>
      <c r="G185" s="1">
        <v>2817186</v>
      </c>
    </row>
    <row r="186" spans="1:10" x14ac:dyDescent="0.25">
      <c r="A186" s="1" t="str">
        <f t="shared" si="2"/>
        <v>06 EE2 170.9</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3320</v>
      </c>
      <c r="D186" s="1" t="s">
        <v>2846</v>
      </c>
      <c r="E186" s="1" t="s">
        <v>3321</v>
      </c>
      <c r="F186" s="1" t="s">
        <v>112</v>
      </c>
      <c r="G186" s="1">
        <v>2858304</v>
      </c>
    </row>
    <row r="187" spans="1:10" x14ac:dyDescent="0.25">
      <c r="A187" s="1" t="str">
        <f t="shared" si="2"/>
        <v>06 EE2 170.9</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3322</v>
      </c>
      <c r="D187" s="1" t="s">
        <v>3323</v>
      </c>
      <c r="E187" s="1" t="s">
        <v>3324</v>
      </c>
      <c r="F187" s="1" t="s">
        <v>112</v>
      </c>
      <c r="G187" s="1">
        <v>3002424</v>
      </c>
    </row>
    <row r="188" spans="1:10" x14ac:dyDescent="0.25">
      <c r="A188" s="1" t="str">
        <f t="shared" si="2"/>
        <v>06 EE2 170.9</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3325</v>
      </c>
      <c r="D188" s="1" t="s">
        <v>3326</v>
      </c>
      <c r="E188" s="1" t="s">
        <v>3327</v>
      </c>
      <c r="F188" s="1" t="s">
        <v>112</v>
      </c>
      <c r="G188" s="1">
        <v>4904860</v>
      </c>
    </row>
    <row r="189" spans="1:10" x14ac:dyDescent="0.25">
      <c r="A189" s="1" t="str">
        <f t="shared" si="2"/>
        <v>06 EE2 170.9</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3328</v>
      </c>
      <c r="D189" s="1" t="s">
        <v>3329</v>
      </c>
      <c r="E189" s="1" t="s">
        <v>3330</v>
      </c>
      <c r="F189" s="1" t="s">
        <v>112</v>
      </c>
      <c r="G189" s="1">
        <v>4345554</v>
      </c>
    </row>
    <row r="190" spans="1:10" x14ac:dyDescent="0.25">
      <c r="A190" s="1" t="str">
        <f t="shared" si="2"/>
        <v>06 EE2 170.9</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3331</v>
      </c>
      <c r="D190" s="1" t="s">
        <v>3332</v>
      </c>
      <c r="E190" s="1" t="s">
        <v>3333</v>
      </c>
      <c r="F190" s="1" t="s">
        <v>112</v>
      </c>
      <c r="G190" s="1">
        <v>4512731</v>
      </c>
    </row>
    <row r="191" spans="1:10"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223</v>
      </c>
      <c r="D192" s="1" t="s">
        <v>112</v>
      </c>
      <c r="E192" s="1" t="s">
        <v>224</v>
      </c>
      <c r="F192" s="1" t="s">
        <v>225</v>
      </c>
      <c r="G192" s="1" t="s">
        <v>226</v>
      </c>
      <c r="H192" s="1" t="s">
        <v>227</v>
      </c>
      <c r="I192" s="1" t="s">
        <v>228</v>
      </c>
      <c r="J192" s="1" t="s">
        <v>229</v>
      </c>
    </row>
    <row r="193" spans="1:10" x14ac:dyDescent="0.25">
      <c r="A193" s="1" t="str">
        <f t="shared" si="2"/>
        <v>06 EE2 170.9</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3334</v>
      </c>
      <c r="D193" s="1" t="s">
        <v>112</v>
      </c>
      <c r="E193" s="1" t="s">
        <v>3335</v>
      </c>
      <c r="F193" s="1" t="s">
        <v>3336</v>
      </c>
      <c r="G193" s="1" t="s">
        <v>3337</v>
      </c>
      <c r="H193" s="1" t="s">
        <v>3338</v>
      </c>
      <c r="I193" s="1">
        <v>24</v>
      </c>
      <c r="J193" s="1">
        <v>24</v>
      </c>
    </row>
    <row r="194" spans="1:10"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235</v>
      </c>
      <c r="D199" s="1" t="s">
        <v>110</v>
      </c>
      <c r="E199" s="1" t="s">
        <v>111</v>
      </c>
      <c r="F199" s="1" t="s">
        <v>112</v>
      </c>
      <c r="G199" s="1" t="s">
        <v>113</v>
      </c>
    </row>
    <row r="200" spans="1:10" x14ac:dyDescent="0.2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3339</v>
      </c>
      <c r="D200" s="1" t="s">
        <v>1480</v>
      </c>
      <c r="E200" s="1" t="s">
        <v>3340</v>
      </c>
      <c r="F200" s="1" t="s">
        <v>112</v>
      </c>
      <c r="G200" s="1">
        <v>3364357</v>
      </c>
    </row>
    <row r="201" spans="1:10" x14ac:dyDescent="0.2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3341</v>
      </c>
      <c r="D201" s="1" t="s">
        <v>3342</v>
      </c>
      <c r="E201" s="1" t="s">
        <v>3343</v>
      </c>
      <c r="F201" s="1" t="s">
        <v>112</v>
      </c>
      <c r="G201" s="1">
        <v>3646497</v>
      </c>
    </row>
    <row r="202" spans="1:10" x14ac:dyDescent="0.2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3344</v>
      </c>
      <c r="D202" s="1" t="s">
        <v>2540</v>
      </c>
      <c r="E202" s="1" t="s">
        <v>3345</v>
      </c>
      <c r="F202" s="1" t="s">
        <v>112</v>
      </c>
      <c r="G202" s="1">
        <v>3563871</v>
      </c>
    </row>
    <row r="203" spans="1:10" x14ac:dyDescent="0.2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3346</v>
      </c>
      <c r="D203" s="1" t="s">
        <v>3347</v>
      </c>
      <c r="E203" s="1" t="s">
        <v>3348</v>
      </c>
      <c r="F203" s="1" t="s">
        <v>112</v>
      </c>
      <c r="G203" s="1">
        <v>5278733</v>
      </c>
    </row>
    <row r="204" spans="1:10" x14ac:dyDescent="0.2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3349</v>
      </c>
      <c r="D204" s="1" t="s">
        <v>3350</v>
      </c>
      <c r="E204" s="1" t="s">
        <v>3351</v>
      </c>
      <c r="F204" s="1" t="s">
        <v>112</v>
      </c>
      <c r="G204" s="1">
        <v>5140734</v>
      </c>
    </row>
    <row r="205" spans="1:10" x14ac:dyDescent="0.2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3352</v>
      </c>
      <c r="D205" s="1" t="s">
        <v>3353</v>
      </c>
      <c r="E205" s="1" t="s">
        <v>3354</v>
      </c>
      <c r="F205" s="1" t="s">
        <v>112</v>
      </c>
      <c r="G205" s="1">
        <v>5177764</v>
      </c>
    </row>
    <row r="206" spans="1:10" x14ac:dyDescent="0.2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3355</v>
      </c>
      <c r="D206" s="1" t="s">
        <v>3356</v>
      </c>
      <c r="E206" s="1" t="s">
        <v>3357</v>
      </c>
      <c r="F206" s="1" t="s">
        <v>112</v>
      </c>
      <c r="G206" s="1">
        <v>4943037</v>
      </c>
    </row>
    <row r="207" spans="1:10" x14ac:dyDescent="0.2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3358</v>
      </c>
      <c r="D207" s="1" t="s">
        <v>3359</v>
      </c>
      <c r="E207" s="1" t="s">
        <v>3360</v>
      </c>
      <c r="F207" s="1" t="s">
        <v>112</v>
      </c>
      <c r="G207" s="1">
        <v>4890865</v>
      </c>
    </row>
    <row r="208" spans="1:10" x14ac:dyDescent="0.2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3361</v>
      </c>
      <c r="D208" s="1" t="s">
        <v>3362</v>
      </c>
      <c r="E208" s="1" t="s">
        <v>3363</v>
      </c>
      <c r="F208" s="1" t="s">
        <v>112</v>
      </c>
      <c r="G208" s="1">
        <v>4717393</v>
      </c>
    </row>
    <row r="209" spans="1:7" x14ac:dyDescent="0.2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3364</v>
      </c>
      <c r="D209" s="1" t="s">
        <v>3365</v>
      </c>
      <c r="E209" s="1" t="s">
        <v>3366</v>
      </c>
      <c r="F209" s="1" t="s">
        <v>112</v>
      </c>
      <c r="G209" s="1">
        <v>6486567</v>
      </c>
    </row>
    <row r="210" spans="1:7" x14ac:dyDescent="0.2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3367</v>
      </c>
      <c r="D210" s="1" t="s">
        <v>3368</v>
      </c>
      <c r="E210" s="1" t="s">
        <v>3369</v>
      </c>
      <c r="F210" s="1" t="s">
        <v>112</v>
      </c>
      <c r="G210" s="1">
        <v>6761440</v>
      </c>
    </row>
    <row r="211" spans="1:7" x14ac:dyDescent="0.2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3370</v>
      </c>
    </row>
    <row r="212" spans="1:7" x14ac:dyDescent="0.2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3371</v>
      </c>
      <c r="D212" s="1" t="s">
        <v>3372</v>
      </c>
      <c r="E212" s="1" t="s">
        <v>3373</v>
      </c>
      <c r="F212" s="1" t="s">
        <v>112</v>
      </c>
      <c r="G212" s="1">
        <v>4802788</v>
      </c>
    </row>
    <row r="213" spans="1:7" x14ac:dyDescent="0.2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3374</v>
      </c>
      <c r="D213" s="1" t="s">
        <v>3375</v>
      </c>
      <c r="E213" s="1" t="s">
        <v>3376</v>
      </c>
      <c r="F213" s="1" t="s">
        <v>112</v>
      </c>
      <c r="G213" s="1">
        <v>4573403</v>
      </c>
    </row>
    <row r="214" spans="1:7" x14ac:dyDescent="0.2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3377</v>
      </c>
      <c r="D214" s="1" t="s">
        <v>3378</v>
      </c>
      <c r="E214" s="1" t="s">
        <v>3379</v>
      </c>
      <c r="F214" s="1" t="s">
        <v>112</v>
      </c>
      <c r="G214" s="1">
        <v>4904860</v>
      </c>
    </row>
    <row r="215" spans="1:7" x14ac:dyDescent="0.2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3380</v>
      </c>
      <c r="D215" s="1" t="s">
        <v>3381</v>
      </c>
      <c r="E215" s="1" t="s">
        <v>3382</v>
      </c>
      <c r="F215" s="1" t="s">
        <v>112</v>
      </c>
      <c r="G215" s="1">
        <v>5601667</v>
      </c>
    </row>
    <row r="216" spans="1:7" x14ac:dyDescent="0.2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3383</v>
      </c>
      <c r="D216" s="1" t="s">
        <v>2734</v>
      </c>
      <c r="E216" s="1" t="s">
        <v>3384</v>
      </c>
      <c r="F216" s="1" t="s">
        <v>112</v>
      </c>
      <c r="G216" s="1">
        <v>5124598</v>
      </c>
    </row>
    <row r="217" spans="1:7" x14ac:dyDescent="0.2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3385</v>
      </c>
      <c r="D217" s="1" t="s">
        <v>3386</v>
      </c>
      <c r="E217" s="1" t="s">
        <v>3387</v>
      </c>
      <c r="F217" s="1" t="s">
        <v>112</v>
      </c>
      <c r="G217" s="1">
        <v>5555357</v>
      </c>
    </row>
    <row r="218" spans="1:7" x14ac:dyDescent="0.2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3388</v>
      </c>
      <c r="D218" s="1" t="s">
        <v>3389</v>
      </c>
      <c r="E218" s="1" t="s">
        <v>3390</v>
      </c>
      <c r="F218" s="1" t="s">
        <v>112</v>
      </c>
      <c r="G218" s="1">
        <v>5569135</v>
      </c>
    </row>
    <row r="219" spans="1:7" x14ac:dyDescent="0.2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3391</v>
      </c>
      <c r="D219" s="1" t="s">
        <v>3392</v>
      </c>
      <c r="E219" s="1" t="s">
        <v>3393</v>
      </c>
      <c r="F219" s="1" t="s">
        <v>112</v>
      </c>
      <c r="G219" s="1">
        <v>5218061</v>
      </c>
    </row>
    <row r="220" spans="1:7" x14ac:dyDescent="0.2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3394</v>
      </c>
      <c r="D220" s="1" t="s">
        <v>3395</v>
      </c>
      <c r="E220" s="1" t="s">
        <v>3396</v>
      </c>
      <c r="F220" s="1" t="s">
        <v>112</v>
      </c>
      <c r="G220" s="1">
        <v>5830122</v>
      </c>
    </row>
    <row r="221" spans="1:7" x14ac:dyDescent="0.2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3397</v>
      </c>
      <c r="D221" s="1" t="s">
        <v>3353</v>
      </c>
      <c r="E221" s="1" t="s">
        <v>3398</v>
      </c>
      <c r="F221" s="1" t="s">
        <v>112</v>
      </c>
      <c r="G221" s="1">
        <v>6061605</v>
      </c>
    </row>
    <row r="222" spans="1:7" x14ac:dyDescent="0.2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3399</v>
      </c>
      <c r="D222" s="1" t="s">
        <v>3400</v>
      </c>
      <c r="E222" s="1" t="s">
        <v>3401</v>
      </c>
      <c r="F222" s="1" t="s">
        <v>112</v>
      </c>
      <c r="G222" s="1">
        <v>5753963</v>
      </c>
    </row>
    <row r="223" spans="1:7" x14ac:dyDescent="0.2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3402</v>
      </c>
      <c r="D223" s="1" t="s">
        <v>3403</v>
      </c>
      <c r="E223" s="1" t="s">
        <v>3404</v>
      </c>
      <c r="F223" s="1" t="s">
        <v>112</v>
      </c>
      <c r="G223" s="1">
        <v>5402218</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223</v>
      </c>
      <c r="D225" s="1" t="s">
        <v>112</v>
      </c>
      <c r="E225" s="1" t="s">
        <v>224</v>
      </c>
      <c r="F225" s="1" t="s">
        <v>225</v>
      </c>
      <c r="G225" s="1" t="s">
        <v>226</v>
      </c>
      <c r="H225" s="1" t="s">
        <v>227</v>
      </c>
      <c r="I225" s="1" t="s">
        <v>228</v>
      </c>
      <c r="J225" s="1" t="s">
        <v>229</v>
      </c>
    </row>
    <row r="226" spans="1:10" x14ac:dyDescent="0.2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3405</v>
      </c>
      <c r="D226" s="1" t="s">
        <v>112</v>
      </c>
      <c r="E226" s="1" t="s">
        <v>3406</v>
      </c>
      <c r="F226" s="1" t="s">
        <v>3407</v>
      </c>
      <c r="G226" s="1" t="s">
        <v>3408</v>
      </c>
      <c r="H226" s="1" t="s">
        <v>3409</v>
      </c>
      <c r="I226" s="1">
        <v>24</v>
      </c>
      <c r="J226" s="1">
        <v>24</v>
      </c>
    </row>
    <row r="227" spans="1:10"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235</v>
      </c>
      <c r="D232" s="1" t="s">
        <v>110</v>
      </c>
      <c r="E232" s="1" t="s">
        <v>111</v>
      </c>
      <c r="F232" s="1" t="s">
        <v>112</v>
      </c>
      <c r="G232" s="1" t="s">
        <v>113</v>
      </c>
    </row>
    <row r="233" spans="1:10" x14ac:dyDescent="0.25">
      <c r="A233" s="1" t="str">
        <f t="shared" si="3"/>
        <v>08 Amantadine 0.001 mg_L</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3410</v>
      </c>
      <c r="D233" s="1" t="s">
        <v>3411</v>
      </c>
      <c r="E233" s="1" t="s">
        <v>3412</v>
      </c>
      <c r="F233" s="1" t="s">
        <v>112</v>
      </c>
      <c r="G233" s="1">
        <v>177949</v>
      </c>
    </row>
    <row r="234" spans="1:10" x14ac:dyDescent="0.25">
      <c r="A234" s="1" t="str">
        <f t="shared" si="3"/>
        <v>08 Amantadine 0.001 mg_L</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3413</v>
      </c>
      <c r="D234" s="1" t="s">
        <v>820</v>
      </c>
      <c r="E234" s="1" t="s">
        <v>3414</v>
      </c>
      <c r="F234" s="1" t="s">
        <v>112</v>
      </c>
      <c r="G234" s="1">
        <v>215131</v>
      </c>
    </row>
    <row r="235" spans="1:10" x14ac:dyDescent="0.25">
      <c r="A235" s="1" t="str">
        <f t="shared" si="3"/>
        <v>08 Amantadine 0.001 mg_L</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3415</v>
      </c>
      <c r="D235" s="1" t="s">
        <v>3416</v>
      </c>
      <c r="E235" s="1" t="s">
        <v>3417</v>
      </c>
      <c r="F235" s="1" t="s">
        <v>112</v>
      </c>
      <c r="G235" s="1">
        <v>461777</v>
      </c>
    </row>
    <row r="236" spans="1:10" x14ac:dyDescent="0.25">
      <c r="A236" s="1" t="str">
        <f t="shared" si="3"/>
        <v>08 Amantadine 0.001 mg_L</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3418</v>
      </c>
      <c r="D236" s="1" t="s">
        <v>3419</v>
      </c>
      <c r="E236" s="1" t="s">
        <v>3420</v>
      </c>
      <c r="F236" s="1" t="s">
        <v>112</v>
      </c>
      <c r="G236" s="1">
        <v>226811</v>
      </c>
    </row>
    <row r="237" spans="1:10" x14ac:dyDescent="0.25">
      <c r="A237" s="1" t="str">
        <f t="shared" si="3"/>
        <v>08 Amantadine 0.001 mg_L</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3421</v>
      </c>
      <c r="D237" s="1" t="s">
        <v>1787</v>
      </c>
      <c r="E237" s="1" t="s">
        <v>3422</v>
      </c>
      <c r="F237" s="1" t="s">
        <v>112</v>
      </c>
      <c r="G237" s="1">
        <v>315342</v>
      </c>
    </row>
    <row r="238" spans="1:10" x14ac:dyDescent="0.25">
      <c r="A238" s="1" t="str">
        <f t="shared" si="3"/>
        <v>08 Amantadine 0.001 mg_L</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3423</v>
      </c>
      <c r="D238" s="1" t="s">
        <v>246</v>
      </c>
      <c r="E238" s="1" t="s">
        <v>2178</v>
      </c>
      <c r="F238" s="1" t="s">
        <v>112</v>
      </c>
      <c r="G238" s="1">
        <v>29676</v>
      </c>
    </row>
    <row r="239" spans="1:10" x14ac:dyDescent="0.25">
      <c r="A239" s="1" t="str">
        <f t="shared" si="3"/>
        <v>08 Amantadine 0.001 mg_L</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3424</v>
      </c>
      <c r="D239" s="1" t="s">
        <v>3425</v>
      </c>
      <c r="E239" s="1" t="s">
        <v>3426</v>
      </c>
      <c r="F239" s="1" t="s">
        <v>112</v>
      </c>
      <c r="G239" s="1">
        <v>580006</v>
      </c>
    </row>
    <row r="240" spans="1:10" x14ac:dyDescent="0.25">
      <c r="A240" s="1" t="str">
        <f t="shared" si="3"/>
        <v>08 Amantadine 0.001 mg_L</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3427</v>
      </c>
      <c r="D240" s="1" t="s">
        <v>1709</v>
      </c>
      <c r="E240" s="1" t="s">
        <v>3428</v>
      </c>
      <c r="F240" s="1" t="s">
        <v>112</v>
      </c>
      <c r="G240" s="1">
        <v>87342</v>
      </c>
    </row>
    <row r="241" spans="1:7" x14ac:dyDescent="0.25">
      <c r="A241" s="1" t="str">
        <f t="shared" si="3"/>
        <v>08 Amantadine 0.001 mg_L</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3429</v>
      </c>
      <c r="D241" s="1" t="s">
        <v>1677</v>
      </c>
      <c r="E241" s="1" t="s">
        <v>3430</v>
      </c>
      <c r="F241" s="1" t="s">
        <v>112</v>
      </c>
      <c r="G241" s="1">
        <v>173861</v>
      </c>
    </row>
    <row r="242" spans="1:7" x14ac:dyDescent="0.25">
      <c r="A242" s="1" t="str">
        <f t="shared" si="3"/>
        <v>08 Amantadine 0.001 mg_L</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3431</v>
      </c>
      <c r="D242" s="1" t="s">
        <v>2611</v>
      </c>
      <c r="E242" s="1" t="s">
        <v>3432</v>
      </c>
      <c r="F242" s="1" t="s">
        <v>112</v>
      </c>
      <c r="G242" s="1">
        <v>470926</v>
      </c>
    </row>
    <row r="243" spans="1:7" x14ac:dyDescent="0.25">
      <c r="A243" s="1" t="str">
        <f t="shared" si="3"/>
        <v>08 Amantadine 0.001 mg_L</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3433</v>
      </c>
      <c r="D243" s="1" t="s">
        <v>3434</v>
      </c>
      <c r="E243" s="1" t="s">
        <v>3435</v>
      </c>
      <c r="F243" s="1" t="s">
        <v>112</v>
      </c>
      <c r="G243" s="1">
        <v>483515</v>
      </c>
    </row>
    <row r="244" spans="1:7" x14ac:dyDescent="0.25">
      <c r="A244" s="1" t="str">
        <f t="shared" si="3"/>
        <v>08 Amantadine 0.001 mg_L</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3436</v>
      </c>
      <c r="D244" s="1" t="s">
        <v>3437</v>
      </c>
      <c r="E244" s="1" t="s">
        <v>3438</v>
      </c>
      <c r="F244" s="1" t="s">
        <v>112</v>
      </c>
      <c r="G244" s="1">
        <v>532247</v>
      </c>
    </row>
    <row r="245" spans="1:7" x14ac:dyDescent="0.25">
      <c r="A245" s="1" t="str">
        <f t="shared" si="3"/>
        <v>08 Amantadine 0.001 mg_L</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3439</v>
      </c>
      <c r="D245" s="1" t="s">
        <v>947</v>
      </c>
      <c r="E245" s="1" t="s">
        <v>3440</v>
      </c>
      <c r="F245" s="1" t="s">
        <v>112</v>
      </c>
      <c r="G245" s="1">
        <v>153853</v>
      </c>
    </row>
    <row r="246" spans="1:7" x14ac:dyDescent="0.25">
      <c r="A246" s="1" t="str">
        <f t="shared" si="3"/>
        <v>08 Amantadine 0.001 mg_L</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3441</v>
      </c>
      <c r="D246" s="1" t="s">
        <v>221</v>
      </c>
      <c r="E246" s="1" t="s">
        <v>3442</v>
      </c>
      <c r="F246" s="1" t="s">
        <v>112</v>
      </c>
      <c r="G246" s="1">
        <v>177538</v>
      </c>
    </row>
    <row r="247" spans="1:7" x14ac:dyDescent="0.25">
      <c r="A247" s="1" t="str">
        <f t="shared" si="3"/>
        <v>08 Amantadine 0.001 mg_L</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3443</v>
      </c>
      <c r="D247" s="1" t="s">
        <v>3057</v>
      </c>
      <c r="E247" s="1">
        <v>66</v>
      </c>
      <c r="F247" s="1" t="s">
        <v>112</v>
      </c>
      <c r="G247" s="1">
        <v>141330</v>
      </c>
    </row>
    <row r="248" spans="1:7" x14ac:dyDescent="0.25">
      <c r="A248" s="1" t="str">
        <f t="shared" si="3"/>
        <v>08 Amantadine 0.001 mg_L</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3444</v>
      </c>
    </row>
    <row r="249" spans="1:7" x14ac:dyDescent="0.25">
      <c r="A249" s="1" t="str">
        <f t="shared" si="3"/>
        <v>08 Amantadine 0.001 mg_L</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3445</v>
      </c>
    </row>
    <row r="250" spans="1:7" x14ac:dyDescent="0.25">
      <c r="A250" s="1" t="str">
        <f t="shared" si="3"/>
        <v>08 Amantadine 0.001 mg_L</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3446</v>
      </c>
    </row>
    <row r="251" spans="1:7" x14ac:dyDescent="0.25">
      <c r="A251" s="1" t="str">
        <f t="shared" si="3"/>
        <v>08 Amantadine 0.001 mg_L</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3447</v>
      </c>
      <c r="D251" s="1" t="s">
        <v>741</v>
      </c>
      <c r="E251" s="1" t="s">
        <v>3448</v>
      </c>
      <c r="F251" s="1" t="s">
        <v>112</v>
      </c>
      <c r="G251" s="1">
        <v>283590</v>
      </c>
    </row>
    <row r="252" spans="1:7" x14ac:dyDescent="0.25">
      <c r="A252" s="1" t="str">
        <f t="shared" si="3"/>
        <v>08 Amantadine 0.001 mg_L</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3449</v>
      </c>
      <c r="D252" s="1" t="s">
        <v>3450</v>
      </c>
      <c r="E252" s="1" t="s">
        <v>3451</v>
      </c>
      <c r="F252" s="1" t="s">
        <v>112</v>
      </c>
      <c r="G252" s="1">
        <v>578492</v>
      </c>
    </row>
    <row r="253" spans="1:7" x14ac:dyDescent="0.25">
      <c r="A253" s="1" t="str">
        <f t="shared" si="3"/>
        <v>08 Amantadine 0.001 mg_L</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3452</v>
      </c>
    </row>
    <row r="254" spans="1:7" x14ac:dyDescent="0.25">
      <c r="A254" s="1" t="str">
        <f t="shared" si="3"/>
        <v>08 Amantadine 0.001 mg_L</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3453</v>
      </c>
      <c r="D254" s="1" t="s">
        <v>3437</v>
      </c>
      <c r="E254" s="1" t="s">
        <v>3454</v>
      </c>
      <c r="F254" s="1" t="s">
        <v>112</v>
      </c>
      <c r="G254" s="1">
        <v>499867</v>
      </c>
    </row>
    <row r="255" spans="1:7" x14ac:dyDescent="0.25">
      <c r="A255" s="1" t="str">
        <f t="shared" si="3"/>
        <v>08 Amantadine 0.001 mg_L</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3455</v>
      </c>
      <c r="D255" s="1" t="s">
        <v>3456</v>
      </c>
      <c r="E255" s="1" t="s">
        <v>3457</v>
      </c>
      <c r="F255" s="1" t="s">
        <v>112</v>
      </c>
      <c r="G255" s="1">
        <v>551043</v>
      </c>
    </row>
    <row r="256" spans="1:7" x14ac:dyDescent="0.25">
      <c r="A256" s="1" t="str">
        <f t="shared" si="3"/>
        <v>08 Amantadine 0.001 mg_L</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3458</v>
      </c>
      <c r="D256" s="1" t="s">
        <v>246</v>
      </c>
      <c r="E256" s="1" t="s">
        <v>3459</v>
      </c>
      <c r="F256" s="1" t="s">
        <v>112</v>
      </c>
      <c r="G256" s="1">
        <v>29893</v>
      </c>
    </row>
    <row r="257" spans="1:10"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223</v>
      </c>
      <c r="D258" s="1" t="s">
        <v>112</v>
      </c>
      <c r="E258" s="1" t="s">
        <v>224</v>
      </c>
      <c r="F258" s="1" t="s">
        <v>225</v>
      </c>
      <c r="G258" s="1" t="s">
        <v>226</v>
      </c>
      <c r="H258" s="1" t="s">
        <v>227</v>
      </c>
      <c r="I258" s="1" t="s">
        <v>228</v>
      </c>
      <c r="J258" s="1" t="s">
        <v>229</v>
      </c>
    </row>
    <row r="259" spans="1:10" x14ac:dyDescent="0.25">
      <c r="A259" s="1" t="str">
        <f t="shared" si="4"/>
        <v>08 Amantadine 0.001 mg_L</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3460</v>
      </c>
      <c r="D259" s="1" t="s">
        <v>112</v>
      </c>
      <c r="E259" s="1" t="s">
        <v>3461</v>
      </c>
      <c r="F259" s="1" t="s">
        <v>3462</v>
      </c>
      <c r="G259" s="1" t="s">
        <v>3463</v>
      </c>
      <c r="H259" s="1" t="s">
        <v>3464</v>
      </c>
      <c r="I259" s="1">
        <v>24</v>
      </c>
      <c r="J259" s="1">
        <v>24</v>
      </c>
    </row>
    <row r="260" spans="1:10"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235</v>
      </c>
      <c r="D265" s="1" t="s">
        <v>110</v>
      </c>
      <c r="E265" s="1" t="s">
        <v>111</v>
      </c>
      <c r="F265" s="1" t="s">
        <v>112</v>
      </c>
      <c r="G265" s="1" t="s">
        <v>113</v>
      </c>
    </row>
    <row r="266" spans="1:10" x14ac:dyDescent="0.25">
      <c r="A266" s="1" t="str">
        <f t="shared" si="4"/>
        <v>09 Amantadine 0.01 mg_L</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3465</v>
      </c>
      <c r="D266" s="1" t="s">
        <v>178</v>
      </c>
      <c r="E266" s="1" t="s">
        <v>3466</v>
      </c>
      <c r="F266" s="1" t="s">
        <v>112</v>
      </c>
      <c r="G266" s="1">
        <v>96772</v>
      </c>
    </row>
    <row r="267" spans="1:10" x14ac:dyDescent="0.25">
      <c r="A267" s="1" t="str">
        <f t="shared" si="4"/>
        <v>09 Amantadine 0.01 mg_L</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3467</v>
      </c>
      <c r="D267" s="1" t="s">
        <v>1240</v>
      </c>
      <c r="E267" s="1" t="s">
        <v>3468</v>
      </c>
      <c r="F267" s="1" t="s">
        <v>112</v>
      </c>
      <c r="G267" s="1">
        <v>175245</v>
      </c>
    </row>
    <row r="268" spans="1:10" x14ac:dyDescent="0.25">
      <c r="A268" s="1" t="str">
        <f t="shared" si="4"/>
        <v>09 Amantadine 0.01 mg_L</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3469</v>
      </c>
      <c r="D268" s="1" t="s">
        <v>172</v>
      </c>
      <c r="E268" s="1" t="s">
        <v>3470</v>
      </c>
      <c r="F268" s="1" t="s">
        <v>112</v>
      </c>
      <c r="G268" s="1">
        <v>214504</v>
      </c>
    </row>
    <row r="269" spans="1:10" x14ac:dyDescent="0.25">
      <c r="A269" s="1" t="str">
        <f t="shared" si="4"/>
        <v>09 Amantadine 0.01 mg_L</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3471</v>
      </c>
      <c r="D269" s="1" t="s">
        <v>774</v>
      </c>
      <c r="E269" s="1" t="s">
        <v>3472</v>
      </c>
      <c r="F269" s="1" t="s">
        <v>112</v>
      </c>
      <c r="G269" s="1">
        <v>51111</v>
      </c>
    </row>
    <row r="270" spans="1:10" x14ac:dyDescent="0.25">
      <c r="A270" s="1" t="str">
        <f t="shared" si="4"/>
        <v>09 Amantadine 0.01 mg_L</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3473</v>
      </c>
      <c r="D270" s="1" t="s">
        <v>2324</v>
      </c>
      <c r="E270" s="1" t="s">
        <v>1345</v>
      </c>
      <c r="F270" s="1" t="s">
        <v>112</v>
      </c>
      <c r="G270" s="1">
        <v>66231</v>
      </c>
    </row>
    <row r="271" spans="1:10" x14ac:dyDescent="0.25">
      <c r="A271" s="1" t="str">
        <f t="shared" si="4"/>
        <v>09 Amantadine 0.01 mg_L</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3474</v>
      </c>
      <c r="D271" s="1" t="s">
        <v>696</v>
      </c>
      <c r="E271" s="1" t="s">
        <v>3475</v>
      </c>
      <c r="F271" s="1" t="s">
        <v>112</v>
      </c>
      <c r="G271" s="1">
        <v>133154</v>
      </c>
    </row>
    <row r="272" spans="1:10" x14ac:dyDescent="0.25">
      <c r="A272" s="1" t="str">
        <f t="shared" si="4"/>
        <v>09 Amantadine 0.01 mg_L</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3476</v>
      </c>
      <c r="D272" s="1" t="s">
        <v>2991</v>
      </c>
      <c r="E272" s="1" t="s">
        <v>3477</v>
      </c>
      <c r="F272" s="1" t="s">
        <v>112</v>
      </c>
      <c r="G272" s="1">
        <v>200877</v>
      </c>
    </row>
    <row r="273" spans="1:7" x14ac:dyDescent="0.25">
      <c r="A273" s="1" t="str">
        <f t="shared" si="4"/>
        <v>09 Amantadine 0.01 mg_L</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3478</v>
      </c>
      <c r="D273" s="1" t="s">
        <v>3060</v>
      </c>
      <c r="E273" s="1" t="s">
        <v>3479</v>
      </c>
      <c r="F273" s="1" t="s">
        <v>112</v>
      </c>
      <c r="G273" s="1">
        <v>39669</v>
      </c>
    </row>
    <row r="274" spans="1:7" x14ac:dyDescent="0.25">
      <c r="A274" s="1" t="str">
        <f t="shared" si="4"/>
        <v>09 Amantadine 0.01 mg_L</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3480</v>
      </c>
      <c r="D274" s="1" t="s">
        <v>282</v>
      </c>
      <c r="E274" s="1" t="s">
        <v>3481</v>
      </c>
      <c r="F274" s="1" t="s">
        <v>112</v>
      </c>
      <c r="G274" s="1">
        <v>54789</v>
      </c>
    </row>
    <row r="275" spans="1:7" x14ac:dyDescent="0.25">
      <c r="A275" s="1" t="str">
        <f t="shared" si="4"/>
        <v>09 Amantadine 0.01 mg_L</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3482</v>
      </c>
      <c r="D275" s="1" t="s">
        <v>3483</v>
      </c>
      <c r="E275" s="1" t="s">
        <v>3484</v>
      </c>
      <c r="F275" s="1" t="s">
        <v>112</v>
      </c>
      <c r="G275" s="1">
        <v>435193</v>
      </c>
    </row>
    <row r="276" spans="1:7" x14ac:dyDescent="0.25">
      <c r="A276" s="1" t="str">
        <f t="shared" si="4"/>
        <v>09 Amantadine 0.01 mg_L</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3485</v>
      </c>
      <c r="D276" s="1" t="s">
        <v>2177</v>
      </c>
      <c r="E276" s="1" t="s">
        <v>3486</v>
      </c>
      <c r="F276" s="1" t="s">
        <v>112</v>
      </c>
      <c r="G276" s="1">
        <v>45315</v>
      </c>
    </row>
    <row r="277" spans="1:7" x14ac:dyDescent="0.25">
      <c r="A277" s="1" t="str">
        <f t="shared" si="4"/>
        <v>09 Amantadine 0.01 mg_L</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3487</v>
      </c>
      <c r="D277" s="1" t="s">
        <v>175</v>
      </c>
      <c r="E277" s="1" t="s">
        <v>3488</v>
      </c>
      <c r="F277" s="1" t="s">
        <v>112</v>
      </c>
      <c r="G277" s="1">
        <v>15336</v>
      </c>
    </row>
    <row r="278" spans="1:7" x14ac:dyDescent="0.25">
      <c r="A278" s="1" t="str">
        <f t="shared" si="4"/>
        <v>09 Amantadine 0.01 mg_L</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3489</v>
      </c>
      <c r="D278" s="1" t="s">
        <v>213</v>
      </c>
      <c r="E278" s="1" t="s">
        <v>3490</v>
      </c>
      <c r="F278" s="1" t="s">
        <v>112</v>
      </c>
      <c r="G278" s="1">
        <v>30693</v>
      </c>
    </row>
    <row r="279" spans="1:7" x14ac:dyDescent="0.25">
      <c r="A279" s="1" t="str">
        <f t="shared" si="4"/>
        <v>09 Amantadine 0.01 mg_L</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3491</v>
      </c>
      <c r="D279" s="1" t="s">
        <v>835</v>
      </c>
      <c r="E279" s="1" t="s">
        <v>3492</v>
      </c>
      <c r="F279" s="1" t="s">
        <v>112</v>
      </c>
      <c r="G279" s="1">
        <v>94004</v>
      </c>
    </row>
    <row r="280" spans="1:7" x14ac:dyDescent="0.25">
      <c r="A280" s="1" t="str">
        <f t="shared" si="4"/>
        <v>09 Amantadine 0.01 mg_L</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3493</v>
      </c>
      <c r="D280" s="1" t="s">
        <v>930</v>
      </c>
      <c r="E280" s="1" t="s">
        <v>3494</v>
      </c>
      <c r="F280" s="1" t="s">
        <v>112</v>
      </c>
      <c r="G280" s="1">
        <v>47499</v>
      </c>
    </row>
    <row r="281" spans="1:7" x14ac:dyDescent="0.25">
      <c r="A281" s="1" t="str">
        <f t="shared" si="4"/>
        <v>09 Amantadine 0.01 mg_L</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3495</v>
      </c>
      <c r="D281" s="1" t="s">
        <v>237</v>
      </c>
      <c r="E281" s="1" t="s">
        <v>3496</v>
      </c>
      <c r="F281" s="1" t="s">
        <v>112</v>
      </c>
      <c r="G281" s="1">
        <v>64933</v>
      </c>
    </row>
    <row r="282" spans="1:7" x14ac:dyDescent="0.25">
      <c r="A282" s="1" t="str">
        <f t="shared" si="4"/>
        <v>09 Amantadine 0.01 mg_L</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3497</v>
      </c>
      <c r="D282" s="1" t="s">
        <v>3498</v>
      </c>
      <c r="E282" s="1" t="s">
        <v>3499</v>
      </c>
      <c r="F282" s="1" t="s">
        <v>112</v>
      </c>
      <c r="G282" s="1">
        <v>457883</v>
      </c>
    </row>
    <row r="283" spans="1:7" x14ac:dyDescent="0.25">
      <c r="A283" s="1" t="str">
        <f t="shared" si="4"/>
        <v>09 Amantadine 0.01 mg_L</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3500</v>
      </c>
      <c r="D283" s="1" t="s">
        <v>1760</v>
      </c>
      <c r="E283" s="1" t="s">
        <v>3501</v>
      </c>
      <c r="F283" s="1" t="s">
        <v>112</v>
      </c>
      <c r="G283" s="1">
        <v>194518</v>
      </c>
    </row>
    <row r="284" spans="1:7" x14ac:dyDescent="0.25">
      <c r="A284" s="1" t="str">
        <f t="shared" si="4"/>
        <v>09 Amantadine 0.01 mg_L</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3502</v>
      </c>
      <c r="D284" s="1" t="s">
        <v>733</v>
      </c>
      <c r="E284" s="1">
        <v>64</v>
      </c>
      <c r="F284" s="1" t="s">
        <v>112</v>
      </c>
      <c r="G284" s="1">
        <v>8306</v>
      </c>
    </row>
    <row r="285" spans="1:7" x14ac:dyDescent="0.25">
      <c r="A285" s="1" t="str">
        <f t="shared" si="4"/>
        <v>09 Amantadine 0.01 mg_L</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3503</v>
      </c>
      <c r="D285" s="1" t="s">
        <v>895</v>
      </c>
      <c r="E285" s="1" t="s">
        <v>357</v>
      </c>
      <c r="F285" s="1" t="s">
        <v>112</v>
      </c>
      <c r="G285" s="1">
        <v>26280</v>
      </c>
    </row>
    <row r="286" spans="1:7" x14ac:dyDescent="0.25">
      <c r="A286" s="1" t="str">
        <f t="shared" si="4"/>
        <v>09 Amantadine 0.01 mg_L</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3504</v>
      </c>
      <c r="D286" s="1" t="s">
        <v>1723</v>
      </c>
      <c r="E286" s="1" t="s">
        <v>3505</v>
      </c>
      <c r="F286" s="1" t="s">
        <v>112</v>
      </c>
      <c r="G286" s="1">
        <v>12026</v>
      </c>
    </row>
    <row r="287" spans="1:7" x14ac:dyDescent="0.25">
      <c r="A287" s="1" t="str">
        <f t="shared" si="4"/>
        <v>09 Amantadine 0.01 mg_L</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3506</v>
      </c>
      <c r="D287" s="1" t="s">
        <v>749</v>
      </c>
      <c r="E287" s="1" t="s">
        <v>3507</v>
      </c>
      <c r="F287" s="1" t="s">
        <v>112</v>
      </c>
      <c r="G287" s="1">
        <v>106203</v>
      </c>
    </row>
    <row r="288" spans="1:7" x14ac:dyDescent="0.25">
      <c r="A288" s="1" t="str">
        <f t="shared" si="4"/>
        <v>09 Amantadine 0.01 mg_L</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3508</v>
      </c>
      <c r="D288" s="1" t="s">
        <v>841</v>
      </c>
      <c r="E288" s="1" t="s">
        <v>3509</v>
      </c>
      <c r="F288" s="1" t="s">
        <v>112</v>
      </c>
      <c r="G288" s="1">
        <v>157595</v>
      </c>
    </row>
    <row r="289" spans="1:10" x14ac:dyDescent="0.25">
      <c r="A289" s="1" t="str">
        <f t="shared" si="4"/>
        <v>09 Amantadine 0.01 mg_L</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3510</v>
      </c>
      <c r="D289" s="1" t="s">
        <v>3511</v>
      </c>
      <c r="E289" s="1" t="s">
        <v>3512</v>
      </c>
      <c r="F289" s="1" t="s">
        <v>112</v>
      </c>
      <c r="G289" s="1">
        <v>309935</v>
      </c>
    </row>
    <row r="290" spans="1:10"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223</v>
      </c>
      <c r="D291" s="1" t="s">
        <v>112</v>
      </c>
      <c r="E291" s="1" t="s">
        <v>224</v>
      </c>
      <c r="F291" s="1" t="s">
        <v>225</v>
      </c>
      <c r="G291" s="1" t="s">
        <v>226</v>
      </c>
      <c r="H291" s="1" t="s">
        <v>227</v>
      </c>
      <c r="I291" s="1" t="s">
        <v>228</v>
      </c>
      <c r="J291" s="1" t="s">
        <v>229</v>
      </c>
    </row>
    <row r="292" spans="1:10" x14ac:dyDescent="0.25">
      <c r="A292" s="1" t="str">
        <f t="shared" si="4"/>
        <v>09 Amantadine 0.01 mg_L</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3513</v>
      </c>
      <c r="D292" s="1" t="s">
        <v>112</v>
      </c>
      <c r="E292" s="1" t="s">
        <v>3514</v>
      </c>
      <c r="F292" s="1" t="s">
        <v>3515</v>
      </c>
      <c r="G292" s="1" t="s">
        <v>3516</v>
      </c>
      <c r="H292" s="1" t="s">
        <v>3517</v>
      </c>
      <c r="I292" s="1">
        <v>24</v>
      </c>
      <c r="J292" s="1">
        <v>24</v>
      </c>
    </row>
    <row r="293" spans="1:10"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235</v>
      </c>
      <c r="D298" s="1" t="s">
        <v>110</v>
      </c>
      <c r="E298" s="1" t="s">
        <v>111</v>
      </c>
      <c r="F298" s="1" t="s">
        <v>112</v>
      </c>
      <c r="G298" s="1" t="s">
        <v>113</v>
      </c>
    </row>
    <row r="299" spans="1:10" x14ac:dyDescent="0.25">
      <c r="A299" s="1" t="str">
        <f t="shared" si="4"/>
        <v>10 Amantadine 0.1 mg_L</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3518</v>
      </c>
    </row>
    <row r="300" spans="1:10" x14ac:dyDescent="0.25">
      <c r="A300" s="1" t="str">
        <f t="shared" si="4"/>
        <v>10 Amantadine 0.1 mg_L</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3519</v>
      </c>
    </row>
    <row r="301" spans="1:10" x14ac:dyDescent="0.25">
      <c r="A301" s="1" t="str">
        <f t="shared" si="4"/>
        <v>10 Amantadine 0.1 mg_L</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3520</v>
      </c>
    </row>
    <row r="302" spans="1:10" x14ac:dyDescent="0.25">
      <c r="A302" s="1" t="str">
        <f t="shared" si="4"/>
        <v>10 Amantadine 0.1 mg_L</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3521</v>
      </c>
      <c r="D302" s="1" t="s">
        <v>207</v>
      </c>
      <c r="E302" s="1" t="s">
        <v>3522</v>
      </c>
      <c r="F302" s="1" t="s">
        <v>112</v>
      </c>
      <c r="G302" s="1">
        <v>90759</v>
      </c>
    </row>
    <row r="303" spans="1:10" x14ac:dyDescent="0.25">
      <c r="A303" s="1" t="str">
        <f t="shared" si="4"/>
        <v>10 Amantadine 0.1 mg_L</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3523</v>
      </c>
      <c r="D303" s="1" t="s">
        <v>3524</v>
      </c>
      <c r="E303" s="1" t="s">
        <v>3525</v>
      </c>
      <c r="F303" s="1" t="s">
        <v>112</v>
      </c>
      <c r="G303" s="1">
        <v>76354</v>
      </c>
    </row>
    <row r="304" spans="1:10" x14ac:dyDescent="0.25">
      <c r="A304" s="1" t="str">
        <f t="shared" si="4"/>
        <v>10 Amantadine 0.1 mg_L</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3526</v>
      </c>
      <c r="D304" s="1" t="s">
        <v>184</v>
      </c>
      <c r="E304" s="1" t="s">
        <v>3527</v>
      </c>
      <c r="F304" s="1" t="s">
        <v>112</v>
      </c>
      <c r="G304" s="1">
        <v>52842</v>
      </c>
    </row>
    <row r="305" spans="1:7" x14ac:dyDescent="0.25">
      <c r="A305" s="1" t="str">
        <f t="shared" si="4"/>
        <v>10 Amantadine 0.1 mg_L</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3528</v>
      </c>
    </row>
    <row r="306" spans="1:7" x14ac:dyDescent="0.25">
      <c r="A306" s="1" t="str">
        <f t="shared" si="4"/>
        <v>10 Amantadine 0.1 mg_L</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3529</v>
      </c>
    </row>
    <row r="307" spans="1:7" x14ac:dyDescent="0.25">
      <c r="A307" s="1" t="str">
        <f t="shared" si="4"/>
        <v>10 Amantadine 0.1 mg_L</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3530</v>
      </c>
    </row>
    <row r="308" spans="1:7" x14ac:dyDescent="0.25">
      <c r="A308" s="1" t="str">
        <f t="shared" si="4"/>
        <v>10 Amantadine 0.1 mg_L</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3531</v>
      </c>
      <c r="D308" s="1" t="s">
        <v>175</v>
      </c>
      <c r="E308" s="1">
        <v>64</v>
      </c>
      <c r="F308" s="1" t="s">
        <v>112</v>
      </c>
      <c r="G308" s="1">
        <v>15227</v>
      </c>
    </row>
    <row r="309" spans="1:7" x14ac:dyDescent="0.25">
      <c r="A309" s="1" t="str">
        <f t="shared" si="4"/>
        <v>10 Amantadine 0.1 mg_L</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3532</v>
      </c>
      <c r="D309" s="1" t="s">
        <v>285</v>
      </c>
      <c r="E309" s="1" t="s">
        <v>3533</v>
      </c>
      <c r="F309" s="1" t="s">
        <v>112</v>
      </c>
      <c r="G309" s="1">
        <v>22560</v>
      </c>
    </row>
    <row r="310" spans="1:7" x14ac:dyDescent="0.25">
      <c r="A310" s="1" t="str">
        <f t="shared" si="4"/>
        <v>10 Amantadine 0.1 mg_L</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3534</v>
      </c>
      <c r="D310" s="1" t="s">
        <v>895</v>
      </c>
      <c r="E310" s="1" t="s">
        <v>3535</v>
      </c>
      <c r="F310" s="1" t="s">
        <v>112</v>
      </c>
      <c r="G310" s="1">
        <v>26151</v>
      </c>
    </row>
    <row r="311" spans="1:7" x14ac:dyDescent="0.25">
      <c r="A311" s="1" t="str">
        <f t="shared" si="4"/>
        <v>10 Amantadine 0.1 mg_L</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3536</v>
      </c>
      <c r="D311" s="1" t="s">
        <v>3537</v>
      </c>
      <c r="E311" s="1" t="s">
        <v>3538</v>
      </c>
      <c r="F311" s="1" t="s">
        <v>112</v>
      </c>
      <c r="G311" s="1">
        <v>699251</v>
      </c>
    </row>
    <row r="312" spans="1:7" x14ac:dyDescent="0.25">
      <c r="A312" s="1" t="str">
        <f t="shared" si="4"/>
        <v>10 Amantadine 0.1 mg_L</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3539</v>
      </c>
      <c r="D312" s="1" t="s">
        <v>2324</v>
      </c>
      <c r="E312" s="1" t="s">
        <v>3540</v>
      </c>
      <c r="F312" s="1" t="s">
        <v>112</v>
      </c>
      <c r="G312" s="1">
        <v>65777</v>
      </c>
    </row>
    <row r="313" spans="1:7" x14ac:dyDescent="0.25">
      <c r="A313" s="1" t="str">
        <f t="shared" si="4"/>
        <v>10 Amantadine 0.1 mg_L</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3541</v>
      </c>
      <c r="D313" s="1" t="s">
        <v>3060</v>
      </c>
      <c r="E313" s="1" t="s">
        <v>3542</v>
      </c>
      <c r="F313" s="1" t="s">
        <v>112</v>
      </c>
      <c r="G313" s="1">
        <v>39107</v>
      </c>
    </row>
    <row r="314" spans="1:7" x14ac:dyDescent="0.25">
      <c r="A314" s="1" t="str">
        <f t="shared" si="4"/>
        <v>10 Amantadine 0.1 mg_L</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3543</v>
      </c>
      <c r="D314" s="1" t="s">
        <v>3483</v>
      </c>
      <c r="E314" s="1" t="s">
        <v>3544</v>
      </c>
      <c r="F314" s="1" t="s">
        <v>112</v>
      </c>
      <c r="G314" s="1">
        <v>456845</v>
      </c>
    </row>
    <row r="315" spans="1:7" x14ac:dyDescent="0.25">
      <c r="A315" s="1" t="str">
        <f t="shared" si="4"/>
        <v>10 Amantadine 0.1 mg_L</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3545</v>
      </c>
      <c r="D315" s="1" t="s">
        <v>902</v>
      </c>
      <c r="E315" s="1" t="s">
        <v>3546</v>
      </c>
      <c r="F315" s="1" t="s">
        <v>112</v>
      </c>
      <c r="G315" s="1">
        <v>375625</v>
      </c>
    </row>
    <row r="316" spans="1:7" x14ac:dyDescent="0.25">
      <c r="A316" s="1" t="str">
        <f t="shared" si="4"/>
        <v>10 Amantadine 0.1 mg_L</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3547</v>
      </c>
      <c r="D316" s="1" t="s">
        <v>1672</v>
      </c>
      <c r="E316" s="1" t="s">
        <v>3548</v>
      </c>
      <c r="F316" s="1" t="s">
        <v>112</v>
      </c>
      <c r="G316" s="1">
        <v>368335</v>
      </c>
    </row>
    <row r="317" spans="1:7" x14ac:dyDescent="0.25">
      <c r="A317" s="1" t="str">
        <f t="shared" si="4"/>
        <v>10 Amantadine 0.1 mg_L</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3549</v>
      </c>
      <c r="D317" s="1" t="s">
        <v>3550</v>
      </c>
      <c r="E317" s="1" t="s">
        <v>3551</v>
      </c>
      <c r="F317" s="1" t="s">
        <v>112</v>
      </c>
      <c r="G317" s="1">
        <v>44385</v>
      </c>
    </row>
    <row r="318" spans="1:7" x14ac:dyDescent="0.25">
      <c r="A318" s="1" t="str">
        <f t="shared" si="4"/>
        <v>10 Amantadine 0.1 mg_L</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3552</v>
      </c>
      <c r="D318" s="1" t="s">
        <v>3553</v>
      </c>
      <c r="E318" s="1" t="s">
        <v>3554</v>
      </c>
      <c r="F318" s="1" t="s">
        <v>112</v>
      </c>
      <c r="G318" s="1">
        <v>86584</v>
      </c>
    </row>
    <row r="319" spans="1:7" x14ac:dyDescent="0.25">
      <c r="A319" s="1" t="str">
        <f t="shared" si="4"/>
        <v>10 Amantadine 0.1 mg_L</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3555</v>
      </c>
      <c r="D319" s="1" t="s">
        <v>3556</v>
      </c>
      <c r="E319" s="1" t="s">
        <v>2325</v>
      </c>
      <c r="F319" s="1" t="s">
        <v>112</v>
      </c>
      <c r="G319" s="1">
        <v>37766</v>
      </c>
    </row>
    <row r="320" spans="1:7" x14ac:dyDescent="0.25">
      <c r="A320" s="1" t="str">
        <f t="shared" si="4"/>
        <v>10 Amantadine 0.1 mg_L</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3557</v>
      </c>
      <c r="D320" s="1" t="s">
        <v>2119</v>
      </c>
      <c r="E320" s="1" t="s">
        <v>3558</v>
      </c>
      <c r="F320" s="1" t="s">
        <v>112</v>
      </c>
      <c r="G320" s="1">
        <v>40361</v>
      </c>
    </row>
    <row r="321" spans="1:10" x14ac:dyDescent="0.25">
      <c r="A321" s="1" t="str">
        <f t="shared" si="4"/>
        <v>10 Amantadine 0.1 mg_L</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3559</v>
      </c>
    </row>
    <row r="322" spans="1:10" x14ac:dyDescent="0.25">
      <c r="A322" s="1" t="str">
        <f t="shared" ref="A322:A385" si="5">IFERROR(LEFT(RIGHT(C322,LEN(C322)-SEARCH("@",C322)),SEARCH("/",RIGHT(C322,LEN(C322)-SEARCH("@",C322)-1))),"")</f>
        <v>10 Amantadine 0.1 mg_L</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3560</v>
      </c>
    </row>
    <row r="323" spans="1:10"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223</v>
      </c>
      <c r="D324" s="1" t="s">
        <v>112</v>
      </c>
      <c r="E324" s="1" t="s">
        <v>224</v>
      </c>
      <c r="F324" s="1" t="s">
        <v>225</v>
      </c>
      <c r="G324" s="1" t="s">
        <v>226</v>
      </c>
      <c r="H324" s="1" t="s">
        <v>227</v>
      </c>
      <c r="I324" s="1" t="s">
        <v>228</v>
      </c>
      <c r="J324" s="1" t="s">
        <v>229</v>
      </c>
    </row>
    <row r="325" spans="1:10" x14ac:dyDescent="0.25">
      <c r="A325" s="1" t="str">
        <f t="shared" si="5"/>
        <v>10 Amantadine 0.1 mg_L</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3561</v>
      </c>
      <c r="D325" s="1" t="s">
        <v>112</v>
      </c>
      <c r="E325" s="1" t="s">
        <v>3562</v>
      </c>
      <c r="F325" s="1" t="s">
        <v>3563</v>
      </c>
      <c r="G325" s="1" t="s">
        <v>3564</v>
      </c>
      <c r="H325" s="1" t="s">
        <v>3565</v>
      </c>
      <c r="I325" s="1">
        <v>24</v>
      </c>
      <c r="J325" s="1">
        <v>24</v>
      </c>
    </row>
    <row r="326" spans="1:10"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235</v>
      </c>
      <c r="D331" s="1" t="s">
        <v>110</v>
      </c>
      <c r="E331" s="1" t="s">
        <v>111</v>
      </c>
      <c r="F331" s="1" t="s">
        <v>112</v>
      </c>
      <c r="G331" s="1" t="s">
        <v>113</v>
      </c>
    </row>
    <row r="332" spans="1:10" x14ac:dyDescent="0.25">
      <c r="A332" s="1" t="str">
        <f t="shared" si="5"/>
        <v>11 Amantadine 1 mg_L</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3566</v>
      </c>
      <c r="D332" s="1" t="s">
        <v>268</v>
      </c>
      <c r="E332" s="1" t="s">
        <v>3567</v>
      </c>
      <c r="F332" s="1" t="s">
        <v>112</v>
      </c>
      <c r="G332" s="1">
        <v>23274</v>
      </c>
    </row>
    <row r="333" spans="1:10" x14ac:dyDescent="0.25">
      <c r="A333" s="1" t="str">
        <f t="shared" si="5"/>
        <v>11 Amantadine 1 mg_L</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3568</v>
      </c>
      <c r="D333" s="1" t="s">
        <v>213</v>
      </c>
      <c r="E333" s="1" t="s">
        <v>3569</v>
      </c>
      <c r="F333" s="1" t="s">
        <v>112</v>
      </c>
      <c r="G333" s="1">
        <v>31558</v>
      </c>
    </row>
    <row r="334" spans="1:10" x14ac:dyDescent="0.25">
      <c r="A334" s="1" t="str">
        <f t="shared" si="5"/>
        <v>11 Amantadine 1 mg_L</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3570</v>
      </c>
    </row>
    <row r="335" spans="1:10" x14ac:dyDescent="0.25">
      <c r="A335" s="1" t="str">
        <f t="shared" si="5"/>
        <v>11 Amantadine 1 mg_L</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3571</v>
      </c>
      <c r="D335" s="1" t="s">
        <v>433</v>
      </c>
      <c r="E335" s="1" t="s">
        <v>3572</v>
      </c>
      <c r="F335" s="1" t="s">
        <v>112</v>
      </c>
      <c r="G335" s="1">
        <v>392712</v>
      </c>
    </row>
    <row r="336" spans="1:10" x14ac:dyDescent="0.25">
      <c r="A336" s="1" t="str">
        <f t="shared" si="5"/>
        <v>11 Amantadine 1 mg_L</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3573</v>
      </c>
      <c r="D336" s="1" t="s">
        <v>1197</v>
      </c>
      <c r="E336" s="1" t="s">
        <v>3574</v>
      </c>
      <c r="F336" s="1" t="s">
        <v>112</v>
      </c>
      <c r="G336" s="1">
        <v>340671</v>
      </c>
    </row>
    <row r="337" spans="1:7" x14ac:dyDescent="0.25">
      <c r="A337" s="1" t="str">
        <f t="shared" si="5"/>
        <v>11 Amantadine 1 mg_L</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3575</v>
      </c>
      <c r="D337" s="1" t="s">
        <v>696</v>
      </c>
      <c r="E337" s="1" t="s">
        <v>3576</v>
      </c>
      <c r="F337" s="1" t="s">
        <v>112</v>
      </c>
      <c r="G337" s="1">
        <v>127335</v>
      </c>
    </row>
    <row r="338" spans="1:7" x14ac:dyDescent="0.25">
      <c r="A338" s="1" t="str">
        <f t="shared" si="5"/>
        <v>11 Amantadine 1 mg_L</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3577</v>
      </c>
      <c r="D338" s="1" t="s">
        <v>3578</v>
      </c>
      <c r="E338" s="1" t="s">
        <v>3579</v>
      </c>
      <c r="F338" s="1" t="s">
        <v>112</v>
      </c>
      <c r="G338" s="1">
        <v>483558</v>
      </c>
    </row>
    <row r="339" spans="1:7" x14ac:dyDescent="0.25">
      <c r="A339" s="1" t="str">
        <f t="shared" si="5"/>
        <v>11 Amantadine 1 mg_L</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3580</v>
      </c>
      <c r="D339" s="1" t="s">
        <v>237</v>
      </c>
      <c r="E339" s="1" t="s">
        <v>3581</v>
      </c>
      <c r="F339" s="1" t="s">
        <v>112</v>
      </c>
      <c r="G339" s="1">
        <v>64587</v>
      </c>
    </row>
    <row r="340" spans="1:7" x14ac:dyDescent="0.25">
      <c r="A340" s="1" t="str">
        <f t="shared" si="5"/>
        <v>11 Amantadine 1 mg_L</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3582</v>
      </c>
      <c r="D340" s="1" t="s">
        <v>1683</v>
      </c>
      <c r="E340" s="1" t="s">
        <v>3583</v>
      </c>
      <c r="F340" s="1" t="s">
        <v>112</v>
      </c>
      <c r="G340" s="1">
        <v>131553</v>
      </c>
    </row>
    <row r="341" spans="1:7" x14ac:dyDescent="0.25">
      <c r="A341" s="1" t="str">
        <f t="shared" si="5"/>
        <v>11 Amantadine 1 mg_L</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3584</v>
      </c>
      <c r="D341" s="1" t="s">
        <v>213</v>
      </c>
      <c r="E341" s="1" t="s">
        <v>1652</v>
      </c>
      <c r="F341" s="1" t="s">
        <v>112</v>
      </c>
      <c r="G341" s="1">
        <v>32661</v>
      </c>
    </row>
    <row r="342" spans="1:7" x14ac:dyDescent="0.25">
      <c r="A342" s="1" t="str">
        <f t="shared" si="5"/>
        <v>11 Amantadine 1 mg_L</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3585</v>
      </c>
      <c r="D342" s="1" t="s">
        <v>688</v>
      </c>
      <c r="E342" s="1" t="s">
        <v>3586</v>
      </c>
      <c r="F342" s="1" t="s">
        <v>112</v>
      </c>
      <c r="G342" s="1">
        <v>35192</v>
      </c>
    </row>
    <row r="343" spans="1:7" x14ac:dyDescent="0.25">
      <c r="A343" s="1" t="str">
        <f t="shared" si="5"/>
        <v>11 Amantadine 1 mg_L</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3587</v>
      </c>
      <c r="D343" s="1" t="s">
        <v>1235</v>
      </c>
      <c r="E343" s="1" t="s">
        <v>3588</v>
      </c>
      <c r="F343" s="1" t="s">
        <v>112</v>
      </c>
      <c r="G343" s="1">
        <v>58682</v>
      </c>
    </row>
    <row r="344" spans="1:7" x14ac:dyDescent="0.25">
      <c r="A344" s="1" t="str">
        <f t="shared" si="5"/>
        <v>11 Amantadine 1 mg_L</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3589</v>
      </c>
      <c r="D344" s="1" t="s">
        <v>2177</v>
      </c>
      <c r="E344" s="1" t="s">
        <v>3590</v>
      </c>
      <c r="F344" s="1" t="s">
        <v>112</v>
      </c>
      <c r="G344" s="1">
        <v>44320</v>
      </c>
    </row>
    <row r="345" spans="1:7" x14ac:dyDescent="0.25">
      <c r="A345" s="1" t="str">
        <f t="shared" si="5"/>
        <v>11 Amantadine 1 mg_L</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3591</v>
      </c>
      <c r="D345" s="1" t="s">
        <v>255</v>
      </c>
      <c r="E345" s="1" t="s">
        <v>3592</v>
      </c>
      <c r="F345" s="1" t="s">
        <v>112</v>
      </c>
      <c r="G345" s="1">
        <v>18948</v>
      </c>
    </row>
    <row r="346" spans="1:7" x14ac:dyDescent="0.25">
      <c r="A346" s="1" t="str">
        <f t="shared" si="5"/>
        <v>11 Amantadine 1 mg_L</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3593</v>
      </c>
      <c r="D346" s="1" t="s">
        <v>240</v>
      </c>
      <c r="E346" s="1" t="s">
        <v>825</v>
      </c>
      <c r="F346" s="1" t="s">
        <v>112</v>
      </c>
      <c r="G346" s="1">
        <v>17888</v>
      </c>
    </row>
    <row r="347" spans="1:7" x14ac:dyDescent="0.25">
      <c r="A347" s="1" t="str">
        <f t="shared" si="5"/>
        <v>11 Amantadine 1 mg_L</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3594</v>
      </c>
      <c r="D347" s="1" t="s">
        <v>3595</v>
      </c>
      <c r="E347" s="1" t="s">
        <v>3596</v>
      </c>
      <c r="F347" s="1" t="s">
        <v>112</v>
      </c>
      <c r="G347" s="1">
        <v>480811</v>
      </c>
    </row>
    <row r="348" spans="1:7" x14ac:dyDescent="0.25">
      <c r="A348" s="1" t="str">
        <f t="shared" si="5"/>
        <v>11 Amantadine 1 mg_L</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3597</v>
      </c>
      <c r="D348" s="1" t="s">
        <v>3598</v>
      </c>
      <c r="E348" s="1" t="s">
        <v>3599</v>
      </c>
      <c r="F348" s="1" t="s">
        <v>112</v>
      </c>
      <c r="G348" s="1">
        <v>72395</v>
      </c>
    </row>
    <row r="349" spans="1:7" x14ac:dyDescent="0.25">
      <c r="A349" s="1" t="str">
        <f t="shared" si="5"/>
        <v>11 Amantadine 1 mg_L</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3600</v>
      </c>
      <c r="D349" s="1" t="s">
        <v>2611</v>
      </c>
      <c r="E349" s="1" t="s">
        <v>3601</v>
      </c>
      <c r="F349" s="1" t="s">
        <v>112</v>
      </c>
      <c r="G349" s="1">
        <v>414970</v>
      </c>
    </row>
    <row r="350" spans="1:7" x14ac:dyDescent="0.25">
      <c r="A350" s="1" t="str">
        <f t="shared" si="5"/>
        <v>11 Amantadine 1 mg_L</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3602</v>
      </c>
      <c r="D350" s="1" t="s">
        <v>3603</v>
      </c>
      <c r="E350" s="1" t="s">
        <v>3604</v>
      </c>
      <c r="F350" s="1" t="s">
        <v>112</v>
      </c>
      <c r="G350" s="1">
        <v>380665</v>
      </c>
    </row>
    <row r="351" spans="1:7" x14ac:dyDescent="0.25">
      <c r="A351" s="1" t="str">
        <f t="shared" si="5"/>
        <v>11 Amantadine 1 mg_L</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3605</v>
      </c>
      <c r="D351" s="1" t="s">
        <v>149</v>
      </c>
      <c r="E351" s="1" t="s">
        <v>3606</v>
      </c>
      <c r="F351" s="1" t="s">
        <v>112</v>
      </c>
      <c r="G351" s="1">
        <v>341212</v>
      </c>
    </row>
    <row r="352" spans="1:7" x14ac:dyDescent="0.25">
      <c r="A352" s="1" t="str">
        <f t="shared" si="5"/>
        <v>11 Amantadine 1 mg_L</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3607</v>
      </c>
      <c r="D352" s="1" t="s">
        <v>1849</v>
      </c>
      <c r="E352" s="1" t="s">
        <v>3608</v>
      </c>
      <c r="F352" s="1" t="s">
        <v>112</v>
      </c>
      <c r="G352" s="1">
        <v>257958</v>
      </c>
    </row>
    <row r="353" spans="1:10" x14ac:dyDescent="0.25">
      <c r="A353" s="1" t="str">
        <f t="shared" si="5"/>
        <v>11 Amantadine 1 mg_L</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3609</v>
      </c>
      <c r="D353" s="1" t="s">
        <v>3610</v>
      </c>
      <c r="E353" s="1" t="s">
        <v>3611</v>
      </c>
      <c r="F353" s="1" t="s">
        <v>112</v>
      </c>
      <c r="G353" s="1">
        <v>380989</v>
      </c>
    </row>
    <row r="354" spans="1:10" x14ac:dyDescent="0.25">
      <c r="A354" s="1" t="str">
        <f t="shared" si="5"/>
        <v>11 Amantadine 1 mg_L</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3612</v>
      </c>
      <c r="D354" s="1" t="s">
        <v>1660</v>
      </c>
      <c r="E354" s="1" t="s">
        <v>3613</v>
      </c>
      <c r="F354" s="1" t="s">
        <v>112</v>
      </c>
      <c r="G354" s="1">
        <v>64738</v>
      </c>
    </row>
    <row r="355" spans="1:10" x14ac:dyDescent="0.25">
      <c r="A355" s="1" t="str">
        <f t="shared" si="5"/>
        <v>11 Amantadine 1 mg_L</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3614</v>
      </c>
      <c r="D355" s="1" t="s">
        <v>696</v>
      </c>
      <c r="E355" s="1" t="s">
        <v>3615</v>
      </c>
      <c r="F355" s="1" t="s">
        <v>112</v>
      </c>
      <c r="G355" s="1">
        <v>126189</v>
      </c>
    </row>
    <row r="356" spans="1:10"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223</v>
      </c>
      <c r="D357" s="1" t="s">
        <v>112</v>
      </c>
      <c r="E357" s="1" t="s">
        <v>224</v>
      </c>
      <c r="F357" s="1" t="s">
        <v>225</v>
      </c>
      <c r="G357" s="1" t="s">
        <v>226</v>
      </c>
      <c r="H357" s="1" t="s">
        <v>227</v>
      </c>
      <c r="I357" s="1" t="s">
        <v>228</v>
      </c>
      <c r="J357" s="1" t="s">
        <v>229</v>
      </c>
    </row>
    <row r="358" spans="1:10" x14ac:dyDescent="0.25">
      <c r="A358" s="1" t="str">
        <f t="shared" si="5"/>
        <v>11 Amantadine 1 mg_L</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3616</v>
      </c>
      <c r="D358" s="1" t="s">
        <v>112</v>
      </c>
      <c r="E358" s="1" t="s">
        <v>3617</v>
      </c>
      <c r="F358" s="1" t="s">
        <v>3618</v>
      </c>
      <c r="G358" s="1" t="s">
        <v>3619</v>
      </c>
      <c r="H358" s="1" t="s">
        <v>3620</v>
      </c>
      <c r="I358" s="1">
        <v>24</v>
      </c>
      <c r="J358" s="1">
        <v>24</v>
      </c>
    </row>
    <row r="359" spans="1:10"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235</v>
      </c>
      <c r="D364" s="1" t="s">
        <v>110</v>
      </c>
      <c r="E364" s="1" t="s">
        <v>111</v>
      </c>
      <c r="F364" s="1" t="s">
        <v>112</v>
      </c>
      <c r="G364" s="1" t="s">
        <v>113</v>
      </c>
    </row>
    <row r="365" spans="1:10" x14ac:dyDescent="0.25">
      <c r="A365" s="1" t="str">
        <f t="shared" si="5"/>
        <v>12 Amantadine 10 mg_L</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3621</v>
      </c>
      <c r="D365" s="1" t="s">
        <v>2161</v>
      </c>
      <c r="E365" s="1" t="s">
        <v>3622</v>
      </c>
      <c r="F365" s="1" t="s">
        <v>112</v>
      </c>
      <c r="G365" s="1">
        <v>313006</v>
      </c>
    </row>
    <row r="366" spans="1:10" x14ac:dyDescent="0.25">
      <c r="A366" s="1" t="str">
        <f t="shared" si="5"/>
        <v>12 Amantadine 10 mg_L</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3623</v>
      </c>
      <c r="D366" s="1" t="s">
        <v>2298</v>
      </c>
      <c r="E366" s="1" t="s">
        <v>3624</v>
      </c>
      <c r="F366" s="1" t="s">
        <v>112</v>
      </c>
      <c r="G366" s="1">
        <v>333057</v>
      </c>
    </row>
    <row r="367" spans="1:10" x14ac:dyDescent="0.25">
      <c r="A367" s="1" t="str">
        <f t="shared" si="5"/>
        <v>12 Amantadine 10 mg_L</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3625</v>
      </c>
      <c r="D367" s="1" t="s">
        <v>147</v>
      </c>
      <c r="E367" s="1" t="s">
        <v>3626</v>
      </c>
      <c r="F367" s="1" t="s">
        <v>112</v>
      </c>
      <c r="G367" s="1">
        <v>348998</v>
      </c>
    </row>
    <row r="368" spans="1:10" x14ac:dyDescent="0.25">
      <c r="A368" s="1" t="str">
        <f t="shared" si="5"/>
        <v>12 Amantadine 10 mg_L</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3627</v>
      </c>
      <c r="D368" s="1" t="s">
        <v>801</v>
      </c>
      <c r="E368" s="1" t="s">
        <v>3628</v>
      </c>
      <c r="F368" s="1" t="s">
        <v>112</v>
      </c>
      <c r="G368" s="1">
        <v>345624</v>
      </c>
    </row>
    <row r="369" spans="1:7" x14ac:dyDescent="0.25">
      <c r="A369" s="1" t="str">
        <f t="shared" si="5"/>
        <v>12 Amantadine 10 mg_L</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3629</v>
      </c>
      <c r="D369" s="1" t="s">
        <v>906</v>
      </c>
      <c r="E369" s="1" t="s">
        <v>3630</v>
      </c>
      <c r="F369" s="1" t="s">
        <v>112</v>
      </c>
      <c r="G369" s="1">
        <v>209550</v>
      </c>
    </row>
    <row r="370" spans="1:7" x14ac:dyDescent="0.25">
      <c r="A370" s="1" t="str">
        <f t="shared" si="5"/>
        <v>12 Amantadine 10 mg_L</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3631</v>
      </c>
      <c r="D370" s="1" t="s">
        <v>814</v>
      </c>
      <c r="E370" s="1" t="s">
        <v>3632</v>
      </c>
      <c r="F370" s="1" t="s">
        <v>112</v>
      </c>
      <c r="G370" s="1">
        <v>27816</v>
      </c>
    </row>
    <row r="371" spans="1:7" x14ac:dyDescent="0.25">
      <c r="A371" s="1" t="str">
        <f t="shared" si="5"/>
        <v>12 Amantadine 10 mg_L</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3633</v>
      </c>
      <c r="D371" s="1" t="s">
        <v>3634</v>
      </c>
      <c r="E371" s="1" t="s">
        <v>3635</v>
      </c>
      <c r="F371" s="1" t="s">
        <v>112</v>
      </c>
      <c r="G371" s="1">
        <v>5775</v>
      </c>
    </row>
    <row r="372" spans="1:7" x14ac:dyDescent="0.25">
      <c r="A372" s="1" t="str">
        <f t="shared" si="5"/>
        <v>12 Amantadine 10 mg_L</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3636</v>
      </c>
      <c r="D372" s="1" t="s">
        <v>337</v>
      </c>
      <c r="E372" s="1" t="s">
        <v>3637</v>
      </c>
      <c r="F372" s="1" t="s">
        <v>112</v>
      </c>
      <c r="G372" s="1">
        <v>13584</v>
      </c>
    </row>
    <row r="373" spans="1:7" x14ac:dyDescent="0.25">
      <c r="A373" s="1" t="str">
        <f t="shared" si="5"/>
        <v>12 Amantadine 10 mg_L</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3638</v>
      </c>
      <c r="D373" s="1" t="s">
        <v>2188</v>
      </c>
      <c r="E373" s="1" t="s">
        <v>3639</v>
      </c>
      <c r="F373" s="1" t="s">
        <v>112</v>
      </c>
      <c r="G373" s="1">
        <v>6770</v>
      </c>
    </row>
    <row r="374" spans="1:7" x14ac:dyDescent="0.25">
      <c r="A374" s="1" t="str">
        <f t="shared" si="5"/>
        <v>12 Amantadine 10 mg_L</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3640</v>
      </c>
      <c r="D374" s="1" t="s">
        <v>3641</v>
      </c>
      <c r="E374" s="1" t="s">
        <v>3642</v>
      </c>
      <c r="F374" s="1" t="s">
        <v>112</v>
      </c>
      <c r="G374" s="1">
        <v>584894</v>
      </c>
    </row>
    <row r="375" spans="1:7" x14ac:dyDescent="0.25">
      <c r="A375" s="1" t="str">
        <f t="shared" si="5"/>
        <v>12 Amantadine 10 mg_L</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3643</v>
      </c>
      <c r="D375" s="1" t="s">
        <v>764</v>
      </c>
      <c r="E375" s="1" t="s">
        <v>3644</v>
      </c>
      <c r="F375" s="1" t="s">
        <v>112</v>
      </c>
      <c r="G375" s="1">
        <v>24550</v>
      </c>
    </row>
    <row r="376" spans="1:7" x14ac:dyDescent="0.25">
      <c r="A376" s="1" t="str">
        <f t="shared" si="5"/>
        <v>12 Amantadine 10 mg_L</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3645</v>
      </c>
    </row>
    <row r="377" spans="1:7" x14ac:dyDescent="0.25">
      <c r="A377" s="1" t="str">
        <f t="shared" si="5"/>
        <v>12 Amantadine 10 mg_L</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3646</v>
      </c>
      <c r="D377" s="1" t="s">
        <v>3647</v>
      </c>
      <c r="E377" s="1" t="s">
        <v>3648</v>
      </c>
      <c r="F377" s="1" t="s">
        <v>112</v>
      </c>
      <c r="G377" s="1">
        <v>339416</v>
      </c>
    </row>
    <row r="378" spans="1:7" x14ac:dyDescent="0.25">
      <c r="A378" s="1" t="str">
        <f t="shared" si="5"/>
        <v>12 Amantadine 10 mg_L</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3649</v>
      </c>
      <c r="D378" s="1" t="s">
        <v>425</v>
      </c>
      <c r="E378" s="1" t="s">
        <v>3650</v>
      </c>
      <c r="F378" s="1" t="s">
        <v>112</v>
      </c>
      <c r="G378" s="1">
        <v>109447</v>
      </c>
    </row>
    <row r="379" spans="1:7" x14ac:dyDescent="0.25">
      <c r="A379" s="1" t="str">
        <f t="shared" si="5"/>
        <v>12 Amantadine 10 mg_L</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3651</v>
      </c>
      <c r="D379" s="1" t="s">
        <v>3553</v>
      </c>
      <c r="E379" s="1" t="s">
        <v>3652</v>
      </c>
      <c r="F379" s="1" t="s">
        <v>112</v>
      </c>
      <c r="G379" s="1">
        <v>87839</v>
      </c>
    </row>
    <row r="380" spans="1:7" x14ac:dyDescent="0.25">
      <c r="A380" s="1" t="str">
        <f t="shared" si="5"/>
        <v>12 Amantadine 10 mg_L</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3653</v>
      </c>
      <c r="D380" s="1" t="s">
        <v>739</v>
      </c>
      <c r="E380" s="1" t="s">
        <v>703</v>
      </c>
      <c r="F380" s="1" t="s">
        <v>112</v>
      </c>
      <c r="G380" s="1">
        <v>28746</v>
      </c>
    </row>
    <row r="381" spans="1:7" x14ac:dyDescent="0.25">
      <c r="A381" s="1" t="str">
        <f t="shared" si="5"/>
        <v>12 Amantadine 10 mg_L</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3654</v>
      </c>
      <c r="D381" s="1" t="s">
        <v>3634</v>
      </c>
      <c r="E381" s="1" t="s">
        <v>1650</v>
      </c>
      <c r="F381" s="1" t="s">
        <v>112</v>
      </c>
      <c r="G381" s="1">
        <v>5559</v>
      </c>
    </row>
    <row r="382" spans="1:7" x14ac:dyDescent="0.25">
      <c r="A382" s="1" t="str">
        <f t="shared" si="5"/>
        <v>12 Amantadine 10 mg_L</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3655</v>
      </c>
      <c r="D382" s="1" t="s">
        <v>337</v>
      </c>
      <c r="E382" s="1" t="s">
        <v>3637</v>
      </c>
      <c r="F382" s="1" t="s">
        <v>112</v>
      </c>
      <c r="G382" s="1">
        <v>13584</v>
      </c>
    </row>
    <row r="383" spans="1:7" x14ac:dyDescent="0.25">
      <c r="A383" s="1" t="str">
        <f t="shared" si="5"/>
        <v>12 Amantadine 10 mg_L</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3656</v>
      </c>
    </row>
    <row r="384" spans="1:7" x14ac:dyDescent="0.25">
      <c r="A384" s="1" t="str">
        <f t="shared" si="5"/>
        <v>12 Amantadine 10 mg_L</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3657</v>
      </c>
      <c r="D384" s="1" t="s">
        <v>744</v>
      </c>
      <c r="E384" s="1" t="s">
        <v>3658</v>
      </c>
      <c r="F384" s="1" t="s">
        <v>112</v>
      </c>
      <c r="G384" s="1">
        <v>140724</v>
      </c>
    </row>
    <row r="385" spans="1:10" x14ac:dyDescent="0.25">
      <c r="A385" s="1" t="str">
        <f t="shared" si="5"/>
        <v>12 Amantadine 10 mg_L</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3659</v>
      </c>
      <c r="D385" s="1" t="s">
        <v>202</v>
      </c>
      <c r="E385" s="1" t="s">
        <v>1775</v>
      </c>
      <c r="F385" s="1" t="s">
        <v>112</v>
      </c>
      <c r="G385" s="1">
        <v>16915</v>
      </c>
    </row>
    <row r="386" spans="1:10" x14ac:dyDescent="0.25">
      <c r="A386" s="1" t="str">
        <f t="shared" ref="A386:A449" si="6">IFERROR(LEFT(RIGHT(C386,LEN(C386)-SEARCH("@",C386)),SEARCH("/",RIGHT(C386,LEN(C386)-SEARCH("@",C386)-1))),"")</f>
        <v>12 Amantadine 10 mg_L</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3660</v>
      </c>
      <c r="D386" s="1" t="s">
        <v>431</v>
      </c>
      <c r="E386" s="1" t="s">
        <v>3661</v>
      </c>
      <c r="F386" s="1" t="s">
        <v>112</v>
      </c>
      <c r="G386" s="1">
        <v>48256</v>
      </c>
    </row>
    <row r="387" spans="1:10" x14ac:dyDescent="0.25">
      <c r="A387" s="1" t="str">
        <f t="shared" si="6"/>
        <v>12 Amantadine 10 mg_L</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3662</v>
      </c>
      <c r="D387" s="1" t="s">
        <v>668</v>
      </c>
      <c r="E387" s="1" t="s">
        <v>335</v>
      </c>
      <c r="F387" s="1" t="s">
        <v>112</v>
      </c>
      <c r="G387" s="1">
        <v>47997</v>
      </c>
    </row>
    <row r="388" spans="1:10" x14ac:dyDescent="0.25">
      <c r="A388" s="1" t="str">
        <f t="shared" si="6"/>
        <v>12 Amantadine 10 mg_L</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3663</v>
      </c>
      <c r="D388" s="1" t="s">
        <v>688</v>
      </c>
      <c r="E388" s="1" t="s">
        <v>3664</v>
      </c>
      <c r="F388" s="1" t="s">
        <v>112</v>
      </c>
      <c r="G388" s="1">
        <v>34370</v>
      </c>
    </row>
    <row r="389" spans="1:10"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223</v>
      </c>
      <c r="D390" s="1" t="s">
        <v>112</v>
      </c>
      <c r="E390" s="1" t="s">
        <v>224</v>
      </c>
      <c r="F390" s="1" t="s">
        <v>225</v>
      </c>
      <c r="G390" s="1" t="s">
        <v>226</v>
      </c>
      <c r="H390" s="1" t="s">
        <v>227</v>
      </c>
      <c r="I390" s="1" t="s">
        <v>228</v>
      </c>
      <c r="J390" s="1" t="s">
        <v>229</v>
      </c>
    </row>
    <row r="391" spans="1:10" x14ac:dyDescent="0.25">
      <c r="A391" s="1" t="str">
        <f t="shared" si="6"/>
        <v>12 Amantadine 10 mg_L</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3665</v>
      </c>
      <c r="D391" s="1" t="s">
        <v>112</v>
      </c>
      <c r="E391" s="1" t="s">
        <v>3666</v>
      </c>
      <c r="F391" s="1" t="s">
        <v>3667</v>
      </c>
      <c r="G391" s="1" t="s">
        <v>3668</v>
      </c>
      <c r="H391" s="1" t="s">
        <v>3669</v>
      </c>
      <c r="I391" s="1">
        <v>24</v>
      </c>
      <c r="J391" s="1">
        <v>24</v>
      </c>
    </row>
    <row r="392" spans="1:10"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235</v>
      </c>
      <c r="D397" s="1" t="s">
        <v>110</v>
      </c>
      <c r="E397" s="1" t="s">
        <v>111</v>
      </c>
      <c r="F397" s="1" t="s">
        <v>112</v>
      </c>
      <c r="G397" s="1" t="s">
        <v>113</v>
      </c>
    </row>
    <row r="398" spans="1:10" x14ac:dyDescent="0.25">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3670</v>
      </c>
      <c r="D398" s="1" t="s">
        <v>906</v>
      </c>
      <c r="E398" s="1" t="s">
        <v>3671</v>
      </c>
      <c r="F398" s="1" t="s">
        <v>112</v>
      </c>
      <c r="G398" s="1">
        <v>205635</v>
      </c>
    </row>
    <row r="399" spans="1:10" x14ac:dyDescent="0.25">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3672</v>
      </c>
      <c r="D399" s="1" t="s">
        <v>3673</v>
      </c>
      <c r="E399" s="1" t="s">
        <v>3674</v>
      </c>
      <c r="F399" s="1" t="s">
        <v>112</v>
      </c>
      <c r="G399" s="1">
        <v>320231</v>
      </c>
    </row>
    <row r="400" spans="1:10" x14ac:dyDescent="0.25">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3675</v>
      </c>
      <c r="D400" s="1" t="s">
        <v>3676</v>
      </c>
      <c r="E400" s="1" t="s">
        <v>3677</v>
      </c>
      <c r="F400" s="1" t="s">
        <v>112</v>
      </c>
      <c r="G400" s="1">
        <v>273488</v>
      </c>
    </row>
    <row r="401" spans="1:7" x14ac:dyDescent="0.25">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3678</v>
      </c>
      <c r="D401" s="1" t="s">
        <v>3679</v>
      </c>
      <c r="E401" s="1" t="s">
        <v>3680</v>
      </c>
      <c r="F401" s="1" t="s">
        <v>112</v>
      </c>
      <c r="G401" s="1">
        <v>1308695</v>
      </c>
    </row>
    <row r="402" spans="1:7" x14ac:dyDescent="0.25">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3681</v>
      </c>
      <c r="D402" s="1" t="s">
        <v>3682</v>
      </c>
      <c r="E402" s="1" t="s">
        <v>3683</v>
      </c>
      <c r="F402" s="1" t="s">
        <v>112</v>
      </c>
      <c r="G402" s="1">
        <v>1446975</v>
      </c>
    </row>
    <row r="403" spans="1:7" x14ac:dyDescent="0.25">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3684</v>
      </c>
      <c r="D403" s="1" t="s">
        <v>2371</v>
      </c>
      <c r="E403" s="1" t="s">
        <v>3685</v>
      </c>
      <c r="F403" s="1" t="s">
        <v>112</v>
      </c>
      <c r="G403" s="1">
        <v>1600937</v>
      </c>
    </row>
    <row r="404" spans="1:7" x14ac:dyDescent="0.25">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3686</v>
      </c>
      <c r="D404" s="1" t="s">
        <v>3687</v>
      </c>
      <c r="E404" s="1" t="s">
        <v>3688</v>
      </c>
      <c r="F404" s="1" t="s">
        <v>112</v>
      </c>
      <c r="G404" s="1">
        <v>2730125</v>
      </c>
    </row>
    <row r="405" spans="1:7" x14ac:dyDescent="0.25">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3689</v>
      </c>
      <c r="D405" s="1" t="s">
        <v>3690</v>
      </c>
      <c r="E405" s="1" t="s">
        <v>3691</v>
      </c>
      <c r="F405" s="1" t="s">
        <v>112</v>
      </c>
      <c r="G405" s="1">
        <v>2938205</v>
      </c>
    </row>
    <row r="406" spans="1:7" x14ac:dyDescent="0.25">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3692</v>
      </c>
      <c r="D406" s="1" t="s">
        <v>3693</v>
      </c>
      <c r="E406" s="1" t="s">
        <v>3694</v>
      </c>
      <c r="F406" s="1" t="s">
        <v>112</v>
      </c>
      <c r="G406" s="1">
        <v>2730169</v>
      </c>
    </row>
    <row r="407" spans="1:7" x14ac:dyDescent="0.25">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3695</v>
      </c>
      <c r="D407" s="1" t="s">
        <v>3696</v>
      </c>
      <c r="E407" s="1" t="s">
        <v>3697</v>
      </c>
      <c r="F407" s="1" t="s">
        <v>112</v>
      </c>
      <c r="G407" s="1">
        <v>637325</v>
      </c>
    </row>
    <row r="408" spans="1:7" x14ac:dyDescent="0.25">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3698</v>
      </c>
      <c r="D408" s="1" t="s">
        <v>1790</v>
      </c>
      <c r="E408" s="1" t="s">
        <v>3699</v>
      </c>
      <c r="F408" s="1" t="s">
        <v>112</v>
      </c>
      <c r="G408" s="1">
        <v>550178</v>
      </c>
    </row>
    <row r="409" spans="1:7" x14ac:dyDescent="0.25">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3700</v>
      </c>
      <c r="D409" s="1" t="s">
        <v>3701</v>
      </c>
      <c r="E409" s="1" t="s">
        <v>3702</v>
      </c>
      <c r="F409" s="1" t="s">
        <v>112</v>
      </c>
      <c r="G409" s="1">
        <v>564605</v>
      </c>
    </row>
    <row r="410" spans="1:7" x14ac:dyDescent="0.25">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3703</v>
      </c>
      <c r="D410" s="1" t="s">
        <v>3704</v>
      </c>
      <c r="E410" s="1" t="s">
        <v>3705</v>
      </c>
      <c r="F410" s="1" t="s">
        <v>112</v>
      </c>
      <c r="G410" s="1">
        <v>249522</v>
      </c>
    </row>
    <row r="411" spans="1:7" x14ac:dyDescent="0.25">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3706</v>
      </c>
      <c r="D411" s="1" t="s">
        <v>3707</v>
      </c>
      <c r="E411" s="1" t="s">
        <v>3708</v>
      </c>
      <c r="F411" s="1" t="s">
        <v>112</v>
      </c>
      <c r="G411" s="1">
        <v>97745</v>
      </c>
    </row>
    <row r="412" spans="1:7" x14ac:dyDescent="0.25">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3709</v>
      </c>
      <c r="D412" s="1" t="s">
        <v>1229</v>
      </c>
      <c r="E412" s="1" t="s">
        <v>335</v>
      </c>
      <c r="F412" s="1" t="s">
        <v>112</v>
      </c>
      <c r="G412" s="1">
        <v>157704</v>
      </c>
    </row>
    <row r="413" spans="1:7" x14ac:dyDescent="0.25">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3710</v>
      </c>
      <c r="D413" s="1" t="s">
        <v>3711</v>
      </c>
      <c r="E413" s="1" t="s">
        <v>3712</v>
      </c>
      <c r="F413" s="1" t="s">
        <v>112</v>
      </c>
      <c r="G413" s="1">
        <v>1264332</v>
      </c>
    </row>
    <row r="414" spans="1:7" x14ac:dyDescent="0.25">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3713</v>
      </c>
      <c r="D414" s="1" t="s">
        <v>3714</v>
      </c>
      <c r="E414" s="1" t="s">
        <v>3715</v>
      </c>
      <c r="F414" s="1" t="s">
        <v>112</v>
      </c>
      <c r="G414" s="1">
        <v>846183</v>
      </c>
    </row>
    <row r="415" spans="1:7" x14ac:dyDescent="0.25">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3716</v>
      </c>
      <c r="D415" s="1" t="s">
        <v>3717</v>
      </c>
      <c r="E415" s="1" t="s">
        <v>3718</v>
      </c>
      <c r="F415" s="1" t="s">
        <v>112</v>
      </c>
      <c r="G415" s="1">
        <v>1077234</v>
      </c>
    </row>
    <row r="416" spans="1:7" x14ac:dyDescent="0.25">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3719</v>
      </c>
      <c r="D416" s="1" t="s">
        <v>3720</v>
      </c>
      <c r="E416" s="1" t="s">
        <v>3721</v>
      </c>
      <c r="F416" s="1" t="s">
        <v>112</v>
      </c>
      <c r="G416" s="1">
        <v>2174734</v>
      </c>
    </row>
    <row r="417" spans="1:10" x14ac:dyDescent="0.25">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3722</v>
      </c>
      <c r="D417" s="1" t="s">
        <v>3234</v>
      </c>
      <c r="E417" s="1" t="s">
        <v>3723</v>
      </c>
      <c r="F417" s="1" t="s">
        <v>112</v>
      </c>
      <c r="G417" s="1">
        <v>2278061</v>
      </c>
    </row>
    <row r="418" spans="1:10" x14ac:dyDescent="0.25">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3724</v>
      </c>
      <c r="D418" s="1" t="s">
        <v>3725</v>
      </c>
      <c r="E418" s="1" t="s">
        <v>3726</v>
      </c>
      <c r="F418" s="1" t="s">
        <v>112</v>
      </c>
      <c r="G418" s="1">
        <v>2412836</v>
      </c>
    </row>
    <row r="419" spans="1:10" x14ac:dyDescent="0.25">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3727</v>
      </c>
    </row>
    <row r="420" spans="1:10" x14ac:dyDescent="0.25">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3728</v>
      </c>
    </row>
    <row r="421" spans="1:10" x14ac:dyDescent="0.25">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3729</v>
      </c>
    </row>
    <row r="422" spans="1:10"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223</v>
      </c>
      <c r="D423" s="1" t="s">
        <v>112</v>
      </c>
      <c r="E423" s="1" t="s">
        <v>224</v>
      </c>
      <c r="F423" s="1" t="s">
        <v>225</v>
      </c>
      <c r="G423" s="1" t="s">
        <v>226</v>
      </c>
      <c r="H423" s="1" t="s">
        <v>227</v>
      </c>
      <c r="I423" s="1" t="s">
        <v>228</v>
      </c>
      <c r="J423" s="1" t="s">
        <v>229</v>
      </c>
    </row>
    <row r="424" spans="1:10" x14ac:dyDescent="0.25">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3730</v>
      </c>
      <c r="D424" s="1" t="s">
        <v>112</v>
      </c>
      <c r="E424" s="1" t="s">
        <v>3731</v>
      </c>
      <c r="F424" s="1" t="s">
        <v>3732</v>
      </c>
      <c r="G424" s="1" t="s">
        <v>3733</v>
      </c>
      <c r="H424" s="1" t="s">
        <v>3734</v>
      </c>
      <c r="I424" s="1">
        <v>24</v>
      </c>
      <c r="J424" s="1">
        <v>24</v>
      </c>
    </row>
    <row r="425" spans="1:10"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235</v>
      </c>
      <c r="D430" s="1" t="s">
        <v>110</v>
      </c>
      <c r="E430" s="1" t="s">
        <v>111</v>
      </c>
      <c r="F430" s="1" t="s">
        <v>112</v>
      </c>
      <c r="G430" s="1" t="s">
        <v>113</v>
      </c>
    </row>
    <row r="431" spans="1:10" x14ac:dyDescent="0.25">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3735</v>
      </c>
      <c r="D431" s="1" t="s">
        <v>1945</v>
      </c>
      <c r="E431" s="1" t="s">
        <v>3736</v>
      </c>
      <c r="F431" s="1" t="s">
        <v>112</v>
      </c>
      <c r="G431" s="1">
        <v>2014781</v>
      </c>
    </row>
    <row r="432" spans="1:10" x14ac:dyDescent="0.25">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3737</v>
      </c>
      <c r="D432" s="1" t="s">
        <v>3738</v>
      </c>
      <c r="E432" s="1" t="s">
        <v>3739</v>
      </c>
      <c r="F432" s="1" t="s">
        <v>112</v>
      </c>
      <c r="G432" s="1">
        <v>1563798</v>
      </c>
    </row>
    <row r="433" spans="1:7" x14ac:dyDescent="0.25">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3740</v>
      </c>
      <c r="D433" s="1" t="s">
        <v>486</v>
      </c>
      <c r="E433" s="1" t="s">
        <v>3741</v>
      </c>
      <c r="F433" s="1" t="s">
        <v>112</v>
      </c>
      <c r="G433" s="1">
        <v>1904231</v>
      </c>
    </row>
    <row r="434" spans="1:7" x14ac:dyDescent="0.25">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3742</v>
      </c>
      <c r="D434" s="1" t="s">
        <v>3743</v>
      </c>
      <c r="E434" s="1" t="s">
        <v>3744</v>
      </c>
      <c r="F434" s="1" t="s">
        <v>112</v>
      </c>
      <c r="G434" s="1">
        <v>2606662</v>
      </c>
    </row>
    <row r="435" spans="1:7" x14ac:dyDescent="0.25">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3745</v>
      </c>
      <c r="D435" s="1" t="s">
        <v>2409</v>
      </c>
      <c r="E435" s="1" t="s">
        <v>3746</v>
      </c>
      <c r="F435" s="1" t="s">
        <v>112</v>
      </c>
      <c r="G435" s="1">
        <v>2626367</v>
      </c>
    </row>
    <row r="436" spans="1:7" x14ac:dyDescent="0.25">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3747</v>
      </c>
      <c r="D436" s="1" t="s">
        <v>3748</v>
      </c>
      <c r="E436" s="1" t="s">
        <v>3749</v>
      </c>
      <c r="F436" s="1" t="s">
        <v>112</v>
      </c>
      <c r="G436" s="1">
        <v>2221001</v>
      </c>
    </row>
    <row r="437" spans="1:7" x14ac:dyDescent="0.25">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3750</v>
      </c>
    </row>
    <row r="438" spans="1:7" x14ac:dyDescent="0.25">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3751</v>
      </c>
      <c r="D438" s="1" t="s">
        <v>3752</v>
      </c>
      <c r="E438" s="1" t="s">
        <v>3753</v>
      </c>
      <c r="F438" s="1" t="s">
        <v>112</v>
      </c>
      <c r="G438" s="1">
        <v>3165319</v>
      </c>
    </row>
    <row r="439" spans="1:7" x14ac:dyDescent="0.25">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3754</v>
      </c>
      <c r="D439" s="1" t="s">
        <v>2510</v>
      </c>
      <c r="E439" s="1" t="s">
        <v>3755</v>
      </c>
      <c r="F439" s="1" t="s">
        <v>112</v>
      </c>
      <c r="G439" s="1">
        <v>3383673</v>
      </c>
    </row>
    <row r="440" spans="1:7" x14ac:dyDescent="0.25">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3756</v>
      </c>
      <c r="D440" s="1" t="s">
        <v>3193</v>
      </c>
      <c r="E440" s="1" t="s">
        <v>3757</v>
      </c>
      <c r="F440" s="1" t="s">
        <v>112</v>
      </c>
      <c r="G440" s="1">
        <v>451113</v>
      </c>
    </row>
    <row r="441" spans="1:7" x14ac:dyDescent="0.25">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3758</v>
      </c>
      <c r="D441" s="1" t="s">
        <v>744</v>
      </c>
      <c r="E441" s="1" t="s">
        <v>3759</v>
      </c>
      <c r="F441" s="1" t="s">
        <v>112</v>
      </c>
      <c r="G441" s="1">
        <v>140876</v>
      </c>
    </row>
    <row r="442" spans="1:7" x14ac:dyDescent="0.25">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3760</v>
      </c>
      <c r="D442" s="1" t="s">
        <v>3761</v>
      </c>
      <c r="E442" s="1" t="s">
        <v>3762</v>
      </c>
      <c r="F442" s="1" t="s">
        <v>112</v>
      </c>
      <c r="G442" s="1">
        <v>115158</v>
      </c>
    </row>
    <row r="443" spans="1:7" x14ac:dyDescent="0.25">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3763</v>
      </c>
      <c r="D443" s="1" t="s">
        <v>1999</v>
      </c>
      <c r="E443" s="1" t="s">
        <v>3764</v>
      </c>
      <c r="F443" s="1" t="s">
        <v>112</v>
      </c>
      <c r="G443" s="1">
        <v>2597664</v>
      </c>
    </row>
    <row r="444" spans="1:7" x14ac:dyDescent="0.25">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3765</v>
      </c>
      <c r="D444" s="1" t="s">
        <v>3766</v>
      </c>
      <c r="E444" s="1" t="s">
        <v>3767</v>
      </c>
      <c r="F444" s="1" t="s">
        <v>112</v>
      </c>
      <c r="G444" s="1">
        <v>2189681</v>
      </c>
    </row>
    <row r="445" spans="1:7" x14ac:dyDescent="0.25">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3768</v>
      </c>
      <c r="D445" s="1" t="s">
        <v>3769</v>
      </c>
      <c r="E445" s="1" t="s">
        <v>3770</v>
      </c>
      <c r="F445" s="1" t="s">
        <v>112</v>
      </c>
      <c r="G445" s="1">
        <v>2459038</v>
      </c>
    </row>
    <row r="446" spans="1:7" x14ac:dyDescent="0.25">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3771</v>
      </c>
      <c r="D446" s="1" t="s">
        <v>3772</v>
      </c>
      <c r="E446" s="1" t="s">
        <v>3773</v>
      </c>
      <c r="F446" s="1" t="s">
        <v>112</v>
      </c>
      <c r="G446" s="1">
        <v>1140415</v>
      </c>
    </row>
    <row r="447" spans="1:7" x14ac:dyDescent="0.25">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3774</v>
      </c>
      <c r="D447" s="1" t="s">
        <v>3775</v>
      </c>
      <c r="E447" s="1" t="s">
        <v>3776</v>
      </c>
      <c r="F447" s="1" t="s">
        <v>112</v>
      </c>
      <c r="G447" s="1">
        <v>1053873</v>
      </c>
    </row>
    <row r="448" spans="1:7" x14ac:dyDescent="0.25">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3777</v>
      </c>
      <c r="D448" s="1" t="s">
        <v>3778</v>
      </c>
      <c r="E448" s="1" t="s">
        <v>3779</v>
      </c>
      <c r="F448" s="1" t="s">
        <v>112</v>
      </c>
      <c r="G448" s="1">
        <v>990087</v>
      </c>
    </row>
    <row r="449" spans="1:10" x14ac:dyDescent="0.25">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3780</v>
      </c>
      <c r="D449" s="1" t="s">
        <v>3781</v>
      </c>
      <c r="E449" s="1" t="s">
        <v>3782</v>
      </c>
      <c r="F449" s="1" t="s">
        <v>112</v>
      </c>
      <c r="G449" s="1">
        <v>1389396</v>
      </c>
    </row>
    <row r="450" spans="1:10" x14ac:dyDescent="0.25">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3783</v>
      </c>
      <c r="D450" s="1" t="s">
        <v>3784</v>
      </c>
      <c r="E450" s="1" t="s">
        <v>3785</v>
      </c>
      <c r="F450" s="1" t="s">
        <v>112</v>
      </c>
      <c r="G450" s="1">
        <v>1420673</v>
      </c>
    </row>
    <row r="451" spans="1:10" x14ac:dyDescent="0.25">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3786</v>
      </c>
      <c r="D451" s="1" t="s">
        <v>3787</v>
      </c>
      <c r="E451" s="1" t="s">
        <v>3788</v>
      </c>
      <c r="F451" s="1" t="s">
        <v>112</v>
      </c>
      <c r="G451" s="1">
        <v>825224</v>
      </c>
    </row>
    <row r="452" spans="1:10" x14ac:dyDescent="0.25">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3789</v>
      </c>
      <c r="D452" s="1" t="s">
        <v>3790</v>
      </c>
      <c r="E452" s="1" t="s">
        <v>3791</v>
      </c>
      <c r="F452" s="1" t="s">
        <v>112</v>
      </c>
      <c r="G452" s="1">
        <v>3074863</v>
      </c>
    </row>
    <row r="453" spans="1:10" x14ac:dyDescent="0.25">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3792</v>
      </c>
      <c r="D453" s="1" t="s">
        <v>2016</v>
      </c>
      <c r="E453" s="1" t="s">
        <v>3793</v>
      </c>
      <c r="F453" s="1" t="s">
        <v>112</v>
      </c>
      <c r="G453" s="1">
        <v>3019879</v>
      </c>
    </row>
    <row r="454" spans="1:10" x14ac:dyDescent="0.25">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3794</v>
      </c>
      <c r="D454" s="1" t="s">
        <v>2872</v>
      </c>
      <c r="E454" s="1" t="s">
        <v>3795</v>
      </c>
      <c r="F454" s="1" t="s">
        <v>112</v>
      </c>
      <c r="G454" s="1">
        <v>2754935</v>
      </c>
    </row>
    <row r="455" spans="1:10"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223</v>
      </c>
      <c r="D456" s="1" t="s">
        <v>112</v>
      </c>
      <c r="E456" s="1" t="s">
        <v>224</v>
      </c>
      <c r="F456" s="1" t="s">
        <v>225</v>
      </c>
      <c r="G456" s="1" t="s">
        <v>226</v>
      </c>
      <c r="H456" s="1" t="s">
        <v>227</v>
      </c>
      <c r="I456" s="1" t="s">
        <v>228</v>
      </c>
      <c r="J456" s="1" t="s">
        <v>229</v>
      </c>
    </row>
    <row r="457" spans="1:10" x14ac:dyDescent="0.25">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3796</v>
      </c>
      <c r="D457" s="1" t="s">
        <v>112</v>
      </c>
      <c r="E457" s="1" t="s">
        <v>3797</v>
      </c>
      <c r="F457" s="1" t="s">
        <v>3798</v>
      </c>
      <c r="G457" s="1" t="s">
        <v>3799</v>
      </c>
      <c r="H457" s="1" t="s">
        <v>3800</v>
      </c>
      <c r="I457" s="1">
        <v>24</v>
      </c>
      <c r="J457" s="1">
        <v>24</v>
      </c>
    </row>
    <row r="458" spans="1:10"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235</v>
      </c>
      <c r="D463" s="1" t="s">
        <v>110</v>
      </c>
      <c r="E463" s="1" t="s">
        <v>111</v>
      </c>
      <c r="F463" s="1" t="s">
        <v>112</v>
      </c>
      <c r="G463" s="1" t="s">
        <v>113</v>
      </c>
    </row>
    <row r="464" spans="1:10" x14ac:dyDescent="0.25">
      <c r="A464" s="1" t="str">
        <f t="shared" si="7"/>
        <v>03 Testo+ EE2 64</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3801</v>
      </c>
      <c r="D464" s="1" t="s">
        <v>3802</v>
      </c>
      <c r="E464" s="1" t="s">
        <v>3803</v>
      </c>
      <c r="F464" s="1" t="s">
        <v>112</v>
      </c>
      <c r="G464" s="1">
        <v>2961068</v>
      </c>
    </row>
    <row r="465" spans="1:7" x14ac:dyDescent="0.25">
      <c r="A465" s="1" t="str">
        <f t="shared" si="7"/>
        <v>03 Testo+ EE2 64</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3804</v>
      </c>
      <c r="D465" s="1" t="s">
        <v>3805</v>
      </c>
      <c r="E465" s="1" t="s">
        <v>3806</v>
      </c>
      <c r="F465" s="1" t="s">
        <v>112</v>
      </c>
      <c r="G465" s="1">
        <v>3156277</v>
      </c>
    </row>
    <row r="466" spans="1:7" x14ac:dyDescent="0.25">
      <c r="A466" s="1" t="str">
        <f t="shared" si="7"/>
        <v>03 Testo+ EE2 64</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3807</v>
      </c>
      <c r="D466" s="1" t="s">
        <v>3808</v>
      </c>
      <c r="E466" s="1" t="s">
        <v>3809</v>
      </c>
      <c r="F466" s="1" t="s">
        <v>112</v>
      </c>
      <c r="G466" s="1">
        <v>3038459</v>
      </c>
    </row>
    <row r="467" spans="1:7" x14ac:dyDescent="0.25">
      <c r="A467" s="1" t="str">
        <f t="shared" si="7"/>
        <v>03 Testo+ EE2 64</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3810</v>
      </c>
      <c r="D467" s="1" t="s">
        <v>3811</v>
      </c>
      <c r="E467" s="1" t="s">
        <v>3812</v>
      </c>
      <c r="F467" s="1" t="s">
        <v>112</v>
      </c>
      <c r="G467" s="1">
        <v>1038278</v>
      </c>
    </row>
    <row r="468" spans="1:7" x14ac:dyDescent="0.25">
      <c r="A468" s="1" t="str">
        <f t="shared" si="7"/>
        <v>03 Testo+ EE2 64</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3813</v>
      </c>
      <c r="D468" s="1" t="s">
        <v>3814</v>
      </c>
      <c r="E468" s="1" t="s">
        <v>3253</v>
      </c>
      <c r="F468" s="1" t="s">
        <v>112</v>
      </c>
      <c r="G468" s="1">
        <v>985804</v>
      </c>
    </row>
    <row r="469" spans="1:7" x14ac:dyDescent="0.25">
      <c r="A469" s="1" t="str">
        <f t="shared" si="7"/>
        <v>03 Testo+ EE2 64</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3815</v>
      </c>
      <c r="D469" s="1" t="s">
        <v>3816</v>
      </c>
      <c r="E469" s="1" t="s">
        <v>3817</v>
      </c>
      <c r="F469" s="1" t="s">
        <v>112</v>
      </c>
      <c r="G469" s="1">
        <v>804329</v>
      </c>
    </row>
    <row r="470" spans="1:7" x14ac:dyDescent="0.25">
      <c r="A470" s="1" t="str">
        <f t="shared" si="7"/>
        <v>03 Testo+ EE2 64</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3818</v>
      </c>
      <c r="D470" s="1" t="s">
        <v>3819</v>
      </c>
      <c r="E470" s="1" t="s">
        <v>3820</v>
      </c>
      <c r="F470" s="1" t="s">
        <v>112</v>
      </c>
      <c r="G470" s="1">
        <v>1217309</v>
      </c>
    </row>
    <row r="471" spans="1:7" x14ac:dyDescent="0.25">
      <c r="A471" s="1" t="str">
        <f t="shared" si="7"/>
        <v>03 Testo+ EE2 64</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3821</v>
      </c>
      <c r="D471" s="1" t="s">
        <v>1553</v>
      </c>
      <c r="E471" s="1" t="s">
        <v>3822</v>
      </c>
      <c r="F471" s="1" t="s">
        <v>112</v>
      </c>
      <c r="G471" s="1">
        <v>877265</v>
      </c>
    </row>
    <row r="472" spans="1:7" x14ac:dyDescent="0.25">
      <c r="A472" s="1" t="str">
        <f t="shared" si="7"/>
        <v>03 Testo+ EE2 64</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3823</v>
      </c>
      <c r="D472" s="1" t="s">
        <v>3824</v>
      </c>
      <c r="E472" s="1" t="s">
        <v>3825</v>
      </c>
      <c r="F472" s="1" t="s">
        <v>112</v>
      </c>
      <c r="G472" s="1">
        <v>936293</v>
      </c>
    </row>
    <row r="473" spans="1:7" x14ac:dyDescent="0.25">
      <c r="A473" s="1" t="str">
        <f t="shared" si="7"/>
        <v>03 Testo+ EE2 64</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3826</v>
      </c>
      <c r="D473" s="1" t="s">
        <v>3827</v>
      </c>
      <c r="E473" s="1" t="s">
        <v>3828</v>
      </c>
      <c r="F473" s="1" t="s">
        <v>112</v>
      </c>
      <c r="G473" s="1">
        <v>1963410</v>
      </c>
    </row>
    <row r="474" spans="1:7" x14ac:dyDescent="0.25">
      <c r="A474" s="1" t="str">
        <f t="shared" si="7"/>
        <v>03 Testo+ EE2 64</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3829</v>
      </c>
      <c r="D474" s="1" t="s">
        <v>3830</v>
      </c>
      <c r="E474" s="1" t="s">
        <v>3831</v>
      </c>
      <c r="F474" s="1" t="s">
        <v>112</v>
      </c>
      <c r="G474" s="1">
        <v>1928565</v>
      </c>
    </row>
    <row r="475" spans="1:7" x14ac:dyDescent="0.25">
      <c r="A475" s="1" t="str">
        <f t="shared" si="7"/>
        <v>03 Testo+ EE2 64</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3832</v>
      </c>
      <c r="D475" s="1" t="s">
        <v>3833</v>
      </c>
      <c r="E475" s="1" t="s">
        <v>3834</v>
      </c>
      <c r="F475" s="1" t="s">
        <v>112</v>
      </c>
      <c r="G475" s="1">
        <v>2037277</v>
      </c>
    </row>
    <row r="476" spans="1:7" x14ac:dyDescent="0.25">
      <c r="A476" s="1" t="str">
        <f t="shared" si="7"/>
        <v>03 Testo+ EE2 64</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3835</v>
      </c>
      <c r="D476" s="1" t="s">
        <v>3836</v>
      </c>
      <c r="E476" s="1" t="s">
        <v>3837</v>
      </c>
      <c r="F476" s="1" t="s">
        <v>112</v>
      </c>
      <c r="G476" s="1">
        <v>5359109</v>
      </c>
    </row>
    <row r="477" spans="1:7" x14ac:dyDescent="0.25">
      <c r="A477" s="1" t="str">
        <f t="shared" si="7"/>
        <v>03 Testo+ EE2 64</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3838</v>
      </c>
      <c r="D477" s="1" t="s">
        <v>3839</v>
      </c>
      <c r="E477" s="1" t="s">
        <v>3840</v>
      </c>
      <c r="F477" s="1" t="s">
        <v>112</v>
      </c>
      <c r="G477" s="1">
        <v>4421388</v>
      </c>
    </row>
    <row r="478" spans="1:7" x14ac:dyDescent="0.25">
      <c r="A478" s="1" t="str">
        <f t="shared" si="7"/>
        <v>03 Testo+ EE2 64</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3841</v>
      </c>
      <c r="D478" s="1" t="s">
        <v>3386</v>
      </c>
      <c r="E478" s="1" t="s">
        <v>3842</v>
      </c>
      <c r="F478" s="1" t="s">
        <v>112</v>
      </c>
      <c r="G478" s="1">
        <v>4491923</v>
      </c>
    </row>
    <row r="479" spans="1:7" x14ac:dyDescent="0.25">
      <c r="A479" s="1" t="str">
        <f t="shared" si="7"/>
        <v>03 Testo+ EE2 64</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3843</v>
      </c>
      <c r="D479" s="1" t="s">
        <v>3844</v>
      </c>
      <c r="E479" s="1" t="s">
        <v>3845</v>
      </c>
      <c r="F479" s="1" t="s">
        <v>112</v>
      </c>
      <c r="G479" s="1">
        <v>4035252</v>
      </c>
    </row>
    <row r="480" spans="1:7" x14ac:dyDescent="0.25">
      <c r="A480" s="1" t="str">
        <f t="shared" si="7"/>
        <v>03 Testo+ EE2 64</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3846</v>
      </c>
      <c r="D480" s="1" t="s">
        <v>3847</v>
      </c>
      <c r="E480" s="1" t="s">
        <v>3848</v>
      </c>
      <c r="F480" s="1" t="s">
        <v>112</v>
      </c>
      <c r="G480" s="1">
        <v>3720342</v>
      </c>
    </row>
    <row r="481" spans="1:10" x14ac:dyDescent="0.25">
      <c r="A481" s="1" t="str">
        <f t="shared" si="7"/>
        <v>03 Testo+ EE2 64</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3849</v>
      </c>
      <c r="D481" s="1" t="s">
        <v>3850</v>
      </c>
      <c r="E481" s="1" t="s">
        <v>3851</v>
      </c>
      <c r="F481" s="1" t="s">
        <v>112</v>
      </c>
      <c r="G481" s="1">
        <v>4768375</v>
      </c>
    </row>
    <row r="482" spans="1:10" x14ac:dyDescent="0.25">
      <c r="A482" s="1" t="str">
        <f t="shared" si="7"/>
        <v>03 Testo+ EE2 64</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3852</v>
      </c>
      <c r="D482" s="1" t="s">
        <v>3221</v>
      </c>
      <c r="E482" s="1" t="s">
        <v>3853</v>
      </c>
      <c r="F482" s="1" t="s">
        <v>112</v>
      </c>
      <c r="G482" s="1">
        <v>3427560</v>
      </c>
    </row>
    <row r="483" spans="1:10" x14ac:dyDescent="0.25">
      <c r="A483" s="1" t="str">
        <f t="shared" si="7"/>
        <v>03 Testo+ EE2 64</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3854</v>
      </c>
      <c r="D483" s="1" t="s">
        <v>3855</v>
      </c>
      <c r="E483" s="1" t="s">
        <v>3856</v>
      </c>
      <c r="F483" s="1" t="s">
        <v>112</v>
      </c>
      <c r="G483" s="1">
        <v>3497814</v>
      </c>
    </row>
    <row r="484" spans="1:10" x14ac:dyDescent="0.25">
      <c r="A484" s="1" t="str">
        <f t="shared" si="7"/>
        <v>03 Testo+ EE2 64</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3857</v>
      </c>
      <c r="D484" s="1" t="s">
        <v>3858</v>
      </c>
      <c r="E484" s="1" t="s">
        <v>3859</v>
      </c>
      <c r="F484" s="1" t="s">
        <v>112</v>
      </c>
      <c r="G484" s="1">
        <v>3341018</v>
      </c>
    </row>
    <row r="485" spans="1:10" x14ac:dyDescent="0.25">
      <c r="A485" s="1" t="str">
        <f t="shared" si="7"/>
        <v>03 Testo+ EE2 64</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3860</v>
      </c>
      <c r="D485" s="1" t="s">
        <v>3861</v>
      </c>
      <c r="E485" s="1" t="s">
        <v>3862</v>
      </c>
      <c r="F485" s="1" t="s">
        <v>112</v>
      </c>
      <c r="G485" s="1">
        <v>1616748</v>
      </c>
    </row>
    <row r="486" spans="1:10" x14ac:dyDescent="0.25">
      <c r="A486" s="1" t="str">
        <f t="shared" si="7"/>
        <v>03 Testo+ EE2 64</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3863</v>
      </c>
      <c r="D486" s="1" t="s">
        <v>3864</v>
      </c>
      <c r="E486" s="1" t="s">
        <v>3865</v>
      </c>
      <c r="F486" s="1" t="s">
        <v>112</v>
      </c>
      <c r="G486" s="1">
        <v>1682568</v>
      </c>
    </row>
    <row r="487" spans="1:10" x14ac:dyDescent="0.25">
      <c r="A487" s="1" t="str">
        <f t="shared" si="7"/>
        <v>03 Testo+ EE2 64</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3866</v>
      </c>
      <c r="D487" s="1" t="s">
        <v>1448</v>
      </c>
      <c r="E487" s="1" t="s">
        <v>3867</v>
      </c>
      <c r="F487" s="1" t="s">
        <v>112</v>
      </c>
      <c r="G487" s="1">
        <v>1792967</v>
      </c>
    </row>
    <row r="488" spans="1:10"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223</v>
      </c>
      <c r="D489" s="1" t="s">
        <v>112</v>
      </c>
      <c r="E489" s="1" t="s">
        <v>224</v>
      </c>
      <c r="F489" s="1" t="s">
        <v>225</v>
      </c>
      <c r="G489" s="1" t="s">
        <v>226</v>
      </c>
      <c r="H489" s="1" t="s">
        <v>227</v>
      </c>
      <c r="I489" s="1" t="s">
        <v>228</v>
      </c>
      <c r="J489" s="1" t="s">
        <v>229</v>
      </c>
    </row>
    <row r="490" spans="1:10" x14ac:dyDescent="0.25">
      <c r="A490" s="1" t="str">
        <f t="shared" si="7"/>
        <v>03 Testo+ EE2 64</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3868</v>
      </c>
      <c r="D490" s="1" t="s">
        <v>112</v>
      </c>
      <c r="E490" s="1" t="s">
        <v>3869</v>
      </c>
      <c r="F490" s="1" t="s">
        <v>3870</v>
      </c>
      <c r="G490" s="1" t="s">
        <v>3871</v>
      </c>
      <c r="H490" s="1" t="s">
        <v>3872</v>
      </c>
      <c r="I490" s="1">
        <v>24</v>
      </c>
      <c r="J490" s="1">
        <v>24</v>
      </c>
    </row>
    <row r="491" spans="1:10"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235</v>
      </c>
      <c r="D496" s="1" t="s">
        <v>110</v>
      </c>
      <c r="E496" s="1" t="s">
        <v>111</v>
      </c>
      <c r="F496" s="1" t="s">
        <v>112</v>
      </c>
      <c r="G496" s="1" t="s">
        <v>113</v>
      </c>
    </row>
    <row r="497" spans="1:7" x14ac:dyDescent="0.25">
      <c r="A497" s="1" t="str">
        <f t="shared" si="7"/>
        <v>04 Testo+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3873</v>
      </c>
      <c r="D497" s="1" t="s">
        <v>3673</v>
      </c>
      <c r="E497" s="1" t="s">
        <v>3874</v>
      </c>
      <c r="F497" s="1" t="s">
        <v>112</v>
      </c>
      <c r="G497" s="1">
        <v>348955</v>
      </c>
    </row>
    <row r="498" spans="1:7" x14ac:dyDescent="0.25">
      <c r="A498" s="1" t="str">
        <f t="shared" si="7"/>
        <v>04 Testo+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3875</v>
      </c>
    </row>
    <row r="499" spans="1:7" x14ac:dyDescent="0.25">
      <c r="A499" s="1" t="str">
        <f t="shared" si="7"/>
        <v>04 Testo+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3876</v>
      </c>
      <c r="D499" s="1" t="s">
        <v>353</v>
      </c>
      <c r="E499" s="1" t="s">
        <v>3877</v>
      </c>
      <c r="F499" s="1" t="s">
        <v>112</v>
      </c>
      <c r="G499" s="1">
        <v>69324</v>
      </c>
    </row>
    <row r="500" spans="1:7" x14ac:dyDescent="0.25">
      <c r="A500" s="1" t="str">
        <f t="shared" si="7"/>
        <v>04 Testo+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3878</v>
      </c>
      <c r="D500" s="1" t="s">
        <v>2182</v>
      </c>
      <c r="E500" s="1" t="s">
        <v>3879</v>
      </c>
      <c r="F500" s="1" t="s">
        <v>112</v>
      </c>
      <c r="G500" s="1">
        <v>478561</v>
      </c>
    </row>
    <row r="501" spans="1:7" x14ac:dyDescent="0.25">
      <c r="A501" s="1" t="str">
        <f t="shared" si="7"/>
        <v>04 Testo+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3880</v>
      </c>
      <c r="D501" s="1" t="s">
        <v>258</v>
      </c>
      <c r="E501" s="1">
        <v>63</v>
      </c>
      <c r="F501" s="1" t="s">
        <v>112</v>
      </c>
      <c r="G501" s="1">
        <v>10901</v>
      </c>
    </row>
    <row r="502" spans="1:7" x14ac:dyDescent="0.25">
      <c r="A502" s="1" t="str">
        <f t="shared" si="7"/>
        <v>04 Testo+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3881</v>
      </c>
      <c r="D502" s="1" t="s">
        <v>3091</v>
      </c>
      <c r="E502" s="1" t="s">
        <v>3882</v>
      </c>
      <c r="F502" s="1" t="s">
        <v>112</v>
      </c>
      <c r="G502" s="1">
        <v>383282</v>
      </c>
    </row>
    <row r="503" spans="1:7" x14ac:dyDescent="0.25">
      <c r="A503" s="1" t="str">
        <f t="shared" si="7"/>
        <v>04 Testo+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3883</v>
      </c>
      <c r="D503" s="1" t="s">
        <v>2177</v>
      </c>
      <c r="E503" s="1" t="s">
        <v>3884</v>
      </c>
      <c r="F503" s="1" t="s">
        <v>112</v>
      </c>
      <c r="G503" s="1">
        <v>44947</v>
      </c>
    </row>
    <row r="504" spans="1:7" x14ac:dyDescent="0.25">
      <c r="A504" s="1" t="str">
        <f t="shared" si="7"/>
        <v>04 Testo+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3885</v>
      </c>
      <c r="D504" s="1" t="s">
        <v>282</v>
      </c>
      <c r="E504" s="1" t="s">
        <v>3886</v>
      </c>
      <c r="F504" s="1" t="s">
        <v>112</v>
      </c>
      <c r="G504" s="1">
        <v>54551</v>
      </c>
    </row>
    <row r="505" spans="1:7" x14ac:dyDescent="0.25">
      <c r="A505" s="1" t="str">
        <f t="shared" si="7"/>
        <v>04 Testo+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3887</v>
      </c>
      <c r="D505" s="1" t="s">
        <v>268</v>
      </c>
      <c r="E505" s="1" t="s">
        <v>3888</v>
      </c>
      <c r="F505" s="1" t="s">
        <v>112</v>
      </c>
      <c r="G505" s="1">
        <v>23144</v>
      </c>
    </row>
    <row r="506" spans="1:7" x14ac:dyDescent="0.25">
      <c r="A506" s="1" t="str">
        <f t="shared" si="7"/>
        <v>04 Testo+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3889</v>
      </c>
      <c r="D506" s="1" t="s">
        <v>3890</v>
      </c>
      <c r="E506" s="1" t="s">
        <v>3891</v>
      </c>
      <c r="F506" s="1" t="s">
        <v>112</v>
      </c>
      <c r="G506" s="1">
        <v>182664</v>
      </c>
    </row>
    <row r="507" spans="1:7" x14ac:dyDescent="0.25">
      <c r="A507" s="1" t="str">
        <f t="shared" si="7"/>
        <v>04 Testo+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3892</v>
      </c>
      <c r="D507" s="1" t="s">
        <v>1016</v>
      </c>
      <c r="E507" s="1" t="s">
        <v>3893</v>
      </c>
      <c r="F507" s="1" t="s">
        <v>112</v>
      </c>
      <c r="G507" s="1">
        <v>236134</v>
      </c>
    </row>
    <row r="508" spans="1:7" x14ac:dyDescent="0.25">
      <c r="A508" s="1" t="str">
        <f t="shared" si="7"/>
        <v>04 Testo+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3894</v>
      </c>
      <c r="D508" s="1" t="s">
        <v>258</v>
      </c>
      <c r="E508" s="1">
        <v>63</v>
      </c>
      <c r="F508" s="1" t="s">
        <v>112</v>
      </c>
      <c r="G508" s="1">
        <v>10901</v>
      </c>
    </row>
    <row r="509" spans="1:7" x14ac:dyDescent="0.25">
      <c r="A509" s="1" t="str">
        <f t="shared" si="7"/>
        <v>04 Testo+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3895</v>
      </c>
    </row>
    <row r="510" spans="1:7" x14ac:dyDescent="0.25">
      <c r="A510" s="1" t="str">
        <f t="shared" si="7"/>
        <v>04 Testo+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3896</v>
      </c>
      <c r="D510" s="1" t="s">
        <v>3897</v>
      </c>
      <c r="E510" s="1" t="s">
        <v>3898</v>
      </c>
      <c r="F510" s="1" t="s">
        <v>112</v>
      </c>
      <c r="G510" s="1">
        <v>112605</v>
      </c>
    </row>
    <row r="511" spans="1:7" x14ac:dyDescent="0.25">
      <c r="A511" s="1" t="str">
        <f t="shared" si="7"/>
        <v>04 Testo+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3899</v>
      </c>
      <c r="D511" s="1" t="s">
        <v>3610</v>
      </c>
      <c r="E511" s="1" t="s">
        <v>3900</v>
      </c>
      <c r="F511" s="1" t="s">
        <v>112</v>
      </c>
      <c r="G511" s="1">
        <v>383390</v>
      </c>
    </row>
    <row r="512" spans="1:7" x14ac:dyDescent="0.25">
      <c r="A512" s="1" t="str">
        <f t="shared" si="7"/>
        <v>04 Testo+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3901</v>
      </c>
    </row>
    <row r="513" spans="1:10" x14ac:dyDescent="0.25">
      <c r="A513" s="1" t="str">
        <f t="shared" si="7"/>
        <v>04 Testo+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3902</v>
      </c>
      <c r="D513" s="1" t="s">
        <v>2303</v>
      </c>
      <c r="E513" s="1" t="s">
        <v>3903</v>
      </c>
      <c r="F513" s="1" t="s">
        <v>112</v>
      </c>
      <c r="G513" s="1">
        <v>62467</v>
      </c>
    </row>
    <row r="514" spans="1:10" x14ac:dyDescent="0.25">
      <c r="A514" s="1" t="str">
        <f t="shared" ref="A514:A577" si="8">IFERROR(LEFT(RIGHT(C514,LEN(C514)-SEARCH("@",C514)),SEARCH("/",RIGHT(C514,LEN(C514)-SEARCH("@",C514)-1))),"")</f>
        <v>04 Testo+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3904</v>
      </c>
      <c r="D514" s="1" t="s">
        <v>3057</v>
      </c>
      <c r="E514" s="1" t="s">
        <v>3905</v>
      </c>
      <c r="F514" s="1" t="s">
        <v>112</v>
      </c>
      <c r="G514" s="1">
        <v>139232</v>
      </c>
    </row>
    <row r="515" spans="1:10" x14ac:dyDescent="0.25">
      <c r="A515" s="1" t="str">
        <f t="shared" si="8"/>
        <v>04 Testo+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3906</v>
      </c>
      <c r="D515" s="1" t="s">
        <v>3057</v>
      </c>
      <c r="E515" s="1" t="s">
        <v>3907</v>
      </c>
      <c r="F515" s="1" t="s">
        <v>112</v>
      </c>
      <c r="G515" s="1">
        <v>140443</v>
      </c>
    </row>
    <row r="516" spans="1:10" x14ac:dyDescent="0.25">
      <c r="A516" s="1" t="str">
        <f t="shared" si="8"/>
        <v>04 Testo+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3908</v>
      </c>
      <c r="D516" s="1" t="s">
        <v>739</v>
      </c>
      <c r="E516" s="1" t="s">
        <v>3909</v>
      </c>
      <c r="F516" s="1" t="s">
        <v>112</v>
      </c>
      <c r="G516" s="1">
        <v>30390</v>
      </c>
    </row>
    <row r="517" spans="1:10" x14ac:dyDescent="0.25">
      <c r="A517" s="1" t="str">
        <f t="shared" si="8"/>
        <v>04 Testo+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3910</v>
      </c>
      <c r="D517" s="1" t="s">
        <v>1723</v>
      </c>
      <c r="E517" s="1" t="s">
        <v>3911</v>
      </c>
      <c r="F517" s="1" t="s">
        <v>112</v>
      </c>
      <c r="G517" s="1">
        <v>12567</v>
      </c>
    </row>
    <row r="518" spans="1:10" x14ac:dyDescent="0.25">
      <c r="A518" s="1" t="str">
        <f t="shared" si="8"/>
        <v>04 Testo+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3912</v>
      </c>
      <c r="D518" s="1" t="s">
        <v>3673</v>
      </c>
      <c r="E518" s="1" t="s">
        <v>3913</v>
      </c>
      <c r="F518" s="1" t="s">
        <v>112</v>
      </c>
      <c r="G518" s="1">
        <v>333619</v>
      </c>
    </row>
    <row r="519" spans="1:10" x14ac:dyDescent="0.25">
      <c r="A519" s="1" t="str">
        <f t="shared" si="8"/>
        <v>04 Testo+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3914</v>
      </c>
      <c r="D519" s="1" t="s">
        <v>2393</v>
      </c>
      <c r="E519" s="1" t="s">
        <v>3915</v>
      </c>
      <c r="F519" s="1" t="s">
        <v>112</v>
      </c>
      <c r="G519" s="1">
        <v>425157</v>
      </c>
    </row>
    <row r="520" spans="1:10" x14ac:dyDescent="0.25">
      <c r="A520" s="1" t="str">
        <f t="shared" si="8"/>
        <v>04 Testo+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3916</v>
      </c>
      <c r="D520" s="1" t="s">
        <v>2614</v>
      </c>
      <c r="E520" s="1" t="s">
        <v>3917</v>
      </c>
      <c r="F520" s="1" t="s">
        <v>112</v>
      </c>
      <c r="G520" s="1">
        <v>397925</v>
      </c>
    </row>
    <row r="521" spans="1:10"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223</v>
      </c>
      <c r="D522" s="1" t="s">
        <v>112</v>
      </c>
      <c r="E522" s="1" t="s">
        <v>224</v>
      </c>
      <c r="F522" s="1" t="s">
        <v>225</v>
      </c>
      <c r="G522" s="1" t="s">
        <v>226</v>
      </c>
      <c r="H522" s="1" t="s">
        <v>227</v>
      </c>
      <c r="I522" s="1" t="s">
        <v>228</v>
      </c>
      <c r="J522" s="1" t="s">
        <v>229</v>
      </c>
    </row>
    <row r="523" spans="1:10" x14ac:dyDescent="0.25">
      <c r="A523" s="1" t="str">
        <f t="shared" si="8"/>
        <v>04 Testo+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3918</v>
      </c>
      <c r="D523" s="1" t="s">
        <v>112</v>
      </c>
      <c r="E523" s="1" t="s">
        <v>3919</v>
      </c>
      <c r="F523" s="1" t="s">
        <v>3920</v>
      </c>
      <c r="G523" s="1">
        <v>213533</v>
      </c>
      <c r="H523" s="1" t="s">
        <v>3921</v>
      </c>
      <c r="I523" s="1">
        <v>24</v>
      </c>
      <c r="J523" s="1">
        <v>24</v>
      </c>
    </row>
    <row r="524" spans="1:10"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235</v>
      </c>
      <c r="D529" s="1" t="s">
        <v>110</v>
      </c>
      <c r="E529" s="1" t="s">
        <v>111</v>
      </c>
      <c r="F529" s="1" t="s">
        <v>112</v>
      </c>
      <c r="G529" s="1" t="s">
        <v>113</v>
      </c>
    </row>
    <row r="530" spans="1:7" x14ac:dyDescent="0.25">
      <c r="A530" s="1" t="str">
        <f t="shared" si="8"/>
        <v>05 Amantadine 0.001 mg_L dopé</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3922</v>
      </c>
      <c r="D530" s="1" t="s">
        <v>3923</v>
      </c>
      <c r="E530" s="1" t="s">
        <v>3924</v>
      </c>
      <c r="F530" s="1" t="s">
        <v>112</v>
      </c>
      <c r="G530" s="1">
        <v>2661061</v>
      </c>
    </row>
    <row r="531" spans="1:7" x14ac:dyDescent="0.25">
      <c r="A531" s="1" t="str">
        <f t="shared" si="8"/>
        <v>05 Amantadine 0.001 mg_L dopé</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3925</v>
      </c>
      <c r="D531" s="1" t="s">
        <v>3926</v>
      </c>
      <c r="E531" s="1" t="s">
        <v>3927</v>
      </c>
      <c r="F531" s="1" t="s">
        <v>112</v>
      </c>
      <c r="G531" s="1">
        <v>2840395</v>
      </c>
    </row>
    <row r="532" spans="1:7" x14ac:dyDescent="0.25">
      <c r="A532" s="1" t="str">
        <f t="shared" si="8"/>
        <v>05 Amantadine 0.001 mg_L dopé</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3928</v>
      </c>
      <c r="D532" s="1" t="s">
        <v>3929</v>
      </c>
      <c r="E532" s="1" t="s">
        <v>3930</v>
      </c>
      <c r="F532" s="1" t="s">
        <v>112</v>
      </c>
      <c r="G532" s="1">
        <v>2444632</v>
      </c>
    </row>
    <row r="533" spans="1:7" x14ac:dyDescent="0.25">
      <c r="A533" s="1" t="str">
        <f t="shared" si="8"/>
        <v>05 Amantadine 0.001 mg_L dopé</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3931</v>
      </c>
      <c r="D533" s="1" t="s">
        <v>3307</v>
      </c>
      <c r="E533" s="1" t="s">
        <v>3932</v>
      </c>
      <c r="F533" s="1" t="s">
        <v>112</v>
      </c>
      <c r="G533" s="1">
        <v>1985732</v>
      </c>
    </row>
    <row r="534" spans="1:7" x14ac:dyDescent="0.25">
      <c r="A534" s="1" t="str">
        <f t="shared" si="8"/>
        <v>05 Amantadine 0.001 mg_L dopé</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3933</v>
      </c>
      <c r="D534" s="1" t="s">
        <v>1885</v>
      </c>
      <c r="E534" s="1" t="s">
        <v>3934</v>
      </c>
      <c r="F534" s="1" t="s">
        <v>112</v>
      </c>
      <c r="G534" s="1">
        <v>1855607</v>
      </c>
    </row>
    <row r="535" spans="1:7" x14ac:dyDescent="0.25">
      <c r="A535" s="1" t="str">
        <f t="shared" si="8"/>
        <v>05 Amantadine 0.001 mg_L dopé</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3935</v>
      </c>
      <c r="D535" s="1" t="s">
        <v>1945</v>
      </c>
      <c r="E535" s="1" t="s">
        <v>3936</v>
      </c>
      <c r="F535" s="1" t="s">
        <v>112</v>
      </c>
      <c r="G535" s="1">
        <v>2060074</v>
      </c>
    </row>
    <row r="536" spans="1:7" x14ac:dyDescent="0.25">
      <c r="A536" s="1" t="str">
        <f t="shared" si="8"/>
        <v>05 Amantadine 0.001 mg_L dopé</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3937</v>
      </c>
      <c r="D536" s="1" t="s">
        <v>810</v>
      </c>
      <c r="E536" s="1" t="s">
        <v>3938</v>
      </c>
      <c r="F536" s="1" t="s">
        <v>112</v>
      </c>
      <c r="G536" s="1">
        <v>275651</v>
      </c>
    </row>
    <row r="537" spans="1:7" x14ac:dyDescent="0.25">
      <c r="A537" s="1" t="str">
        <f t="shared" si="8"/>
        <v>05 Amantadine 0.001 mg_L dopé</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3939</v>
      </c>
      <c r="D537" s="1" t="s">
        <v>3940</v>
      </c>
      <c r="E537" s="1" t="s">
        <v>3941</v>
      </c>
      <c r="F537" s="1" t="s">
        <v>112</v>
      </c>
      <c r="G537" s="1">
        <v>360527</v>
      </c>
    </row>
    <row r="538" spans="1:7" x14ac:dyDescent="0.25">
      <c r="A538" s="1" t="str">
        <f t="shared" si="8"/>
        <v>05 Amantadine 0.001 mg_L dopé</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3942</v>
      </c>
      <c r="D538" s="1" t="s">
        <v>3940</v>
      </c>
      <c r="E538" s="1" t="s">
        <v>3943</v>
      </c>
      <c r="F538" s="1" t="s">
        <v>112</v>
      </c>
      <c r="G538" s="1">
        <v>345559</v>
      </c>
    </row>
    <row r="539" spans="1:7" x14ac:dyDescent="0.25">
      <c r="A539" s="1" t="str">
        <f t="shared" si="8"/>
        <v>05 Amantadine 0.001 mg_L dopé</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3944</v>
      </c>
      <c r="D539" s="1" t="s">
        <v>3945</v>
      </c>
      <c r="E539" s="1" t="s">
        <v>3946</v>
      </c>
      <c r="F539" s="1" t="s">
        <v>112</v>
      </c>
      <c r="G539" s="1">
        <v>1241924</v>
      </c>
    </row>
    <row r="540" spans="1:7" x14ac:dyDescent="0.25">
      <c r="A540" s="1" t="str">
        <f t="shared" si="8"/>
        <v>05 Amantadine 0.001 mg_L dopé</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3947</v>
      </c>
      <c r="D540" s="1" t="s">
        <v>3948</v>
      </c>
      <c r="E540" s="1" t="s">
        <v>3949</v>
      </c>
      <c r="F540" s="1" t="s">
        <v>112</v>
      </c>
      <c r="G540" s="1">
        <v>1098993</v>
      </c>
    </row>
    <row r="541" spans="1:7" x14ac:dyDescent="0.25">
      <c r="A541" s="1" t="str">
        <f t="shared" si="8"/>
        <v>05 Amantadine 0.001 mg_L dopé</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3950</v>
      </c>
      <c r="D541" s="1" t="s">
        <v>3778</v>
      </c>
      <c r="E541" s="1" t="s">
        <v>3951</v>
      </c>
      <c r="F541" s="1" t="s">
        <v>112</v>
      </c>
      <c r="G541" s="1">
        <v>974903</v>
      </c>
    </row>
    <row r="542" spans="1:7" x14ac:dyDescent="0.25">
      <c r="A542" s="1" t="str">
        <f t="shared" si="8"/>
        <v>05 Amantadine 0.001 mg_L dopé</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3952</v>
      </c>
      <c r="D542" s="1" t="s">
        <v>3953</v>
      </c>
      <c r="E542" s="1" t="s">
        <v>3954</v>
      </c>
      <c r="F542" s="1" t="s">
        <v>112</v>
      </c>
      <c r="G542" s="1">
        <v>674961</v>
      </c>
    </row>
    <row r="543" spans="1:7" x14ac:dyDescent="0.25">
      <c r="A543" s="1" t="str">
        <f t="shared" si="8"/>
        <v>05 Amantadine 0.001 mg_L dopé</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3955</v>
      </c>
      <c r="D543" s="1" t="s">
        <v>3956</v>
      </c>
      <c r="E543" s="1" t="s">
        <v>3957</v>
      </c>
      <c r="F543" s="1" t="s">
        <v>112</v>
      </c>
      <c r="G543" s="1">
        <v>746080</v>
      </c>
    </row>
    <row r="544" spans="1:7" x14ac:dyDescent="0.25">
      <c r="A544" s="1" t="str">
        <f t="shared" si="8"/>
        <v>05 Amantadine 0.001 mg_L dopé</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3958</v>
      </c>
      <c r="D544" s="1" t="s">
        <v>3959</v>
      </c>
      <c r="E544" s="1" t="s">
        <v>3960</v>
      </c>
      <c r="F544" s="1" t="s">
        <v>112</v>
      </c>
      <c r="G544" s="1">
        <v>827430</v>
      </c>
    </row>
    <row r="545" spans="1:10" x14ac:dyDescent="0.25">
      <c r="A545" s="1" t="str">
        <f t="shared" si="8"/>
        <v>05 Amantadine 0.001 mg_L dopé</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3961</v>
      </c>
      <c r="D545" s="1" t="s">
        <v>3962</v>
      </c>
      <c r="E545" s="1" t="s">
        <v>3963</v>
      </c>
      <c r="F545" s="1" t="s">
        <v>112</v>
      </c>
      <c r="G545" s="1">
        <v>739915</v>
      </c>
    </row>
    <row r="546" spans="1:10" x14ac:dyDescent="0.25">
      <c r="A546" s="1" t="str">
        <f t="shared" si="8"/>
        <v>05 Amantadine 0.001 mg_L dopé</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3964</v>
      </c>
      <c r="D546" s="1" t="s">
        <v>3167</v>
      </c>
      <c r="E546" s="1" t="s">
        <v>3965</v>
      </c>
      <c r="F546" s="1" t="s">
        <v>112</v>
      </c>
      <c r="G546" s="1">
        <v>574403</v>
      </c>
    </row>
    <row r="547" spans="1:10" x14ac:dyDescent="0.25">
      <c r="A547" s="1" t="str">
        <f t="shared" si="8"/>
        <v>05 Amantadine 0.001 mg_L dopé</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3966</v>
      </c>
      <c r="D547" s="1" t="s">
        <v>3967</v>
      </c>
      <c r="E547" s="1" t="s">
        <v>3968</v>
      </c>
      <c r="F547" s="1" t="s">
        <v>112</v>
      </c>
      <c r="G547" s="1">
        <v>297260</v>
      </c>
    </row>
    <row r="548" spans="1:10" x14ac:dyDescent="0.25">
      <c r="A548" s="1" t="str">
        <f t="shared" si="8"/>
        <v>05 Amantadine 0.001 mg_L dopé</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3969</v>
      </c>
      <c r="D548" s="1" t="s">
        <v>2438</v>
      </c>
      <c r="E548" s="1" t="s">
        <v>3970</v>
      </c>
      <c r="F548" s="1" t="s">
        <v>112</v>
      </c>
      <c r="G548" s="1">
        <v>2916986</v>
      </c>
    </row>
    <row r="549" spans="1:10" x14ac:dyDescent="0.25">
      <c r="A549" s="1" t="str">
        <f t="shared" si="8"/>
        <v>05 Amantadine 0.001 mg_L dopé</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3971</v>
      </c>
      <c r="D549" s="1" t="s">
        <v>3972</v>
      </c>
      <c r="E549" s="1" t="s">
        <v>3973</v>
      </c>
      <c r="F549" s="1" t="s">
        <v>112</v>
      </c>
      <c r="G549" s="1">
        <v>2813292</v>
      </c>
    </row>
    <row r="550" spans="1:10" x14ac:dyDescent="0.25">
      <c r="A550" s="1" t="str">
        <f t="shared" si="8"/>
        <v>05 Amantadine 0.001 mg_L dopé</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3974</v>
      </c>
      <c r="D550" s="1" t="s">
        <v>3975</v>
      </c>
      <c r="E550" s="1" t="s">
        <v>3976</v>
      </c>
      <c r="F550" s="1" t="s">
        <v>112</v>
      </c>
      <c r="G550" s="1">
        <v>2645617</v>
      </c>
    </row>
    <row r="551" spans="1:10" x14ac:dyDescent="0.25">
      <c r="A551" s="1" t="str">
        <f t="shared" si="8"/>
        <v>05 Amantadine 0.001 mg_L dopé</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3977</v>
      </c>
      <c r="D551" s="1" t="s">
        <v>3975</v>
      </c>
      <c r="E551" s="1" t="s">
        <v>3978</v>
      </c>
      <c r="F551" s="1" t="s">
        <v>112</v>
      </c>
      <c r="G551" s="1">
        <v>2595566</v>
      </c>
    </row>
    <row r="552" spans="1:10" x14ac:dyDescent="0.25">
      <c r="A552" s="1" t="str">
        <f t="shared" si="8"/>
        <v>05 Amantadine 0.001 mg_L dopé</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3979</v>
      </c>
      <c r="D552" s="1" t="s">
        <v>3980</v>
      </c>
      <c r="E552" s="1" t="s">
        <v>3981</v>
      </c>
      <c r="F552" s="1" t="s">
        <v>112</v>
      </c>
      <c r="G552" s="1">
        <v>2213712</v>
      </c>
    </row>
    <row r="553" spans="1:10" x14ac:dyDescent="0.25">
      <c r="A553" s="1" t="str">
        <f t="shared" si="8"/>
        <v>05 Amantadine 0.001 mg_L dopé</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3982</v>
      </c>
      <c r="D553" s="1" t="s">
        <v>1369</v>
      </c>
      <c r="E553" s="1" t="s">
        <v>3983</v>
      </c>
      <c r="F553" s="1" t="s">
        <v>112</v>
      </c>
      <c r="G553" s="1">
        <v>2368971</v>
      </c>
    </row>
    <row r="554" spans="1:10"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223</v>
      </c>
      <c r="D555" s="1" t="s">
        <v>112</v>
      </c>
      <c r="E555" s="1" t="s">
        <v>224</v>
      </c>
      <c r="F555" s="1" t="s">
        <v>225</v>
      </c>
      <c r="G555" s="1" t="s">
        <v>226</v>
      </c>
      <c r="H555" s="1" t="s">
        <v>227</v>
      </c>
      <c r="I555" s="1" t="s">
        <v>228</v>
      </c>
      <c r="J555" s="1" t="s">
        <v>229</v>
      </c>
    </row>
    <row r="556" spans="1:10" x14ac:dyDescent="0.25">
      <c r="A556" s="1" t="str">
        <f t="shared" si="8"/>
        <v>05 Amantadine 0.001 mg_L dopé</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3984</v>
      </c>
      <c r="D556" s="1" t="s">
        <v>112</v>
      </c>
      <c r="E556" s="1" t="s">
        <v>3985</v>
      </c>
      <c r="F556" s="1" t="s">
        <v>3986</v>
      </c>
      <c r="G556" s="1" t="s">
        <v>3987</v>
      </c>
      <c r="H556" s="1" t="s">
        <v>3988</v>
      </c>
      <c r="I556" s="1">
        <v>24</v>
      </c>
      <c r="J556" s="1">
        <v>24</v>
      </c>
    </row>
    <row r="557" spans="1:10"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235</v>
      </c>
      <c r="D562" s="1" t="s">
        <v>110</v>
      </c>
      <c r="E562" s="1" t="s">
        <v>111</v>
      </c>
      <c r="F562" s="1" t="s">
        <v>112</v>
      </c>
      <c r="G562" s="1" t="s">
        <v>113</v>
      </c>
    </row>
    <row r="563" spans="1:7" x14ac:dyDescent="0.25">
      <c r="A563" s="1" t="str">
        <f t="shared" si="8"/>
        <v>06  Amantadine 0.01 mg_LLdopé</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3989</v>
      </c>
      <c r="D563" s="1" t="s">
        <v>3990</v>
      </c>
      <c r="E563" s="1" t="s">
        <v>3991</v>
      </c>
      <c r="F563" s="1" t="s">
        <v>112</v>
      </c>
      <c r="G563" s="1">
        <v>4072066</v>
      </c>
    </row>
    <row r="564" spans="1:7" x14ac:dyDescent="0.25">
      <c r="A564" s="1" t="str">
        <f t="shared" si="8"/>
        <v>06  Amantadine 0.01 mg_LLdopé</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3992</v>
      </c>
      <c r="D564" s="1" t="s">
        <v>1993</v>
      </c>
      <c r="E564" s="1" t="s">
        <v>3993</v>
      </c>
      <c r="F564" s="1" t="s">
        <v>112</v>
      </c>
      <c r="G564" s="1">
        <v>3964933</v>
      </c>
    </row>
    <row r="565" spans="1:7" x14ac:dyDescent="0.25">
      <c r="A565" s="1" t="str">
        <f t="shared" si="8"/>
        <v>06  Amantadine 0.01 mg_LLdopé</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3994</v>
      </c>
      <c r="D565" s="1" t="s">
        <v>3995</v>
      </c>
      <c r="E565" s="1" t="s">
        <v>3996</v>
      </c>
      <c r="F565" s="1" t="s">
        <v>112</v>
      </c>
      <c r="G565" s="1">
        <v>4072801</v>
      </c>
    </row>
    <row r="566" spans="1:7" x14ac:dyDescent="0.25">
      <c r="A566" s="1" t="str">
        <f t="shared" si="8"/>
        <v>06  Amantadine 0.01 mg_LLdopé</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3997</v>
      </c>
      <c r="D566" s="1" t="s">
        <v>276</v>
      </c>
      <c r="E566" s="1" t="s">
        <v>3998</v>
      </c>
      <c r="F566" s="1" t="s">
        <v>112</v>
      </c>
      <c r="G566" s="1">
        <v>238859</v>
      </c>
    </row>
    <row r="567" spans="1:7" x14ac:dyDescent="0.25">
      <c r="A567" s="1" t="str">
        <f t="shared" si="8"/>
        <v>06  Amantadine 0.01 mg_LLdopé</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3999</v>
      </c>
      <c r="D567" s="1" t="s">
        <v>4000</v>
      </c>
      <c r="E567" s="1" t="s">
        <v>4001</v>
      </c>
      <c r="F567" s="1" t="s">
        <v>112</v>
      </c>
      <c r="G567" s="1">
        <v>393469</v>
      </c>
    </row>
    <row r="568" spans="1:7" x14ac:dyDescent="0.25">
      <c r="A568" s="1" t="str">
        <f t="shared" si="8"/>
        <v>06  Amantadine 0.01 mg_LLdopé</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4002</v>
      </c>
      <c r="D568" s="1" t="s">
        <v>4003</v>
      </c>
      <c r="E568" s="1" t="s">
        <v>4004</v>
      </c>
      <c r="F568" s="1" t="s">
        <v>112</v>
      </c>
      <c r="G568" s="1">
        <v>181064</v>
      </c>
    </row>
    <row r="569" spans="1:7" x14ac:dyDescent="0.25">
      <c r="A569" s="1" t="str">
        <f t="shared" si="8"/>
        <v>06  Amantadine 0.01 mg_LLdopé</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4005</v>
      </c>
      <c r="D569" s="1" t="s">
        <v>4006</v>
      </c>
      <c r="E569" s="1" t="s">
        <v>4007</v>
      </c>
      <c r="F569" s="1" t="s">
        <v>112</v>
      </c>
      <c r="G569" s="1">
        <v>3015229</v>
      </c>
    </row>
    <row r="570" spans="1:7" x14ac:dyDescent="0.25">
      <c r="A570" s="1" t="str">
        <f t="shared" si="8"/>
        <v>06  Amantadine 0.01 mg_LLdopé</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4008</v>
      </c>
      <c r="D570" s="1" t="s">
        <v>4009</v>
      </c>
      <c r="E570" s="1" t="s">
        <v>4010</v>
      </c>
      <c r="F570" s="1" t="s">
        <v>112</v>
      </c>
      <c r="G570" s="1">
        <v>3159068</v>
      </c>
    </row>
    <row r="571" spans="1:7" x14ac:dyDescent="0.25">
      <c r="A571" s="1" t="str">
        <f t="shared" si="8"/>
        <v>06  Amantadine 0.01 mg_LLdopé</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4011</v>
      </c>
      <c r="D571" s="1" t="s">
        <v>4012</v>
      </c>
      <c r="E571" s="1" t="s">
        <v>4013</v>
      </c>
      <c r="F571" s="1" t="s">
        <v>112</v>
      </c>
      <c r="G571" s="1">
        <v>3184158</v>
      </c>
    </row>
    <row r="572" spans="1:7" x14ac:dyDescent="0.25">
      <c r="A572" s="1" t="str">
        <f t="shared" si="8"/>
        <v>06  Amantadine 0.01 mg_LLdopé</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4014</v>
      </c>
      <c r="D572" s="1" t="s">
        <v>4015</v>
      </c>
      <c r="E572" s="1" t="s">
        <v>4016</v>
      </c>
      <c r="F572" s="1" t="s">
        <v>112</v>
      </c>
      <c r="G572" s="1">
        <v>992401</v>
      </c>
    </row>
    <row r="573" spans="1:7" x14ac:dyDescent="0.25">
      <c r="A573" s="1" t="str">
        <f t="shared" si="8"/>
        <v>06  Amantadine 0.01 mg_LLdopé</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4017</v>
      </c>
      <c r="D573" s="1" t="s">
        <v>4018</v>
      </c>
      <c r="E573" s="1" t="s">
        <v>4019</v>
      </c>
      <c r="F573" s="1" t="s">
        <v>112</v>
      </c>
      <c r="G573" s="1">
        <v>1036202</v>
      </c>
    </row>
    <row r="574" spans="1:7" x14ac:dyDescent="0.25">
      <c r="A574" s="1" t="str">
        <f t="shared" si="8"/>
        <v>06  Amantadine 0.01 mg_LLdopé</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4020</v>
      </c>
      <c r="D574" s="1" t="s">
        <v>4021</v>
      </c>
      <c r="E574" s="1" t="s">
        <v>4022</v>
      </c>
      <c r="F574" s="1" t="s">
        <v>112</v>
      </c>
      <c r="G574" s="1">
        <v>1197864</v>
      </c>
    </row>
    <row r="575" spans="1:7" x14ac:dyDescent="0.25">
      <c r="A575" s="1" t="str">
        <f t="shared" si="8"/>
        <v>06  Amantadine 0.01 mg_LLdopé</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4023</v>
      </c>
    </row>
    <row r="576" spans="1:7" x14ac:dyDescent="0.25">
      <c r="A576" s="1" t="str">
        <f t="shared" si="8"/>
        <v>06  Amantadine 0.01 mg_LLdopé</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4024</v>
      </c>
      <c r="D576" s="1" t="s">
        <v>4025</v>
      </c>
      <c r="E576" s="1" t="s">
        <v>4026</v>
      </c>
      <c r="F576" s="1" t="s">
        <v>112</v>
      </c>
      <c r="G576" s="1">
        <v>2563099</v>
      </c>
    </row>
    <row r="577" spans="1:10" x14ac:dyDescent="0.25">
      <c r="A577" s="1" t="str">
        <f t="shared" si="8"/>
        <v>06  Amantadine 0.01 mg_LLdopé</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4027</v>
      </c>
      <c r="D577" s="1" t="s">
        <v>4028</v>
      </c>
      <c r="E577" s="1" t="s">
        <v>4029</v>
      </c>
      <c r="F577" s="1" t="s">
        <v>112</v>
      </c>
      <c r="G577" s="1">
        <v>2756817</v>
      </c>
    </row>
    <row r="578" spans="1:10" x14ac:dyDescent="0.25">
      <c r="A578" s="1" t="str">
        <f t="shared" ref="A578:A641" si="9">IFERROR(LEFT(RIGHT(C578,LEN(C578)-SEARCH("@",C578)),SEARCH("/",RIGHT(C578,LEN(C578)-SEARCH("@",C578)-1))),"")</f>
        <v>06  Amantadine 0.01 mg_LLdopé</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4030</v>
      </c>
    </row>
    <row r="579" spans="1:10" x14ac:dyDescent="0.25">
      <c r="A579" s="1" t="str">
        <f t="shared" si="9"/>
        <v>06  Amantadine 0.01 mg_LLdopé</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4031</v>
      </c>
      <c r="D579" s="1" t="s">
        <v>801</v>
      </c>
      <c r="E579" s="1" t="s">
        <v>4032</v>
      </c>
      <c r="F579" s="1" t="s">
        <v>112</v>
      </c>
      <c r="G579" s="1">
        <v>349517</v>
      </c>
    </row>
    <row r="580" spans="1:10" x14ac:dyDescent="0.25">
      <c r="A580" s="1" t="str">
        <f t="shared" si="9"/>
        <v>06  Amantadine 0.01 mg_LLdopé</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4033</v>
      </c>
      <c r="D580" s="1" t="s">
        <v>4034</v>
      </c>
      <c r="E580" s="1" t="s">
        <v>4035</v>
      </c>
      <c r="F580" s="1" t="s">
        <v>112</v>
      </c>
      <c r="G580" s="1">
        <v>616603</v>
      </c>
    </row>
    <row r="581" spans="1:10" x14ac:dyDescent="0.25">
      <c r="A581" s="1" t="str">
        <f t="shared" si="9"/>
        <v>06  Amantadine 0.01 mg_LLdopé</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4036</v>
      </c>
      <c r="D581" s="1" t="s">
        <v>4037</v>
      </c>
      <c r="E581" s="1" t="s">
        <v>4038</v>
      </c>
      <c r="F581" s="1" t="s">
        <v>112</v>
      </c>
      <c r="G581" s="1">
        <v>664470</v>
      </c>
    </row>
    <row r="582" spans="1:10" x14ac:dyDescent="0.25">
      <c r="A582" s="1" t="str">
        <f t="shared" si="9"/>
        <v>06  Amantadine 0.01 mg_LLdopé</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4039</v>
      </c>
    </row>
    <row r="583" spans="1:10" x14ac:dyDescent="0.25">
      <c r="A583" s="1" t="str">
        <f t="shared" si="9"/>
        <v>06  Amantadine 0.01 mg_LLdopé</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4040</v>
      </c>
      <c r="D583" s="1" t="s">
        <v>1866</v>
      </c>
      <c r="E583" s="1" t="s">
        <v>4041</v>
      </c>
      <c r="F583" s="1" t="s">
        <v>112</v>
      </c>
      <c r="G583" s="1">
        <v>1121856</v>
      </c>
    </row>
    <row r="584" spans="1:10" x14ac:dyDescent="0.25">
      <c r="A584" s="1" t="str">
        <f t="shared" si="9"/>
        <v>06  Amantadine 0.01 mg_LLdopé</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4042</v>
      </c>
    </row>
    <row r="585" spans="1:10" x14ac:dyDescent="0.25">
      <c r="A585" s="1" t="str">
        <f t="shared" si="9"/>
        <v>06  Amantadine 0.01 mg_LLdopé</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4043</v>
      </c>
    </row>
    <row r="586" spans="1:10" x14ac:dyDescent="0.25">
      <c r="A586" s="1" t="str">
        <f t="shared" si="9"/>
        <v>06  Amantadine 0.01 mg_LLdopé</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4044</v>
      </c>
    </row>
    <row r="587" spans="1:10"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223</v>
      </c>
      <c r="D588" s="1" t="s">
        <v>112</v>
      </c>
      <c r="E588" s="1" t="s">
        <v>224</v>
      </c>
      <c r="F588" s="1" t="s">
        <v>225</v>
      </c>
      <c r="G588" s="1" t="s">
        <v>226</v>
      </c>
      <c r="H588" s="1" t="s">
        <v>227</v>
      </c>
      <c r="I588" s="1" t="s">
        <v>228</v>
      </c>
      <c r="J588" s="1" t="s">
        <v>229</v>
      </c>
    </row>
    <row r="589" spans="1:10" x14ac:dyDescent="0.25">
      <c r="A589" s="1" t="str">
        <f t="shared" si="9"/>
        <v>06  Amantadine 0.01 mg_LLdopé</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4045</v>
      </c>
      <c r="D589" s="1" t="s">
        <v>112</v>
      </c>
      <c r="E589" s="1" t="s">
        <v>4046</v>
      </c>
      <c r="F589" s="1" t="s">
        <v>4047</v>
      </c>
      <c r="G589" s="1" t="s">
        <v>4048</v>
      </c>
      <c r="H589" s="1" t="s">
        <v>4049</v>
      </c>
      <c r="I589" s="1">
        <v>24</v>
      </c>
      <c r="J589" s="1">
        <v>24</v>
      </c>
    </row>
    <row r="590" spans="1:10"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235</v>
      </c>
      <c r="D595" s="1" t="s">
        <v>110</v>
      </c>
      <c r="E595" s="1" t="s">
        <v>111</v>
      </c>
      <c r="F595" s="1" t="s">
        <v>112</v>
      </c>
      <c r="G595" s="1" t="s">
        <v>113</v>
      </c>
    </row>
    <row r="596" spans="1:7" x14ac:dyDescent="0.25">
      <c r="A596" s="1" t="str">
        <f t="shared" si="9"/>
        <v>07  Amantadine 0.1 mg_Ldopé</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4050</v>
      </c>
      <c r="D596" s="1" t="s">
        <v>1210</v>
      </c>
      <c r="E596" s="1" t="s">
        <v>4051</v>
      </c>
      <c r="F596" s="1" t="s">
        <v>112</v>
      </c>
      <c r="G596" s="1">
        <v>411314</v>
      </c>
    </row>
    <row r="597" spans="1:7" x14ac:dyDescent="0.25">
      <c r="A597" s="1" t="str">
        <f t="shared" si="9"/>
        <v>07  Amantadine 0.1 mg_Ldopé</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4052</v>
      </c>
      <c r="D597" s="1" t="s">
        <v>468</v>
      </c>
      <c r="E597" s="1" t="s">
        <v>4053</v>
      </c>
      <c r="F597" s="1" t="s">
        <v>112</v>
      </c>
      <c r="G597" s="1">
        <v>123442</v>
      </c>
    </row>
    <row r="598" spans="1:7" x14ac:dyDescent="0.25">
      <c r="A598" s="1" t="str">
        <f t="shared" si="9"/>
        <v>07  Amantadine 0.1 mg_Ldopé</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4054</v>
      </c>
      <c r="D598" s="1" t="s">
        <v>1917</v>
      </c>
      <c r="E598" s="1" t="s">
        <v>4055</v>
      </c>
      <c r="F598" s="1" t="s">
        <v>112</v>
      </c>
      <c r="G598" s="1">
        <v>92208</v>
      </c>
    </row>
    <row r="599" spans="1:7" x14ac:dyDescent="0.25">
      <c r="A599" s="1" t="str">
        <f t="shared" si="9"/>
        <v>07  Amantadine 0.1 mg_Ldopé</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4056</v>
      </c>
      <c r="D599" s="1" t="s">
        <v>933</v>
      </c>
      <c r="E599" s="1" t="s">
        <v>4057</v>
      </c>
      <c r="F599" s="1" t="s">
        <v>112</v>
      </c>
      <c r="G599" s="1">
        <v>56519</v>
      </c>
    </row>
    <row r="600" spans="1:7" x14ac:dyDescent="0.25">
      <c r="A600" s="1" t="str">
        <f t="shared" si="9"/>
        <v>07  Amantadine 0.1 mg_Ldopé</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4058</v>
      </c>
      <c r="D600" s="1" t="s">
        <v>1191</v>
      </c>
      <c r="E600" s="1" t="s">
        <v>4059</v>
      </c>
      <c r="F600" s="1" t="s">
        <v>112</v>
      </c>
      <c r="G600" s="1">
        <v>94112</v>
      </c>
    </row>
    <row r="601" spans="1:7" x14ac:dyDescent="0.25">
      <c r="A601" s="1" t="str">
        <f t="shared" si="9"/>
        <v>07  Amantadine 0.1 mg_Ldopé</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4060</v>
      </c>
      <c r="D601" s="1" t="s">
        <v>2324</v>
      </c>
      <c r="E601" s="1" t="s">
        <v>4061</v>
      </c>
      <c r="F601" s="1" t="s">
        <v>112</v>
      </c>
      <c r="G601" s="1">
        <v>66490</v>
      </c>
    </row>
    <row r="602" spans="1:7" x14ac:dyDescent="0.25">
      <c r="A602" s="1" t="str">
        <f t="shared" si="9"/>
        <v>07  Amantadine 0.1 mg_Ldopé</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4062</v>
      </c>
      <c r="D602" s="1" t="s">
        <v>353</v>
      </c>
      <c r="E602" s="1" t="s">
        <v>4063</v>
      </c>
      <c r="F602" s="1" t="s">
        <v>112</v>
      </c>
      <c r="G602" s="1">
        <v>66815</v>
      </c>
    </row>
    <row r="603" spans="1:7" x14ac:dyDescent="0.25">
      <c r="A603" s="1" t="str">
        <f t="shared" si="9"/>
        <v>07  Amantadine 0.1 mg_Ldopé</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4064</v>
      </c>
      <c r="D603" s="1" t="s">
        <v>425</v>
      </c>
      <c r="E603" s="1">
        <v>65</v>
      </c>
      <c r="F603" s="1" t="s">
        <v>112</v>
      </c>
      <c r="G603" s="1">
        <v>108258</v>
      </c>
    </row>
    <row r="604" spans="1:7" x14ac:dyDescent="0.25">
      <c r="A604" s="1" t="str">
        <f t="shared" si="9"/>
        <v>07  Amantadine 0.1 mg_Ldopé</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4065</v>
      </c>
      <c r="D604" s="1" t="s">
        <v>838</v>
      </c>
      <c r="E604" s="1" t="s">
        <v>4066</v>
      </c>
      <c r="F604" s="1" t="s">
        <v>112</v>
      </c>
      <c r="G604" s="1">
        <v>179809</v>
      </c>
    </row>
    <row r="605" spans="1:7" x14ac:dyDescent="0.25">
      <c r="A605" s="1" t="str">
        <f t="shared" si="9"/>
        <v>07  Amantadine 0.1 mg_Ldopé</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4067</v>
      </c>
      <c r="D605" s="1" t="s">
        <v>1925</v>
      </c>
      <c r="E605" s="1" t="s">
        <v>4068</v>
      </c>
      <c r="F605" s="1" t="s">
        <v>112</v>
      </c>
      <c r="G605" s="1">
        <v>1092137</v>
      </c>
    </row>
    <row r="606" spans="1:7" x14ac:dyDescent="0.25">
      <c r="A606" s="1" t="str">
        <f t="shared" si="9"/>
        <v>07  Amantadine 0.1 mg_Ldopé</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4069</v>
      </c>
      <c r="D606" s="1" t="s">
        <v>4070</v>
      </c>
      <c r="E606" s="1" t="s">
        <v>4071</v>
      </c>
      <c r="F606" s="1" t="s">
        <v>112</v>
      </c>
      <c r="G606" s="1">
        <v>1156507</v>
      </c>
    </row>
    <row r="607" spans="1:7" x14ac:dyDescent="0.25">
      <c r="A607" s="1" t="str">
        <f t="shared" si="9"/>
        <v>07  Amantadine 0.1 mg_Ldopé</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4072</v>
      </c>
      <c r="D607" s="1" t="s">
        <v>4073</v>
      </c>
      <c r="E607" s="1" t="s">
        <v>4074</v>
      </c>
      <c r="F607" s="1" t="s">
        <v>112</v>
      </c>
      <c r="G607" s="1">
        <v>425395</v>
      </c>
    </row>
    <row r="608" spans="1:7" x14ac:dyDescent="0.25">
      <c r="A608" s="1" t="str">
        <f t="shared" si="9"/>
        <v>07  Amantadine 0.1 mg_Ldopé</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4075</v>
      </c>
      <c r="D608" s="1" t="s">
        <v>4076</v>
      </c>
      <c r="E608" s="1" t="s">
        <v>4077</v>
      </c>
      <c r="F608" s="1" t="s">
        <v>112</v>
      </c>
      <c r="G608" s="1">
        <v>1425172</v>
      </c>
    </row>
    <row r="609" spans="1:10" x14ac:dyDescent="0.25">
      <c r="A609" s="1" t="str">
        <f t="shared" si="9"/>
        <v>07  Amantadine 0.1 mg_Ldopé</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4078</v>
      </c>
      <c r="D609" s="1" t="s">
        <v>4079</v>
      </c>
      <c r="E609" s="1" t="s">
        <v>4080</v>
      </c>
      <c r="F609" s="1" t="s">
        <v>112</v>
      </c>
      <c r="G609" s="1">
        <v>1715013</v>
      </c>
    </row>
    <row r="610" spans="1:10" x14ac:dyDescent="0.25">
      <c r="A610" s="1" t="str">
        <f t="shared" si="9"/>
        <v>07  Amantadine 0.1 mg_Ldopé</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4081</v>
      </c>
      <c r="D610" s="1" t="s">
        <v>4082</v>
      </c>
      <c r="E610" s="1" t="s">
        <v>4083</v>
      </c>
      <c r="F610" s="1" t="s">
        <v>112</v>
      </c>
      <c r="G610" s="1">
        <v>1704868</v>
      </c>
    </row>
    <row r="611" spans="1:10" x14ac:dyDescent="0.25">
      <c r="A611" s="1" t="str">
        <f t="shared" si="9"/>
        <v>07  Amantadine 0.1 mg_Ldopé</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4084</v>
      </c>
      <c r="D611" s="1" t="s">
        <v>4085</v>
      </c>
      <c r="E611" s="1" t="s">
        <v>734</v>
      </c>
      <c r="F611" s="1" t="s">
        <v>112</v>
      </c>
      <c r="G611" s="1">
        <v>161121</v>
      </c>
    </row>
    <row r="612" spans="1:10" x14ac:dyDescent="0.25">
      <c r="A612" s="1" t="str">
        <f t="shared" si="9"/>
        <v>07  Amantadine 0.1 mg_Ldopé</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4086</v>
      </c>
      <c r="D612" s="1" t="s">
        <v>902</v>
      </c>
      <c r="E612" s="1" t="s">
        <v>4087</v>
      </c>
      <c r="F612" s="1" t="s">
        <v>112</v>
      </c>
      <c r="G612" s="1">
        <v>352848</v>
      </c>
    </row>
    <row r="613" spans="1:10" x14ac:dyDescent="0.25">
      <c r="A613" s="1" t="str">
        <f t="shared" si="9"/>
        <v>07  Amantadine 0.1 mg_Ldopé</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4088</v>
      </c>
      <c r="D613" s="1" t="s">
        <v>328</v>
      </c>
      <c r="E613" s="1" t="s">
        <v>4089</v>
      </c>
      <c r="F613" s="1" t="s">
        <v>112</v>
      </c>
      <c r="G613" s="1">
        <v>113059</v>
      </c>
    </row>
    <row r="614" spans="1:10" x14ac:dyDescent="0.25">
      <c r="A614" s="1" t="str">
        <f t="shared" si="9"/>
        <v>07  Amantadine 0.1 mg_Ldopé</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4090</v>
      </c>
      <c r="D614" s="1" t="s">
        <v>1855</v>
      </c>
      <c r="E614" s="1" t="s">
        <v>4091</v>
      </c>
      <c r="F614" s="1" t="s">
        <v>112</v>
      </c>
      <c r="G614" s="1">
        <v>200379</v>
      </c>
    </row>
    <row r="615" spans="1:10" x14ac:dyDescent="0.25">
      <c r="A615" s="1" t="str">
        <f t="shared" si="9"/>
        <v>07  Amantadine 0.1 mg_Ldopé</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4092</v>
      </c>
      <c r="D615" s="1" t="s">
        <v>3511</v>
      </c>
      <c r="E615" s="1" t="s">
        <v>4093</v>
      </c>
      <c r="F615" s="1" t="s">
        <v>112</v>
      </c>
      <c r="G615" s="1">
        <v>286185</v>
      </c>
    </row>
    <row r="616" spans="1:10" x14ac:dyDescent="0.25">
      <c r="A616" s="1" t="str">
        <f t="shared" si="9"/>
        <v>07  Amantadine 0.1 mg_Ldopé</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4094</v>
      </c>
      <c r="D616" s="1" t="s">
        <v>328</v>
      </c>
      <c r="E616" s="1" t="s">
        <v>4095</v>
      </c>
      <c r="F616" s="1" t="s">
        <v>112</v>
      </c>
      <c r="G616" s="1">
        <v>114271</v>
      </c>
    </row>
    <row r="617" spans="1:10" x14ac:dyDescent="0.25">
      <c r="A617" s="1" t="str">
        <f t="shared" si="9"/>
        <v>07  Amantadine 0.1 mg_Ldopé</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4096</v>
      </c>
      <c r="D617" s="1" t="s">
        <v>4097</v>
      </c>
      <c r="E617" s="1" t="s">
        <v>4098</v>
      </c>
      <c r="F617" s="1" t="s">
        <v>112</v>
      </c>
      <c r="G617" s="1">
        <v>2240230</v>
      </c>
    </row>
    <row r="618" spans="1:10" x14ac:dyDescent="0.25">
      <c r="A618" s="1" t="str">
        <f t="shared" si="9"/>
        <v>07  Amantadine 0.1 mg_Ldopé</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4099</v>
      </c>
      <c r="D618" s="1" t="s">
        <v>4100</v>
      </c>
      <c r="E618" s="1" t="s">
        <v>4101</v>
      </c>
      <c r="F618" s="1" t="s">
        <v>112</v>
      </c>
      <c r="G618" s="1">
        <v>2285242</v>
      </c>
    </row>
    <row r="619" spans="1:10" x14ac:dyDescent="0.25">
      <c r="A619" s="1" t="str">
        <f t="shared" si="9"/>
        <v>07  Amantadine 0.1 mg_Ldopé</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4102</v>
      </c>
      <c r="D619" s="1" t="s">
        <v>4103</v>
      </c>
      <c r="E619" s="1" t="s">
        <v>4104</v>
      </c>
      <c r="F619" s="1" t="s">
        <v>112</v>
      </c>
      <c r="G619" s="1">
        <v>2119643</v>
      </c>
    </row>
    <row r="620" spans="1:10"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223</v>
      </c>
      <c r="D621" s="1" t="s">
        <v>112</v>
      </c>
      <c r="E621" s="1" t="s">
        <v>224</v>
      </c>
      <c r="F621" s="1" t="s">
        <v>225</v>
      </c>
      <c r="G621" s="1" t="s">
        <v>226</v>
      </c>
      <c r="H621" s="1" t="s">
        <v>227</v>
      </c>
      <c r="I621" s="1" t="s">
        <v>228</v>
      </c>
      <c r="J621" s="1" t="s">
        <v>229</v>
      </c>
    </row>
    <row r="622" spans="1:10" x14ac:dyDescent="0.25">
      <c r="A622" s="1" t="str">
        <f t="shared" si="9"/>
        <v>07  Amantadine 0.1 mg_Ldopé</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4105</v>
      </c>
      <c r="D622" s="1" t="s">
        <v>112</v>
      </c>
      <c r="E622" s="1" t="s">
        <v>4106</v>
      </c>
      <c r="F622" s="1" t="s">
        <v>4107</v>
      </c>
      <c r="G622" s="1" t="s">
        <v>4108</v>
      </c>
      <c r="H622" s="1" t="s">
        <v>4109</v>
      </c>
      <c r="I622" s="1">
        <v>24</v>
      </c>
      <c r="J622" s="1">
        <v>24</v>
      </c>
    </row>
    <row r="623" spans="1:10"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235</v>
      </c>
      <c r="D628" s="1" t="s">
        <v>110</v>
      </c>
      <c r="E628" s="1" t="s">
        <v>111</v>
      </c>
      <c r="F628" s="1" t="s">
        <v>112</v>
      </c>
      <c r="G628" s="1" t="s">
        <v>113</v>
      </c>
    </row>
    <row r="629" spans="1:7" x14ac:dyDescent="0.25">
      <c r="A629" s="1" t="str">
        <f t="shared" si="9"/>
        <v>08  TAmantadine 1 mg_Ldopé</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4110</v>
      </c>
      <c r="D629" s="1" t="s">
        <v>297</v>
      </c>
      <c r="E629" s="1" t="s">
        <v>185</v>
      </c>
      <c r="F629" s="1" t="s">
        <v>112</v>
      </c>
      <c r="G629" s="1">
        <v>20548</v>
      </c>
    </row>
    <row r="630" spans="1:7" x14ac:dyDescent="0.25">
      <c r="A630" s="1" t="str">
        <f t="shared" si="9"/>
        <v>08  TAmantadine 1 mg_Ldopé</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4111</v>
      </c>
      <c r="D630" s="1" t="s">
        <v>147</v>
      </c>
      <c r="E630" s="1" t="s">
        <v>4112</v>
      </c>
      <c r="F630" s="1" t="s">
        <v>112</v>
      </c>
      <c r="G630" s="1">
        <v>353086</v>
      </c>
    </row>
    <row r="631" spans="1:7" x14ac:dyDescent="0.25">
      <c r="A631" s="1" t="str">
        <f t="shared" si="9"/>
        <v>08  TAmantadine 1 mg_Ldopé</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4113</v>
      </c>
      <c r="D631" s="1" t="s">
        <v>1777</v>
      </c>
      <c r="E631" s="1" t="s">
        <v>4114</v>
      </c>
      <c r="F631" s="1" t="s">
        <v>112</v>
      </c>
      <c r="G631" s="1">
        <v>253091</v>
      </c>
    </row>
    <row r="632" spans="1:7" x14ac:dyDescent="0.25">
      <c r="A632" s="1" t="str">
        <f t="shared" si="9"/>
        <v>08  TAmantadine 1 mg_Ldopé</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4115</v>
      </c>
      <c r="D632" s="1" t="s">
        <v>3861</v>
      </c>
      <c r="E632" s="1" t="s">
        <v>4116</v>
      </c>
      <c r="F632" s="1" t="s">
        <v>112</v>
      </c>
      <c r="G632" s="1">
        <v>1468302</v>
      </c>
    </row>
    <row r="633" spans="1:7" x14ac:dyDescent="0.25">
      <c r="A633" s="1" t="str">
        <f t="shared" si="9"/>
        <v>08  TAmantadine 1 mg_Ldopé</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4117</v>
      </c>
      <c r="D633" s="1" t="s">
        <v>3711</v>
      </c>
      <c r="E633" s="1" t="s">
        <v>4118</v>
      </c>
      <c r="F633" s="1" t="s">
        <v>112</v>
      </c>
      <c r="G633" s="1">
        <v>1238549</v>
      </c>
    </row>
    <row r="634" spans="1:7" x14ac:dyDescent="0.25">
      <c r="A634" s="1" t="str">
        <f t="shared" si="9"/>
        <v>08  TAmantadine 1 mg_Ldopé</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4119</v>
      </c>
      <c r="D634" s="1" t="s">
        <v>4120</v>
      </c>
      <c r="E634" s="1" t="s">
        <v>4121</v>
      </c>
      <c r="F634" s="1" t="s">
        <v>112</v>
      </c>
      <c r="G634" s="1">
        <v>1329027</v>
      </c>
    </row>
    <row r="635" spans="1:7" x14ac:dyDescent="0.25">
      <c r="A635" s="1" t="str">
        <f t="shared" si="9"/>
        <v>08  TAmantadine 1 mg_Ldopé</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4122</v>
      </c>
    </row>
    <row r="636" spans="1:7" x14ac:dyDescent="0.25">
      <c r="A636" s="1" t="str">
        <f t="shared" si="9"/>
        <v>08  TAmantadine 1 mg_Ldopé</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4123</v>
      </c>
      <c r="D636" s="1" t="s">
        <v>202</v>
      </c>
      <c r="E636" s="1" t="s">
        <v>4124</v>
      </c>
      <c r="F636" s="1" t="s">
        <v>112</v>
      </c>
      <c r="G636" s="1">
        <v>17455</v>
      </c>
    </row>
    <row r="637" spans="1:7" x14ac:dyDescent="0.25">
      <c r="A637" s="1" t="str">
        <f t="shared" si="9"/>
        <v>08  TAmantadine 1 mg_Ldopé</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4125</v>
      </c>
      <c r="D637" s="1" t="s">
        <v>4126</v>
      </c>
      <c r="E637" s="1" t="s">
        <v>4127</v>
      </c>
      <c r="F637" s="1" t="s">
        <v>112</v>
      </c>
      <c r="G637" s="1">
        <v>267540</v>
      </c>
    </row>
    <row r="638" spans="1:7" x14ac:dyDescent="0.25">
      <c r="A638" s="1" t="str">
        <f t="shared" si="9"/>
        <v>08  TAmantadine 1 mg_Ldopé</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4128</v>
      </c>
      <c r="D638" s="1" t="s">
        <v>1295</v>
      </c>
      <c r="E638" s="1" t="s">
        <v>4129</v>
      </c>
      <c r="F638" s="1" t="s">
        <v>112</v>
      </c>
      <c r="G638" s="1">
        <v>3926323</v>
      </c>
    </row>
    <row r="639" spans="1:7" x14ac:dyDescent="0.25">
      <c r="A639" s="1" t="str">
        <f t="shared" si="9"/>
        <v>08  TAmantadine 1 mg_Ldopé</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4130</v>
      </c>
      <c r="D639" s="1" t="s">
        <v>4131</v>
      </c>
      <c r="E639" s="1" t="s">
        <v>4132</v>
      </c>
      <c r="F639" s="1" t="s">
        <v>112</v>
      </c>
      <c r="G639" s="1">
        <v>3979425</v>
      </c>
    </row>
    <row r="640" spans="1:7" x14ac:dyDescent="0.25">
      <c r="A640" s="1" t="str">
        <f t="shared" si="9"/>
        <v>08  TAmantadine 1 mg_Ldopé</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4133</v>
      </c>
      <c r="D640" s="1" t="s">
        <v>4134</v>
      </c>
      <c r="E640" s="1" t="s">
        <v>4135</v>
      </c>
      <c r="F640" s="1" t="s">
        <v>112</v>
      </c>
      <c r="G640" s="1">
        <v>3238925</v>
      </c>
    </row>
    <row r="641" spans="1:10" x14ac:dyDescent="0.25">
      <c r="A641" s="1" t="str">
        <f t="shared" si="9"/>
        <v>08  TAmantadine 1 mg_Ldopé</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4136</v>
      </c>
      <c r="D641" s="1" t="s">
        <v>4137</v>
      </c>
      <c r="E641" s="1" t="s">
        <v>4138</v>
      </c>
      <c r="F641" s="1" t="s">
        <v>112</v>
      </c>
      <c r="G641" s="1">
        <v>1405705</v>
      </c>
    </row>
    <row r="642" spans="1:10" x14ac:dyDescent="0.25">
      <c r="A642" s="1" t="str">
        <f t="shared" ref="A642:A705" si="10">IFERROR(LEFT(RIGHT(C642,LEN(C642)-SEARCH("@",C642)),SEARCH("/",RIGHT(C642,LEN(C642)-SEARCH("@",C642)-1))),"")</f>
        <v>08  TAmantadine 1 mg_Ldopé</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4139</v>
      </c>
      <c r="D642" s="1" t="s">
        <v>3711</v>
      </c>
      <c r="E642" s="1" t="s">
        <v>4140</v>
      </c>
      <c r="F642" s="1" t="s">
        <v>112</v>
      </c>
      <c r="G642" s="1">
        <v>1257778</v>
      </c>
    </row>
    <row r="643" spans="1:10" x14ac:dyDescent="0.25">
      <c r="A643" s="1" t="str">
        <f t="shared" si="10"/>
        <v>08  TAmantadine 1 mg_Ldopé</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4141</v>
      </c>
      <c r="D643" s="1" t="s">
        <v>4142</v>
      </c>
      <c r="E643" s="1" t="s">
        <v>4143</v>
      </c>
      <c r="F643" s="1" t="s">
        <v>112</v>
      </c>
      <c r="G643" s="1">
        <v>1353361</v>
      </c>
    </row>
    <row r="644" spans="1:10" x14ac:dyDescent="0.25">
      <c r="A644" s="1" t="str">
        <f t="shared" si="10"/>
        <v>08  TAmantadine 1 mg_Ldopé</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4144</v>
      </c>
      <c r="D644" s="1" t="s">
        <v>4145</v>
      </c>
      <c r="E644" s="1" t="s">
        <v>4146</v>
      </c>
      <c r="F644" s="1" t="s">
        <v>112</v>
      </c>
      <c r="G644" s="1">
        <v>1256091</v>
      </c>
    </row>
    <row r="645" spans="1:10" x14ac:dyDescent="0.25">
      <c r="A645" s="1" t="str">
        <f t="shared" si="10"/>
        <v>08  TAmantadine 1 mg_Ldopé</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4147</v>
      </c>
      <c r="D645" s="1" t="s">
        <v>4148</v>
      </c>
      <c r="E645" s="1" t="s">
        <v>4149</v>
      </c>
      <c r="F645" s="1" t="s">
        <v>112</v>
      </c>
      <c r="G645" s="1">
        <v>1169701</v>
      </c>
    </row>
    <row r="646" spans="1:10" x14ac:dyDescent="0.25">
      <c r="A646" s="1" t="str">
        <f t="shared" si="10"/>
        <v>08  TAmantadine 1 mg_Ldopé</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4150</v>
      </c>
      <c r="D646" s="1" t="s">
        <v>4151</v>
      </c>
      <c r="E646" s="1" t="s">
        <v>4152</v>
      </c>
      <c r="F646" s="1" t="s">
        <v>112</v>
      </c>
      <c r="G646" s="1">
        <v>1347867</v>
      </c>
    </row>
    <row r="647" spans="1:10" x14ac:dyDescent="0.25">
      <c r="A647" s="1" t="str">
        <f t="shared" si="10"/>
        <v>08  TAmantadine 1 mg_Ldopé</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4153</v>
      </c>
      <c r="D647" s="1" t="s">
        <v>719</v>
      </c>
      <c r="E647" s="1" t="s">
        <v>4154</v>
      </c>
      <c r="F647" s="1" t="s">
        <v>112</v>
      </c>
      <c r="G647" s="1">
        <v>429289</v>
      </c>
    </row>
    <row r="648" spans="1:10" x14ac:dyDescent="0.25">
      <c r="A648" s="1" t="str">
        <f t="shared" si="10"/>
        <v>08  TAmantadine 1 mg_Ldopé</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4155</v>
      </c>
      <c r="D648" s="1" t="s">
        <v>4156</v>
      </c>
      <c r="E648" s="1" t="s">
        <v>4157</v>
      </c>
      <c r="F648" s="1" t="s">
        <v>112</v>
      </c>
      <c r="G648" s="1">
        <v>492188</v>
      </c>
    </row>
    <row r="649" spans="1:10" x14ac:dyDescent="0.25">
      <c r="A649" s="1" t="str">
        <f t="shared" si="10"/>
        <v>08  TAmantadine 1 mg_Ldopé</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4158</v>
      </c>
      <c r="D649" s="1" t="s">
        <v>4159</v>
      </c>
      <c r="E649" s="1" t="s">
        <v>4160</v>
      </c>
      <c r="F649" s="1" t="s">
        <v>112</v>
      </c>
      <c r="G649" s="1">
        <v>356071</v>
      </c>
    </row>
    <row r="650" spans="1:10" x14ac:dyDescent="0.25">
      <c r="A650" s="1" t="str">
        <f t="shared" si="10"/>
        <v>08  TAmantadine 1 mg_Ldopé</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4161</v>
      </c>
      <c r="D650" s="1" t="s">
        <v>4162</v>
      </c>
      <c r="E650" s="1" t="s">
        <v>4163</v>
      </c>
      <c r="F650" s="1" t="s">
        <v>112</v>
      </c>
      <c r="G650" s="1">
        <v>2572768</v>
      </c>
    </row>
    <row r="651" spans="1:10" x14ac:dyDescent="0.25">
      <c r="A651" s="1" t="str">
        <f t="shared" si="10"/>
        <v>08  TAmantadine 1 mg_Ldopé</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4164</v>
      </c>
      <c r="D651" s="1" t="s">
        <v>1942</v>
      </c>
      <c r="E651" s="1" t="s">
        <v>4165</v>
      </c>
      <c r="F651" s="1" t="s">
        <v>112</v>
      </c>
      <c r="G651" s="1">
        <v>2339100</v>
      </c>
    </row>
    <row r="652" spans="1:10" x14ac:dyDescent="0.25">
      <c r="A652" s="1" t="str">
        <f t="shared" si="10"/>
        <v>08  TAmantadine 1 mg_Ldopé</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4166</v>
      </c>
      <c r="D652" s="1" t="s">
        <v>4167</v>
      </c>
      <c r="E652" s="1" t="s">
        <v>4168</v>
      </c>
      <c r="F652" s="1" t="s">
        <v>112</v>
      </c>
      <c r="G652" s="1">
        <v>2437689</v>
      </c>
    </row>
    <row r="653" spans="1:10"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223</v>
      </c>
      <c r="D654" s="1" t="s">
        <v>112</v>
      </c>
      <c r="E654" s="1" t="s">
        <v>224</v>
      </c>
      <c r="F654" s="1" t="s">
        <v>225</v>
      </c>
      <c r="G654" s="1" t="s">
        <v>226</v>
      </c>
      <c r="H654" s="1" t="s">
        <v>227</v>
      </c>
      <c r="I654" s="1" t="s">
        <v>228</v>
      </c>
      <c r="J654" s="1" t="s">
        <v>229</v>
      </c>
    </row>
    <row r="655" spans="1:10" x14ac:dyDescent="0.25">
      <c r="A655" s="1" t="str">
        <f t="shared" si="10"/>
        <v>08  TAmantadine 1 mg_Ldopé</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4169</v>
      </c>
      <c r="D655" s="1" t="s">
        <v>112</v>
      </c>
      <c r="E655" s="1" t="s">
        <v>4170</v>
      </c>
      <c r="F655" s="1" t="s">
        <v>4171</v>
      </c>
      <c r="G655" s="1" t="s">
        <v>4172</v>
      </c>
      <c r="H655" s="1" t="s">
        <v>4173</v>
      </c>
      <c r="I655" s="1">
        <v>24</v>
      </c>
      <c r="J655" s="1">
        <v>24</v>
      </c>
    </row>
    <row r="656" spans="1:10"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235</v>
      </c>
      <c r="D661" s="1" t="s">
        <v>110</v>
      </c>
      <c r="E661" s="1" t="s">
        <v>111</v>
      </c>
      <c r="F661" s="1" t="s">
        <v>112</v>
      </c>
      <c r="G661" s="1" t="s">
        <v>113</v>
      </c>
    </row>
    <row r="662" spans="1:7" x14ac:dyDescent="0.25">
      <c r="A662" s="1" t="str">
        <f t="shared" si="10"/>
        <v>09  Amantadine 10 mg_L dopé</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4174</v>
      </c>
      <c r="D662" s="1" t="s">
        <v>4175</v>
      </c>
      <c r="E662" s="1" t="s">
        <v>4176</v>
      </c>
      <c r="F662" s="1" t="s">
        <v>112</v>
      </c>
      <c r="G662" s="1">
        <v>728776</v>
      </c>
    </row>
    <row r="663" spans="1:7" x14ac:dyDescent="0.25">
      <c r="A663" s="1" t="str">
        <f t="shared" si="10"/>
        <v>09  Amantadine 10 mg_L dopé</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4177</v>
      </c>
      <c r="D663" s="1" t="s">
        <v>4178</v>
      </c>
      <c r="E663" s="1" t="s">
        <v>4179</v>
      </c>
      <c r="F663" s="1" t="s">
        <v>112</v>
      </c>
      <c r="G663" s="1">
        <v>849060</v>
      </c>
    </row>
    <row r="664" spans="1:7" x14ac:dyDescent="0.25">
      <c r="A664" s="1" t="str">
        <f t="shared" si="10"/>
        <v>09  Amantadine 10 mg_L dopé</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4180</v>
      </c>
      <c r="D664" s="1" t="s">
        <v>4181</v>
      </c>
      <c r="E664" s="1" t="s">
        <v>4182</v>
      </c>
      <c r="F664" s="1" t="s">
        <v>112</v>
      </c>
      <c r="G664" s="1">
        <v>844409</v>
      </c>
    </row>
    <row r="665" spans="1:7" x14ac:dyDescent="0.25">
      <c r="A665" s="1" t="str">
        <f t="shared" si="10"/>
        <v>09  Amantadine 10 mg_L dopé</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4183</v>
      </c>
      <c r="D665" s="1" t="s">
        <v>480</v>
      </c>
      <c r="E665" s="1" t="s">
        <v>4184</v>
      </c>
      <c r="F665" s="1" t="s">
        <v>112</v>
      </c>
      <c r="G665" s="1">
        <v>1912818</v>
      </c>
    </row>
    <row r="666" spans="1:7" x14ac:dyDescent="0.25">
      <c r="A666" s="1" t="str">
        <f t="shared" si="10"/>
        <v>09  Amantadine 10 mg_L dopé</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4185</v>
      </c>
      <c r="D666" s="1" t="s">
        <v>4186</v>
      </c>
      <c r="E666" s="1" t="s">
        <v>4187</v>
      </c>
      <c r="F666" s="1" t="s">
        <v>112</v>
      </c>
      <c r="G666" s="1">
        <v>1446672</v>
      </c>
    </row>
    <row r="667" spans="1:7" x14ac:dyDescent="0.25">
      <c r="A667" s="1" t="str">
        <f t="shared" si="10"/>
        <v>09  Amantadine 10 mg_L dopé</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4188</v>
      </c>
      <c r="D667" s="1" t="s">
        <v>4189</v>
      </c>
      <c r="E667" s="1" t="s">
        <v>4190</v>
      </c>
      <c r="F667" s="1" t="s">
        <v>112</v>
      </c>
      <c r="G667" s="1">
        <v>1508490</v>
      </c>
    </row>
    <row r="668" spans="1:7" x14ac:dyDescent="0.25">
      <c r="A668" s="1" t="str">
        <f t="shared" si="10"/>
        <v>09  Amantadine 10 mg_L dopé</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4191</v>
      </c>
      <c r="D668" s="1" t="s">
        <v>4192</v>
      </c>
      <c r="E668" s="1" t="s">
        <v>4193</v>
      </c>
      <c r="F668" s="1" t="s">
        <v>112</v>
      </c>
      <c r="G668" s="1">
        <v>1416866</v>
      </c>
    </row>
    <row r="669" spans="1:7" x14ac:dyDescent="0.25">
      <c r="A669" s="1" t="str">
        <f t="shared" si="10"/>
        <v>09  Amantadine 10 mg_L dopé</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4194</v>
      </c>
      <c r="D669" s="1" t="s">
        <v>4195</v>
      </c>
      <c r="E669" s="1" t="s">
        <v>4196</v>
      </c>
      <c r="F669" s="1" t="s">
        <v>112</v>
      </c>
      <c r="G669" s="1">
        <v>898874</v>
      </c>
    </row>
    <row r="670" spans="1:7" x14ac:dyDescent="0.25">
      <c r="A670" s="1" t="str">
        <f t="shared" si="10"/>
        <v>09  Amantadine 10 mg_L dopé</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4197</v>
      </c>
      <c r="D670" s="1" t="s">
        <v>4198</v>
      </c>
      <c r="E670" s="1" t="s">
        <v>4199</v>
      </c>
      <c r="F670" s="1" t="s">
        <v>112</v>
      </c>
      <c r="G670" s="1">
        <v>1087032</v>
      </c>
    </row>
    <row r="671" spans="1:7" x14ac:dyDescent="0.25">
      <c r="A671" s="1" t="str">
        <f t="shared" si="10"/>
        <v>09  Amantadine 10 mg_L dopé</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4200</v>
      </c>
      <c r="D671" s="1" t="s">
        <v>4201</v>
      </c>
      <c r="E671" s="1" t="s">
        <v>4202</v>
      </c>
      <c r="F671" s="1" t="s">
        <v>112</v>
      </c>
      <c r="G671" s="1">
        <v>2350715</v>
      </c>
    </row>
    <row r="672" spans="1:7" x14ac:dyDescent="0.25">
      <c r="A672" s="1" t="str">
        <f t="shared" si="10"/>
        <v>09  Amantadine 10 mg_L dopé</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4203</v>
      </c>
      <c r="D672" s="1" t="s">
        <v>455</v>
      </c>
      <c r="E672" s="1" t="s">
        <v>4204</v>
      </c>
      <c r="F672" s="1" t="s">
        <v>112</v>
      </c>
      <c r="G672" s="1">
        <v>2028257</v>
      </c>
    </row>
    <row r="673" spans="1:10" x14ac:dyDescent="0.25">
      <c r="A673" s="1" t="str">
        <f t="shared" si="10"/>
        <v>09  Amantadine 10 mg_L dopé</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4205</v>
      </c>
      <c r="D673" s="1" t="s">
        <v>1448</v>
      </c>
      <c r="E673" s="1" t="s">
        <v>4206</v>
      </c>
      <c r="F673" s="1" t="s">
        <v>112</v>
      </c>
      <c r="G673" s="1">
        <v>1644521</v>
      </c>
    </row>
    <row r="674" spans="1:10" x14ac:dyDescent="0.25">
      <c r="A674" s="1" t="str">
        <f t="shared" si="10"/>
        <v>09  Amantadine 10 mg_L dopé</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4207</v>
      </c>
      <c r="D674" s="1" t="s">
        <v>4208</v>
      </c>
      <c r="E674" s="1" t="s">
        <v>4209</v>
      </c>
      <c r="F674" s="1" t="s">
        <v>112</v>
      </c>
      <c r="G674" s="1">
        <v>2806847</v>
      </c>
    </row>
    <row r="675" spans="1:10" x14ac:dyDescent="0.25">
      <c r="A675" s="1" t="str">
        <f t="shared" si="10"/>
        <v>09  Amantadine 10 mg_L dopé</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4210</v>
      </c>
      <c r="D675" s="1" t="s">
        <v>4211</v>
      </c>
      <c r="E675" s="1" t="s">
        <v>1198</v>
      </c>
      <c r="F675" s="1" t="s">
        <v>112</v>
      </c>
      <c r="G675" s="1">
        <v>2937686</v>
      </c>
    </row>
    <row r="676" spans="1:10" x14ac:dyDescent="0.25">
      <c r="A676" s="1" t="str">
        <f t="shared" si="10"/>
        <v>09  Amantadine 10 mg_L dopé</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4212</v>
      </c>
      <c r="D676" s="1" t="s">
        <v>4213</v>
      </c>
      <c r="E676" s="1" t="s">
        <v>4214</v>
      </c>
      <c r="F676" s="1" t="s">
        <v>112</v>
      </c>
      <c r="G676" s="1">
        <v>2845391</v>
      </c>
    </row>
    <row r="677" spans="1:10" x14ac:dyDescent="0.25">
      <c r="A677" s="1" t="str">
        <f t="shared" si="10"/>
        <v>09  Amantadine 10 mg_L dopé</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4215</v>
      </c>
      <c r="D677" s="1" t="s">
        <v>1244</v>
      </c>
      <c r="E677" s="1" t="s">
        <v>4216</v>
      </c>
      <c r="F677" s="1" t="s">
        <v>112</v>
      </c>
      <c r="G677" s="1">
        <v>483039</v>
      </c>
    </row>
    <row r="678" spans="1:10" x14ac:dyDescent="0.25">
      <c r="A678" s="1" t="str">
        <f t="shared" si="10"/>
        <v>09  Amantadine 10 mg_L dopé</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4217</v>
      </c>
      <c r="D678" s="1" t="s">
        <v>3044</v>
      </c>
      <c r="E678" s="1" t="s">
        <v>4218</v>
      </c>
      <c r="F678" s="1" t="s">
        <v>112</v>
      </c>
      <c r="G678" s="1">
        <v>144726</v>
      </c>
    </row>
    <row r="679" spans="1:10" x14ac:dyDescent="0.25">
      <c r="A679" s="1" t="str">
        <f t="shared" si="10"/>
        <v>09  Amantadine 10 mg_L dopé</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4219</v>
      </c>
      <c r="D679" s="1" t="s">
        <v>3603</v>
      </c>
      <c r="E679" s="1" t="s">
        <v>4220</v>
      </c>
      <c r="F679" s="1" t="s">
        <v>112</v>
      </c>
      <c r="G679" s="1">
        <v>389879</v>
      </c>
    </row>
    <row r="680" spans="1:10" x14ac:dyDescent="0.25">
      <c r="A680" s="1" t="str">
        <f t="shared" si="10"/>
        <v>09  Amantadine 10 mg_L dopé</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4221</v>
      </c>
      <c r="D680" s="1" t="s">
        <v>4222</v>
      </c>
      <c r="E680" s="1" t="s">
        <v>4223</v>
      </c>
      <c r="F680" s="1" t="s">
        <v>112</v>
      </c>
      <c r="G680" s="1">
        <v>672993</v>
      </c>
    </row>
    <row r="681" spans="1:10" x14ac:dyDescent="0.25">
      <c r="A681" s="1" t="str">
        <f t="shared" si="10"/>
        <v>09  Amantadine 10 mg_L dopé</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4224</v>
      </c>
      <c r="D681" s="1" t="s">
        <v>3696</v>
      </c>
      <c r="E681" s="1" t="s">
        <v>4225</v>
      </c>
      <c r="F681" s="1" t="s">
        <v>112</v>
      </c>
      <c r="G681" s="1">
        <v>598218</v>
      </c>
    </row>
    <row r="682" spans="1:10" x14ac:dyDescent="0.25">
      <c r="A682" s="1" t="str">
        <f t="shared" si="10"/>
        <v>09  Amantadine 10 mg_L dopé</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4226</v>
      </c>
      <c r="D682" s="1" t="s">
        <v>4227</v>
      </c>
      <c r="E682" s="1" t="s">
        <v>4228</v>
      </c>
      <c r="F682" s="1" t="s">
        <v>112</v>
      </c>
      <c r="G682" s="1">
        <v>317484</v>
      </c>
    </row>
    <row r="683" spans="1:10" x14ac:dyDescent="0.25">
      <c r="A683" s="1" t="str">
        <f t="shared" si="10"/>
        <v>09  Amantadine 10 mg_L dopé</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4229</v>
      </c>
      <c r="D683" s="1" t="s">
        <v>4230</v>
      </c>
      <c r="E683" s="1" t="s">
        <v>4231</v>
      </c>
      <c r="F683" s="1" t="s">
        <v>112</v>
      </c>
      <c r="G683" s="1">
        <v>1356086</v>
      </c>
    </row>
    <row r="684" spans="1:10" x14ac:dyDescent="0.25">
      <c r="A684" s="1" t="str">
        <f t="shared" si="10"/>
        <v>09  Amantadine 10 mg_L dopé</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4232</v>
      </c>
      <c r="D684" s="1" t="s">
        <v>4233</v>
      </c>
      <c r="E684" s="1" t="s">
        <v>4234</v>
      </c>
      <c r="F684" s="1" t="s">
        <v>112</v>
      </c>
      <c r="G684" s="1">
        <v>1113442</v>
      </c>
    </row>
    <row r="685" spans="1:10" x14ac:dyDescent="0.25">
      <c r="A685" s="1" t="str">
        <f t="shared" si="10"/>
        <v>09  Amantadine 10 mg_L dopé</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4235</v>
      </c>
      <c r="D685" s="1" t="s">
        <v>4236</v>
      </c>
      <c r="E685" s="1" t="s">
        <v>4237</v>
      </c>
      <c r="F685" s="1" t="s">
        <v>112</v>
      </c>
      <c r="G685" s="1">
        <v>1103103</v>
      </c>
    </row>
    <row r="686" spans="1:10"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223</v>
      </c>
      <c r="D687" s="1" t="s">
        <v>112</v>
      </c>
      <c r="E687" s="1" t="s">
        <v>224</v>
      </c>
      <c r="F687" s="1" t="s">
        <v>225</v>
      </c>
      <c r="G687" s="1" t="s">
        <v>226</v>
      </c>
      <c r="H687" s="1" t="s">
        <v>227</v>
      </c>
      <c r="I687" s="1" t="s">
        <v>228</v>
      </c>
      <c r="J687" s="1" t="s">
        <v>229</v>
      </c>
    </row>
    <row r="688" spans="1:10" x14ac:dyDescent="0.25">
      <c r="A688" s="1" t="str">
        <f t="shared" si="10"/>
        <v>09  Amantadine 10 mg_L dopé</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4238</v>
      </c>
      <c r="D688" s="1" t="s">
        <v>112</v>
      </c>
      <c r="E688" s="1" t="s">
        <v>4239</v>
      </c>
      <c r="F688" s="1" t="s">
        <v>4240</v>
      </c>
      <c r="G688" s="1">
        <v>1311891</v>
      </c>
      <c r="H688" s="1" t="s">
        <v>4241</v>
      </c>
      <c r="I688" s="1">
        <v>24</v>
      </c>
      <c r="J688" s="1">
        <v>24</v>
      </c>
    </row>
    <row r="689" spans="1:3"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3"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3"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5"/>
  <sheetViews>
    <sheetView showGridLines="0" topLeftCell="L37" zoomScaleNormal="100" zoomScaleSheetLayoutView="40" zoomScalePageLayoutView="30" workbookViewId="0">
      <selection activeCell="R64" sqref="R64"/>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6" t="s">
        <v>43</v>
      </c>
      <c r="B1" s="217"/>
      <c r="C1" s="217"/>
      <c r="D1" s="217"/>
      <c r="E1" s="217"/>
      <c r="F1" s="217"/>
      <c r="G1" s="217"/>
      <c r="H1" s="217"/>
      <c r="I1" s="217"/>
      <c r="J1" s="217"/>
      <c r="K1" s="217"/>
      <c r="L1" s="217"/>
      <c r="M1" s="217"/>
      <c r="N1" s="217"/>
      <c r="O1" s="217"/>
      <c r="P1" s="217"/>
      <c r="Q1" s="217"/>
      <c r="R1" s="217"/>
      <c r="S1" s="217"/>
      <c r="T1" s="217"/>
      <c r="U1" s="217"/>
      <c r="V1" s="217"/>
    </row>
    <row r="2" spans="1:22" ht="15.75" thickBot="1" x14ac:dyDescent="0.3"/>
    <row r="3" spans="1:22" ht="15.75" thickBot="1" x14ac:dyDescent="0.3">
      <c r="A3" s="152"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Amantadine-0,001mg/L</v>
      </c>
      <c r="J4" s="35" t="str">
        <f>'Page de garde'!A16</f>
        <v>Amantadine-0,01mg/L</v>
      </c>
      <c r="K4" s="35" t="str">
        <f>'Page de garde'!A17</f>
        <v>Amantadine-0,1mg/L</v>
      </c>
      <c r="L4" s="35" t="str">
        <f>'Page de garde'!A18</f>
        <v>Amantadine-1mg/L</v>
      </c>
      <c r="M4" s="35" t="str">
        <f>'Page de garde'!A19</f>
        <v>Amantadine-10mg/L</v>
      </c>
      <c r="N4" s="3"/>
      <c r="O4" s="36" t="str">
        <f>'Page de garde'!A36</f>
        <v>Testo -30µg/L</v>
      </c>
      <c r="P4" s="36" t="str">
        <f>'Page de garde'!A37</f>
        <v>Testo 30µg/L + EE2 -64ng/L</v>
      </c>
      <c r="Q4" s="36" t="str">
        <f>'Page de garde'!A38</f>
        <v>Testo 30µg/L + FAD-10µg/L</v>
      </c>
      <c r="R4" s="36" t="str">
        <f>'Page de garde'!A39</f>
        <v>Amantadine-0,001mg/L + Testostérone</v>
      </c>
      <c r="S4" s="36" t="str">
        <f>'Page de garde'!A40</f>
        <v>Amantadine-0,01mg/L + Testostérone</v>
      </c>
      <c r="T4" s="36" t="str">
        <f>'Page de garde'!A41</f>
        <v>Amantadine-0,1mg/L + Testostérone</v>
      </c>
      <c r="U4" s="36" t="str">
        <f>'Page de garde'!A42</f>
        <v>Amantadine-1mg/L + Testostérone</v>
      </c>
      <c r="V4" s="36" t="str">
        <f>'Page de garde'!A43</f>
        <v>Amantadine-10mg/L + Testostérone</v>
      </c>
    </row>
    <row r="5" spans="1:22" x14ac:dyDescent="0.25">
      <c r="A5" s="226" t="s">
        <v>33</v>
      </c>
      <c r="B5" s="195">
        <v>168280.66666666666</v>
      </c>
      <c r="C5" s="195">
        <v>697282.66666666663</v>
      </c>
      <c r="D5" s="195">
        <v>433528</v>
      </c>
      <c r="E5" s="195">
        <v>324484.33333333331</v>
      </c>
      <c r="F5" s="195">
        <v>183032</v>
      </c>
      <c r="G5" s="195">
        <v>2100010.3333333335</v>
      </c>
      <c r="H5" s="195">
        <v>3524908.3333333335</v>
      </c>
      <c r="I5" s="195">
        <v>284952.33333333331</v>
      </c>
      <c r="J5" s="195">
        <v>162173.66666666666</v>
      </c>
      <c r="K5" s="195"/>
      <c r="L5" s="195">
        <v>27416</v>
      </c>
      <c r="M5" s="195">
        <v>331687</v>
      </c>
      <c r="N5" s="3"/>
      <c r="O5" s="195">
        <v>266451.33333333331</v>
      </c>
      <c r="P5" s="195">
        <v>3051934.6666666665</v>
      </c>
      <c r="Q5" s="195">
        <v>209139.5</v>
      </c>
      <c r="R5" s="195">
        <v>2648696</v>
      </c>
      <c r="S5" s="195">
        <v>4036600</v>
      </c>
      <c r="T5" s="195">
        <v>208988</v>
      </c>
      <c r="U5" s="195">
        <v>208908.33333333334</v>
      </c>
      <c r="V5" s="195">
        <v>807415</v>
      </c>
    </row>
    <row r="6" spans="1:22" x14ac:dyDescent="0.25">
      <c r="A6" s="226"/>
      <c r="B6" s="195">
        <v>482036.66666666669</v>
      </c>
      <c r="C6" s="195">
        <v>136008.66666666666</v>
      </c>
      <c r="D6" s="195">
        <v>576329</v>
      </c>
      <c r="E6" s="195">
        <v>299841</v>
      </c>
      <c r="F6" s="195">
        <v>755604.33333333337</v>
      </c>
      <c r="G6" s="195">
        <v>2969366.3333333335</v>
      </c>
      <c r="H6" s="195">
        <v>5199077</v>
      </c>
      <c r="I6" s="195">
        <v>190609.66666666666</v>
      </c>
      <c r="J6" s="195">
        <v>83498.666666666672</v>
      </c>
      <c r="K6" s="195">
        <v>73318.333333333328</v>
      </c>
      <c r="L6" s="195">
        <v>286906</v>
      </c>
      <c r="M6" s="195">
        <v>194330</v>
      </c>
      <c r="N6" s="3"/>
      <c r="O6" s="195">
        <v>1452202.3333333333</v>
      </c>
      <c r="P6" s="195">
        <v>942803.66666666663</v>
      </c>
      <c r="Q6" s="195">
        <v>290914.66666666669</v>
      </c>
      <c r="R6" s="195">
        <v>1967137.6666666667</v>
      </c>
      <c r="S6" s="195">
        <v>271130.66666666669</v>
      </c>
      <c r="T6" s="195">
        <v>72373.666666666672</v>
      </c>
      <c r="U6" s="195">
        <v>1345292.6666666667</v>
      </c>
      <c r="V6" s="195">
        <v>1622660</v>
      </c>
    </row>
    <row r="7" spans="1:22" x14ac:dyDescent="0.25">
      <c r="A7" s="226"/>
      <c r="B7" s="195">
        <v>103045</v>
      </c>
      <c r="C7" s="195">
        <v>58703.666666666664</v>
      </c>
      <c r="D7" s="195">
        <v>23230.666666666668</v>
      </c>
      <c r="E7" s="195">
        <v>405560.66666666669</v>
      </c>
      <c r="F7" s="195">
        <v>4180669</v>
      </c>
      <c r="G7" s="195">
        <v>1427147.3333333333</v>
      </c>
      <c r="H7" s="195">
        <v>4850431.666666667</v>
      </c>
      <c r="I7" s="195">
        <v>280403</v>
      </c>
      <c r="J7" s="195">
        <v>98445</v>
      </c>
      <c r="K7" s="195"/>
      <c r="L7" s="195">
        <v>226566</v>
      </c>
      <c r="M7" s="195">
        <v>8709.6666666666661</v>
      </c>
      <c r="N7" s="3"/>
      <c r="O7" s="195">
        <v>2799499.6666666665</v>
      </c>
      <c r="P7" s="195">
        <v>1010289</v>
      </c>
      <c r="Q7" s="195">
        <v>40880.666666666664</v>
      </c>
      <c r="R7" s="195">
        <v>327245.66666666669</v>
      </c>
      <c r="S7" s="195">
        <v>3119485</v>
      </c>
      <c r="T7" s="195">
        <v>118294</v>
      </c>
      <c r="U7" s="195">
        <v>142497.5</v>
      </c>
      <c r="V7" s="195">
        <v>1134257.3333333333</v>
      </c>
    </row>
    <row r="8" spans="1:22" x14ac:dyDescent="0.25">
      <c r="A8" s="226"/>
      <c r="B8" s="195">
        <v>99205.5</v>
      </c>
      <c r="C8" s="195">
        <v>128438.33333333333</v>
      </c>
      <c r="D8" s="195">
        <v>172657</v>
      </c>
      <c r="E8" s="195">
        <v>334167.33333333331</v>
      </c>
      <c r="F8" s="195">
        <v>2828310.3333333335</v>
      </c>
      <c r="G8" s="195">
        <v>873509</v>
      </c>
      <c r="H8" s="195">
        <v>6624003.5</v>
      </c>
      <c r="I8" s="195">
        <v>495562.66666666669</v>
      </c>
      <c r="J8" s="195">
        <v>165281.33333333334</v>
      </c>
      <c r="K8" s="195">
        <v>21312.666666666668</v>
      </c>
      <c r="L8" s="195">
        <v>42178.333333333336</v>
      </c>
      <c r="M8" s="195">
        <v>304722</v>
      </c>
      <c r="N8" s="3"/>
      <c r="O8" s="195">
        <v>584036</v>
      </c>
      <c r="P8" s="195">
        <v>1976417.3333333333</v>
      </c>
      <c r="Q8" s="195">
        <v>143233</v>
      </c>
      <c r="R8" s="195">
        <v>1105273.3333333333</v>
      </c>
      <c r="S8" s="195">
        <v>1075489</v>
      </c>
      <c r="T8" s="195">
        <v>891346.33333333337</v>
      </c>
      <c r="U8" s="195">
        <v>3714891</v>
      </c>
      <c r="V8" s="195">
        <v>2007831</v>
      </c>
    </row>
    <row r="9" spans="1:22" x14ac:dyDescent="0.25">
      <c r="A9" s="226"/>
      <c r="B9" s="195">
        <v>164098.66666666666</v>
      </c>
      <c r="C9" s="195">
        <v>108337</v>
      </c>
      <c r="D9" s="195">
        <v>172693</v>
      </c>
      <c r="E9" s="195">
        <v>737255</v>
      </c>
      <c r="F9" s="195">
        <v>1882255</v>
      </c>
      <c r="G9" s="195">
        <v>2337881.6666666665</v>
      </c>
      <c r="H9" s="195">
        <v>4760350.333333333</v>
      </c>
      <c r="I9" s="195">
        <v>157573.66666666666</v>
      </c>
      <c r="J9" s="195">
        <v>57398.666666666664</v>
      </c>
      <c r="K9" s="195">
        <v>268045</v>
      </c>
      <c r="L9" s="195">
        <v>27052</v>
      </c>
      <c r="M9" s="195">
        <v>178900.66666666666</v>
      </c>
      <c r="N9" s="3"/>
      <c r="O9" s="195">
        <v>168323.66666666666</v>
      </c>
      <c r="P9" s="195">
        <v>4757473.333333333</v>
      </c>
      <c r="Q9" s="195">
        <v>247997.5</v>
      </c>
      <c r="R9" s="195">
        <v>749490.33333333337</v>
      </c>
      <c r="S9" s="195">
        <v>2659958</v>
      </c>
      <c r="T9" s="195">
        <v>1615017.6666666667</v>
      </c>
      <c r="U9" s="195">
        <v>1338948</v>
      </c>
      <c r="V9" s="195">
        <v>2863308</v>
      </c>
    </row>
    <row r="10" spans="1:22" x14ac:dyDescent="0.25">
      <c r="A10" s="226"/>
      <c r="B10" s="195">
        <v>179001.66666666666</v>
      </c>
      <c r="C10" s="195">
        <v>204395.33333333334</v>
      </c>
      <c r="D10" s="195">
        <v>136124.33333333334</v>
      </c>
      <c r="E10" s="195">
        <v>389006.33333333331</v>
      </c>
      <c r="F10" s="195">
        <v>1397947</v>
      </c>
      <c r="G10" s="195">
        <v>4019461.6666666665</v>
      </c>
      <c r="H10" s="195">
        <v>5427207.333333333</v>
      </c>
      <c r="I10" s="195"/>
      <c r="J10" s="195">
        <v>239111.33333333334</v>
      </c>
      <c r="K10" s="195">
        <v>400268.33333333331</v>
      </c>
      <c r="L10" s="195">
        <v>322725.33333333331</v>
      </c>
      <c r="M10" s="195">
        <v>15963</v>
      </c>
      <c r="N10" s="3"/>
      <c r="O10" s="195">
        <v>1062583</v>
      </c>
      <c r="P10" s="195">
        <v>4174656.3333333335</v>
      </c>
      <c r="Q10" s="195">
        <v>100849.5</v>
      </c>
      <c r="R10" s="195">
        <v>537192.66666666663</v>
      </c>
      <c r="S10" s="195">
        <v>483060</v>
      </c>
      <c r="T10" s="195">
        <v>209009.33333333334</v>
      </c>
      <c r="U10" s="195">
        <v>1257886.3333333333</v>
      </c>
      <c r="V10" s="195">
        <v>339214.66666666669</v>
      </c>
    </row>
    <row r="11" spans="1:22" x14ac:dyDescent="0.25">
      <c r="A11" s="226"/>
      <c r="B11" s="195">
        <v>89403.666666666672</v>
      </c>
      <c r="C11" s="195">
        <v>41839.333333333336</v>
      </c>
      <c r="D11" s="195">
        <v>326734</v>
      </c>
      <c r="E11" s="195">
        <v>252449.66666666666</v>
      </c>
      <c r="F11" s="195">
        <v>1615915.5</v>
      </c>
      <c r="G11" s="195">
        <v>2892638</v>
      </c>
      <c r="H11" s="195">
        <v>5539106</v>
      </c>
      <c r="I11" s="195">
        <v>431041</v>
      </c>
      <c r="J11" s="195">
        <v>15537.333333333334</v>
      </c>
      <c r="K11" s="195">
        <v>56245</v>
      </c>
      <c r="L11" s="195">
        <v>326611.66666666669</v>
      </c>
      <c r="M11" s="195">
        <v>78819.5</v>
      </c>
      <c r="N11" s="3"/>
      <c r="O11" s="195">
        <v>2288543.6666666665</v>
      </c>
      <c r="P11" s="195">
        <v>3422130.6666666665</v>
      </c>
      <c r="Q11" s="195">
        <v>61133.333333333336</v>
      </c>
      <c r="R11" s="195">
        <v>2791965</v>
      </c>
      <c r="S11" s="195">
        <v>893163</v>
      </c>
      <c r="T11" s="195">
        <v>200278.33333333334</v>
      </c>
      <c r="U11" s="195">
        <v>425849.33333333331</v>
      </c>
      <c r="V11" s="195">
        <v>529565</v>
      </c>
    </row>
    <row r="12" spans="1:22" x14ac:dyDescent="0.25">
      <c r="A12" s="226"/>
      <c r="B12" s="195">
        <v>96938</v>
      </c>
      <c r="C12" s="195">
        <v>546386</v>
      </c>
      <c r="D12" s="195">
        <v>265925</v>
      </c>
      <c r="E12" s="195">
        <v>427204.66666666669</v>
      </c>
      <c r="F12" s="195">
        <v>410218.33333333331</v>
      </c>
      <c r="G12" s="195">
        <v>4587715</v>
      </c>
      <c r="H12" s="195">
        <v>5739262</v>
      </c>
      <c r="I12" s="195">
        <v>360267.66666666669</v>
      </c>
      <c r="J12" s="195">
        <v>191244.33333333334</v>
      </c>
      <c r="K12" s="195">
        <v>40361</v>
      </c>
      <c r="L12" s="195">
        <v>190638.66666666666</v>
      </c>
      <c r="M12" s="195">
        <v>43541</v>
      </c>
      <c r="N12" s="3"/>
      <c r="O12" s="195"/>
      <c r="P12" s="195">
        <v>1697427.6666666667</v>
      </c>
      <c r="Q12" s="195">
        <v>385567</v>
      </c>
      <c r="R12" s="195">
        <v>2392749.6666666665</v>
      </c>
      <c r="S12" s="195"/>
      <c r="T12" s="195">
        <v>2215038.3333333335</v>
      </c>
      <c r="U12" s="195">
        <v>2449852.3333333335</v>
      </c>
      <c r="V12" s="195">
        <v>1190877</v>
      </c>
    </row>
    <row r="13" spans="1:22" ht="16.5" x14ac:dyDescent="0.25">
      <c r="A13" s="226"/>
      <c r="B13" s="14"/>
      <c r="C13" s="13"/>
      <c r="D13" s="32"/>
      <c r="E13" s="32"/>
      <c r="F13" s="32"/>
      <c r="G13" s="32"/>
      <c r="H13" s="32"/>
      <c r="I13" s="32"/>
      <c r="J13" s="32"/>
      <c r="K13" s="13"/>
      <c r="L13" s="13"/>
      <c r="M13" s="13"/>
      <c r="N13" s="3"/>
      <c r="O13" s="195">
        <v>1827603.3333333333</v>
      </c>
      <c r="P13" s="13"/>
      <c r="Q13" s="13"/>
      <c r="R13" s="32"/>
      <c r="S13" s="32"/>
      <c r="T13" s="32"/>
      <c r="U13" s="32"/>
      <c r="V13" s="32"/>
    </row>
    <row r="14" spans="1:22" ht="16.5" x14ac:dyDescent="0.25">
      <c r="A14" s="226"/>
      <c r="B14" s="14"/>
      <c r="C14" s="32"/>
      <c r="D14" s="32"/>
      <c r="E14" s="32"/>
      <c r="F14" s="32"/>
      <c r="G14" s="32"/>
      <c r="H14" s="32"/>
      <c r="I14" s="32"/>
      <c r="J14" s="32"/>
      <c r="K14" s="13"/>
      <c r="L14" s="13"/>
      <c r="M14" s="13"/>
      <c r="N14" s="3"/>
      <c r="O14" s="195">
        <v>2484676.6666666665</v>
      </c>
      <c r="P14" s="13"/>
      <c r="Q14" s="13"/>
      <c r="R14" s="32"/>
      <c r="S14" s="32"/>
      <c r="T14" s="32"/>
      <c r="U14" s="32"/>
      <c r="V14" s="32"/>
    </row>
    <row r="15" spans="1:22" ht="16.5" x14ac:dyDescent="0.25">
      <c r="A15" s="226"/>
      <c r="B15" s="14"/>
      <c r="C15" s="32"/>
      <c r="D15" s="32"/>
      <c r="E15" s="32"/>
      <c r="F15" s="32"/>
      <c r="G15" s="32"/>
      <c r="H15" s="32"/>
      <c r="I15" s="32"/>
      <c r="J15" s="32"/>
      <c r="K15" s="13"/>
      <c r="L15" s="13"/>
      <c r="M15" s="13"/>
      <c r="N15" s="3"/>
      <c r="O15" s="195">
        <v>3274496</v>
      </c>
      <c r="P15" s="13"/>
      <c r="Q15" s="13"/>
      <c r="R15" s="32"/>
      <c r="S15" s="32"/>
      <c r="T15" s="32"/>
      <c r="U15" s="32"/>
      <c r="V15" s="32"/>
    </row>
    <row r="16" spans="1:22" ht="16.5" x14ac:dyDescent="0.25">
      <c r="A16" s="226"/>
      <c r="B16" s="14"/>
      <c r="C16" s="32"/>
      <c r="D16" s="32"/>
      <c r="E16" s="32"/>
      <c r="F16" s="32"/>
      <c r="G16" s="32"/>
      <c r="H16" s="32"/>
      <c r="I16" s="32"/>
      <c r="J16" s="32"/>
      <c r="K16" s="13"/>
      <c r="L16" s="13"/>
      <c r="M16" s="13"/>
      <c r="N16" s="3"/>
      <c r="O16" s="195">
        <v>235715.66666666666</v>
      </c>
      <c r="P16" s="13"/>
      <c r="Q16" s="13"/>
      <c r="R16" s="32"/>
      <c r="S16" s="32"/>
      <c r="T16" s="32"/>
      <c r="U16" s="32"/>
      <c r="V16" s="32"/>
    </row>
    <row r="17" spans="1:22" ht="16.5" x14ac:dyDescent="0.25">
      <c r="A17" s="226"/>
      <c r="B17" s="14"/>
      <c r="C17" s="32"/>
      <c r="D17" s="32"/>
      <c r="E17" s="32"/>
      <c r="F17" s="32"/>
      <c r="G17" s="32"/>
      <c r="H17" s="32"/>
      <c r="I17" s="32"/>
      <c r="J17" s="32"/>
      <c r="K17" s="13"/>
      <c r="L17" s="13"/>
      <c r="M17" s="13"/>
      <c r="N17" s="3"/>
      <c r="O17" s="195">
        <v>2415461</v>
      </c>
      <c r="P17" s="13"/>
      <c r="Q17" s="13"/>
      <c r="R17" s="32"/>
      <c r="S17" s="32"/>
      <c r="T17" s="32"/>
      <c r="U17" s="32"/>
      <c r="V17" s="32"/>
    </row>
    <row r="18" spans="1:22" ht="16.5" x14ac:dyDescent="0.25">
      <c r="A18" s="226"/>
      <c r="B18" s="14"/>
      <c r="C18" s="32"/>
      <c r="D18" s="32"/>
      <c r="E18" s="32"/>
      <c r="F18" s="32"/>
      <c r="G18" s="32"/>
      <c r="H18" s="32"/>
      <c r="I18" s="32"/>
      <c r="J18" s="32"/>
      <c r="K18" s="13"/>
      <c r="L18" s="13"/>
      <c r="M18" s="13"/>
      <c r="N18" s="3"/>
      <c r="O18" s="195">
        <v>1061458.3333333333</v>
      </c>
      <c r="P18" s="13"/>
      <c r="Q18" s="13"/>
      <c r="R18" s="32"/>
      <c r="S18" s="32"/>
      <c r="T18" s="32"/>
      <c r="U18" s="32"/>
      <c r="V18" s="32"/>
    </row>
    <row r="19" spans="1:22" ht="16.5" x14ac:dyDescent="0.25">
      <c r="A19" s="226"/>
      <c r="B19" s="14"/>
      <c r="C19" s="32"/>
      <c r="D19" s="32"/>
      <c r="E19" s="32"/>
      <c r="F19" s="32"/>
      <c r="G19" s="32"/>
      <c r="H19" s="32"/>
      <c r="I19" s="32"/>
      <c r="J19" s="32"/>
      <c r="K19" s="13"/>
      <c r="L19" s="13"/>
      <c r="M19" s="13"/>
      <c r="N19" s="3"/>
      <c r="O19" s="195">
        <v>1211764.3333333333</v>
      </c>
      <c r="P19" s="13"/>
      <c r="Q19" s="13"/>
      <c r="R19" s="32"/>
      <c r="S19" s="32"/>
      <c r="T19" s="32"/>
      <c r="U19" s="32"/>
      <c r="V19" s="32"/>
    </row>
    <row r="20" spans="1:22" ht="16.5" x14ac:dyDescent="0.25">
      <c r="A20" s="226"/>
      <c r="B20" s="14"/>
      <c r="C20" s="32"/>
      <c r="D20" s="32"/>
      <c r="E20" s="32"/>
      <c r="F20" s="32"/>
      <c r="G20" s="32"/>
      <c r="H20" s="32"/>
      <c r="I20" s="32"/>
      <c r="J20" s="32"/>
      <c r="K20" s="13"/>
      <c r="L20" s="13"/>
      <c r="M20" s="13"/>
      <c r="N20" s="3"/>
      <c r="O20" s="195">
        <v>2949892.3333333335</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Amantadine-0,001mg/L</v>
      </c>
      <c r="J22" s="3" t="str">
        <f t="shared" si="0"/>
        <v>Amantadine-0,01mg/L</v>
      </c>
      <c r="K22" s="3" t="str">
        <f t="shared" si="0"/>
        <v>Amantadine-0,1mg/L</v>
      </c>
      <c r="L22" s="3" t="str">
        <f t="shared" si="0"/>
        <v>Amantadine-1mg/L</v>
      </c>
      <c r="M22" s="3" t="str">
        <f t="shared" si="0"/>
        <v>Amantadine-10mg/L</v>
      </c>
      <c r="N22" s="3" t="s">
        <v>41</v>
      </c>
      <c r="O22" s="3" t="str">
        <f t="shared" si="0"/>
        <v>Testo -30µg/L</v>
      </c>
      <c r="P22" s="3" t="str">
        <f t="shared" si="0"/>
        <v>Testo 30µg/L + EE2 -64ng/L</v>
      </c>
      <c r="Q22" s="3" t="str">
        <f t="shared" si="0"/>
        <v>Testo 30µg/L + FAD-10µg/L</v>
      </c>
      <c r="R22" s="3" t="str">
        <f t="shared" si="0"/>
        <v>Amantadine-0,001mg/L + Testostérone</v>
      </c>
      <c r="S22" s="3" t="str">
        <f t="shared" si="0"/>
        <v>Amantadine-0,01mg/L + Testostérone</v>
      </c>
      <c r="T22" s="3" t="str">
        <f t="shared" si="0"/>
        <v>Amantadine-0,1mg/L + Testostérone</v>
      </c>
      <c r="U22" s="3" t="str">
        <f t="shared" si="0"/>
        <v>Amantadine-1mg/L + Testostérone</v>
      </c>
      <c r="V22" s="3" t="str">
        <f t="shared" si="0"/>
        <v>Amantadine-10mg/L + Testostérone</v>
      </c>
    </row>
    <row r="23" spans="1:22" x14ac:dyDescent="0.25">
      <c r="A23" s="5" t="s">
        <v>0</v>
      </c>
      <c r="B23" s="5">
        <f t="shared" ref="B23:J23" si="1">AVERAGE(B5:B20)</f>
        <v>172751.22916666669</v>
      </c>
      <c r="C23" s="5">
        <f t="shared" si="1"/>
        <v>240173.87499999997</v>
      </c>
      <c r="D23" s="5">
        <f t="shared" si="1"/>
        <v>263402.625</v>
      </c>
      <c r="E23" s="5">
        <f t="shared" si="1"/>
        <v>396246.12499999994</v>
      </c>
      <c r="F23" s="5">
        <f t="shared" si="1"/>
        <v>1656743.9375</v>
      </c>
      <c r="G23" s="5">
        <f t="shared" si="1"/>
        <v>2650966.1666666665</v>
      </c>
      <c r="H23" s="5">
        <f t="shared" si="1"/>
        <v>5208043.270833333</v>
      </c>
      <c r="I23" s="5">
        <f t="shared" si="1"/>
        <v>314344.28571428574</v>
      </c>
      <c r="J23" s="5">
        <f t="shared" si="1"/>
        <v>126586.29166666667</v>
      </c>
      <c r="K23" s="5"/>
      <c r="L23" s="5">
        <f>AVERAGE(L5:L20)</f>
        <v>181261.75000000003</v>
      </c>
      <c r="M23" s="5"/>
      <c r="N23" s="5" t="s">
        <v>0</v>
      </c>
      <c r="O23" s="5">
        <f>AVERAGE(O5:O20)</f>
        <v>1605513.8222222219</v>
      </c>
      <c r="P23" s="5">
        <f>AVERAGE(P5:P20)</f>
        <v>2629141.5833333335</v>
      </c>
      <c r="Q23" s="5">
        <f>AVERAGE(Q5:Q20)</f>
        <v>184964.39583333334</v>
      </c>
      <c r="R23" s="5">
        <f>AVERAGE(R5:R20)</f>
        <v>1564968.7916666667</v>
      </c>
      <c r="S23" s="5">
        <f>AVERAGE(S5:S20)</f>
        <v>1791269.3809523811</v>
      </c>
      <c r="T23" s="5">
        <f t="shared" ref="T23:V23" si="2">AVERAGE(T5:T20)</f>
        <v>691293.20833333349</v>
      </c>
      <c r="U23" s="5">
        <f t="shared" si="2"/>
        <v>1360515.6875</v>
      </c>
      <c r="V23" s="5">
        <f t="shared" si="2"/>
        <v>1311890.9999999998</v>
      </c>
    </row>
    <row r="24" spans="1:22" x14ac:dyDescent="0.25">
      <c r="A24" s="3" t="s">
        <v>1</v>
      </c>
      <c r="B24" s="3">
        <f t="shared" ref="B24:J24" si="3">STDEV(B5:B20)</f>
        <v>130249.10043015491</v>
      </c>
      <c r="C24" s="3">
        <f t="shared" si="3"/>
        <v>244066.33389858677</v>
      </c>
      <c r="D24" s="3">
        <f t="shared" si="3"/>
        <v>177775.18806792281</v>
      </c>
      <c r="E24" s="3">
        <f t="shared" si="3"/>
        <v>149455.94672210689</v>
      </c>
      <c r="F24" s="3">
        <f t="shared" si="3"/>
        <v>1330948.5950795833</v>
      </c>
      <c r="G24" s="3">
        <f t="shared" si="3"/>
        <v>1244543.5576765065</v>
      </c>
      <c r="H24" s="3">
        <f t="shared" si="3"/>
        <v>894915.06087782921</v>
      </c>
      <c r="I24" s="3">
        <f t="shared" si="3"/>
        <v>122794.11110087037</v>
      </c>
      <c r="J24" s="3">
        <f t="shared" si="3"/>
        <v>74998.656357580578</v>
      </c>
      <c r="K24" s="3"/>
      <c r="L24" s="3">
        <f>STDEV(L5:L20)</f>
        <v>131601.67794013384</v>
      </c>
      <c r="M24" s="3"/>
      <c r="N24" s="3" t="s">
        <v>1</v>
      </c>
      <c r="O24" s="3">
        <f>STDEV(O5:O20)</f>
        <v>1052579.6098417689</v>
      </c>
      <c r="P24" s="3">
        <f>STDEV(P5:P20)</f>
        <v>1438479.1861509774</v>
      </c>
      <c r="Q24" s="3">
        <f>STDEV(Q5:Q20)</f>
        <v>120080.65784544463</v>
      </c>
      <c r="R24" s="3">
        <f>STDEV(R5:R20)</f>
        <v>999396.43686138664</v>
      </c>
      <c r="S24" s="3">
        <f>STDEV(S5:S20)</f>
        <v>1466370.5964457178</v>
      </c>
      <c r="T24" s="3">
        <f t="shared" ref="T24:V24" si="4">STDEV(T5:T20)</f>
        <v>813527.45875652833</v>
      </c>
      <c r="U24" s="3">
        <f t="shared" si="4"/>
        <v>1220324.0861562551</v>
      </c>
      <c r="V24" s="3">
        <f t="shared" si="4"/>
        <v>832091.33468956465</v>
      </c>
    </row>
    <row r="25" spans="1:22" ht="15.75" thickBot="1" x14ac:dyDescent="0.3"/>
    <row r="26" spans="1:22" ht="15.75" thickBot="1" x14ac:dyDescent="0.3">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Amantadine-0,001mg/L</v>
      </c>
      <c r="J27" s="35" t="str">
        <f t="shared" si="5"/>
        <v>Amantadine-0,01mg/L</v>
      </c>
      <c r="K27" s="35" t="str">
        <f t="shared" si="5"/>
        <v>Amantadine-0,1mg/L</v>
      </c>
      <c r="L27" s="35" t="str">
        <f t="shared" si="5"/>
        <v>Amantadine-1mg/L</v>
      </c>
      <c r="M27" s="35" t="str">
        <f t="shared" si="5"/>
        <v>Amantadine-10mg/L</v>
      </c>
      <c r="N27" s="3"/>
      <c r="O27" s="36" t="str">
        <f>O4</f>
        <v>Testo -30µg/L</v>
      </c>
      <c r="P27" s="36" t="str">
        <f t="shared" ref="P27:V27" si="6">P4</f>
        <v>Testo 30µg/L + EE2 -64ng/L</v>
      </c>
      <c r="Q27" s="36" t="str">
        <f t="shared" si="6"/>
        <v>Testo 30µg/L + FAD-10µg/L</v>
      </c>
      <c r="R27" s="36" t="str">
        <f t="shared" si="6"/>
        <v>Amantadine-0,001mg/L + Testostérone</v>
      </c>
      <c r="S27" s="36" t="str">
        <f t="shared" si="6"/>
        <v>Amantadine-0,01mg/L + Testostérone</v>
      </c>
      <c r="T27" s="36" t="str">
        <f t="shared" si="6"/>
        <v>Amantadine-0,1mg/L + Testostérone</v>
      </c>
      <c r="U27" s="36" t="str">
        <f t="shared" si="6"/>
        <v>Amantadine-1mg/L + Testostérone</v>
      </c>
      <c r="V27" s="36" t="str">
        <f t="shared" si="6"/>
        <v>Amantadine-10mg/L + Testostérone</v>
      </c>
    </row>
    <row r="28" spans="1:22" x14ac:dyDescent="0.25">
      <c r="A28" s="227" t="s">
        <v>34</v>
      </c>
      <c r="B28" s="11">
        <f t="shared" ref="B28:M28" si="7">IF(B5="","",(B5/$O$23))</f>
        <v>0.10481421233343617</v>
      </c>
      <c r="C28" s="11">
        <f t="shared" si="7"/>
        <v>0.43430499134634953</v>
      </c>
      <c r="D28" s="11">
        <f t="shared" si="7"/>
        <v>0.27002445821359899</v>
      </c>
      <c r="E28" s="11">
        <f t="shared" si="7"/>
        <v>0.2021062222212503</v>
      </c>
      <c r="F28" s="11">
        <f t="shared" si="7"/>
        <v>0.11400213281668417</v>
      </c>
      <c r="G28" s="11">
        <f t="shared" si="7"/>
        <v>1.3079989124146372</v>
      </c>
      <c r="H28" s="11">
        <f t="shared" si="7"/>
        <v>2.1955017045287355</v>
      </c>
      <c r="I28" s="11">
        <f t="shared" si="7"/>
        <v>0.1774835752824136</v>
      </c>
      <c r="J28" s="11">
        <f t="shared" si="7"/>
        <v>0.10101044564175662</v>
      </c>
      <c r="K28" s="11" t="str">
        <f t="shared" si="7"/>
        <v/>
      </c>
      <c r="L28" s="11">
        <f t="shared" si="7"/>
        <v>1.7076153204369799E-2</v>
      </c>
      <c r="M28" s="11">
        <f t="shared" si="7"/>
        <v>0.20659242879697279</v>
      </c>
      <c r="N28" s="6"/>
      <c r="O28" s="11">
        <f t="shared" ref="O28:V39" si="8">IF(O5="","",(O5/$O$23))</f>
        <v>0.16596016156655258</v>
      </c>
      <c r="P28" s="11">
        <f t="shared" si="8"/>
        <v>1.9009083724003237</v>
      </c>
      <c r="Q28" s="11">
        <f t="shared" si="8"/>
        <v>0.13026328213763122</v>
      </c>
      <c r="R28" s="11">
        <f t="shared" si="8"/>
        <v>1.6497497332871853</v>
      </c>
      <c r="S28" s="11">
        <f t="shared" si="8"/>
        <v>2.5142106807980427</v>
      </c>
      <c r="T28" s="11">
        <f t="shared" si="8"/>
        <v>0.13016891982327239</v>
      </c>
      <c r="U28" s="11">
        <f t="shared" si="8"/>
        <v>0.13011929915631582</v>
      </c>
      <c r="V28" s="11">
        <f t="shared" si="8"/>
        <v>0.50290130724782034</v>
      </c>
    </row>
    <row r="29" spans="1:22" x14ac:dyDescent="0.25">
      <c r="A29" s="227"/>
      <c r="B29" s="11">
        <f t="shared" ref="B29:M29" si="9">IF(B6="","",(B6/$O$23))</f>
        <v>0.30023825394381887</v>
      </c>
      <c r="C29" s="11">
        <f t="shared" si="9"/>
        <v>8.4713482241102422E-2</v>
      </c>
      <c r="D29" s="11">
        <f t="shared" si="9"/>
        <v>0.35896856945291955</v>
      </c>
      <c r="E29" s="11">
        <f t="shared" si="9"/>
        <v>0.18675703432125201</v>
      </c>
      <c r="F29" s="11">
        <f t="shared" si="9"/>
        <v>0.47063084906206987</v>
      </c>
      <c r="G29" s="11">
        <f t="shared" si="9"/>
        <v>1.8494803920301213</v>
      </c>
      <c r="H29" s="11">
        <f t="shared" si="9"/>
        <v>3.238263618810743</v>
      </c>
      <c r="I29" s="11">
        <f t="shared" si="9"/>
        <v>0.11872190947745329</v>
      </c>
      <c r="J29" s="11">
        <f t="shared" si="9"/>
        <v>5.200744179897162E-2</v>
      </c>
      <c r="K29" s="11">
        <f t="shared" si="9"/>
        <v>4.5666584939052124E-2</v>
      </c>
      <c r="L29" s="11">
        <f t="shared" si="9"/>
        <v>0.17870042352104326</v>
      </c>
      <c r="M29" s="11">
        <f t="shared" si="9"/>
        <v>0.12103913233896933</v>
      </c>
      <c r="N29" s="6"/>
      <c r="O29" s="11">
        <f t="shared" si="8"/>
        <v>0.90450939333758751</v>
      </c>
      <c r="P29" s="11">
        <f t="shared" si="8"/>
        <v>0.58722862028164557</v>
      </c>
      <c r="Q29" s="11">
        <f t="shared" si="8"/>
        <v>0.1811972358257285</v>
      </c>
      <c r="R29" s="11">
        <f t="shared" si="8"/>
        <v>1.2252386989380848</v>
      </c>
      <c r="S29" s="11">
        <f t="shared" si="8"/>
        <v>0.16887470099222793</v>
      </c>
      <c r="T29" s="11">
        <f t="shared" si="8"/>
        <v>4.5078195942587974E-2</v>
      </c>
      <c r="U29" s="11">
        <f t="shared" si="8"/>
        <v>0.83792032684254436</v>
      </c>
      <c r="V29" s="11">
        <f t="shared" si="8"/>
        <v>1.0106795578714145</v>
      </c>
    </row>
    <row r="30" spans="1:22" x14ac:dyDescent="0.25">
      <c r="A30" s="227"/>
      <c r="B30" s="11">
        <f t="shared" ref="B30:M30" si="10">IF(B7="","",(B7/$O$23))</f>
        <v>6.4181945103015975E-2</v>
      </c>
      <c r="C30" s="11">
        <f t="shared" si="10"/>
        <v>3.6563787775687792E-2</v>
      </c>
      <c r="D30" s="11">
        <f t="shared" si="10"/>
        <v>1.4469303437395926E-2</v>
      </c>
      <c r="E30" s="11">
        <f t="shared" si="10"/>
        <v>0.25260490507974731</v>
      </c>
      <c r="F30" s="11">
        <f t="shared" si="10"/>
        <v>2.6039445703516009</v>
      </c>
      <c r="G30" s="11">
        <f t="shared" si="10"/>
        <v>0.88890379738867131</v>
      </c>
      <c r="H30" s="11">
        <f t="shared" si="10"/>
        <v>3.0211086317233278</v>
      </c>
      <c r="I30" s="11">
        <f t="shared" si="10"/>
        <v>0.17465000681955445</v>
      </c>
      <c r="J30" s="11">
        <f t="shared" si="10"/>
        <v>6.1316818726443865E-2</v>
      </c>
      <c r="K30" s="11" t="str">
        <f t="shared" si="10"/>
        <v/>
      </c>
      <c r="L30" s="11">
        <f t="shared" si="10"/>
        <v>0.14111743970313861</v>
      </c>
      <c r="M30" s="11">
        <f t="shared" si="10"/>
        <v>5.4248468908299104E-3</v>
      </c>
      <c r="N30" s="6"/>
      <c r="O30" s="11">
        <f t="shared" si="8"/>
        <v>1.7436783339503277</v>
      </c>
      <c r="P30" s="11">
        <f t="shared" si="8"/>
        <v>0.62926210040449226</v>
      </c>
      <c r="Q30" s="11">
        <f t="shared" si="8"/>
        <v>2.5462668773591102E-2</v>
      </c>
      <c r="R30" s="11">
        <f t="shared" si="8"/>
        <v>0.2038261285186071</v>
      </c>
      <c r="S30" s="11">
        <f t="shared" si="8"/>
        <v>1.9429823380045785</v>
      </c>
      <c r="T30" s="11">
        <f t="shared" si="8"/>
        <v>7.3679839041352543E-2</v>
      </c>
      <c r="U30" s="11">
        <f t="shared" si="8"/>
        <v>8.8755075183822793E-2</v>
      </c>
      <c r="V30" s="11">
        <f t="shared" si="8"/>
        <v>0.70647621816384387</v>
      </c>
    </row>
    <row r="31" spans="1:22" x14ac:dyDescent="0.25">
      <c r="A31" s="227"/>
      <c r="B31" s="11">
        <f t="shared" ref="B31:M31" si="11">IF(B8="","",(B8/$O$23))</f>
        <v>6.179049885891845E-2</v>
      </c>
      <c r="C31" s="11">
        <f t="shared" si="11"/>
        <v>7.9998273173107551E-2</v>
      </c>
      <c r="D31" s="11">
        <f t="shared" si="11"/>
        <v>0.1075400271303938</v>
      </c>
      <c r="E31" s="11">
        <f t="shared" si="11"/>
        <v>0.20813731324393459</v>
      </c>
      <c r="F31" s="11">
        <f t="shared" si="11"/>
        <v>1.7616231602532177</v>
      </c>
      <c r="G31" s="11">
        <f t="shared" si="11"/>
        <v>0.54406819045068067</v>
      </c>
      <c r="H31" s="11">
        <f t="shared" si="11"/>
        <v>4.1257841622513052</v>
      </c>
      <c r="I31" s="11">
        <f t="shared" si="11"/>
        <v>0.30866297119806113</v>
      </c>
      <c r="J31" s="11">
        <f t="shared" si="11"/>
        <v>0.10294606688876981</v>
      </c>
      <c r="K31" s="11">
        <f t="shared" si="11"/>
        <v>1.3274670309077381E-2</v>
      </c>
      <c r="L31" s="11">
        <f t="shared" si="11"/>
        <v>2.6270925076779167E-2</v>
      </c>
      <c r="M31" s="11">
        <f t="shared" si="11"/>
        <v>0.18979718254821909</v>
      </c>
      <c r="N31" s="6"/>
      <c r="O31" s="11">
        <f t="shared" si="8"/>
        <v>0.36376890184079808</v>
      </c>
      <c r="P31" s="11">
        <f t="shared" si="8"/>
        <v>1.2310185723581855</v>
      </c>
      <c r="Q31" s="11">
        <f t="shared" si="8"/>
        <v>8.9213183977294261E-2</v>
      </c>
      <c r="R31" s="11">
        <f t="shared" si="8"/>
        <v>0.68842343057719901</v>
      </c>
      <c r="S31" s="11">
        <f t="shared" si="8"/>
        <v>0.66987215252460142</v>
      </c>
      <c r="T31" s="11">
        <f t="shared" si="8"/>
        <v>0.55517823702047242</v>
      </c>
      <c r="U31" s="11">
        <f t="shared" si="8"/>
        <v>2.3138330848239907</v>
      </c>
      <c r="V31" s="11">
        <f t="shared" si="8"/>
        <v>1.2505846864780792</v>
      </c>
    </row>
    <row r="32" spans="1:22" x14ac:dyDescent="0.25">
      <c r="A32" s="227"/>
      <c r="B32" s="11">
        <f t="shared" ref="B32:M32" si="12">IF(B9="","",(B9/$O$23))</f>
        <v>0.10220943874499605</v>
      </c>
      <c r="C32" s="11">
        <f t="shared" si="12"/>
        <v>6.7478086143194158E-2</v>
      </c>
      <c r="D32" s="11">
        <f t="shared" si="12"/>
        <v>0.10756244985855828</v>
      </c>
      <c r="E32" s="11">
        <f t="shared" si="12"/>
        <v>0.45920190146949436</v>
      </c>
      <c r="F32" s="11">
        <f t="shared" si="12"/>
        <v>1.1723692278119011</v>
      </c>
      <c r="G32" s="11">
        <f t="shared" si="12"/>
        <v>1.4561579192328351</v>
      </c>
      <c r="H32" s="11">
        <f t="shared" si="12"/>
        <v>2.9650011525559106</v>
      </c>
      <c r="I32" s="11">
        <f t="shared" si="12"/>
        <v>9.8145319265184508E-2</v>
      </c>
      <c r="J32" s="11">
        <f t="shared" si="12"/>
        <v>3.5750963879725491E-2</v>
      </c>
      <c r="K32" s="11">
        <f t="shared" si="12"/>
        <v>0.16695278252353746</v>
      </c>
      <c r="L32" s="11">
        <f t="shared" si="12"/>
        <v>1.6849434508484529E-2</v>
      </c>
      <c r="M32" s="11">
        <f t="shared" si="12"/>
        <v>0.111428917141957</v>
      </c>
      <c r="N32" s="6"/>
      <c r="O32" s="11">
        <f t="shared" si="8"/>
        <v>0.10484099503652151</v>
      </c>
      <c r="P32" s="11">
        <f t="shared" si="8"/>
        <v>2.9632092028634327</v>
      </c>
      <c r="Q32" s="11">
        <f t="shared" si="8"/>
        <v>0.1544661257769441</v>
      </c>
      <c r="R32" s="11">
        <f t="shared" si="8"/>
        <v>0.46682272239546946</v>
      </c>
      <c r="S32" s="11">
        <f t="shared" si="8"/>
        <v>1.6567643100813061</v>
      </c>
      <c r="T32" s="11">
        <f t="shared" si="8"/>
        <v>1.0059195033470907</v>
      </c>
      <c r="U32" s="11">
        <f t="shared" si="8"/>
        <v>0.83396852862140847</v>
      </c>
      <c r="V32" s="11">
        <f t="shared" si="8"/>
        <v>1.7834215815325971</v>
      </c>
    </row>
    <row r="33" spans="1:22" x14ac:dyDescent="0.25">
      <c r="A33" s="227"/>
      <c r="B33" s="11">
        <f t="shared" ref="B33:M33" si="13">IF(B10="","",(B10/$O$23))</f>
        <v>0.11149182535152957</v>
      </c>
      <c r="C33" s="11">
        <f t="shared" si="13"/>
        <v>0.12730836103947452</v>
      </c>
      <c r="D33" s="11">
        <f t="shared" si="13"/>
        <v>8.4785525636223477E-2</v>
      </c>
      <c r="E33" s="11">
        <f t="shared" si="13"/>
        <v>0.24229397962759508</v>
      </c>
      <c r="F33" s="11">
        <f t="shared" si="13"/>
        <v>0.87071626581518635</v>
      </c>
      <c r="G33" s="11">
        <f t="shared" si="13"/>
        <v>2.5035360088667775</v>
      </c>
      <c r="H33" s="11">
        <f t="shared" si="13"/>
        <v>3.3803554090997694</v>
      </c>
      <c r="I33" s="11" t="str">
        <f t="shared" si="13"/>
        <v/>
      </c>
      <c r="J33" s="11">
        <f t="shared" si="13"/>
        <v>0.14893134523275225</v>
      </c>
      <c r="K33" s="11">
        <f t="shared" si="13"/>
        <v>0.24930855642171576</v>
      </c>
      <c r="L33" s="11">
        <f t="shared" si="13"/>
        <v>0.20101062280899151</v>
      </c>
      <c r="M33" s="11">
        <f t="shared" si="13"/>
        <v>9.9426113802653596E-3</v>
      </c>
      <c r="N33" s="6"/>
      <c r="O33" s="11">
        <f t="shared" si="8"/>
        <v>0.66183360447763628</v>
      </c>
      <c r="P33" s="11">
        <f t="shared" si="8"/>
        <v>2.6001995595124265</v>
      </c>
      <c r="Q33" s="11">
        <f t="shared" si="8"/>
        <v>6.2814470111762916E-2</v>
      </c>
      <c r="R33" s="11">
        <f t="shared" si="8"/>
        <v>0.33459236490603872</v>
      </c>
      <c r="S33" s="11">
        <f t="shared" si="8"/>
        <v>0.30087564075367945</v>
      </c>
      <c r="T33" s="11">
        <f t="shared" si="8"/>
        <v>0.13018220736588837</v>
      </c>
      <c r="U33" s="11">
        <f t="shared" si="8"/>
        <v>0.78347898094845991</v>
      </c>
      <c r="V33" s="11">
        <f t="shared" si="8"/>
        <v>0.21128106277973571</v>
      </c>
    </row>
    <row r="34" spans="1:22" x14ac:dyDescent="0.25">
      <c r="A34" s="227"/>
      <c r="B34" s="11">
        <f t="shared" ref="B34:M34" si="14">IF(B11="","",(B11/$O$23))</f>
        <v>5.5685392071506037E-2</v>
      </c>
      <c r="C34" s="11">
        <f t="shared" si="14"/>
        <v>2.6059777719897002E-2</v>
      </c>
      <c r="D34" s="11">
        <f t="shared" si="14"/>
        <v>0.20350743511367678</v>
      </c>
      <c r="E34" s="11">
        <f t="shared" si="14"/>
        <v>0.15723917363554449</v>
      </c>
      <c r="F34" s="11">
        <f t="shared" si="14"/>
        <v>1.0064787220351556</v>
      </c>
      <c r="G34" s="11">
        <f t="shared" si="14"/>
        <v>1.8016898764510449</v>
      </c>
      <c r="H34" s="11">
        <f t="shared" si="14"/>
        <v>3.450051892006273</v>
      </c>
      <c r="I34" s="11">
        <f t="shared" si="14"/>
        <v>0.2684754214095697</v>
      </c>
      <c r="J34" s="11">
        <f t="shared" si="14"/>
        <v>9.6774833815057529E-3</v>
      </c>
      <c r="K34" s="11">
        <f t="shared" si="14"/>
        <v>3.5032398489195336E-2</v>
      </c>
      <c r="L34" s="11">
        <f t="shared" si="14"/>
        <v>0.20343123936148824</v>
      </c>
      <c r="M34" s="11">
        <f t="shared" si="14"/>
        <v>4.9093006182222988E-2</v>
      </c>
      <c r="N34" s="6"/>
      <c r="O34" s="11">
        <f t="shared" si="8"/>
        <v>1.4254275702834187</v>
      </c>
      <c r="P34" s="11">
        <f t="shared" si="8"/>
        <v>2.1314862689441259</v>
      </c>
      <c r="Q34" s="11">
        <f t="shared" si="8"/>
        <v>3.8077114308936649E-2</v>
      </c>
      <c r="R34" s="11">
        <f t="shared" si="8"/>
        <v>1.738985339992644</v>
      </c>
      <c r="S34" s="11">
        <f t="shared" si="8"/>
        <v>0.55630975432136509</v>
      </c>
      <c r="T34" s="11">
        <f t="shared" si="8"/>
        <v>0.12474407293244248</v>
      </c>
      <c r="U34" s="11">
        <f t="shared" si="8"/>
        <v>0.26524177334325733</v>
      </c>
      <c r="V34" s="11">
        <f t="shared" si="8"/>
        <v>0.32984144556726341</v>
      </c>
    </row>
    <row r="35" spans="1:22" x14ac:dyDescent="0.25">
      <c r="A35" s="227"/>
      <c r="B35" s="11">
        <f t="shared" ref="B35:M35" si="15">IF(B12="","",(B12/$O$23))</f>
        <v>6.0378178411336435E-2</v>
      </c>
      <c r="C35" s="11">
        <f t="shared" si="15"/>
        <v>0.34031846530211546</v>
      </c>
      <c r="D35" s="11">
        <f t="shared" si="15"/>
        <v>0.1656323329760738</v>
      </c>
      <c r="E35" s="11">
        <f t="shared" si="15"/>
        <v>0.26608594753507925</v>
      </c>
      <c r="F35" s="11">
        <f t="shared" si="15"/>
        <v>0.25550594934495324</v>
      </c>
      <c r="G35" s="11">
        <f t="shared" si="15"/>
        <v>2.8574746205859864</v>
      </c>
      <c r="H35" s="11">
        <f t="shared" si="15"/>
        <v>3.5747197691865273</v>
      </c>
      <c r="I35" s="11">
        <f t="shared" si="15"/>
        <v>0.22439399878103411</v>
      </c>
      <c r="J35" s="11">
        <f t="shared" si="15"/>
        <v>0.1191172138702789</v>
      </c>
      <c r="K35" s="11">
        <f t="shared" si="15"/>
        <v>2.5138992540179803E-2</v>
      </c>
      <c r="L35" s="11">
        <f t="shared" si="15"/>
        <v>0.11873997223069689</v>
      </c>
      <c r="M35" s="11">
        <f t="shared" si="15"/>
        <v>2.7119666861375308E-2</v>
      </c>
      <c r="N35" s="6"/>
      <c r="O35" s="11" t="str">
        <f t="shared" si="8"/>
        <v/>
      </c>
      <c r="P35" s="11">
        <f t="shared" si="8"/>
        <v>1.0572488652369403</v>
      </c>
      <c r="Q35" s="11">
        <f t="shared" si="8"/>
        <v>0.24015177861647399</v>
      </c>
      <c r="R35" s="11">
        <f t="shared" si="8"/>
        <v>1.4903326483697392</v>
      </c>
      <c r="S35" s="11" t="str">
        <f t="shared" si="8"/>
        <v/>
      </c>
      <c r="T35" s="11">
        <f t="shared" si="8"/>
        <v>1.3796445117286236</v>
      </c>
      <c r="U35" s="11">
        <f t="shared" si="8"/>
        <v>1.5258992475956681</v>
      </c>
      <c r="V35" s="11">
        <f t="shared" si="8"/>
        <v>0.74174197912023254</v>
      </c>
    </row>
    <row r="36" spans="1:22" x14ac:dyDescent="0.2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1.1383292426618372</v>
      </c>
      <c r="P36" s="11" t="str">
        <f t="shared" si="8"/>
        <v/>
      </c>
      <c r="Q36" s="11" t="str">
        <f t="shared" si="8"/>
        <v/>
      </c>
      <c r="R36" s="11" t="str">
        <f t="shared" si="8"/>
        <v/>
      </c>
      <c r="S36" s="11" t="str">
        <f t="shared" si="8"/>
        <v/>
      </c>
      <c r="T36" s="11" t="str">
        <f t="shared" si="8"/>
        <v/>
      </c>
      <c r="U36" s="11" t="str">
        <f t="shared" si="8"/>
        <v/>
      </c>
      <c r="V36" s="11" t="str">
        <f t="shared" si="8"/>
        <v/>
      </c>
    </row>
    <row r="37" spans="1:22" x14ac:dyDescent="0.2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1.5475897075912923</v>
      </c>
      <c r="P37" s="11" t="str">
        <f t="shared" si="8"/>
        <v/>
      </c>
      <c r="Q37" s="11" t="str">
        <f t="shared" si="8"/>
        <v/>
      </c>
      <c r="R37" s="11" t="str">
        <f t="shared" si="8"/>
        <v/>
      </c>
      <c r="S37" s="11" t="str">
        <f t="shared" si="8"/>
        <v/>
      </c>
      <c r="T37" s="11" t="str">
        <f t="shared" si="8"/>
        <v/>
      </c>
      <c r="U37" s="11" t="str">
        <f t="shared" si="8"/>
        <v/>
      </c>
      <c r="V37" s="11" t="str">
        <f t="shared" si="8"/>
        <v/>
      </c>
    </row>
    <row r="38" spans="1:22" x14ac:dyDescent="0.2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2.0395314912130176</v>
      </c>
      <c r="P38" s="11" t="str">
        <f t="shared" si="8"/>
        <v/>
      </c>
      <c r="Q38" s="11" t="str">
        <f t="shared" si="8"/>
        <v/>
      </c>
      <c r="R38" s="11" t="str">
        <f t="shared" si="8"/>
        <v/>
      </c>
      <c r="S38" s="11" t="str">
        <f t="shared" si="8"/>
        <v/>
      </c>
      <c r="T38" s="11" t="str">
        <f t="shared" si="8"/>
        <v/>
      </c>
      <c r="U38" s="11" t="str">
        <f t="shared" si="8"/>
        <v/>
      </c>
      <c r="V38" s="11" t="str">
        <f t="shared" si="8"/>
        <v/>
      </c>
    </row>
    <row r="39" spans="1:22" x14ac:dyDescent="0.2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0.14681634216042325</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2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1.5044784831915772</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2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0.66113310184034968</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2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0.7547517290484036</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2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1.8373509418002594</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Amantadine-0,001mg/L</v>
      </c>
      <c r="J45" s="7" t="str">
        <f t="shared" si="26"/>
        <v>Amantadine-0,01mg/L</v>
      </c>
      <c r="K45" s="7" t="str">
        <f t="shared" si="26"/>
        <v>Amantadine-0,1mg/L</v>
      </c>
      <c r="L45" s="7" t="str">
        <f t="shared" si="26"/>
        <v>Amantadine-1mg/L</v>
      </c>
      <c r="M45" s="7" t="str">
        <f t="shared" si="26"/>
        <v>Amantadine-10mg/L</v>
      </c>
      <c r="N45" s="7"/>
      <c r="O45" s="7" t="str">
        <f t="shared" si="26"/>
        <v>Testo -30µg/L</v>
      </c>
      <c r="P45" s="7" t="str">
        <f t="shared" si="26"/>
        <v>Testo 30µg/L + EE2 -64ng/L</v>
      </c>
      <c r="Q45" s="7" t="str">
        <f t="shared" si="26"/>
        <v>Testo 30µg/L + FAD-10µg/L</v>
      </c>
      <c r="R45" s="7" t="str">
        <f t="shared" si="26"/>
        <v>Amantadine-0,001mg/L + Testostérone</v>
      </c>
      <c r="S45" s="7" t="str">
        <f t="shared" si="26"/>
        <v>Amantadine-0,01mg/L + Testostérone</v>
      </c>
      <c r="T45" s="7" t="str">
        <f t="shared" si="26"/>
        <v>Amantadine-0,1mg/L + Testostérone</v>
      </c>
      <c r="U45" s="7" t="str">
        <f t="shared" si="26"/>
        <v>Amantadine-1mg/L + Testostérone</v>
      </c>
      <c r="V45" s="7" t="str">
        <f t="shared" si="26"/>
        <v>Amantadine-10mg/L + Testostérone</v>
      </c>
    </row>
    <row r="46" spans="1:22" x14ac:dyDescent="0.25">
      <c r="A46" s="8" t="s">
        <v>0</v>
      </c>
      <c r="B46" s="10">
        <f t="shared" ref="B46:H46" si="27">AVERAGE(B28:B43)</f>
        <v>0.10759871810231968</v>
      </c>
      <c r="C46" s="10">
        <f t="shared" si="27"/>
        <v>0.14959315309261606</v>
      </c>
      <c r="D46" s="10">
        <f t="shared" si="27"/>
        <v>0.16406126272735508</v>
      </c>
      <c r="E46" s="10">
        <f t="shared" si="27"/>
        <v>0.24680330964173716</v>
      </c>
      <c r="F46" s="10">
        <f t="shared" si="27"/>
        <v>1.0319088596863462</v>
      </c>
      <c r="G46" s="10">
        <f t="shared" si="27"/>
        <v>1.6511637146775942</v>
      </c>
      <c r="H46" s="10">
        <f t="shared" si="27"/>
        <v>3.2438482925203238</v>
      </c>
      <c r="I46" s="10">
        <f>AVERAGE(I28:I43)</f>
        <v>0.19579045746189583</v>
      </c>
      <c r="J46" s="9">
        <f>AVERAGE(J28:J43)</f>
        <v>7.8844722427525549E-2</v>
      </c>
      <c r="K46" s="9">
        <f t="shared" ref="K46:M46" si="28">AVERAGE(K28:K43)</f>
        <v>8.922899753712632E-2</v>
      </c>
      <c r="L46" s="9">
        <f t="shared" si="28"/>
        <v>0.112899526301874</v>
      </c>
      <c r="M46" s="9">
        <f t="shared" si="28"/>
        <v>9.0054724017601478E-2</v>
      </c>
      <c r="N46" s="8" t="s">
        <v>0</v>
      </c>
      <c r="O46" s="10">
        <f t="shared" ref="O46:V46" si="29">AVERAGE(O28:O43)</f>
        <v>1.0000000000000002</v>
      </c>
      <c r="P46" s="10">
        <f t="shared" si="29"/>
        <v>1.6375701952501966</v>
      </c>
      <c r="Q46" s="10">
        <f t="shared" si="29"/>
        <v>0.11520573244104534</v>
      </c>
      <c r="R46" s="10">
        <f t="shared" si="29"/>
        <v>0.97474638337312092</v>
      </c>
      <c r="S46" s="10">
        <f t="shared" si="29"/>
        <v>1.1156985110679718</v>
      </c>
      <c r="T46" s="10">
        <f t="shared" si="29"/>
        <v>0.43057443590021627</v>
      </c>
      <c r="U46" s="10">
        <f t="shared" si="29"/>
        <v>0.8474020395644335</v>
      </c>
      <c r="V46" s="10">
        <f t="shared" si="29"/>
        <v>0.8171159798451233</v>
      </c>
    </row>
    <row r="47" spans="1:22" x14ac:dyDescent="0.25">
      <c r="A47" s="8" t="s">
        <v>1</v>
      </c>
      <c r="B47" s="8">
        <f t="shared" ref="B47:M47" si="30">STDEV(B28:B43)</f>
        <v>8.1126115905918991E-2</v>
      </c>
      <c r="C47" s="8">
        <f t="shared" si="30"/>
        <v>0.1520175849752386</v>
      </c>
      <c r="D47" s="8">
        <f t="shared" si="30"/>
        <v>0.11072790878988559</v>
      </c>
      <c r="E47" s="8">
        <f t="shared" si="30"/>
        <v>9.3089168497622776E-2</v>
      </c>
      <c r="F47" s="8">
        <f t="shared" si="30"/>
        <v>0.82898607078785047</v>
      </c>
      <c r="G47" s="8">
        <f t="shared" si="30"/>
        <v>0.77516838562866475</v>
      </c>
      <c r="H47" s="8">
        <f t="shared" si="30"/>
        <v>0.55740103167667487</v>
      </c>
      <c r="I47" s="8">
        <f t="shared" si="30"/>
        <v>7.6482749261484878E-2</v>
      </c>
      <c r="J47" s="8">
        <f t="shared" si="30"/>
        <v>4.6713180116863456E-2</v>
      </c>
      <c r="K47" s="8">
        <f t="shared" si="30"/>
        <v>9.6309911878476775E-2</v>
      </c>
      <c r="L47" s="8">
        <f t="shared" si="30"/>
        <v>8.1968573623353524E-2</v>
      </c>
      <c r="M47" s="8">
        <f t="shared" si="30"/>
        <v>7.9431313365439599E-2</v>
      </c>
      <c r="N47" s="8" t="s">
        <v>1</v>
      </c>
      <c r="O47" s="8">
        <f t="shared" ref="O47:V47" si="31">STDEV(O28:O43)</f>
        <v>0.65560295730426832</v>
      </c>
      <c r="P47" s="8">
        <f t="shared" si="31"/>
        <v>0.89596188225894646</v>
      </c>
      <c r="Q47" s="8">
        <f t="shared" si="31"/>
        <v>7.4792665241111847E-2</v>
      </c>
      <c r="R47" s="8">
        <f t="shared" si="31"/>
        <v>0.62247762867472778</v>
      </c>
      <c r="S47" s="8">
        <f t="shared" si="31"/>
        <v>0.91333414645791522</v>
      </c>
      <c r="T47" s="8">
        <f t="shared" si="31"/>
        <v>0.5067084739454375</v>
      </c>
      <c r="U47" s="8">
        <f t="shared" si="31"/>
        <v>0.76008320156794495</v>
      </c>
      <c r="V47" s="8">
        <f t="shared" si="31"/>
        <v>0.51827105016003594</v>
      </c>
    </row>
    <row r="48" spans="1:22" x14ac:dyDescent="0.25">
      <c r="A48" s="8" t="s">
        <v>2</v>
      </c>
      <c r="B48" s="8">
        <f t="shared" ref="B48:M48" si="32" xml:space="preserve"> B47/SQRT(COUNT(B28:B43))</f>
        <v>2.8682413344200575E-2</v>
      </c>
      <c r="C48" s="8">
        <f t="shared" si="32"/>
        <v>5.3746332597796716E-2</v>
      </c>
      <c r="D48" s="8">
        <f t="shared" si="32"/>
        <v>3.9148227585966811E-2</v>
      </c>
      <c r="E48" s="8">
        <f t="shared" si="32"/>
        <v>3.2911991149843098E-2</v>
      </c>
      <c r="F48" s="8">
        <f t="shared" si="32"/>
        <v>0.29309083608164016</v>
      </c>
      <c r="G48" s="8">
        <f t="shared" si="32"/>
        <v>0.27406341101972875</v>
      </c>
      <c r="H48" s="8">
        <f t="shared" si="32"/>
        <v>0.19707102466947718</v>
      </c>
      <c r="I48" s="8">
        <f t="shared" si="32"/>
        <v>2.8907762018913992E-2</v>
      </c>
      <c r="J48" s="8">
        <f t="shared" si="32"/>
        <v>1.6515603215711373E-2</v>
      </c>
      <c r="K48" s="8">
        <f t="shared" si="32"/>
        <v>3.9318356879113441E-2</v>
      </c>
      <c r="L48" s="8">
        <f t="shared" si="32"/>
        <v>2.8980267126631022E-2</v>
      </c>
      <c r="M48" s="8">
        <f t="shared" si="32"/>
        <v>2.8083210159627992E-2</v>
      </c>
      <c r="N48" s="8" t="s">
        <v>2</v>
      </c>
      <c r="O48" s="8">
        <f t="shared" ref="O48:V48" si="33" xml:space="preserve"> O47/SQRT(COUNT(O28:O43))</f>
        <v>0.16927595569091755</v>
      </c>
      <c r="P48" s="8">
        <f t="shared" si="33"/>
        <v>0.31677036131498204</v>
      </c>
      <c r="Q48" s="8">
        <f t="shared" si="33"/>
        <v>2.6443200387502783E-2</v>
      </c>
      <c r="R48" s="8">
        <f t="shared" si="33"/>
        <v>0.22007907618641084</v>
      </c>
      <c r="S48" s="8">
        <f t="shared" si="33"/>
        <v>0.34520785934729825</v>
      </c>
      <c r="T48" s="8">
        <f t="shared" si="33"/>
        <v>0.17914849900575294</v>
      </c>
      <c r="U48" s="8">
        <f t="shared" si="33"/>
        <v>0.26872999304733763</v>
      </c>
      <c r="V48" s="8">
        <f t="shared" si="33"/>
        <v>0.18323648703041734</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75" thickBot="1" x14ac:dyDescent="0.3"/>
    <row r="52" spans="1:22" x14ac:dyDescent="0.2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Amantadine-0,001mg/L</v>
      </c>
      <c r="J52" s="46" t="str">
        <f>J4</f>
        <v>Amantadine-0,01mg/L</v>
      </c>
      <c r="K52" s="46" t="str">
        <f t="shared" ref="K52:M52" si="35">K4</f>
        <v>Amantadine-0,1mg/L</v>
      </c>
      <c r="L52" s="46" t="str">
        <f t="shared" si="35"/>
        <v>Amantadine-1mg/L</v>
      </c>
      <c r="M52" s="46" t="str">
        <f t="shared" si="35"/>
        <v>Amantadine-10mg/L</v>
      </c>
      <c r="N52" s="47"/>
      <c r="O52" s="46" t="str">
        <f>O27</f>
        <v>Testo -30µg/L</v>
      </c>
      <c r="P52" s="46" t="str">
        <f>P27</f>
        <v>Testo 30µg/L + EE2 -64ng/L</v>
      </c>
      <c r="Q52" s="46" t="str">
        <f>Q27</f>
        <v>Testo 30µg/L + FAD-10µg/L</v>
      </c>
      <c r="R52" s="46" t="str">
        <f>R27</f>
        <v>Amantadine-0,001mg/L + Testostérone</v>
      </c>
      <c r="S52" s="46" t="str">
        <f t="shared" ref="S52:V52" si="36">S27</f>
        <v>Amantadine-0,01mg/L + Testostérone</v>
      </c>
      <c r="T52" s="46" t="str">
        <f t="shared" si="36"/>
        <v>Amantadine-0,1mg/L + Testostérone</v>
      </c>
      <c r="U52" s="46" t="str">
        <f t="shared" si="36"/>
        <v>Amantadine-1mg/L + Testostérone</v>
      </c>
      <c r="V52" s="46" t="str">
        <f t="shared" si="36"/>
        <v>Amantadine-10mg/L + Testostérone</v>
      </c>
    </row>
    <row r="53" spans="1:22" s="3" customFormat="1" x14ac:dyDescent="0.25">
      <c r="A53" s="61" t="s">
        <v>32</v>
      </c>
      <c r="B53" s="141">
        <f t="shared" ref="B53:V53" si="37">B46</f>
        <v>0.10759871810231968</v>
      </c>
      <c r="C53" s="141">
        <f t="shared" si="37"/>
        <v>0.14959315309261606</v>
      </c>
      <c r="D53" s="141">
        <f t="shared" si="37"/>
        <v>0.16406126272735508</v>
      </c>
      <c r="E53" s="141">
        <f t="shared" si="37"/>
        <v>0.24680330964173716</v>
      </c>
      <c r="F53" s="141">
        <f t="shared" si="37"/>
        <v>1.0319088596863462</v>
      </c>
      <c r="G53" s="141">
        <f t="shared" si="37"/>
        <v>1.6511637146775942</v>
      </c>
      <c r="H53" s="141">
        <f t="shared" si="37"/>
        <v>3.2438482925203238</v>
      </c>
      <c r="I53" s="141">
        <f t="shared" si="37"/>
        <v>0.19579045746189583</v>
      </c>
      <c r="J53" s="141">
        <f t="shared" si="37"/>
        <v>7.8844722427525549E-2</v>
      </c>
      <c r="K53" s="141">
        <f t="shared" si="37"/>
        <v>8.922899753712632E-2</v>
      </c>
      <c r="L53" s="141">
        <f t="shared" si="37"/>
        <v>0.112899526301874</v>
      </c>
      <c r="M53" s="141">
        <f t="shared" si="37"/>
        <v>9.0054724017601478E-2</v>
      </c>
      <c r="N53" s="141"/>
      <c r="O53" s="141">
        <f t="shared" si="37"/>
        <v>1.0000000000000002</v>
      </c>
      <c r="P53" s="141">
        <f t="shared" si="37"/>
        <v>1.6375701952501966</v>
      </c>
      <c r="Q53" s="141">
        <f t="shared" si="37"/>
        <v>0.11520573244104534</v>
      </c>
      <c r="R53" s="141">
        <f t="shared" si="37"/>
        <v>0.97474638337312092</v>
      </c>
      <c r="S53" s="141">
        <f t="shared" si="37"/>
        <v>1.1156985110679718</v>
      </c>
      <c r="T53" s="141">
        <f t="shared" si="37"/>
        <v>0.43057443590021627</v>
      </c>
      <c r="U53" s="141">
        <f t="shared" si="37"/>
        <v>0.8474020395644335</v>
      </c>
      <c r="V53" s="141">
        <f t="shared" si="37"/>
        <v>0.8171159798451233</v>
      </c>
    </row>
    <row r="54" spans="1:22" s="3" customFormat="1" x14ac:dyDescent="0.25">
      <c r="A54" s="61" t="s">
        <v>2</v>
      </c>
      <c r="B54" s="141">
        <f t="shared" ref="B54:V54" si="38">B48</f>
        <v>2.8682413344200575E-2</v>
      </c>
      <c r="C54" s="141">
        <f t="shared" si="38"/>
        <v>5.3746332597796716E-2</v>
      </c>
      <c r="D54" s="141">
        <f t="shared" si="38"/>
        <v>3.9148227585966811E-2</v>
      </c>
      <c r="E54" s="141">
        <f t="shared" si="38"/>
        <v>3.2911991149843098E-2</v>
      </c>
      <c r="F54" s="141">
        <f t="shared" si="38"/>
        <v>0.29309083608164016</v>
      </c>
      <c r="G54" s="141">
        <f t="shared" si="38"/>
        <v>0.27406341101972875</v>
      </c>
      <c r="H54" s="141">
        <f t="shared" si="38"/>
        <v>0.19707102466947718</v>
      </c>
      <c r="I54" s="141">
        <f t="shared" si="38"/>
        <v>2.8907762018913992E-2</v>
      </c>
      <c r="J54" s="141">
        <f t="shared" si="38"/>
        <v>1.6515603215711373E-2</v>
      </c>
      <c r="K54" s="141">
        <f t="shared" si="38"/>
        <v>3.9318356879113441E-2</v>
      </c>
      <c r="L54" s="141">
        <f t="shared" si="38"/>
        <v>2.8980267126631022E-2</v>
      </c>
      <c r="M54" s="141">
        <f t="shared" si="38"/>
        <v>2.8083210159627992E-2</v>
      </c>
      <c r="N54" s="141"/>
      <c r="O54" s="141">
        <f t="shared" si="38"/>
        <v>0.16927595569091755</v>
      </c>
      <c r="P54" s="141">
        <f t="shared" si="38"/>
        <v>0.31677036131498204</v>
      </c>
      <c r="Q54" s="141">
        <f t="shared" si="38"/>
        <v>2.6443200387502783E-2</v>
      </c>
      <c r="R54" s="141">
        <f t="shared" si="38"/>
        <v>0.22007907618641084</v>
      </c>
      <c r="S54" s="141">
        <f t="shared" si="38"/>
        <v>0.34520785934729825</v>
      </c>
      <c r="T54" s="141">
        <f t="shared" si="38"/>
        <v>0.17914849900575294</v>
      </c>
      <c r="U54" s="141">
        <f t="shared" si="38"/>
        <v>0.26872999304733763</v>
      </c>
      <c r="V54" s="141">
        <f t="shared" si="38"/>
        <v>0.18323648703041734</v>
      </c>
    </row>
    <row r="55" spans="1:22" s="3" customFormat="1" x14ac:dyDescent="0.25">
      <c r="A55" s="61" t="s">
        <v>79</v>
      </c>
      <c r="B55" s="141">
        <f>(B53*100/$B53)-100</f>
        <v>0</v>
      </c>
      <c r="C55" s="141">
        <f t="shared" ref="C55:M55" si="39">(C53*100/$B53)-100</f>
        <v>39.028750277826077</v>
      </c>
      <c r="D55" s="141">
        <f t="shared" si="39"/>
        <v>52.475109016952274</v>
      </c>
      <c r="E55" s="141">
        <f t="shared" si="39"/>
        <v>129.37383827104946</v>
      </c>
      <c r="F55" s="141">
        <f t="shared" si="39"/>
        <v>859.03452930086507</v>
      </c>
      <c r="G55" s="141">
        <f t="shared" si="39"/>
        <v>1434.5570503055997</v>
      </c>
      <c r="H55" s="141">
        <f t="shared" si="39"/>
        <v>2914.7648129372938</v>
      </c>
      <c r="I55" s="141">
        <f t="shared" si="39"/>
        <v>81.963559524669506</v>
      </c>
      <c r="J55" s="141">
        <f t="shared" si="39"/>
        <v>-26.723362677472494</v>
      </c>
      <c r="K55" s="141">
        <f t="shared" si="39"/>
        <v>-17.072434401797338</v>
      </c>
      <c r="L55" s="141">
        <f t="shared" si="39"/>
        <v>4.9264603640664149</v>
      </c>
      <c r="M55" s="141">
        <f t="shared" si="39"/>
        <v>-16.305021466923932</v>
      </c>
      <c r="N55" s="141"/>
      <c r="O55" s="141">
        <f>(O53*100/$O53)-100</f>
        <v>0</v>
      </c>
      <c r="P55" s="141">
        <f t="shared" ref="P55:V55" si="40">(P53*100/$O53)-100</f>
        <v>63.757019525019643</v>
      </c>
      <c r="Q55" s="141">
        <f t="shared" si="40"/>
        <v>-88.479426755895474</v>
      </c>
      <c r="R55" s="141">
        <f t="shared" si="40"/>
        <v>-2.525361662687942</v>
      </c>
      <c r="S55" s="141">
        <f t="shared" si="40"/>
        <v>11.569851106797145</v>
      </c>
      <c r="T55" s="141">
        <f t="shared" si="40"/>
        <v>-56.94255640997838</v>
      </c>
      <c r="U55" s="141">
        <f t="shared" si="40"/>
        <v>-15.259796043556662</v>
      </c>
      <c r="V55" s="141">
        <f t="shared" si="40"/>
        <v>-18.288402015487691</v>
      </c>
    </row>
    <row r="56" spans="1:22" s="3" customFormat="1" x14ac:dyDescent="0.25">
      <c r="A56" s="61" t="s">
        <v>81</v>
      </c>
      <c r="B56" s="141">
        <f>[1]!SWTEST(B28:B43)</f>
        <v>7.0568652166280721E-4</v>
      </c>
      <c r="C56" s="141">
        <f>[1]!SWTEST(C28:C43)</f>
        <v>1.4970682203825803E-2</v>
      </c>
      <c r="D56" s="141">
        <f>[1]!SWTEST(D28:D43)</f>
        <v>0.81517891230213213</v>
      </c>
      <c r="E56" s="141">
        <f>[1]!SWTEST(E28:E43)</f>
        <v>2.1036090074343483E-2</v>
      </c>
      <c r="F56" s="141">
        <f>[1]!SWTEST(F28:F43)</f>
        <v>0.50314396910656867</v>
      </c>
      <c r="G56" s="141">
        <f>[1]!SWTEST(G28:G43)</f>
        <v>0.93216894295336605</v>
      </c>
      <c r="H56" s="141">
        <f>[1]!SWTEST(H28:H43)</f>
        <v>0.79714431794402851</v>
      </c>
      <c r="I56" s="141">
        <f>[1]!SWTEST(I28:I43)</f>
        <v>0.82008002570119853</v>
      </c>
      <c r="J56" s="141">
        <f>[1]!SWTEST(J28:J43)</f>
        <v>0.90595192481421205</v>
      </c>
      <c r="K56" s="141">
        <f>[1]!SWTEST(K28:K43)</f>
        <v>5.7677118265051175E-2</v>
      </c>
      <c r="L56" s="141">
        <f>[1]!SWTEST(L28:L43)</f>
        <v>7.9416604392448242E-2</v>
      </c>
      <c r="M56" s="141">
        <f>[1]!SWTEST(M28:M43)</f>
        <v>0.248548796822744</v>
      </c>
      <c r="N56" s="141"/>
      <c r="O56" s="141">
        <f>[1]!SWTEST(O28:O43)</f>
        <v>0.30040993181233611</v>
      </c>
      <c r="P56" s="141">
        <f>[1]!SWTEST(P28:P43)</f>
        <v>0.52316600162239113</v>
      </c>
      <c r="Q56" s="141">
        <f>[1]!SWTEST(Q28:Q43)</f>
        <v>0.77676907799031158</v>
      </c>
      <c r="R56" s="141">
        <f>[1]!SWTEST(R28:R43)</f>
        <v>0.23807375660279939</v>
      </c>
      <c r="S56" s="141">
        <f>[1]!SWTEST(S28:S43)</f>
        <v>0.29143732000379141</v>
      </c>
      <c r="T56" s="141">
        <f>[1]!SWTEST(T28:T43)</f>
        <v>1.4167808113703662E-2</v>
      </c>
      <c r="U56" s="141">
        <f>[1]!SWTEST(U28:U43)</f>
        <v>0.20628801771286331</v>
      </c>
      <c r="V56" s="141">
        <f>[1]!SWTEST(V28:V43)</f>
        <v>0.66666400476638454</v>
      </c>
    </row>
    <row r="57" spans="1:22" s="3" customFormat="1" x14ac:dyDescent="0.25">
      <c r="A57" s="61" t="s">
        <v>85</v>
      </c>
      <c r="B57" s="141" t="str">
        <f>IF(B56&gt;0.05,"Oui","Non")</f>
        <v>Non</v>
      </c>
      <c r="C57" s="141" t="str">
        <f t="shared" ref="C57:V57" si="41">IF(C56&gt;0.05,"Oui","Non")</f>
        <v>Non</v>
      </c>
      <c r="D57" s="141" t="str">
        <f t="shared" si="41"/>
        <v>Oui</v>
      </c>
      <c r="E57" s="141" t="str">
        <f t="shared" si="41"/>
        <v>Non</v>
      </c>
      <c r="F57" s="141" t="str">
        <f t="shared" si="41"/>
        <v>Oui</v>
      </c>
      <c r="G57" s="141" t="str">
        <f t="shared" si="41"/>
        <v>Oui</v>
      </c>
      <c r="H57" s="141" t="str">
        <f t="shared" si="41"/>
        <v>Oui</v>
      </c>
      <c r="I57" s="141" t="str">
        <f t="shared" si="41"/>
        <v>Oui</v>
      </c>
      <c r="J57" s="141" t="str">
        <f t="shared" si="41"/>
        <v>Oui</v>
      </c>
      <c r="K57" s="141" t="str">
        <f t="shared" si="41"/>
        <v>Oui</v>
      </c>
      <c r="L57" s="141" t="str">
        <f t="shared" si="41"/>
        <v>Oui</v>
      </c>
      <c r="M57" s="141" t="str">
        <f t="shared" si="41"/>
        <v>Oui</v>
      </c>
      <c r="N57" s="141"/>
      <c r="O57" s="141" t="str">
        <f t="shared" si="41"/>
        <v>Oui</v>
      </c>
      <c r="P57" s="141" t="str">
        <f t="shared" si="41"/>
        <v>Oui</v>
      </c>
      <c r="Q57" s="141" t="str">
        <f t="shared" si="41"/>
        <v>Oui</v>
      </c>
      <c r="R57" s="141" t="str">
        <f t="shared" si="41"/>
        <v>Oui</v>
      </c>
      <c r="S57" s="141" t="str">
        <f t="shared" si="41"/>
        <v>Oui</v>
      </c>
      <c r="T57" s="141" t="str">
        <f t="shared" si="41"/>
        <v>Non</v>
      </c>
      <c r="U57" s="141" t="str">
        <f t="shared" si="41"/>
        <v>Oui</v>
      </c>
      <c r="V57" s="141" t="str">
        <f t="shared" si="41"/>
        <v>Oui</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4242</v>
      </c>
      <c r="D59" s="150" t="s">
        <v>4242</v>
      </c>
      <c r="E59" s="150" t="s">
        <v>4242</v>
      </c>
      <c r="F59" s="150" t="s">
        <v>4242</v>
      </c>
      <c r="G59" s="150" t="s">
        <v>4242</v>
      </c>
      <c r="H59" s="150" t="s">
        <v>4242</v>
      </c>
      <c r="I59" s="150" t="s">
        <v>4242</v>
      </c>
      <c r="J59" s="150" t="s">
        <v>4242</v>
      </c>
      <c r="K59" s="150" t="s">
        <v>4242</v>
      </c>
      <c r="L59" s="150" t="s">
        <v>4242</v>
      </c>
      <c r="M59" s="150" t="s">
        <v>4242</v>
      </c>
      <c r="N59" s="150"/>
      <c r="O59" s="150" t="str">
        <f t="shared" ref="O59" si="42">IF($B57="Non",IF(O57="Non","MW",IF(O57="Oui","MW","")),IF($B57="Oui",IF(O57="Oui","T-Test Welch",IF(O57="Non","MW",""))))</f>
        <v>MW</v>
      </c>
      <c r="P59" s="150" t="str">
        <f>IF($O57="Non",IF(P57="Non","MW",IF(P57="Oui","MW","")),IF($O57="Oui",IF(P57="Oui","T-Test Welch",IF(P57="Non","MW",""))))</f>
        <v>T-Test Welch</v>
      </c>
      <c r="Q59" s="150" t="str">
        <f t="shared" ref="Q59" si="43">IF($O57="Non",IF(Q57="Non","MW",IF(Q57="Oui","MW","")),IF($O57="Oui",IF(Q57="Oui","T-Test Welch",IF(Q57="Non","MW",""))))</f>
        <v>T-Test Welch</v>
      </c>
      <c r="R59" s="150" t="s">
        <v>4243</v>
      </c>
      <c r="S59" s="150" t="s">
        <v>4243</v>
      </c>
      <c r="T59" s="150" t="s">
        <v>4243</v>
      </c>
      <c r="U59" s="150" t="s">
        <v>4243</v>
      </c>
      <c r="V59" s="150" t="s">
        <v>4243</v>
      </c>
    </row>
    <row r="60" spans="1:22" s="3" customFormat="1" ht="15.75" x14ac:dyDescent="0.25">
      <c r="A60" s="61" t="s">
        <v>83</v>
      </c>
      <c r="B60" s="151"/>
      <c r="C60" s="196">
        <v>0.99990000000000001</v>
      </c>
      <c r="D60" s="196">
        <v>0.99990000000000001</v>
      </c>
      <c r="E60" s="196">
        <v>0.62519999999999998</v>
      </c>
      <c r="F60" s="196">
        <v>1.8599999999999998E-2</v>
      </c>
      <c r="G60" s="196">
        <v>8.0000000000000004E-4</v>
      </c>
      <c r="H60" s="196">
        <v>1E-4</v>
      </c>
      <c r="I60" s="196">
        <v>0.37869999999999998</v>
      </c>
      <c r="J60" s="196">
        <v>0.99990000000000001</v>
      </c>
      <c r="K60" s="196">
        <v>0.99990000000000001</v>
      </c>
      <c r="L60" s="196">
        <v>0.99990000000000001</v>
      </c>
      <c r="M60" s="196">
        <v>0.99990000000000001</v>
      </c>
      <c r="N60" s="151"/>
      <c r="O60" s="196">
        <v>1E-4</v>
      </c>
      <c r="P60" s="196">
        <v>0.1032</v>
      </c>
      <c r="Q60" s="196">
        <v>1E-4</v>
      </c>
      <c r="R60" s="196">
        <v>0.99990000000000001</v>
      </c>
      <c r="S60" s="196">
        <v>0.99990000000000001</v>
      </c>
      <c r="T60" s="196">
        <v>9.4200000000000006E-2</v>
      </c>
      <c r="U60" s="196">
        <v>0.99990000000000001</v>
      </c>
      <c r="V60" s="196">
        <v>0.99990000000000001</v>
      </c>
    </row>
    <row r="61" spans="1:22" s="3" customFormat="1" ht="15.75" thickBot="1" x14ac:dyDescent="0.3">
      <c r="A61" s="62" t="s">
        <v>84</v>
      </c>
      <c r="B61" s="142"/>
      <c r="C61" s="142" t="str">
        <f t="shared" ref="C61:O61" si="44">IF(C60&gt;0.05,"NS",IF(C60&gt;0.01,"*",IF(C60&gt;0.001,"**","***")))</f>
        <v>NS</v>
      </c>
      <c r="D61" s="142" t="str">
        <f t="shared" si="44"/>
        <v>NS</v>
      </c>
      <c r="E61" s="142" t="str">
        <f t="shared" si="44"/>
        <v>NS</v>
      </c>
      <c r="F61" s="142" t="str">
        <f t="shared" si="44"/>
        <v>*</v>
      </c>
      <c r="G61" s="142" t="str">
        <f t="shared" si="44"/>
        <v>***</v>
      </c>
      <c r="H61" s="142" t="str">
        <f t="shared" si="44"/>
        <v>***</v>
      </c>
      <c r="I61" s="142" t="str">
        <f t="shared" si="44"/>
        <v>NS</v>
      </c>
      <c r="J61" s="142" t="str">
        <f t="shared" si="44"/>
        <v>NS</v>
      </c>
      <c r="K61" s="142" t="str">
        <f t="shared" si="44"/>
        <v>NS</v>
      </c>
      <c r="L61" s="142" t="str">
        <f t="shared" si="44"/>
        <v>NS</v>
      </c>
      <c r="M61" s="142" t="str">
        <f t="shared" si="44"/>
        <v>NS</v>
      </c>
      <c r="N61" s="142"/>
      <c r="O61" s="142" t="str">
        <f t="shared" si="44"/>
        <v>***</v>
      </c>
      <c r="P61" s="142" t="str">
        <f>IF(P60&gt;0.05,"NS",IF(P60&gt;0.01,"*",IF(P60&gt;0.001,"**","***")))</f>
        <v>NS</v>
      </c>
      <c r="Q61" s="142" t="str">
        <f t="shared" ref="Q61:V61" si="45">IF(Q60&gt;0.05,"NS",IF(Q60&gt;0.01,"*",IF(Q60&gt;0.001,"**","***")))</f>
        <v>***</v>
      </c>
      <c r="R61" s="142" t="str">
        <f t="shared" si="45"/>
        <v>NS</v>
      </c>
      <c r="S61" s="142" t="str">
        <f t="shared" si="45"/>
        <v>NS</v>
      </c>
      <c r="T61" s="142" t="str">
        <f t="shared" si="45"/>
        <v>NS</v>
      </c>
      <c r="U61" s="142" t="str">
        <f t="shared" si="45"/>
        <v>NS</v>
      </c>
      <c r="V61" s="142" t="str">
        <f t="shared" si="45"/>
        <v>NS</v>
      </c>
    </row>
    <row r="63" spans="1:22" x14ac:dyDescent="0.25">
      <c r="A63" s="2" t="s">
        <v>39</v>
      </c>
    </row>
    <row r="64" spans="1:22" x14ac:dyDescent="0.25">
      <c r="A64" s="1" t="s">
        <v>23</v>
      </c>
      <c r="B64" s="1">
        <f>B46+(3*B47)</f>
        <v>0.35097706582007665</v>
      </c>
    </row>
    <row r="65" spans="1:22" x14ac:dyDescent="0.25">
      <c r="A65" s="1" t="s">
        <v>24</v>
      </c>
      <c r="B65" s="1">
        <f>B46+(10*B47)</f>
        <v>0.91885987716150963</v>
      </c>
    </row>
    <row r="66" spans="1:22" ht="15.75" thickBot="1" x14ac:dyDescent="0.3"/>
    <row r="67" spans="1:22" ht="27" thickBot="1" x14ac:dyDescent="0.4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96"/>
      <c r="D69" s="12"/>
      <c r="E69" s="12"/>
      <c r="F69" s="12"/>
      <c r="I69" s="196">
        <v>0.37869999999999998</v>
      </c>
      <c r="N69" s="12"/>
      <c r="O69" s="12"/>
      <c r="P69" s="12"/>
      <c r="Q69" s="12"/>
      <c r="R69" s="12"/>
      <c r="S69" s="12"/>
      <c r="T69" s="12"/>
      <c r="U69" s="12"/>
      <c r="V69" s="12"/>
    </row>
    <row r="70" spans="1:22" ht="16.5" x14ac:dyDescent="0.25">
      <c r="A70" s="12"/>
      <c r="B70" s="12"/>
      <c r="C70" s="196"/>
      <c r="D70" s="12"/>
      <c r="E70" s="12"/>
      <c r="F70" s="12"/>
      <c r="I70" s="196" t="s">
        <v>4244</v>
      </c>
      <c r="N70" s="12"/>
      <c r="O70" s="12"/>
      <c r="P70" s="12"/>
      <c r="Q70" s="12"/>
      <c r="R70" s="12"/>
      <c r="S70" s="12"/>
      <c r="T70" s="12"/>
      <c r="U70" s="12"/>
      <c r="V70" s="12"/>
    </row>
    <row r="71" spans="1:22" ht="16.5" x14ac:dyDescent="0.25">
      <c r="A71" s="12"/>
      <c r="B71" s="12"/>
      <c r="C71" s="196"/>
      <c r="D71" s="12"/>
      <c r="E71" s="12"/>
      <c r="F71" s="12"/>
      <c r="I71" s="196" t="s">
        <v>4244</v>
      </c>
      <c r="N71" s="12"/>
      <c r="O71" s="12"/>
      <c r="P71" s="12"/>
      <c r="Q71" s="12"/>
      <c r="R71" s="196"/>
      <c r="S71" s="12"/>
      <c r="T71" s="12"/>
      <c r="U71" s="12"/>
      <c r="V71" s="12"/>
    </row>
    <row r="72" spans="1:22" ht="16.5" x14ac:dyDescent="0.25">
      <c r="A72" s="12"/>
      <c r="B72" s="12"/>
      <c r="C72" s="196"/>
      <c r="D72" s="12"/>
      <c r="E72" s="12"/>
      <c r="F72" s="12"/>
      <c r="I72" s="196" t="s">
        <v>4244</v>
      </c>
      <c r="N72" s="12"/>
      <c r="O72" s="12"/>
      <c r="P72" s="12"/>
      <c r="Q72" s="12"/>
      <c r="R72" s="196"/>
      <c r="S72" s="12"/>
      <c r="T72" s="12"/>
      <c r="U72" s="12"/>
      <c r="V72" s="12"/>
    </row>
    <row r="73" spans="1:22" ht="16.5" x14ac:dyDescent="0.25">
      <c r="A73" s="12"/>
      <c r="B73" s="12"/>
      <c r="C73" s="196"/>
      <c r="D73" s="12"/>
      <c r="E73" s="12"/>
      <c r="F73" s="12"/>
      <c r="I73" s="196" t="s">
        <v>4244</v>
      </c>
      <c r="N73" s="12"/>
      <c r="O73" s="12"/>
      <c r="P73" s="12"/>
      <c r="Q73" s="12"/>
      <c r="R73" s="196"/>
      <c r="S73" s="12"/>
      <c r="T73" s="12"/>
      <c r="U73" s="12"/>
      <c r="V73" s="12"/>
    </row>
    <row r="74" spans="1:22" ht="16.5" x14ac:dyDescent="0.25">
      <c r="A74" s="12"/>
      <c r="B74" s="12"/>
      <c r="C74" s="196"/>
      <c r="D74" s="12"/>
      <c r="E74" s="12"/>
      <c r="F74" s="12"/>
      <c r="N74" s="12"/>
      <c r="O74" s="12"/>
      <c r="P74" s="12"/>
      <c r="Q74" s="12"/>
      <c r="R74" s="196"/>
      <c r="S74" s="12"/>
      <c r="T74" s="12"/>
      <c r="U74" s="12"/>
      <c r="V74" s="12"/>
    </row>
    <row r="75" spans="1:22" ht="15.75" x14ac:dyDescent="0.25">
      <c r="R75" s="196"/>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4"/>
  <sheetViews>
    <sheetView showGridLines="0" topLeftCell="J58" zoomScaleNormal="100" workbookViewId="0">
      <selection activeCell="B4" sqref="B4:V53"/>
    </sheetView>
  </sheetViews>
  <sheetFormatPr baseColWidth="10"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75" thickBot="1" x14ac:dyDescent="0.3">
      <c r="A2" s="1"/>
      <c r="B2" s="1"/>
      <c r="C2" s="1"/>
      <c r="D2" s="1"/>
      <c r="E2" s="1"/>
      <c r="F2" s="1"/>
      <c r="G2" s="1"/>
      <c r="H2" s="1"/>
      <c r="I2" s="1"/>
      <c r="J2" s="1"/>
      <c r="K2" s="1"/>
      <c r="L2" s="1"/>
      <c r="M2" s="1"/>
    </row>
    <row r="3" spans="1:22" s="33" customFormat="1" ht="15.75" thickBot="1" x14ac:dyDescent="0.3">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Amantadine-0,001mg/L</v>
      </c>
      <c r="J4" s="35" t="str">
        <f>'R1'!J4</f>
        <v>Amantadine-0,01mg/L</v>
      </c>
      <c r="K4" s="35" t="str">
        <f>'R1'!K4</f>
        <v>Amantadine-0,1mg/L</v>
      </c>
      <c r="L4" s="35" t="str">
        <f>'R1'!L4</f>
        <v>Amantadine-1mg/L</v>
      </c>
      <c r="M4" s="35" t="str">
        <f>'R1'!M4</f>
        <v>Amantadine-10mg/L</v>
      </c>
      <c r="O4" s="35" t="str">
        <f>'R1'!O4</f>
        <v>Testo -30µg/L</v>
      </c>
      <c r="P4" s="35" t="str">
        <f>'R1'!P4</f>
        <v>Testo 30µg/L + EE2 -64ng/L</v>
      </c>
      <c r="Q4" s="35" t="str">
        <f>'R1'!Q4</f>
        <v>Testo 30µg/L + FAD-10µg/L</v>
      </c>
      <c r="R4" s="35" t="str">
        <f>'R1'!R4</f>
        <v>Amantadine-0,001mg/L + Testostérone</v>
      </c>
      <c r="S4" s="35" t="str">
        <f>'R1'!S4</f>
        <v>Amantadine-0,01mg/L + Testostérone</v>
      </c>
      <c r="T4" s="35" t="str">
        <f>'R1'!T4</f>
        <v>Amantadine-0,1mg/L + Testostérone</v>
      </c>
      <c r="U4" s="35" t="str">
        <f>'R1'!U4</f>
        <v>Amantadine-1mg/L + Testostérone</v>
      </c>
      <c r="V4" s="35" t="str">
        <f>'R1'!V4</f>
        <v>Amantadine-10mg/L + Testostérone</v>
      </c>
    </row>
    <row r="5" spans="1:22" s="1" customFormat="1" x14ac:dyDescent="0.25">
      <c r="A5" s="34"/>
      <c r="B5" s="35"/>
      <c r="C5" s="194" t="s">
        <v>165</v>
      </c>
      <c r="D5" s="35"/>
      <c r="E5" s="35"/>
      <c r="F5" s="35"/>
      <c r="G5" s="35"/>
      <c r="H5" s="35"/>
      <c r="I5" s="35"/>
      <c r="J5" s="35"/>
      <c r="K5" s="35"/>
      <c r="L5" s="35"/>
      <c r="M5" s="35"/>
      <c r="O5" s="35"/>
      <c r="P5" s="35"/>
      <c r="Q5" s="35"/>
      <c r="R5" s="35"/>
      <c r="S5" s="35"/>
      <c r="T5" s="35"/>
      <c r="U5" s="35"/>
      <c r="V5" s="35"/>
    </row>
    <row r="6" spans="1:22" s="1" customFormat="1" x14ac:dyDescent="0.25">
      <c r="A6" s="71" t="s">
        <v>4</v>
      </c>
      <c r="B6" s="53">
        <f>'R1'!B28</f>
        <v>0.25070597867413308</v>
      </c>
      <c r="C6" s="53">
        <f>'R1'!C28</f>
        <v>5.045321412946413E-2</v>
      </c>
      <c r="D6" s="53">
        <f>'R1'!D28</f>
        <v>4.8681191853982814E-2</v>
      </c>
      <c r="E6" s="53">
        <f>'R1'!E28</f>
        <v>0.23134270243424004</v>
      </c>
      <c r="F6" s="53">
        <f>'R1'!F28</f>
        <v>0.8983302544090731</v>
      </c>
      <c r="G6" s="53">
        <f>'R1'!G28</f>
        <v>1.9711521656092099</v>
      </c>
      <c r="H6" s="53">
        <f>'R1'!H28</f>
        <v>3.9194033920823252</v>
      </c>
      <c r="I6" s="53">
        <f>'R1'!I28</f>
        <v>0.17427972648876994</v>
      </c>
      <c r="J6" s="53">
        <f>'R1'!J28</f>
        <v>1.0291679791920211E-2</v>
      </c>
      <c r="K6" s="53">
        <f>'R1'!K28</f>
        <v>8.5343798455618222E-2</v>
      </c>
      <c r="L6" s="53">
        <f>'R1'!L28</f>
        <v>0.21176734748147744</v>
      </c>
      <c r="M6" s="53">
        <f>'R1'!M28</f>
        <v>0.35867155597269856</v>
      </c>
      <c r="N6"/>
      <c r="O6" s="53">
        <f>'R1'!O28</f>
        <v>0.89450541704862885</v>
      </c>
      <c r="P6" s="53">
        <f>'R1'!P28</f>
        <v>1.639708904342831</v>
      </c>
      <c r="Q6" s="53">
        <f>'R1'!Q28</f>
        <v>0.10372815853729728</v>
      </c>
      <c r="R6" s="53">
        <f>'R1'!R28</f>
        <v>0.42975621471257397</v>
      </c>
      <c r="S6" s="53">
        <f>'R1'!S28</f>
        <v>1.6951215546850051</v>
      </c>
      <c r="T6" s="53">
        <f>'R1'!T28</f>
        <v>0.7246843894896986</v>
      </c>
      <c r="U6" s="53">
        <f>'R1'!U28</f>
        <v>1.0955127009608479</v>
      </c>
      <c r="V6" s="53">
        <f>'R1'!V28</f>
        <v>0.41835041672785322</v>
      </c>
    </row>
    <row r="7" spans="1:22" s="1" customFormat="1" x14ac:dyDescent="0.25">
      <c r="A7" s="228" t="s">
        <v>34</v>
      </c>
      <c r="B7" s="53">
        <f>'R1'!B29</f>
        <v>4.8402031560835376E-2</v>
      </c>
      <c r="C7" s="53">
        <f>'R1'!C29</f>
        <v>7.4301012739392241E-2</v>
      </c>
      <c r="D7" s="53">
        <f>'R1'!D29</f>
        <v>0.14851884135102841</v>
      </c>
      <c r="E7" s="53">
        <f>'R1'!E29</f>
        <v>0.16712455580656682</v>
      </c>
      <c r="F7" s="53">
        <f>'R1'!F29</f>
        <v>0.51716722407901128</v>
      </c>
      <c r="G7" s="53">
        <f>'R1'!G29</f>
        <v>1.4451027169769926</v>
      </c>
      <c r="H7" s="53">
        <f>'R1'!H29</f>
        <v>2.0301603589721622</v>
      </c>
      <c r="I7" s="53">
        <f>'R1'!I29</f>
        <v>8.6499471609652809E-2</v>
      </c>
      <c r="J7" s="53">
        <f>'R1'!J29</f>
        <v>7.1967256434371837E-2</v>
      </c>
      <c r="K7" s="53">
        <f>'R1'!K29</f>
        <v>0.14973855366853622</v>
      </c>
      <c r="L7" s="53">
        <f>'R1'!L29</f>
        <v>0.15072414830266281</v>
      </c>
      <c r="M7" s="53">
        <f>'R1'!M29</f>
        <v>5.1079209938340191E-2</v>
      </c>
      <c r="N7"/>
      <c r="O7" s="53">
        <f>'R1'!O29</f>
        <v>1.5238576795077976</v>
      </c>
      <c r="P7" s="53">
        <f>'R1'!P29</f>
        <v>0.72619001478155432</v>
      </c>
      <c r="Q7" s="53">
        <f>'R1'!Q29</f>
        <v>0.12993865351453382</v>
      </c>
      <c r="R7" s="53">
        <f>'R1'!R29</f>
        <v>1.1265671687227941</v>
      </c>
      <c r="S7" s="53">
        <f>'R1'!S29</f>
        <v>0.17493451394935819</v>
      </c>
      <c r="T7" s="53">
        <f>'R1'!T29</f>
        <v>1.539913180833459</v>
      </c>
      <c r="U7" s="53">
        <f>'R1'!U29</f>
        <v>1.3026478575493334</v>
      </c>
      <c r="V7" s="53" t="str">
        <f>'R1'!V29</f>
        <v/>
      </c>
    </row>
    <row r="8" spans="1:22" s="1" customFormat="1" x14ac:dyDescent="0.25">
      <c r="A8" s="229"/>
      <c r="B8" s="53">
        <f>'R1'!B30</f>
        <v>0.13851604274497289</v>
      </c>
      <c r="C8" s="53">
        <f>'R1'!C30</f>
        <v>6.095964402461896E-3</v>
      </c>
      <c r="D8" s="53">
        <f>'R1'!D30</f>
        <v>4.9207752577048784E-2</v>
      </c>
      <c r="E8" s="53">
        <f>'R1'!E30</f>
        <v>0.10742625326597764</v>
      </c>
      <c r="F8" s="53">
        <f>'R1'!F30</f>
        <v>8.4284592175877013E-2</v>
      </c>
      <c r="G8" s="53">
        <f>'R1'!G30</f>
        <v>1.5808034110983573</v>
      </c>
      <c r="H8" s="53">
        <f>'R1'!H30</f>
        <v>1.8760143822277373</v>
      </c>
      <c r="I8" s="53">
        <f>'R1'!I30</f>
        <v>0.25814045806005947</v>
      </c>
      <c r="J8" s="53">
        <f>'R1'!J30</f>
        <v>4.1973775879076775E-2</v>
      </c>
      <c r="K8" s="53">
        <f>'R1'!K30</f>
        <v>5.2408078234375342E-2</v>
      </c>
      <c r="L8" s="53">
        <f>'R1'!L30</f>
        <v>1.1883680038912513E-2</v>
      </c>
      <c r="M8" s="53">
        <f>'R1'!M30</f>
        <v>0.10647909697099257</v>
      </c>
      <c r="N8"/>
      <c r="O8" s="53">
        <f>'R1'!O30</f>
        <v>0.92399667621529502</v>
      </c>
      <c r="P8" s="53">
        <f>'R1'!P30</f>
        <v>1.6608057645190637</v>
      </c>
      <c r="Q8" s="53">
        <f>'R1'!Q30</f>
        <v>0.15873000840555762</v>
      </c>
      <c r="R8" s="53">
        <f>'R1'!R30</f>
        <v>1.5733142424152353</v>
      </c>
      <c r="S8" s="53">
        <f>'R1'!S30</f>
        <v>9.1661339847803211E-2</v>
      </c>
      <c r="T8" s="53">
        <f>'R1'!T30</f>
        <v>1.2284269865208925</v>
      </c>
      <c r="U8" s="53">
        <f>'R1'!U30</f>
        <v>1.7923620933102093</v>
      </c>
      <c r="V8" s="53">
        <f>'R1'!V30</f>
        <v>0.38658328138074266</v>
      </c>
    </row>
    <row r="9" spans="1:22" s="1" customFormat="1" x14ac:dyDescent="0.25">
      <c r="A9" s="229"/>
      <c r="B9" s="53">
        <f>'R1'!B31</f>
        <v>8.108738314064301E-2</v>
      </c>
      <c r="C9" s="53">
        <f>'R1'!C31</f>
        <v>4.7195008347561546E-2</v>
      </c>
      <c r="D9" s="53">
        <f>'R1'!D31</f>
        <v>3.3658034493836482E-2</v>
      </c>
      <c r="E9" s="53">
        <f>'R1'!E31</f>
        <v>0.44648060250352783</v>
      </c>
      <c r="F9" s="53">
        <f>'R1'!F31</f>
        <v>0.96806808717323711</v>
      </c>
      <c r="G9" s="53">
        <f>'R1'!G31</f>
        <v>2.2341754800248483</v>
      </c>
      <c r="H9" s="53">
        <f>'R1'!H31</f>
        <v>2.7406530613528348</v>
      </c>
      <c r="I9" s="53">
        <f>'R1'!I31</f>
        <v>5.4225068914334956E-2</v>
      </c>
      <c r="J9" s="53">
        <f>'R1'!J31</f>
        <v>0.14098782088552075</v>
      </c>
      <c r="K9" s="53">
        <f>'R1'!K31</f>
        <v>0.11043409040644497</v>
      </c>
      <c r="L9" s="53">
        <f>'R1'!L31</f>
        <v>3.4463607099474054E-2</v>
      </c>
      <c r="M9" s="53">
        <f>'R1'!M31</f>
        <v>0.17197817527870593</v>
      </c>
      <c r="N9"/>
      <c r="O9" s="53">
        <f>'R1'!O31</f>
        <v>0.56563663404127618</v>
      </c>
      <c r="P9" s="53">
        <f>'R1'!P31</f>
        <v>1.3988898898203133</v>
      </c>
      <c r="Q9" s="53">
        <f>'R1'!Q31</f>
        <v>0.10124836622565429</v>
      </c>
      <c r="R9" s="53">
        <f>'R1'!R31</f>
        <v>1.6569920579518072</v>
      </c>
      <c r="S9" s="53" t="str">
        <f>'R1'!S31</f>
        <v/>
      </c>
      <c r="T9" s="53">
        <f>'R1'!T31</f>
        <v>1.4995202744081866</v>
      </c>
      <c r="U9" s="53">
        <f>'R1'!U31</f>
        <v>1.6640541752029612</v>
      </c>
      <c r="V9" s="53">
        <f>'R1'!V31</f>
        <v>0.72197188939514478</v>
      </c>
    </row>
    <row r="10" spans="1:22" s="1" customFormat="1" x14ac:dyDescent="0.25">
      <c r="A10" s="229"/>
      <c r="B10" s="53">
        <f>'R1'!B32</f>
        <v>3.1407684932435877E-2</v>
      </c>
      <c r="C10" s="53">
        <f>'R1'!C32</f>
        <v>0.1327667654476638</v>
      </c>
      <c r="D10" s="53">
        <f>'R1'!D32</f>
        <v>0.32014372525395685</v>
      </c>
      <c r="E10" s="53">
        <f>'R1'!E32</f>
        <v>0.22816790339595727</v>
      </c>
      <c r="F10" s="53">
        <f>'R1'!F32</f>
        <v>0.68290161802172267</v>
      </c>
      <c r="G10" s="53" t="str">
        <f>'R1'!G32</f>
        <v/>
      </c>
      <c r="H10" s="53">
        <f>'R1'!H32</f>
        <v>1.5712278123348458</v>
      </c>
      <c r="I10" s="53">
        <f>'R1'!I32</f>
        <v>0.10922706719317114</v>
      </c>
      <c r="J10" s="53">
        <f>'R1'!J32</f>
        <v>9.6656839830441474E-3</v>
      </c>
      <c r="K10" s="53">
        <f>'R1'!K32</f>
        <v>9.2900568156033449E-3</v>
      </c>
      <c r="L10" s="53">
        <f>'R1'!L32</f>
        <v>6.6616016301454764E-2</v>
      </c>
      <c r="M10" s="53">
        <f>'R1'!M32</f>
        <v>0.30397127639453686</v>
      </c>
      <c r="N10"/>
      <c r="O10" s="53">
        <f>'R1'!O32</f>
        <v>0.49510881178193722</v>
      </c>
      <c r="P10" s="53">
        <f>'R1'!P32</f>
        <v>0.98656152902815575</v>
      </c>
      <c r="Q10" s="53">
        <f>'R1'!Q32</f>
        <v>4.8427706590454998E-2</v>
      </c>
      <c r="R10" s="53">
        <f>'R1'!R32</f>
        <v>0.11613528267718322</v>
      </c>
      <c r="S10" s="53">
        <f>'R1'!S32</f>
        <v>1.5991876227694606</v>
      </c>
      <c r="T10" s="53">
        <f>'R1'!T32</f>
        <v>0.65618385569627879</v>
      </c>
      <c r="U10" s="53">
        <f>'R1'!U32</f>
        <v>2.0776281459581099</v>
      </c>
      <c r="V10" s="53">
        <f>'R1'!V32</f>
        <v>0.10474254482313605</v>
      </c>
    </row>
    <row r="11" spans="1:22" s="1" customFormat="1" x14ac:dyDescent="0.25">
      <c r="A11" s="229"/>
      <c r="B11" s="53" t="str">
        <f>'R1'!B33</f>
        <v/>
      </c>
      <c r="C11" s="53">
        <f>'R1'!C33</f>
        <v>7.2079751650855478E-2</v>
      </c>
      <c r="D11" s="53">
        <f>'R1'!D33</f>
        <v>4.5689531466281609E-2</v>
      </c>
      <c r="E11" s="53">
        <f>'R1'!E33</f>
        <v>5.1409868701302701E-2</v>
      </c>
      <c r="F11" s="53">
        <f>'R1'!F33</f>
        <v>1.4659072083188285</v>
      </c>
      <c r="G11" s="53">
        <f>'R1'!G33</f>
        <v>1.1926758434707536</v>
      </c>
      <c r="H11" s="53">
        <f>'R1'!H33</f>
        <v>2.7224965857103522</v>
      </c>
      <c r="I11" s="53">
        <f>'R1'!I33</f>
        <v>0.18556338256957766</v>
      </c>
      <c r="J11" s="53">
        <f>'R1'!J33</f>
        <v>2.8977610163697938E-2</v>
      </c>
      <c r="K11" s="53">
        <f>'R1'!K33</f>
        <v>0.1762571490012082</v>
      </c>
      <c r="L11" s="53">
        <f>'R1'!L33</f>
        <v>2.1571922429483727E-2</v>
      </c>
      <c r="M11" s="53">
        <f>'R1'!M33</f>
        <v>9.0718190638365698E-3</v>
      </c>
      <c r="N11"/>
      <c r="O11" s="53">
        <f>'R1'!O33</f>
        <v>5.4558992709965858E-2</v>
      </c>
      <c r="P11" s="53">
        <f>'R1'!P33</f>
        <v>1.4132456448209254</v>
      </c>
      <c r="Q11" s="53">
        <f>'R1'!Q33</f>
        <v>0.12637205055604411</v>
      </c>
      <c r="R11" s="53">
        <f>'R1'!R33</f>
        <v>1.6541351543669649</v>
      </c>
      <c r="S11" s="53">
        <f>'R1'!S33</f>
        <v>1.3665993845775173</v>
      </c>
      <c r="T11" s="53">
        <f>'R1'!T33</f>
        <v>1.3335355118240402</v>
      </c>
      <c r="U11" s="53">
        <f>'R1'!U33</f>
        <v>1.8139374291829375</v>
      </c>
      <c r="V11" s="53">
        <f>'R1'!V33</f>
        <v>0.53185334102143411</v>
      </c>
    </row>
    <row r="12" spans="1:22" s="1" customFormat="1" x14ac:dyDescent="0.25">
      <c r="A12" s="229"/>
      <c r="B12" s="53">
        <f>'R1'!B34</f>
        <v>8.1796637282563034E-2</v>
      </c>
      <c r="C12" s="53">
        <f>'R1'!C34</f>
        <v>0.20457685508222537</v>
      </c>
      <c r="D12" s="53">
        <f>'R1'!D34</f>
        <v>0.18490844669841358</v>
      </c>
      <c r="E12" s="53">
        <f>'R1'!E34</f>
        <v>0.15771250549762633</v>
      </c>
      <c r="F12" s="53">
        <f>'R1'!F34</f>
        <v>0.61428398828396835</v>
      </c>
      <c r="G12" s="53">
        <f>'R1'!G34</f>
        <v>1.2651183847742402</v>
      </c>
      <c r="H12" s="53">
        <f>'R1'!H34</f>
        <v>2.3692758533669562</v>
      </c>
      <c r="I12" s="53">
        <f>'R1'!I34</f>
        <v>0.23711112469583195</v>
      </c>
      <c r="J12" s="53">
        <f>'R1'!J34</f>
        <v>2.1116153551091508E-2</v>
      </c>
      <c r="K12" s="53">
        <f>'R1'!K34</f>
        <v>6.4214881595004825E-2</v>
      </c>
      <c r="L12" s="53">
        <f>'R1'!L34</f>
        <v>0.13783884528743343</v>
      </c>
      <c r="M12" s="53">
        <f>'R1'!M34</f>
        <v>0.1185300357288722</v>
      </c>
      <c r="N12"/>
      <c r="O12" s="53">
        <f>'R1'!O34</f>
        <v>2.068654352079613</v>
      </c>
      <c r="P12" s="53">
        <f>'R1'!P34</f>
        <v>1.9842943673312115</v>
      </c>
      <c r="Q12" s="53">
        <f>'R1'!Q34</f>
        <v>4.0014014225162972E-2</v>
      </c>
      <c r="R12" s="53">
        <f>'R1'!R34</f>
        <v>0.92156986647922556</v>
      </c>
      <c r="S12" s="53">
        <f>'R1'!S34</f>
        <v>0.93418862410025338</v>
      </c>
      <c r="T12" s="53">
        <f>'R1'!T34</f>
        <v>0.781294713178869</v>
      </c>
      <c r="U12" s="53">
        <f>'R1'!U34</f>
        <v>9.9734875173279211E-2</v>
      </c>
      <c r="V12" s="53">
        <f>'R1'!V34</f>
        <v>1.6546712133668844</v>
      </c>
    </row>
    <row r="13" spans="1:22" s="1" customFormat="1" x14ac:dyDescent="0.25">
      <c r="A13" s="229"/>
      <c r="B13" s="53">
        <f>'R1'!B35</f>
        <v>7.1530632520262455E-2</v>
      </c>
      <c r="C13" s="53">
        <f>'R1'!C35</f>
        <v>5.9935907872502546E-2</v>
      </c>
      <c r="D13" s="53">
        <f>'R1'!D35</f>
        <v>4.4835577012921519E-2</v>
      </c>
      <c r="E13" s="53">
        <f>'R1'!E35</f>
        <v>0.19965897383074926</v>
      </c>
      <c r="F13" s="53">
        <f>'R1'!F35</f>
        <v>1.9188981375525522</v>
      </c>
      <c r="G13" s="53">
        <f>'R1'!G35</f>
        <v>1.4558596639241586</v>
      </c>
      <c r="H13" s="53">
        <f>'R1'!H35</f>
        <v>2.6808102811166696</v>
      </c>
      <c r="I13" s="53">
        <f>'R1'!I35</f>
        <v>0.14077589058322701</v>
      </c>
      <c r="J13" s="53">
        <f>'R1'!J35</f>
        <v>0.1452893530155501</v>
      </c>
      <c r="K13" s="53">
        <f>'R1'!K35</f>
        <v>8.0962050409349534E-2</v>
      </c>
      <c r="L13" s="53">
        <f>'R1'!L35</f>
        <v>0.13979853273605933</v>
      </c>
      <c r="M13" s="53">
        <f>'R1'!M35</f>
        <v>5.1335960234536397E-2</v>
      </c>
      <c r="N13"/>
      <c r="O13" s="53">
        <f>'R1'!O35</f>
        <v>8.2567036581727496E-2</v>
      </c>
      <c r="P13" s="53">
        <f>'R1'!P35</f>
        <v>2.5627649543284776</v>
      </c>
      <c r="Q13" s="53">
        <f>'R1'!Q35</f>
        <v>0.20288653282874172</v>
      </c>
      <c r="R13" s="53">
        <f>'R1'!R35</f>
        <v>0.11965350378795038</v>
      </c>
      <c r="S13" s="53">
        <f>'R1'!S35</f>
        <v>1.9627610316514448</v>
      </c>
      <c r="T13" s="53">
        <f>'R1'!T35</f>
        <v>1.3007217850961343</v>
      </c>
      <c r="U13" s="53">
        <f>'R1'!U35</f>
        <v>1.2765560910327656</v>
      </c>
      <c r="V13" s="53">
        <f>'R1'!V35</f>
        <v>0.99210050853950527</v>
      </c>
    </row>
    <row r="14" spans="1:22" s="1" customFormat="1" x14ac:dyDescent="0.2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1.1029311520045839</v>
      </c>
      <c r="P14" s="53" t="str">
        <f>'R1'!P36</f>
        <v/>
      </c>
      <c r="Q14" s="53" t="str">
        <f>'R1'!Q36</f>
        <v/>
      </c>
      <c r="R14" s="53" t="str">
        <f>'R1'!R36</f>
        <v/>
      </c>
      <c r="S14" s="53" t="str">
        <f>'R1'!S36</f>
        <v/>
      </c>
      <c r="T14" s="53" t="str">
        <f>'R1'!T36</f>
        <v/>
      </c>
      <c r="U14" s="53" t="str">
        <f>'R1'!U36</f>
        <v/>
      </c>
      <c r="V14" s="53" t="str">
        <f>'R1'!V36</f>
        <v/>
      </c>
    </row>
    <row r="15" spans="1:22" s="1" customFormat="1" x14ac:dyDescent="0.2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0.43695947042134797</v>
      </c>
      <c r="P15" s="53" t="str">
        <f>'R1'!P37</f>
        <v/>
      </c>
      <c r="Q15" s="53" t="str">
        <f>'R1'!Q37</f>
        <v/>
      </c>
      <c r="R15" s="53" t="str">
        <f>'R1'!R37</f>
        <v/>
      </c>
      <c r="S15" s="53" t="str">
        <f>'R1'!S37</f>
        <v/>
      </c>
      <c r="T15" s="53" t="str">
        <f>'R1'!T37</f>
        <v/>
      </c>
      <c r="U15" s="53" t="str">
        <f>'R1'!U37</f>
        <v/>
      </c>
      <c r="V15" s="53" t="str">
        <f>'R1'!V37</f>
        <v/>
      </c>
    </row>
    <row r="16" spans="1:22" s="1" customFormat="1" x14ac:dyDescent="0.2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1.8146468317354332</v>
      </c>
      <c r="P16" s="53" t="str">
        <f>'R1'!P38</f>
        <v/>
      </c>
      <c r="Q16" s="53" t="str">
        <f>'R1'!Q38</f>
        <v/>
      </c>
      <c r="R16" s="53" t="str">
        <f>'R1'!R38</f>
        <v/>
      </c>
      <c r="S16" s="53" t="str">
        <f>'R1'!S38</f>
        <v/>
      </c>
      <c r="T16" s="53" t="str">
        <f>'R1'!T38</f>
        <v/>
      </c>
      <c r="U16" s="53" t="str">
        <f>'R1'!U38</f>
        <v/>
      </c>
      <c r="V16" s="53" t="str">
        <f>'R1'!V38</f>
        <v/>
      </c>
    </row>
    <row r="17" spans="1:22" s="1" customFormat="1" x14ac:dyDescent="0.2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0.31237368955606537</v>
      </c>
      <c r="P17" s="53" t="str">
        <f>'R1'!P39</f>
        <v/>
      </c>
      <c r="Q17" s="53" t="str">
        <f>'R1'!Q39</f>
        <v/>
      </c>
      <c r="R17" s="53" t="str">
        <f>'R1'!R39</f>
        <v/>
      </c>
      <c r="S17" s="53" t="str">
        <f>'R1'!S39</f>
        <v/>
      </c>
      <c r="T17" s="53" t="str">
        <f>'R1'!T39</f>
        <v/>
      </c>
      <c r="U17" s="53" t="str">
        <f>'R1'!U39</f>
        <v/>
      </c>
      <c r="V17" s="53" t="str">
        <f>'R1'!V39</f>
        <v/>
      </c>
    </row>
    <row r="18" spans="1:22" s="1" customFormat="1" x14ac:dyDescent="0.2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1.6042083525499911</v>
      </c>
      <c r="P18" s="53" t="str">
        <f>'R1'!P40</f>
        <v/>
      </c>
      <c r="Q18" s="53" t="str">
        <f>'R1'!Q40</f>
        <v/>
      </c>
      <c r="R18" s="53" t="str">
        <f>'R1'!R40</f>
        <v/>
      </c>
      <c r="S18" s="53" t="str">
        <f>'R1'!S40</f>
        <v/>
      </c>
      <c r="T18" s="53" t="str">
        <f>'R1'!T40</f>
        <v/>
      </c>
      <c r="U18" s="53" t="str">
        <f>'R1'!U40</f>
        <v/>
      </c>
      <c r="V18" s="53" t="str">
        <f>'R1'!V40</f>
        <v/>
      </c>
    </row>
    <row r="19" spans="1:22" s="1" customFormat="1" x14ac:dyDescent="0.2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1.2760793220578925</v>
      </c>
      <c r="P19" s="53" t="str">
        <f>'R1'!P41</f>
        <v/>
      </c>
      <c r="Q19" s="53" t="str">
        <f>'R1'!Q41</f>
        <v/>
      </c>
      <c r="R19" s="53" t="str">
        <f>'R1'!R41</f>
        <v/>
      </c>
      <c r="S19" s="53" t="str">
        <f>'R1'!S41</f>
        <v/>
      </c>
      <c r="T19" s="53" t="str">
        <f>'R1'!T41</f>
        <v/>
      </c>
      <c r="U19" s="53" t="str">
        <f>'R1'!U41</f>
        <v/>
      </c>
      <c r="V19" s="53" t="str">
        <f>'R1'!V41</f>
        <v/>
      </c>
    </row>
    <row r="20" spans="1:22" s="1" customFormat="1" x14ac:dyDescent="0.2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0.95504802735514882</v>
      </c>
      <c r="P20" s="53" t="str">
        <f>'R1'!P42</f>
        <v/>
      </c>
      <c r="Q20" s="53" t="str">
        <f>'R1'!Q42</f>
        <v/>
      </c>
      <c r="R20" s="53" t="str">
        <f>'R1'!R42</f>
        <v/>
      </c>
      <c r="S20" s="53" t="str">
        <f>'R1'!S42</f>
        <v/>
      </c>
      <c r="T20" s="53" t="str">
        <f>'R1'!T42</f>
        <v/>
      </c>
      <c r="U20" s="53" t="str">
        <f>'R1'!U42</f>
        <v/>
      </c>
      <c r="V20" s="53" t="str">
        <f>'R1'!V42</f>
        <v/>
      </c>
    </row>
    <row r="21" spans="1:22" s="1" customFormat="1" x14ac:dyDescent="0.2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1.8888675543532982</v>
      </c>
      <c r="P21" s="53" t="str">
        <f>'R1'!P43</f>
        <v/>
      </c>
      <c r="Q21" s="53" t="str">
        <f>'R1'!Q43</f>
        <v/>
      </c>
      <c r="R21" s="53" t="str">
        <f>'R1'!R43</f>
        <v/>
      </c>
      <c r="S21" s="53" t="str">
        <f>'R1'!S43</f>
        <v/>
      </c>
      <c r="T21" s="53" t="str">
        <f>'R1'!T43</f>
        <v/>
      </c>
      <c r="U21" s="53" t="str">
        <f>'R1'!U43</f>
        <v/>
      </c>
      <c r="V21" s="53" t="str">
        <f>'R1'!V43</f>
        <v/>
      </c>
    </row>
    <row r="22" spans="1:22" x14ac:dyDescent="0.25">
      <c r="A22" s="39" t="s">
        <v>5</v>
      </c>
      <c r="B22" s="54">
        <f>'R2'!B28</f>
        <v>0.19145868266208665</v>
      </c>
      <c r="C22" s="54">
        <f>'R2'!C28</f>
        <v>0.1898663592893709</v>
      </c>
      <c r="D22" s="54">
        <f>'R2'!D28</f>
        <v>0.11158594937638469</v>
      </c>
      <c r="E22" s="54">
        <f>'R2'!E28</f>
        <v>0.45492015543938891</v>
      </c>
      <c r="F22" s="54">
        <f>'R2'!F28</f>
        <v>1.1793516389464556</v>
      </c>
      <c r="G22" s="54">
        <f>'R2'!G28</f>
        <v>1.9815236311032081</v>
      </c>
      <c r="H22" s="54">
        <f>'R2'!H28</f>
        <v>3.7354665078332046</v>
      </c>
      <c r="I22" s="54">
        <f>'R2'!I28</f>
        <v>1.0344321612357725E-2</v>
      </c>
      <c r="J22" s="54">
        <f>'R2'!J28</f>
        <v>0.31197673257781677</v>
      </c>
      <c r="K22" s="54">
        <f>'R2'!K28</f>
        <v>5.8008151847382415E-2</v>
      </c>
      <c r="L22" s="54">
        <f>'R2'!L28</f>
        <v>0.17665297559187287</v>
      </c>
      <c r="M22" s="54">
        <f>'R2'!M28</f>
        <v>0.15730637844501502</v>
      </c>
      <c r="O22" s="54">
        <f>'R2'!O28</f>
        <v>1.1840456565414283</v>
      </c>
      <c r="P22" s="54">
        <f>'R2'!P28</f>
        <v>1.7063228551624672</v>
      </c>
      <c r="Q22" s="54">
        <f>'R2'!Q28</f>
        <v>0.11639841262791939</v>
      </c>
      <c r="R22" s="54">
        <f>'R2'!R28</f>
        <v>1.0885683164574362</v>
      </c>
      <c r="S22" s="54">
        <f>'R2'!S28</f>
        <v>1.5510093654526838E-2</v>
      </c>
      <c r="T22" s="54">
        <f>'R2'!T28</f>
        <v>1.0171975069344235</v>
      </c>
      <c r="U22" s="54">
        <f>'R2'!U28</f>
        <v>1.5509114044045342</v>
      </c>
      <c r="V22" s="54">
        <f>'R2'!V28</f>
        <v>2.434759181023074</v>
      </c>
    </row>
    <row r="23" spans="1:22" x14ac:dyDescent="0.25">
      <c r="A23" s="228" t="s">
        <v>34</v>
      </c>
      <c r="B23" s="54">
        <f>'R2'!B29</f>
        <v>0.13822344457475</v>
      </c>
      <c r="C23" s="54">
        <f>'R2'!C29</f>
        <v>7.092349463337802E-2</v>
      </c>
      <c r="D23" s="54">
        <f>'R2'!D29</f>
        <v>0.31092349919678086</v>
      </c>
      <c r="E23" s="54">
        <f>'R2'!E29</f>
        <v>1.4450459340406889</v>
      </c>
      <c r="F23" s="54">
        <f>'R2'!F29</f>
        <v>1.1792680779695661</v>
      </c>
      <c r="G23" s="54">
        <f>'R2'!G29</f>
        <v>1.8275007731323469</v>
      </c>
      <c r="H23" s="54">
        <f>'R2'!H29</f>
        <v>3.7130228812759061</v>
      </c>
      <c r="I23" s="54">
        <f>'R2'!I29</f>
        <v>5.4288268650467465E-2</v>
      </c>
      <c r="J23" s="54">
        <f>'R2'!J29</f>
        <v>9.9824741879198015E-2</v>
      </c>
      <c r="K23" s="54">
        <f>'R2'!K29</f>
        <v>7.6192196762370878E-2</v>
      </c>
      <c r="L23" s="54">
        <f>'R2'!L29</f>
        <v>0.40287809508758743</v>
      </c>
      <c r="M23" s="54">
        <f>'R2'!M29</f>
        <v>6.6058400135477285E-2</v>
      </c>
      <c r="O23" s="54">
        <f>'R2'!O29</f>
        <v>0.87318787034589074</v>
      </c>
      <c r="P23" s="54">
        <f>'R2'!P29</f>
        <v>1.9791983238215642</v>
      </c>
      <c r="Q23" s="54">
        <f>'R2'!Q29</f>
        <v>1.6549636826970408E-2</v>
      </c>
      <c r="R23" s="54">
        <f>'R2'!R29</f>
        <v>1.5848529808182368</v>
      </c>
      <c r="S23" s="54">
        <f>'R2'!S29</f>
        <v>1.7079238997051007</v>
      </c>
      <c r="T23" s="54">
        <f>'R2'!T29</f>
        <v>1.1156751322881371</v>
      </c>
      <c r="U23" s="54">
        <f>'R2'!U29</f>
        <v>1.8115364687794127</v>
      </c>
      <c r="V23" s="54">
        <f>'R2'!V29</f>
        <v>2.0016421531967676</v>
      </c>
    </row>
    <row r="24" spans="1:22" x14ac:dyDescent="0.25">
      <c r="A24" s="229"/>
      <c r="B24" s="54">
        <f>'R2'!B30</f>
        <v>1.3752879324988039E-2</v>
      </c>
      <c r="C24" s="54">
        <f>'R2'!C30</f>
        <v>0.17136672971409134</v>
      </c>
      <c r="D24" s="54">
        <f>'R2'!D30</f>
        <v>2.8221097401162982E-2</v>
      </c>
      <c r="E24" s="54">
        <f>'R2'!E30</f>
        <v>0.84534360861235047</v>
      </c>
      <c r="F24" s="54">
        <f>'R2'!F30</f>
        <v>1.08177736454193</v>
      </c>
      <c r="G24" s="54">
        <f>'R2'!G30</f>
        <v>2.3454720462197667</v>
      </c>
      <c r="H24" s="54">
        <f>'R2'!H30</f>
        <v>4.1828345357593539</v>
      </c>
      <c r="I24" s="54">
        <f>'R2'!I30</f>
        <v>2.1465232983233926E-2</v>
      </c>
      <c r="J24" s="54">
        <f>'R2'!J30</f>
        <v>8.7927240749803348E-2</v>
      </c>
      <c r="K24" s="54">
        <f>'R2'!K30</f>
        <v>0.11635886313643046</v>
      </c>
      <c r="L24" s="54">
        <f>'R2'!L30</f>
        <v>5.0410187487596812E-2</v>
      </c>
      <c r="M24" s="54">
        <f>'R2'!M30</f>
        <v>0.1603774471636065</v>
      </c>
      <c r="O24" s="54">
        <f>'R2'!O30</f>
        <v>0.25686786268343031</v>
      </c>
      <c r="P24" s="54">
        <f>'R2'!P30</f>
        <v>2.7711580288221609</v>
      </c>
      <c r="Q24" s="54">
        <f>'R2'!Q30</f>
        <v>0.16122624009633038</v>
      </c>
      <c r="R24" s="54">
        <f>'R2'!R30</f>
        <v>1.0905818926189854</v>
      </c>
      <c r="S24" s="54">
        <f>'R2'!S30</f>
        <v>1.7905036435697912</v>
      </c>
      <c r="T24" s="54">
        <f>'R2'!T30</f>
        <v>1.1439708666783663</v>
      </c>
      <c r="U24" s="54">
        <f>'R2'!U30</f>
        <v>1.779632806675868</v>
      </c>
      <c r="V24" s="54">
        <f>'R2'!V30</f>
        <v>0.79667968328741856</v>
      </c>
    </row>
    <row r="25" spans="1:22" x14ac:dyDescent="0.25">
      <c r="A25" s="229"/>
      <c r="B25" s="54">
        <f>'R2'!B31</f>
        <v>3.8249631535324506E-2</v>
      </c>
      <c r="C25" s="54">
        <f>'R2'!C31</f>
        <v>7.113432384569976E-3</v>
      </c>
      <c r="D25" s="54">
        <f>'R2'!D31</f>
        <v>0.13162101190200748</v>
      </c>
      <c r="E25" s="54">
        <f>'R2'!E31</f>
        <v>0.13370932646157538</v>
      </c>
      <c r="F25" s="54">
        <f>'R2'!F31</f>
        <v>2.1519955282201244</v>
      </c>
      <c r="G25" s="54">
        <f>'R2'!G31</f>
        <v>1.8029406403266757</v>
      </c>
      <c r="H25" s="54">
        <f>'R2'!H31</f>
        <v>3.5228671008359984</v>
      </c>
      <c r="I25" s="54">
        <f>'R2'!I31</f>
        <v>3.258188517810362E-2</v>
      </c>
      <c r="J25" s="54">
        <f>'R2'!J31</f>
        <v>1.3542557157428975E-2</v>
      </c>
      <c r="K25" s="54">
        <f>'R2'!K31</f>
        <v>5.6898535088736664E-2</v>
      </c>
      <c r="L25" s="54">
        <f>'R2'!L31</f>
        <v>3.2301185197484775E-2</v>
      </c>
      <c r="M25" s="54">
        <f>'R2'!M31</f>
        <v>9.7977679217712582E-2</v>
      </c>
      <c r="O25" s="54">
        <f>'R2'!O31</f>
        <v>1.07295985611895</v>
      </c>
      <c r="P25" s="54">
        <f>'R2'!P31</f>
        <v>2.0397250684141239</v>
      </c>
      <c r="Q25" s="54">
        <f>'R2'!Q31</f>
        <v>0.1637817457002303</v>
      </c>
      <c r="R25" s="54">
        <f>'R2'!R31</f>
        <v>1.5947781792297644</v>
      </c>
      <c r="S25" s="54">
        <f>'R2'!S31</f>
        <v>1.1292440557732253</v>
      </c>
      <c r="T25" s="54">
        <f>'R2'!T31</f>
        <v>2.0473670442593099</v>
      </c>
      <c r="U25" s="54">
        <f>'R2'!U31</f>
        <v>2.39893991644422</v>
      </c>
      <c r="V25" s="54">
        <f>'R2'!V31</f>
        <v>1.4330914410799691</v>
      </c>
    </row>
    <row r="26" spans="1:22" x14ac:dyDescent="0.25">
      <c r="A26" s="229"/>
      <c r="B26" s="54">
        <f>'R2'!B32</f>
        <v>0.4391054292914448</v>
      </c>
      <c r="C26" s="54">
        <f>'R2'!C32</f>
        <v>7.2844991466024661E-2</v>
      </c>
      <c r="D26" s="54">
        <f>'R2'!D32</f>
        <v>0.32944097674770673</v>
      </c>
      <c r="E26" s="54">
        <f>'R2'!E32</f>
        <v>0.18955483098718121</v>
      </c>
      <c r="F26" s="54">
        <f>'R2'!F32</f>
        <v>8.3961542251941829E-2</v>
      </c>
      <c r="G26" s="54">
        <f>'R2'!G32</f>
        <v>2.6507497033930747</v>
      </c>
      <c r="H26" s="54">
        <f>'R2'!H32</f>
        <v>2.5817916156687906</v>
      </c>
      <c r="I26" s="54">
        <f>'R2'!I32</f>
        <v>2.6589224536958323E-2</v>
      </c>
      <c r="J26" s="54">
        <f>'R2'!J32</f>
        <v>8.8115861401519766E-2</v>
      </c>
      <c r="K26" s="54">
        <f>'R2'!K32</f>
        <v>5.6587006786546962E-2</v>
      </c>
      <c r="L26" s="54">
        <f>'R2'!L32</f>
        <v>7.4639220063239003E-2</v>
      </c>
      <c r="M26" s="54" t="str">
        <f>'R2'!M32</f>
        <v/>
      </c>
      <c r="O26" s="54">
        <f>'R2'!O32</f>
        <v>0.32228130188078047</v>
      </c>
      <c r="P26" s="54" t="str">
        <f>'R2'!P32</f>
        <v/>
      </c>
      <c r="Q26" s="54">
        <f>'R2'!Q32</f>
        <v>7.8990881034451427E-2</v>
      </c>
      <c r="R26" s="54">
        <f>'R2'!R32</f>
        <v>2.7763213670494689</v>
      </c>
      <c r="S26" s="54">
        <f>'R2'!S32</f>
        <v>1.4131662044499427</v>
      </c>
      <c r="T26" s="54">
        <f>'R2'!T32</f>
        <v>1.7604397426831491</v>
      </c>
      <c r="U26" s="54">
        <f>'R2'!U32</f>
        <v>1.6215628188182591</v>
      </c>
      <c r="V26" s="54">
        <f>'R2'!V32</f>
        <v>2.1387600373709739</v>
      </c>
    </row>
    <row r="27" spans="1:22" x14ac:dyDescent="0.25">
      <c r="A27" s="229"/>
      <c r="B27" s="54">
        <f>'R2'!B33</f>
        <v>6.6514740421887986E-2</v>
      </c>
      <c r="C27" s="54">
        <f>'R2'!C33</f>
        <v>5.1910431531410117E-2</v>
      </c>
      <c r="D27" s="54" t="str">
        <f>'R2'!D33</f>
        <v/>
      </c>
      <c r="E27" s="54">
        <f>'R2'!E33</f>
        <v>0.18392643130354419</v>
      </c>
      <c r="F27" s="54">
        <f>'R2'!F33</f>
        <v>0.59742082681419018</v>
      </c>
      <c r="G27" s="54">
        <f>'R2'!G33</f>
        <v>1.3824443622792491</v>
      </c>
      <c r="H27" s="54">
        <f>'R2'!H33</f>
        <v>3.6412922727892965</v>
      </c>
      <c r="I27" s="54">
        <f>'R2'!I33</f>
        <v>8.6465329290048524E-3</v>
      </c>
      <c r="J27" s="54">
        <f>'R2'!J33</f>
        <v>3.5529640610411667E-2</v>
      </c>
      <c r="K27" s="54">
        <f>'R2'!K33</f>
        <v>0.10892295028279693</v>
      </c>
      <c r="L27" s="54">
        <f>'R2'!L33</f>
        <v>0.31695114592655099</v>
      </c>
      <c r="M27" s="54">
        <f>'R2'!M33</f>
        <v>9.3242489588010093E-3</v>
      </c>
      <c r="O27" s="54">
        <f>'R2'!O33</f>
        <v>0.99763166363218325</v>
      </c>
      <c r="P27" s="54">
        <f>'R2'!P33</f>
        <v>1.7350483606935425</v>
      </c>
      <c r="Q27" s="54">
        <f>'R2'!Q33</f>
        <v>0.13302927802587089</v>
      </c>
      <c r="R27" s="54">
        <f>'R2'!R33</f>
        <v>1.0040674813959096</v>
      </c>
      <c r="S27" s="54">
        <f>'R2'!S33</f>
        <v>2.7036999823237857</v>
      </c>
      <c r="T27" s="54">
        <f>'R2'!T33</f>
        <v>1.3686870209603494</v>
      </c>
      <c r="U27" s="54">
        <f>'R2'!U33</f>
        <v>6.1105789711538239E-2</v>
      </c>
      <c r="V27" s="54">
        <f>'R2'!V33</f>
        <v>2.1797294570133059</v>
      </c>
    </row>
    <row r="28" spans="1:22" x14ac:dyDescent="0.25">
      <c r="A28" s="229"/>
      <c r="B28" s="54">
        <f>'R2'!B34</f>
        <v>4.3904600364525891E-2</v>
      </c>
      <c r="C28" s="54">
        <f>'R2'!C34</f>
        <v>9.4485560528192833E-2</v>
      </c>
      <c r="D28" s="54">
        <f>'R2'!D34</f>
        <v>4.1829367559835101E-2</v>
      </c>
      <c r="E28" s="54">
        <f>'R2'!E34</f>
        <v>0.6518320031151309</v>
      </c>
      <c r="F28" s="54">
        <f>'R2'!F34</f>
        <v>0.70959048612137032</v>
      </c>
      <c r="G28" s="54">
        <f>'R2'!G34</f>
        <v>1.9886129281570746</v>
      </c>
      <c r="H28" s="54">
        <f>'R2'!H34</f>
        <v>3.1444021969818579</v>
      </c>
      <c r="I28" s="54">
        <f>'R2'!I34</f>
        <v>0.17405589231743332</v>
      </c>
      <c r="J28" s="54">
        <f>'R2'!J34</f>
        <v>0.25641821538788701</v>
      </c>
      <c r="K28" s="54">
        <f>'R2'!K34</f>
        <v>6.3478759200873869E-2</v>
      </c>
      <c r="L28" s="54">
        <f>'R2'!L34</f>
        <v>0.11827163879915903</v>
      </c>
      <c r="M28" s="54" t="str">
        <f>'R2'!M34</f>
        <v/>
      </c>
      <c r="O28" s="54">
        <f>'R2'!O34</f>
        <v>1.3794483361855339</v>
      </c>
      <c r="P28" s="54">
        <f>'R2'!P34</f>
        <v>2.0893586661432018</v>
      </c>
      <c r="Q28" s="54">
        <f>'R2'!Q34</f>
        <v>7.6968583702984275E-2</v>
      </c>
      <c r="R28" s="54">
        <f>'R2'!R34</f>
        <v>2.0041822446398823</v>
      </c>
      <c r="S28" s="54">
        <f>'R2'!S34</f>
        <v>0.49366993592861952</v>
      </c>
      <c r="T28" s="54">
        <f>'R2'!T34</f>
        <v>1.0782239948450787</v>
      </c>
      <c r="U28" s="54">
        <f>'R2'!U34</f>
        <v>2.4943777070367235</v>
      </c>
      <c r="V28" s="54">
        <f>'R2'!V34</f>
        <v>1.6234271210016755</v>
      </c>
    </row>
    <row r="29" spans="1:22" x14ac:dyDescent="0.25">
      <c r="A29" s="229"/>
      <c r="B29" s="54">
        <f>'R2'!B35</f>
        <v>8.4939530190196219E-2</v>
      </c>
      <c r="C29" s="54">
        <f>'R2'!C35</f>
        <v>0.276841572792769</v>
      </c>
      <c r="D29" s="54">
        <f>'R2'!D35</f>
        <v>8.9045781496272222E-2</v>
      </c>
      <c r="E29" s="54">
        <f>'R2'!E35</f>
        <v>0.23593370838462591</v>
      </c>
      <c r="F29" s="54">
        <f>'R2'!F35</f>
        <v>1.3480947162405428</v>
      </c>
      <c r="G29" s="54">
        <f>'R2'!G35</f>
        <v>1.9832433241203087</v>
      </c>
      <c r="H29" s="54">
        <f>'R2'!H35</f>
        <v>2.8382625637119965</v>
      </c>
      <c r="I29" s="54">
        <f>'R2'!I35</f>
        <v>2.288658086197445E-2</v>
      </c>
      <c r="J29" s="54">
        <f>'R2'!J35</f>
        <v>6.3696991266730717E-3</v>
      </c>
      <c r="K29" s="54">
        <f>'R2'!K35</f>
        <v>0.11920155889391151</v>
      </c>
      <c r="L29" s="54">
        <f>'R2'!L35</f>
        <v>2.2382172732061823E-2</v>
      </c>
      <c r="M29" s="54">
        <f>'R2'!M35</f>
        <v>1.680001553078108E-2</v>
      </c>
      <c r="O29" s="54">
        <f>'R2'!O35</f>
        <v>0.91679818193015794</v>
      </c>
      <c r="P29" s="54">
        <f>'R2'!P35</f>
        <v>2.5986153608944651</v>
      </c>
      <c r="Q29" s="54">
        <f>'R2'!Q35</f>
        <v>0.18595765262283448</v>
      </c>
      <c r="R29" s="54">
        <f>'R2'!R35</f>
        <v>1.0460461229338773</v>
      </c>
      <c r="S29" s="54">
        <f>'R2'!S35</f>
        <v>1.16604597310215</v>
      </c>
      <c r="T29" s="54">
        <f>'R2'!T35</f>
        <v>1.880216290337938</v>
      </c>
      <c r="U29" s="54">
        <f>'R2'!U35</f>
        <v>1.3359911521195957</v>
      </c>
      <c r="V29" s="54">
        <f>'R2'!V35</f>
        <v>1.793635760477809</v>
      </c>
    </row>
    <row r="30" spans="1:22" x14ac:dyDescent="0.2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1.6871693406612371</v>
      </c>
      <c r="P30" s="54" t="str">
        <f>'R2'!P36</f>
        <v/>
      </c>
      <c r="Q30" s="54" t="str">
        <f>'R2'!Q36</f>
        <v/>
      </c>
      <c r="R30" s="54" t="str">
        <f>'R2'!R36</f>
        <v/>
      </c>
      <c r="S30" s="54" t="str">
        <f>'R2'!S36</f>
        <v/>
      </c>
      <c r="T30" s="54" t="str">
        <f>'R2'!T36</f>
        <v/>
      </c>
      <c r="U30" s="54" t="str">
        <f>'R2'!U36</f>
        <v/>
      </c>
      <c r="V30" s="54" t="str">
        <f>'R2'!V36</f>
        <v/>
      </c>
    </row>
    <row r="31" spans="1:22" s="1" customFormat="1" x14ac:dyDescent="0.2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0.99585944077766919</v>
      </c>
      <c r="P31" s="54" t="str">
        <f>'R2'!P37</f>
        <v/>
      </c>
      <c r="Q31" s="54" t="str">
        <f>'R2'!Q37</f>
        <v/>
      </c>
      <c r="R31" s="54" t="str">
        <f>'R2'!R37</f>
        <v/>
      </c>
      <c r="S31" s="54" t="str">
        <f>'R2'!S37</f>
        <v/>
      </c>
      <c r="T31" s="54" t="str">
        <f>'R2'!T37</f>
        <v/>
      </c>
      <c r="U31" s="54" t="str">
        <f>'R2'!U37</f>
        <v/>
      </c>
      <c r="V31" s="54" t="str">
        <f>'R2'!V37</f>
        <v/>
      </c>
    </row>
    <row r="32" spans="1:22" s="1" customFormat="1" x14ac:dyDescent="0.2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1.028805181277471</v>
      </c>
      <c r="P32" s="54" t="str">
        <f>'R2'!P38</f>
        <v/>
      </c>
      <c r="Q32" s="54" t="str">
        <f>'R2'!Q38</f>
        <v/>
      </c>
      <c r="R32" s="54" t="str">
        <f>'R2'!R38</f>
        <v/>
      </c>
      <c r="S32" s="54" t="str">
        <f>'R2'!S38</f>
        <v/>
      </c>
      <c r="T32" s="54" t="str">
        <f>'R2'!T38</f>
        <v/>
      </c>
      <c r="U32" s="54" t="str">
        <f>'R2'!U38</f>
        <v/>
      </c>
      <c r="V32" s="54" t="str">
        <f>'R2'!V38</f>
        <v/>
      </c>
    </row>
    <row r="33" spans="1:22" s="1" customFormat="1" x14ac:dyDescent="0.2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1.1353507000770207</v>
      </c>
      <c r="P33" s="54" t="str">
        <f>'R2'!P39</f>
        <v/>
      </c>
      <c r="Q33" s="54" t="str">
        <f>'R2'!Q39</f>
        <v/>
      </c>
      <c r="R33" s="54" t="str">
        <f>'R2'!R39</f>
        <v/>
      </c>
      <c r="S33" s="54" t="str">
        <f>'R2'!S39</f>
        <v/>
      </c>
      <c r="T33" s="54" t="str">
        <f>'R2'!T39</f>
        <v/>
      </c>
      <c r="U33" s="54" t="str">
        <f>'R2'!U39</f>
        <v/>
      </c>
      <c r="V33" s="54" t="str">
        <f>'R2'!V39</f>
        <v/>
      </c>
    </row>
    <row r="34" spans="1:22" s="1" customFormat="1" x14ac:dyDescent="0.2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0.88238474966030689</v>
      </c>
      <c r="P34" s="54" t="str">
        <f>'R2'!P40</f>
        <v/>
      </c>
      <c r="Q34" s="54" t="str">
        <f>'R2'!Q40</f>
        <v/>
      </c>
      <c r="R34" s="54" t="str">
        <f>'R2'!R40</f>
        <v/>
      </c>
      <c r="S34" s="54" t="str">
        <f>'R2'!S40</f>
        <v/>
      </c>
      <c r="T34" s="54" t="str">
        <f>'R2'!T40</f>
        <v/>
      </c>
      <c r="U34" s="54" t="str">
        <f>'R2'!U40</f>
        <v/>
      </c>
      <c r="V34" s="54" t="str">
        <f>'R2'!V40</f>
        <v/>
      </c>
    </row>
    <row r="35" spans="1:22" s="1" customFormat="1" x14ac:dyDescent="0.2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0.19297657186364117</v>
      </c>
      <c r="P35" s="54" t="str">
        <f>'R2'!P41</f>
        <v/>
      </c>
      <c r="Q35" s="54" t="str">
        <f>'R2'!Q41</f>
        <v/>
      </c>
      <c r="R35" s="54" t="str">
        <f>'R2'!R41</f>
        <v/>
      </c>
      <c r="S35" s="54" t="str">
        <f>'R2'!S41</f>
        <v/>
      </c>
      <c r="T35" s="54" t="str">
        <f>'R2'!T41</f>
        <v/>
      </c>
      <c r="U35" s="54" t="str">
        <f>'R2'!U41</f>
        <v/>
      </c>
      <c r="V35" s="54" t="str">
        <f>'R2'!V41</f>
        <v/>
      </c>
    </row>
    <row r="36" spans="1:22" x14ac:dyDescent="0.2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2.5479244734262498</v>
      </c>
      <c r="P36" s="54" t="str">
        <f>'R2'!P42</f>
        <v/>
      </c>
      <c r="Q36" s="54" t="str">
        <f>'R2'!Q42</f>
        <v/>
      </c>
      <c r="R36" s="54" t="str">
        <f>'R2'!R42</f>
        <v/>
      </c>
      <c r="S36" s="54" t="str">
        <f>'R2'!S42</f>
        <v/>
      </c>
      <c r="T36" s="54" t="str">
        <f>'R2'!T42</f>
        <v/>
      </c>
      <c r="U36" s="54" t="str">
        <f>'R2'!U42</f>
        <v/>
      </c>
      <c r="V36" s="54" t="str">
        <f>'R2'!V42</f>
        <v/>
      </c>
    </row>
    <row r="37" spans="1:22" x14ac:dyDescent="0.2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0.52630881293804821</v>
      </c>
      <c r="P37" s="54" t="str">
        <f>'R2'!P43</f>
        <v/>
      </c>
      <c r="Q37" s="54" t="str">
        <f>'R2'!Q43</f>
        <v/>
      </c>
      <c r="R37" s="54" t="str">
        <f>'R2'!R43</f>
        <v/>
      </c>
      <c r="S37" s="54" t="str">
        <f>'R2'!S43</f>
        <v/>
      </c>
      <c r="T37" s="54" t="str">
        <f>'R2'!T43</f>
        <v/>
      </c>
      <c r="U37" s="54" t="str">
        <f>'R2'!U43</f>
        <v/>
      </c>
      <c r="V37" s="54" t="str">
        <f>'R2'!V43</f>
        <v/>
      </c>
    </row>
    <row r="38" spans="1:22" s="1" customFormat="1" x14ac:dyDescent="0.25">
      <c r="A38" s="153" t="s">
        <v>116</v>
      </c>
      <c r="B38" s="154">
        <f>'R3'!B28</f>
        <v>0.10481421233343617</v>
      </c>
      <c r="C38" s="154">
        <f>'R3'!C28</f>
        <v>0.43430499134634953</v>
      </c>
      <c r="D38" s="154">
        <f>'R3'!D28</f>
        <v>0.27002445821359899</v>
      </c>
      <c r="E38" s="154">
        <f>'R3'!E28</f>
        <v>0.2021062222212503</v>
      </c>
      <c r="F38" s="154">
        <f>'R3'!F28</f>
        <v>0.11400213281668417</v>
      </c>
      <c r="G38" s="154">
        <f>'R3'!G28</f>
        <v>1.3079989124146372</v>
      </c>
      <c r="H38" s="154">
        <f>'R3'!H28</f>
        <v>2.1955017045287355</v>
      </c>
      <c r="I38" s="154">
        <f>'R3'!I28</f>
        <v>0.1774835752824136</v>
      </c>
      <c r="J38" s="154">
        <f>'R3'!J28</f>
        <v>0.10101044564175662</v>
      </c>
      <c r="K38" s="154" t="str">
        <f>'R3'!K28</f>
        <v/>
      </c>
      <c r="L38" s="154">
        <f>'R3'!L28</f>
        <v>1.7076153204369799E-2</v>
      </c>
      <c r="M38" s="154">
        <f>'R3'!M28</f>
        <v>0.20659242879697279</v>
      </c>
      <c r="N38"/>
      <c r="O38" s="154">
        <f>'R3'!O28</f>
        <v>0.16596016156655258</v>
      </c>
      <c r="P38" s="154">
        <f>'R3'!P28</f>
        <v>1.9009083724003237</v>
      </c>
      <c r="Q38" s="154">
        <f>'R3'!Q28</f>
        <v>0.13026328213763122</v>
      </c>
      <c r="R38" s="154">
        <f>'R3'!R28</f>
        <v>1.6497497332871853</v>
      </c>
      <c r="S38" s="154">
        <f>'R3'!S28</f>
        <v>2.5142106807980427</v>
      </c>
      <c r="T38" s="154">
        <f>'R3'!T28</f>
        <v>0.13016891982327239</v>
      </c>
      <c r="U38" s="154">
        <f>'R3'!U28</f>
        <v>0.13011929915631582</v>
      </c>
      <c r="V38" s="154">
        <f>'R3'!V28</f>
        <v>0.50290130724782034</v>
      </c>
    </row>
    <row r="39" spans="1:22" s="1" customFormat="1" x14ac:dyDescent="0.25">
      <c r="A39" s="228" t="s">
        <v>34</v>
      </c>
      <c r="B39" s="154">
        <f>'R3'!B29</f>
        <v>0.30023825394381887</v>
      </c>
      <c r="C39" s="154">
        <f>'R3'!C29</f>
        <v>8.4713482241102422E-2</v>
      </c>
      <c r="D39" s="154">
        <f>'R3'!D29</f>
        <v>0.35896856945291955</v>
      </c>
      <c r="E39" s="154">
        <f>'R3'!E29</f>
        <v>0.18675703432125201</v>
      </c>
      <c r="F39" s="154">
        <f>'R3'!F29</f>
        <v>0.47063084906206987</v>
      </c>
      <c r="G39" s="154">
        <f>'R3'!G29</f>
        <v>1.8494803920301213</v>
      </c>
      <c r="H39" s="154">
        <f>'R3'!H29</f>
        <v>3.238263618810743</v>
      </c>
      <c r="I39" s="154">
        <f>'R3'!I29</f>
        <v>0.11872190947745329</v>
      </c>
      <c r="J39" s="154">
        <f>'R3'!J29</f>
        <v>5.200744179897162E-2</v>
      </c>
      <c r="K39" s="154">
        <f>'R3'!K29</f>
        <v>4.5666584939052124E-2</v>
      </c>
      <c r="L39" s="154">
        <f>'R3'!L29</f>
        <v>0.17870042352104326</v>
      </c>
      <c r="M39" s="154">
        <f>'R3'!M29</f>
        <v>0.12103913233896933</v>
      </c>
      <c r="N39"/>
      <c r="O39" s="154">
        <f>'R3'!O29</f>
        <v>0.90450939333758751</v>
      </c>
      <c r="P39" s="154">
        <f>'R3'!P29</f>
        <v>0.58722862028164557</v>
      </c>
      <c r="Q39" s="154">
        <f>'R3'!Q29</f>
        <v>0.1811972358257285</v>
      </c>
      <c r="R39" s="154">
        <f>'R3'!R29</f>
        <v>1.2252386989380848</v>
      </c>
      <c r="S39" s="154">
        <f>'R3'!S29</f>
        <v>0.16887470099222793</v>
      </c>
      <c r="T39" s="154">
        <f>'R3'!T29</f>
        <v>4.5078195942587974E-2</v>
      </c>
      <c r="U39" s="154">
        <f>'R3'!U29</f>
        <v>0.83792032684254436</v>
      </c>
      <c r="V39" s="154">
        <f>'R3'!V29</f>
        <v>1.0106795578714145</v>
      </c>
    </row>
    <row r="40" spans="1:22" s="1" customFormat="1" x14ac:dyDescent="0.25">
      <c r="A40" s="229"/>
      <c r="B40" s="154">
        <f>'R3'!B30</f>
        <v>6.4181945103015975E-2</v>
      </c>
      <c r="C40" s="154">
        <f>'R3'!C30</f>
        <v>3.6563787775687792E-2</v>
      </c>
      <c r="D40" s="154">
        <f>'R3'!D30</f>
        <v>1.4469303437395926E-2</v>
      </c>
      <c r="E40" s="154">
        <f>'R3'!E30</f>
        <v>0.25260490507974731</v>
      </c>
      <c r="F40" s="154">
        <f>'R3'!F30</f>
        <v>2.6039445703516009</v>
      </c>
      <c r="G40" s="154">
        <f>'R3'!G30</f>
        <v>0.88890379738867131</v>
      </c>
      <c r="H40" s="154">
        <f>'R3'!H30</f>
        <v>3.0211086317233278</v>
      </c>
      <c r="I40" s="154">
        <f>'R3'!I30</f>
        <v>0.17465000681955445</v>
      </c>
      <c r="J40" s="154">
        <f>'R3'!J30</f>
        <v>6.1316818726443865E-2</v>
      </c>
      <c r="K40" s="154" t="str">
        <f>'R3'!K30</f>
        <v/>
      </c>
      <c r="L40" s="154">
        <f>'R3'!L30</f>
        <v>0.14111743970313861</v>
      </c>
      <c r="M40" s="154">
        <f>'R3'!M30</f>
        <v>5.4248468908299104E-3</v>
      </c>
      <c r="N40"/>
      <c r="O40" s="154">
        <f>'R3'!O30</f>
        <v>1.7436783339503277</v>
      </c>
      <c r="P40" s="154">
        <f>'R3'!P30</f>
        <v>0.62926210040449226</v>
      </c>
      <c r="Q40" s="154">
        <f>'R3'!Q30</f>
        <v>2.5462668773591102E-2</v>
      </c>
      <c r="R40" s="154">
        <f>'R3'!R30</f>
        <v>0.2038261285186071</v>
      </c>
      <c r="S40" s="154">
        <f>'R3'!S30</f>
        <v>1.9429823380045785</v>
      </c>
      <c r="T40" s="154">
        <f>'R3'!T30</f>
        <v>7.3679839041352543E-2</v>
      </c>
      <c r="U40" s="154">
        <f>'R3'!U30</f>
        <v>8.8755075183822793E-2</v>
      </c>
      <c r="V40" s="154">
        <f>'R3'!V30</f>
        <v>0.70647621816384387</v>
      </c>
    </row>
    <row r="41" spans="1:22" s="1" customFormat="1" x14ac:dyDescent="0.25">
      <c r="A41" s="229"/>
      <c r="B41" s="154">
        <f>'R3'!B31</f>
        <v>6.179049885891845E-2</v>
      </c>
      <c r="C41" s="154">
        <f>'R3'!C31</f>
        <v>7.9998273173107551E-2</v>
      </c>
      <c r="D41" s="154">
        <f>'R3'!D31</f>
        <v>0.1075400271303938</v>
      </c>
      <c r="E41" s="154">
        <f>'R3'!E31</f>
        <v>0.20813731324393459</v>
      </c>
      <c r="F41" s="154">
        <f>'R3'!F31</f>
        <v>1.7616231602532177</v>
      </c>
      <c r="G41" s="154">
        <f>'R3'!G31</f>
        <v>0.54406819045068067</v>
      </c>
      <c r="H41" s="154">
        <f>'R3'!H31</f>
        <v>4.1257841622513052</v>
      </c>
      <c r="I41" s="154">
        <f>'R3'!I31</f>
        <v>0.30866297119806113</v>
      </c>
      <c r="J41" s="154">
        <f>'R3'!J31</f>
        <v>0.10294606688876981</v>
      </c>
      <c r="K41" s="154">
        <f>'R3'!K31</f>
        <v>1.3274670309077381E-2</v>
      </c>
      <c r="L41" s="154">
        <f>'R3'!L31</f>
        <v>2.6270925076779167E-2</v>
      </c>
      <c r="M41" s="154">
        <f>'R3'!M31</f>
        <v>0.18979718254821909</v>
      </c>
      <c r="N41"/>
      <c r="O41" s="154">
        <f>'R3'!O31</f>
        <v>0.36376890184079808</v>
      </c>
      <c r="P41" s="154">
        <f>'R3'!P31</f>
        <v>1.2310185723581855</v>
      </c>
      <c r="Q41" s="154">
        <f>'R3'!Q31</f>
        <v>8.9213183977294261E-2</v>
      </c>
      <c r="R41" s="154">
        <f>'R3'!R31</f>
        <v>0.68842343057719901</v>
      </c>
      <c r="S41" s="154">
        <f>'R3'!S31</f>
        <v>0.66987215252460142</v>
      </c>
      <c r="T41" s="154">
        <f>'R3'!T31</f>
        <v>0.55517823702047242</v>
      </c>
      <c r="U41" s="154">
        <f>'R3'!U31</f>
        <v>2.3138330848239907</v>
      </c>
      <c r="V41" s="154">
        <f>'R3'!V31</f>
        <v>1.2505846864780792</v>
      </c>
    </row>
    <row r="42" spans="1:22" s="1" customFormat="1" x14ac:dyDescent="0.25">
      <c r="A42" s="229"/>
      <c r="B42" s="154">
        <f>'R3'!B32</f>
        <v>0.10220943874499605</v>
      </c>
      <c r="C42" s="154">
        <f>'R3'!C32</f>
        <v>6.7478086143194158E-2</v>
      </c>
      <c r="D42" s="154">
        <f>'R3'!D32</f>
        <v>0.10756244985855828</v>
      </c>
      <c r="E42" s="154">
        <f>'R3'!E32</f>
        <v>0.45920190146949436</v>
      </c>
      <c r="F42" s="154">
        <f>'R3'!F32</f>
        <v>1.1723692278119011</v>
      </c>
      <c r="G42" s="154">
        <f>'R3'!G32</f>
        <v>1.4561579192328351</v>
      </c>
      <c r="H42" s="154">
        <f>'R3'!H32</f>
        <v>2.9650011525559106</v>
      </c>
      <c r="I42" s="154">
        <f>'R3'!I32</f>
        <v>9.8145319265184508E-2</v>
      </c>
      <c r="J42" s="154">
        <f>'R3'!J32</f>
        <v>3.5750963879725491E-2</v>
      </c>
      <c r="K42" s="154">
        <f>'R3'!K32</f>
        <v>0.16695278252353746</v>
      </c>
      <c r="L42" s="154">
        <f>'R3'!L32</f>
        <v>1.6849434508484529E-2</v>
      </c>
      <c r="M42" s="154">
        <f>'R3'!M32</f>
        <v>0.111428917141957</v>
      </c>
      <c r="N42"/>
      <c r="O42" s="154">
        <f>'R3'!O32</f>
        <v>0.10484099503652151</v>
      </c>
      <c r="P42" s="154">
        <f>'R3'!P32</f>
        <v>2.9632092028634327</v>
      </c>
      <c r="Q42" s="154">
        <f>'R3'!Q32</f>
        <v>0.1544661257769441</v>
      </c>
      <c r="R42" s="154">
        <f>'R3'!R32</f>
        <v>0.46682272239546946</v>
      </c>
      <c r="S42" s="154">
        <f>'R3'!S32</f>
        <v>1.6567643100813061</v>
      </c>
      <c r="T42" s="154">
        <f>'R3'!T32</f>
        <v>1.0059195033470907</v>
      </c>
      <c r="U42" s="154">
        <f>'R3'!U32</f>
        <v>0.83396852862140847</v>
      </c>
      <c r="V42" s="154">
        <f>'R3'!V32</f>
        <v>1.7834215815325971</v>
      </c>
    </row>
    <row r="43" spans="1:22" s="1" customFormat="1" x14ac:dyDescent="0.25">
      <c r="A43" s="229"/>
      <c r="B43" s="154">
        <f>'R3'!B33</f>
        <v>0.11149182535152957</v>
      </c>
      <c r="C43" s="154">
        <f>'R3'!C33</f>
        <v>0.12730836103947452</v>
      </c>
      <c r="D43" s="154">
        <f>'R3'!D33</f>
        <v>8.4785525636223477E-2</v>
      </c>
      <c r="E43" s="154">
        <f>'R3'!E33</f>
        <v>0.24229397962759508</v>
      </c>
      <c r="F43" s="154">
        <f>'R3'!F33</f>
        <v>0.87071626581518635</v>
      </c>
      <c r="G43" s="154">
        <f>'R3'!G33</f>
        <v>2.5035360088667775</v>
      </c>
      <c r="H43" s="154">
        <f>'R3'!H33</f>
        <v>3.3803554090997694</v>
      </c>
      <c r="I43" s="154" t="str">
        <f>'R3'!I33</f>
        <v/>
      </c>
      <c r="J43" s="154">
        <f>'R3'!J33</f>
        <v>0.14893134523275225</v>
      </c>
      <c r="K43" s="154">
        <f>'R3'!K33</f>
        <v>0.24930855642171576</v>
      </c>
      <c r="L43" s="154">
        <f>'R3'!L33</f>
        <v>0.20101062280899151</v>
      </c>
      <c r="M43" s="154">
        <f>'R3'!M33</f>
        <v>9.9426113802653596E-3</v>
      </c>
      <c r="N43"/>
      <c r="O43" s="154">
        <f>'R3'!O33</f>
        <v>0.66183360447763628</v>
      </c>
      <c r="P43" s="154">
        <f>'R3'!P33</f>
        <v>2.6001995595124265</v>
      </c>
      <c r="Q43" s="154">
        <f>'R3'!Q33</f>
        <v>6.2814470111762916E-2</v>
      </c>
      <c r="R43" s="154">
        <f>'R3'!R33</f>
        <v>0.33459236490603872</v>
      </c>
      <c r="S43" s="154">
        <f>'R3'!S33</f>
        <v>0.30087564075367945</v>
      </c>
      <c r="T43" s="154">
        <f>'R3'!T33</f>
        <v>0.13018220736588837</v>
      </c>
      <c r="U43" s="154">
        <f>'R3'!U33</f>
        <v>0.78347898094845991</v>
      </c>
      <c r="V43" s="154">
        <f>'R3'!V33</f>
        <v>0.21128106277973571</v>
      </c>
    </row>
    <row r="44" spans="1:22" s="1" customFormat="1" x14ac:dyDescent="0.25">
      <c r="A44" s="229"/>
      <c r="B44" s="154">
        <f>'R3'!B34</f>
        <v>5.5685392071506037E-2</v>
      </c>
      <c r="C44" s="154">
        <f>'R3'!C34</f>
        <v>2.6059777719897002E-2</v>
      </c>
      <c r="D44" s="154">
        <f>'R3'!D34</f>
        <v>0.20350743511367678</v>
      </c>
      <c r="E44" s="154">
        <f>'R3'!E34</f>
        <v>0.15723917363554449</v>
      </c>
      <c r="F44" s="154">
        <f>'R3'!F34</f>
        <v>1.0064787220351556</v>
      </c>
      <c r="G44" s="154">
        <f>'R3'!G34</f>
        <v>1.8016898764510449</v>
      </c>
      <c r="H44" s="154">
        <f>'R3'!H34</f>
        <v>3.450051892006273</v>
      </c>
      <c r="I44" s="154">
        <f>'R3'!I34</f>
        <v>0.2684754214095697</v>
      </c>
      <c r="J44" s="154">
        <f>'R3'!J34</f>
        <v>9.6774833815057529E-3</v>
      </c>
      <c r="K44" s="154">
        <f>'R3'!K34</f>
        <v>3.5032398489195336E-2</v>
      </c>
      <c r="L44" s="154">
        <f>'R3'!L34</f>
        <v>0.20343123936148824</v>
      </c>
      <c r="M44" s="154">
        <f>'R3'!M34</f>
        <v>4.9093006182222988E-2</v>
      </c>
      <c r="N44"/>
      <c r="O44" s="154">
        <f>'R3'!O34</f>
        <v>1.4254275702834187</v>
      </c>
      <c r="P44" s="154">
        <f>'R3'!P34</f>
        <v>2.1314862689441259</v>
      </c>
      <c r="Q44" s="154">
        <f>'R3'!Q34</f>
        <v>3.8077114308936649E-2</v>
      </c>
      <c r="R44" s="154">
        <f>'R3'!R34</f>
        <v>1.738985339992644</v>
      </c>
      <c r="S44" s="154">
        <f>'R3'!S34</f>
        <v>0.55630975432136509</v>
      </c>
      <c r="T44" s="154">
        <f>'R3'!T34</f>
        <v>0.12474407293244248</v>
      </c>
      <c r="U44" s="154">
        <f>'R3'!U34</f>
        <v>0.26524177334325733</v>
      </c>
      <c r="V44" s="154">
        <f>'R3'!V34</f>
        <v>0.32984144556726341</v>
      </c>
    </row>
    <row r="45" spans="1:22" s="1" customFormat="1" x14ac:dyDescent="0.25">
      <c r="A45" s="229"/>
      <c r="B45" s="154">
        <f>'R3'!B35</f>
        <v>6.0378178411336435E-2</v>
      </c>
      <c r="C45" s="154">
        <f>'R3'!C35</f>
        <v>0.34031846530211546</v>
      </c>
      <c r="D45" s="154">
        <f>'R3'!D35</f>
        <v>0.1656323329760738</v>
      </c>
      <c r="E45" s="154">
        <f>'R3'!E35</f>
        <v>0.26608594753507925</v>
      </c>
      <c r="F45" s="154">
        <f>'R3'!F35</f>
        <v>0.25550594934495324</v>
      </c>
      <c r="G45" s="154">
        <f>'R3'!G35</f>
        <v>2.8574746205859864</v>
      </c>
      <c r="H45" s="154">
        <f>'R3'!H35</f>
        <v>3.5747197691865273</v>
      </c>
      <c r="I45" s="154">
        <f>'R3'!I35</f>
        <v>0.22439399878103411</v>
      </c>
      <c r="J45" s="154">
        <f>'R3'!J35</f>
        <v>0.1191172138702789</v>
      </c>
      <c r="K45" s="154">
        <f>'R3'!K35</f>
        <v>2.5138992540179803E-2</v>
      </c>
      <c r="L45" s="154">
        <f>'R3'!L35</f>
        <v>0.11873997223069689</v>
      </c>
      <c r="M45" s="154">
        <f>'R3'!M35</f>
        <v>2.7119666861375308E-2</v>
      </c>
      <c r="N45"/>
      <c r="O45" s="154" t="str">
        <f>'R3'!O35</f>
        <v/>
      </c>
      <c r="P45" s="154">
        <f>'R3'!P35</f>
        <v>1.0572488652369403</v>
      </c>
      <c r="Q45" s="154">
        <f>'R3'!Q35</f>
        <v>0.24015177861647399</v>
      </c>
      <c r="R45" s="154">
        <f>'R3'!R35</f>
        <v>1.4903326483697392</v>
      </c>
      <c r="S45" s="154" t="str">
        <f>'R3'!S35</f>
        <v/>
      </c>
      <c r="T45" s="154">
        <f>'R3'!T35</f>
        <v>1.3796445117286236</v>
      </c>
      <c r="U45" s="154">
        <f>'R3'!U35</f>
        <v>1.5258992475956681</v>
      </c>
      <c r="V45" s="154">
        <f>'R3'!V35</f>
        <v>0.74174197912023254</v>
      </c>
    </row>
    <row r="46" spans="1:22" s="1" customFormat="1" x14ac:dyDescent="0.25">
      <c r="A46" s="229"/>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1.1383292426618372</v>
      </c>
      <c r="P46" s="154" t="str">
        <f>'R3'!P36</f>
        <v/>
      </c>
      <c r="Q46" s="154" t="str">
        <f>'R3'!Q36</f>
        <v/>
      </c>
      <c r="R46" s="154" t="str">
        <f>'R3'!R36</f>
        <v/>
      </c>
      <c r="S46" s="154" t="str">
        <f>'R3'!S36</f>
        <v/>
      </c>
      <c r="T46" s="154" t="str">
        <f>'R3'!T36</f>
        <v/>
      </c>
      <c r="U46" s="154" t="str">
        <f>'R3'!U36</f>
        <v/>
      </c>
      <c r="V46" s="154" t="str">
        <f>'R3'!V36</f>
        <v/>
      </c>
    </row>
    <row r="47" spans="1:22" s="1" customFormat="1" x14ac:dyDescent="0.25">
      <c r="A47" s="229"/>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1.5475897075912923</v>
      </c>
      <c r="P47" s="154" t="str">
        <f>'R3'!P37</f>
        <v/>
      </c>
      <c r="Q47" s="154" t="str">
        <f>'R3'!Q37</f>
        <v/>
      </c>
      <c r="R47" s="154" t="str">
        <f>'R3'!R37</f>
        <v/>
      </c>
      <c r="S47" s="154" t="str">
        <f>'R3'!S37</f>
        <v/>
      </c>
      <c r="T47" s="154" t="str">
        <f>'R3'!T37</f>
        <v/>
      </c>
      <c r="U47" s="154" t="str">
        <f>'R3'!U37</f>
        <v/>
      </c>
      <c r="V47" s="154" t="str">
        <f>'R3'!V37</f>
        <v/>
      </c>
    </row>
    <row r="48" spans="1:22" s="1" customFormat="1" x14ac:dyDescent="0.25">
      <c r="A48" s="229"/>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2.0395314912130176</v>
      </c>
      <c r="P48" s="154" t="str">
        <f>'R3'!P38</f>
        <v/>
      </c>
      <c r="Q48" s="154" t="str">
        <f>'R3'!Q38</f>
        <v/>
      </c>
      <c r="R48" s="154" t="str">
        <f>'R3'!R38</f>
        <v/>
      </c>
      <c r="S48" s="154" t="str">
        <f>'R3'!S38</f>
        <v/>
      </c>
      <c r="T48" s="154" t="str">
        <f>'R3'!T38</f>
        <v/>
      </c>
      <c r="U48" s="154" t="str">
        <f>'R3'!U38</f>
        <v/>
      </c>
      <c r="V48" s="154" t="str">
        <f>'R3'!V38</f>
        <v/>
      </c>
    </row>
    <row r="49" spans="1:24" s="1" customFormat="1" x14ac:dyDescent="0.25">
      <c r="A49" s="229"/>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0.14681634216042325</v>
      </c>
      <c r="P49" s="154" t="str">
        <f>'R3'!P39</f>
        <v/>
      </c>
      <c r="Q49" s="154" t="str">
        <f>'R3'!Q39</f>
        <v/>
      </c>
      <c r="R49" s="154" t="str">
        <f>'R3'!R39</f>
        <v/>
      </c>
      <c r="S49" s="154" t="str">
        <f>'R3'!S39</f>
        <v/>
      </c>
      <c r="T49" s="154" t="str">
        <f>'R3'!T39</f>
        <v/>
      </c>
      <c r="U49" s="154" t="str">
        <f>'R3'!U39</f>
        <v/>
      </c>
      <c r="V49" s="154" t="str">
        <f>'R3'!V39</f>
        <v/>
      </c>
    </row>
    <row r="50" spans="1:24" s="1" customFormat="1" x14ac:dyDescent="0.25">
      <c r="A50" s="229"/>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1.5044784831915772</v>
      </c>
      <c r="P50" s="154" t="str">
        <f>'R3'!P40</f>
        <v/>
      </c>
      <c r="Q50" s="154" t="str">
        <f>'R3'!Q40</f>
        <v/>
      </c>
      <c r="R50" s="154" t="str">
        <f>'R3'!R40</f>
        <v/>
      </c>
      <c r="S50" s="154" t="str">
        <f>'R3'!S40</f>
        <v/>
      </c>
      <c r="T50" s="154" t="str">
        <f>'R3'!T40</f>
        <v/>
      </c>
      <c r="U50" s="154" t="str">
        <f>'R3'!U40</f>
        <v/>
      </c>
      <c r="V50" s="154" t="str">
        <f>'R3'!V40</f>
        <v/>
      </c>
    </row>
    <row r="51" spans="1:24" s="1" customFormat="1" x14ac:dyDescent="0.25">
      <c r="A51" s="229"/>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0.66113310184034968</v>
      </c>
      <c r="P51" s="154" t="str">
        <f>'R3'!P41</f>
        <v/>
      </c>
      <c r="Q51" s="154" t="str">
        <f>'R3'!Q41</f>
        <v/>
      </c>
      <c r="R51" s="154" t="str">
        <f>'R3'!R41</f>
        <v/>
      </c>
      <c r="S51" s="154" t="str">
        <f>'R3'!S41</f>
        <v/>
      </c>
      <c r="T51" s="154" t="str">
        <f>'R3'!T41</f>
        <v/>
      </c>
      <c r="U51" s="154" t="str">
        <f>'R3'!U41</f>
        <v/>
      </c>
      <c r="V51" s="154" t="str">
        <f>'R3'!V41</f>
        <v/>
      </c>
    </row>
    <row r="52" spans="1:24" s="1" customFormat="1" x14ac:dyDescent="0.25">
      <c r="A52" s="229"/>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0.7547517290484036</v>
      </c>
      <c r="P52" s="154" t="str">
        <f>'R3'!P42</f>
        <v/>
      </c>
      <c r="Q52" s="154" t="str">
        <f>'R3'!Q42</f>
        <v/>
      </c>
      <c r="R52" s="154" t="str">
        <f>'R3'!R42</f>
        <v/>
      </c>
      <c r="S52" s="154" t="str">
        <f>'R3'!S42</f>
        <v/>
      </c>
      <c r="T52" s="154" t="str">
        <f>'R3'!T42</f>
        <v/>
      </c>
      <c r="U52" s="154" t="str">
        <f>'R3'!U42</f>
        <v/>
      </c>
      <c r="V52" s="154" t="str">
        <f>'R3'!V42</f>
        <v/>
      </c>
    </row>
    <row r="53" spans="1:24" s="1" customFormat="1" x14ac:dyDescent="0.25">
      <c r="A53" s="230"/>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1.8373509418002594</v>
      </c>
      <c r="P53" s="154" t="str">
        <f>'R3'!P43</f>
        <v/>
      </c>
      <c r="Q53" s="154" t="str">
        <f>'R3'!Q43</f>
        <v/>
      </c>
      <c r="R53" s="154" t="str">
        <f>'R3'!R43</f>
        <v/>
      </c>
      <c r="S53" s="154" t="str">
        <f>'R3'!S43</f>
        <v/>
      </c>
      <c r="T53" s="154" t="str">
        <f>'R3'!T43</f>
        <v/>
      </c>
      <c r="U53" s="154" t="str">
        <f>'R3'!U43</f>
        <v/>
      </c>
      <c r="V53" s="154" t="str">
        <f>'R3'!V43</f>
        <v/>
      </c>
    </row>
    <row r="54" spans="1:24" s="60" customFormat="1" x14ac:dyDescent="0.2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Amantadine-0,001mg/L</v>
      </c>
      <c r="J55" s="15" t="str">
        <f t="shared" si="0"/>
        <v>Amantadine-0,01mg/L</v>
      </c>
      <c r="K55" s="15" t="str">
        <f t="shared" si="0"/>
        <v>Amantadine-0,1mg/L</v>
      </c>
      <c r="L55" s="15" t="str">
        <f t="shared" si="0"/>
        <v>Amantadine-1mg/L</v>
      </c>
      <c r="M55" s="15" t="str">
        <f t="shared" si="0"/>
        <v>Amantadine-10mg/L</v>
      </c>
      <c r="O55" s="15" t="str">
        <f t="shared" ref="O55:V55" si="1">O4</f>
        <v>Testo -30µg/L</v>
      </c>
      <c r="P55" s="15" t="str">
        <f t="shared" si="1"/>
        <v>Testo 30µg/L + EE2 -64ng/L</v>
      </c>
      <c r="Q55" s="15" t="str">
        <f t="shared" si="1"/>
        <v>Testo 30µg/L + FAD-10µg/L</v>
      </c>
      <c r="R55" s="15" t="str">
        <f t="shared" si="1"/>
        <v>Amantadine-0,001mg/L + Testostérone</v>
      </c>
      <c r="S55" s="15" t="str">
        <f t="shared" si="1"/>
        <v>Amantadine-0,01mg/L + Testostérone</v>
      </c>
      <c r="T55" s="15" t="str">
        <f t="shared" si="1"/>
        <v>Amantadine-0,1mg/L + Testostérone</v>
      </c>
      <c r="U55" s="15" t="str">
        <f t="shared" si="1"/>
        <v>Amantadine-1mg/L + Testostérone</v>
      </c>
      <c r="V55" s="15" t="str">
        <f t="shared" si="1"/>
        <v>Amantadine-10mg/L + Testostérone</v>
      </c>
    </row>
    <row r="56" spans="1:24" x14ac:dyDescent="0.25">
      <c r="A56" t="s">
        <v>48</v>
      </c>
      <c r="B56" s="9">
        <f t="shared" ref="B56:V56" si="2">AVERAGE(B6:B53)</f>
        <v>0.11219065539302642</v>
      </c>
      <c r="C56" s="9">
        <f t="shared" si="2"/>
        <v>0.11581259486470259</v>
      </c>
      <c r="D56" s="9">
        <f t="shared" si="2"/>
        <v>0.14046960374810696</v>
      </c>
      <c r="E56" s="9">
        <f t="shared" si="2"/>
        <v>0.32100066003809719</v>
      </c>
      <c r="F56" s="9">
        <f t="shared" si="2"/>
        <v>0.98902384035879853</v>
      </c>
      <c r="G56" s="9">
        <f t="shared" si="2"/>
        <v>1.7528993387839571</v>
      </c>
      <c r="H56" s="9">
        <f t="shared" si="2"/>
        <v>3.050865322590953</v>
      </c>
      <c r="I56" s="9">
        <f t="shared" si="2"/>
        <v>0.12900927527901868</v>
      </c>
      <c r="J56" s="9">
        <f t="shared" si="2"/>
        <v>8.3363825083967336E-2</v>
      </c>
      <c r="K56" s="9">
        <f t="shared" si="2"/>
        <v>8.725775753672492E-2</v>
      </c>
      <c r="L56" s="9">
        <f t="shared" si="2"/>
        <v>0.11968112212406262</v>
      </c>
      <c r="M56" s="9">
        <f t="shared" si="2"/>
        <v>0.10906359505339656</v>
      </c>
      <c r="N56" s="9"/>
      <c r="O56" s="9">
        <f t="shared" si="2"/>
        <v>1</v>
      </c>
      <c r="P56" s="9">
        <f t="shared" si="2"/>
        <v>1.7561934476054624</v>
      </c>
      <c r="Q56" s="9">
        <f t="shared" si="2"/>
        <v>0.11524557421039172</v>
      </c>
      <c r="R56" s="9">
        <f t="shared" si="2"/>
        <v>1.1493955476350943</v>
      </c>
      <c r="S56" s="9">
        <f t="shared" si="2"/>
        <v>1.1842776107983541</v>
      </c>
      <c r="T56" s="9">
        <f t="shared" si="2"/>
        <v>0.99669390763483523</v>
      </c>
      <c r="U56" s="9">
        <f t="shared" si="2"/>
        <v>1.289821156203169</v>
      </c>
      <c r="V56" s="9">
        <f t="shared" si="2"/>
        <v>1.1195185160202903</v>
      </c>
    </row>
    <row r="57" spans="1:24" x14ac:dyDescent="0.25">
      <c r="A57" t="s">
        <v>1</v>
      </c>
      <c r="B57" s="3">
        <f>STDEV(B6:B53)</f>
        <v>9.925660583322618E-2</v>
      </c>
      <c r="C57" s="3">
        <f t="shared" ref="C57:V57" si="3">STDEV(C6:C53)</f>
        <v>0.10663887545006594</v>
      </c>
      <c r="D57" s="3">
        <f t="shared" si="3"/>
        <v>0.10903348008892884</v>
      </c>
      <c r="E57" s="3">
        <f t="shared" si="3"/>
        <v>0.29961131427732807</v>
      </c>
      <c r="F57" s="3">
        <f t="shared" si="3"/>
        <v>0.65323139217115012</v>
      </c>
      <c r="G57" s="3">
        <f t="shared" si="3"/>
        <v>0.55580022829060161</v>
      </c>
      <c r="H57" s="3">
        <f t="shared" si="3"/>
        <v>0.71255897974802695</v>
      </c>
      <c r="I57" s="3">
        <f t="shared" si="3"/>
        <v>9.210932135635494E-2</v>
      </c>
      <c r="J57" s="3">
        <f t="shared" si="3"/>
        <v>7.7363454439181051E-2</v>
      </c>
      <c r="K57" s="3">
        <f t="shared" si="3"/>
        <v>5.870564005735858E-2</v>
      </c>
      <c r="L57" s="3">
        <f t="shared" si="3"/>
        <v>0.10112299440591541</v>
      </c>
      <c r="M57" s="3">
        <f t="shared" si="3"/>
        <v>9.5988605305242197E-2</v>
      </c>
      <c r="N57" s="3"/>
      <c r="O57" s="3">
        <f t="shared" si="3"/>
        <v>0.61365008527021636</v>
      </c>
      <c r="P57" s="3">
        <f t="shared" si="3"/>
        <v>0.68554764214087505</v>
      </c>
      <c r="Q57" s="3">
        <f t="shared" si="3"/>
        <v>5.9647626931689637E-2</v>
      </c>
      <c r="R57" s="3">
        <f t="shared" si="3"/>
        <v>0.66434962670128195</v>
      </c>
      <c r="S57" s="3">
        <f t="shared" si="3"/>
        <v>0.79386283978748573</v>
      </c>
      <c r="T57" s="3">
        <f t="shared" si="3"/>
        <v>0.59176160941932332</v>
      </c>
      <c r="U57" s="3">
        <f t="shared" si="3"/>
        <v>0.75859128004962051</v>
      </c>
      <c r="V57" s="3">
        <f t="shared" si="3"/>
        <v>0.70897629335684287</v>
      </c>
      <c r="W57" s="3"/>
      <c r="X57" s="3"/>
    </row>
    <row r="58" spans="1:24" x14ac:dyDescent="0.25">
      <c r="A58" t="s">
        <v>2</v>
      </c>
      <c r="B58" s="3">
        <f xml:space="preserve"> B57/SQRT(COUNT(B6:B53))</f>
        <v>2.0696433006609189E-2</v>
      </c>
      <c r="C58" s="3">
        <f t="shared" ref="C58:V58" si="4" xml:space="preserve"> C57/SQRT(COUNT(C6:C53))</f>
        <v>2.1767569299739116E-2</v>
      </c>
      <c r="D58" s="3">
        <f t="shared" si="4"/>
        <v>2.2735052213346728E-2</v>
      </c>
      <c r="E58" s="3">
        <f t="shared" si="4"/>
        <v>6.1157903428675192E-2</v>
      </c>
      <c r="F58" s="3">
        <f t="shared" si="4"/>
        <v>0.13334029956560067</v>
      </c>
      <c r="G58" s="3">
        <f t="shared" si="4"/>
        <v>0.11589235893480319</v>
      </c>
      <c r="H58" s="3">
        <f t="shared" si="4"/>
        <v>0.14545049266840321</v>
      </c>
      <c r="I58" s="3">
        <f t="shared" si="4"/>
        <v>1.9206121171815155E-2</v>
      </c>
      <c r="J58" s="3">
        <f t="shared" si="4"/>
        <v>1.5791749009587311E-2</v>
      </c>
      <c r="K58" s="3">
        <f t="shared" si="4"/>
        <v>1.2516084514343467E-2</v>
      </c>
      <c r="L58" s="3">
        <f t="shared" si="4"/>
        <v>2.0641644796400876E-2</v>
      </c>
      <c r="M58" s="3">
        <f t="shared" si="4"/>
        <v>2.0464839413053583E-2</v>
      </c>
      <c r="N58" s="3"/>
      <c r="O58" s="3">
        <f t="shared" si="4"/>
        <v>8.9510064470622375E-2</v>
      </c>
      <c r="P58" s="3">
        <f t="shared" si="4"/>
        <v>0.14294656490921376</v>
      </c>
      <c r="Q58" s="3">
        <f t="shared" si="4"/>
        <v>1.2175520862544286E-2</v>
      </c>
      <c r="R58" s="3">
        <f t="shared" si="4"/>
        <v>0.13560979968555198</v>
      </c>
      <c r="S58" s="3">
        <f t="shared" si="4"/>
        <v>0.16925212613079116</v>
      </c>
      <c r="T58" s="3">
        <f t="shared" si="4"/>
        <v>0.12079283270379149</v>
      </c>
      <c r="U58" s="3">
        <f t="shared" si="4"/>
        <v>0.15484679662052558</v>
      </c>
      <c r="V58" s="3">
        <f t="shared" si="4"/>
        <v>0.14783177638965886</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8" customFormat="1" ht="27" thickBot="1" x14ac:dyDescent="0.3">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Amantadine-0,001mg/L</v>
      </c>
      <c r="J62" s="3" t="str">
        <f t="shared" si="6"/>
        <v>Amantadine-0,01mg/L</v>
      </c>
      <c r="K62" s="3" t="str">
        <f t="shared" si="6"/>
        <v>Amantadine-0,1mg/L</v>
      </c>
      <c r="L62" s="3" t="str">
        <f t="shared" si="6"/>
        <v>Amantadine-1mg/L</v>
      </c>
      <c r="M62" s="3" t="str">
        <f t="shared" si="6"/>
        <v>Amantadine-10mg/L</v>
      </c>
      <c r="N62" s="3"/>
      <c r="O62" s="3" t="str">
        <f t="shared" si="6"/>
        <v>Testo -30µg/L</v>
      </c>
      <c r="P62" s="3" t="str">
        <f t="shared" si="6"/>
        <v>Testo 30µg/L + EE2 -64ng/L</v>
      </c>
      <c r="Q62" s="3" t="str">
        <f t="shared" si="6"/>
        <v>Testo 30µg/L + FAD-10µg/L</v>
      </c>
      <c r="R62" s="3" t="str">
        <f t="shared" si="6"/>
        <v>Amantadine-0,001mg/L + Testostérone</v>
      </c>
      <c r="S62" s="3" t="str">
        <f t="shared" si="6"/>
        <v>Amantadine-0,01mg/L + Testostérone</v>
      </c>
      <c r="T62" s="3" t="str">
        <f t="shared" si="6"/>
        <v>Amantadine-0,1mg/L + Testostérone</v>
      </c>
      <c r="U62" s="3" t="str">
        <f t="shared" si="6"/>
        <v>Amantadine-1mg/L + Testostérone</v>
      </c>
      <c r="V62" s="3" t="str">
        <f t="shared" si="6"/>
        <v>Amantadine-10mg/L + Testostérone</v>
      </c>
    </row>
    <row r="63" spans="1:24" s="1" customFormat="1" x14ac:dyDescent="0.25">
      <c r="A63" s="1" t="s">
        <v>49</v>
      </c>
      <c r="B63" s="3">
        <f>COUNT(B6:B53)</f>
        <v>23</v>
      </c>
      <c r="C63" s="3">
        <f t="shared" ref="C63:V63" si="7">COUNT(C6:C53)</f>
        <v>24</v>
      </c>
      <c r="D63" s="3">
        <f t="shared" si="7"/>
        <v>23</v>
      </c>
      <c r="E63" s="3">
        <f t="shared" si="7"/>
        <v>24</v>
      </c>
      <c r="F63" s="3">
        <f t="shared" si="7"/>
        <v>24</v>
      </c>
      <c r="G63" s="3">
        <f t="shared" si="7"/>
        <v>23</v>
      </c>
      <c r="H63" s="3">
        <f t="shared" si="7"/>
        <v>24</v>
      </c>
      <c r="I63" s="3">
        <f t="shared" si="7"/>
        <v>23</v>
      </c>
      <c r="J63" s="3">
        <f t="shared" si="7"/>
        <v>24</v>
      </c>
      <c r="K63" s="3">
        <f t="shared" si="7"/>
        <v>22</v>
      </c>
      <c r="L63" s="3">
        <f t="shared" si="7"/>
        <v>24</v>
      </c>
      <c r="M63" s="3">
        <f t="shared" si="7"/>
        <v>22</v>
      </c>
      <c r="N63" s="3"/>
      <c r="O63" s="3">
        <f t="shared" si="7"/>
        <v>47</v>
      </c>
      <c r="P63" s="3">
        <f t="shared" si="7"/>
        <v>23</v>
      </c>
      <c r="Q63" s="3">
        <f t="shared" si="7"/>
        <v>24</v>
      </c>
      <c r="R63" s="3">
        <f t="shared" si="7"/>
        <v>24</v>
      </c>
      <c r="S63" s="3">
        <f t="shared" si="7"/>
        <v>22</v>
      </c>
      <c r="T63" s="3">
        <f t="shared" si="7"/>
        <v>24</v>
      </c>
      <c r="U63" s="3">
        <f t="shared" si="7"/>
        <v>24</v>
      </c>
      <c r="V63" s="3">
        <f t="shared" si="7"/>
        <v>23</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7" thickBot="1" x14ac:dyDescent="0.3">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7" thickBot="1" x14ac:dyDescent="0.3">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75" thickBot="1" x14ac:dyDescent="0.3"/>
    <row r="72" spans="1:22" s="48" customFormat="1" ht="27" thickBot="1" x14ac:dyDescent="0.3">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Amantadine-0,001mg/L</v>
      </c>
      <c r="J74" s="46" t="str">
        <f t="shared" si="9"/>
        <v>Amantadine-0,01mg/L</v>
      </c>
      <c r="K74" s="46" t="str">
        <f t="shared" si="9"/>
        <v>Amantadine-0,1mg/L</v>
      </c>
      <c r="L74" s="46" t="str">
        <f t="shared" si="9"/>
        <v>Amantadine-1mg/L</v>
      </c>
      <c r="M74" s="46" t="str">
        <f t="shared" si="9"/>
        <v>Amantadine-10mg/L</v>
      </c>
      <c r="N74" s="46"/>
      <c r="O74" s="46" t="str">
        <f t="shared" ref="O74:V74" si="10">O4</f>
        <v>Testo -30µg/L</v>
      </c>
      <c r="P74" s="46" t="str">
        <f t="shared" si="10"/>
        <v>Testo 30µg/L + EE2 -64ng/L</v>
      </c>
      <c r="Q74" s="46" t="str">
        <f t="shared" si="10"/>
        <v>Testo 30µg/L + FAD-10µg/L</v>
      </c>
      <c r="R74" s="46" t="str">
        <f t="shared" si="10"/>
        <v>Amantadine-0,001mg/L + Testostérone</v>
      </c>
      <c r="S74" s="46" t="str">
        <f t="shared" si="10"/>
        <v>Amantadine-0,01mg/L + Testostérone</v>
      </c>
      <c r="T74" s="46" t="str">
        <f t="shared" si="10"/>
        <v>Amantadine-0,1mg/L + Testostérone</v>
      </c>
      <c r="U74" s="46" t="str">
        <f t="shared" si="10"/>
        <v>Amantadine-1mg/L + Testostérone</v>
      </c>
      <c r="V74" s="46" t="str">
        <f t="shared" si="10"/>
        <v>Amantadine-10mg/L + Testostérone</v>
      </c>
    </row>
    <row r="75" spans="1:22" s="3" customFormat="1" x14ac:dyDescent="0.25">
      <c r="A75" s="61" t="s">
        <v>32</v>
      </c>
      <c r="B75" s="141">
        <f>B56</f>
        <v>0.11219065539302642</v>
      </c>
      <c r="C75" s="141">
        <f t="shared" ref="C75:V75" si="11">C56</f>
        <v>0.11581259486470259</v>
      </c>
      <c r="D75" s="141">
        <f t="shared" si="11"/>
        <v>0.14046960374810696</v>
      </c>
      <c r="E75" s="141">
        <f t="shared" si="11"/>
        <v>0.32100066003809719</v>
      </c>
      <c r="F75" s="141">
        <f t="shared" si="11"/>
        <v>0.98902384035879853</v>
      </c>
      <c r="G75" s="141">
        <f t="shared" si="11"/>
        <v>1.7528993387839571</v>
      </c>
      <c r="H75" s="141">
        <f t="shared" si="11"/>
        <v>3.050865322590953</v>
      </c>
      <c r="I75" s="141">
        <f t="shared" si="11"/>
        <v>0.12900927527901868</v>
      </c>
      <c r="J75" s="141">
        <f t="shared" si="11"/>
        <v>8.3363825083967336E-2</v>
      </c>
      <c r="K75" s="141">
        <f t="shared" si="11"/>
        <v>8.725775753672492E-2</v>
      </c>
      <c r="L75" s="141">
        <f t="shared" si="11"/>
        <v>0.11968112212406262</v>
      </c>
      <c r="M75" s="141">
        <f t="shared" si="11"/>
        <v>0.10906359505339656</v>
      </c>
      <c r="N75" s="141"/>
      <c r="O75" s="141">
        <f t="shared" si="11"/>
        <v>1</v>
      </c>
      <c r="P75" s="141">
        <f t="shared" si="11"/>
        <v>1.7561934476054624</v>
      </c>
      <c r="Q75" s="141">
        <f t="shared" si="11"/>
        <v>0.11524557421039172</v>
      </c>
      <c r="R75" s="141">
        <f t="shared" si="11"/>
        <v>1.1493955476350943</v>
      </c>
      <c r="S75" s="141">
        <f t="shared" si="11"/>
        <v>1.1842776107983541</v>
      </c>
      <c r="T75" s="141">
        <f t="shared" si="11"/>
        <v>0.99669390763483523</v>
      </c>
      <c r="U75" s="141">
        <f t="shared" si="11"/>
        <v>1.289821156203169</v>
      </c>
      <c r="V75" s="141">
        <f t="shared" si="11"/>
        <v>1.1195185160202903</v>
      </c>
    </row>
    <row r="76" spans="1:22" s="3" customFormat="1" x14ac:dyDescent="0.25">
      <c r="A76" s="61" t="s">
        <v>2</v>
      </c>
      <c r="B76" s="141">
        <f>B58</f>
        <v>2.0696433006609189E-2</v>
      </c>
      <c r="C76" s="141">
        <f t="shared" ref="C76:V76" si="12">C58</f>
        <v>2.1767569299739116E-2</v>
      </c>
      <c r="D76" s="141">
        <f t="shared" si="12"/>
        <v>2.2735052213346728E-2</v>
      </c>
      <c r="E76" s="141">
        <f t="shared" si="12"/>
        <v>6.1157903428675192E-2</v>
      </c>
      <c r="F76" s="141">
        <f t="shared" si="12"/>
        <v>0.13334029956560067</v>
      </c>
      <c r="G76" s="141">
        <f t="shared" si="12"/>
        <v>0.11589235893480319</v>
      </c>
      <c r="H76" s="141">
        <f t="shared" si="12"/>
        <v>0.14545049266840321</v>
      </c>
      <c r="I76" s="141">
        <f t="shared" si="12"/>
        <v>1.9206121171815155E-2</v>
      </c>
      <c r="J76" s="141">
        <f t="shared" si="12"/>
        <v>1.5791749009587311E-2</v>
      </c>
      <c r="K76" s="141">
        <f t="shared" si="12"/>
        <v>1.2516084514343467E-2</v>
      </c>
      <c r="L76" s="141">
        <f t="shared" si="12"/>
        <v>2.0641644796400876E-2</v>
      </c>
      <c r="M76" s="141">
        <f t="shared" si="12"/>
        <v>2.0464839413053583E-2</v>
      </c>
      <c r="N76" s="141"/>
      <c r="O76" s="141">
        <f t="shared" si="12"/>
        <v>8.9510064470622375E-2</v>
      </c>
      <c r="P76" s="141">
        <f t="shared" si="12"/>
        <v>0.14294656490921376</v>
      </c>
      <c r="Q76" s="141">
        <f t="shared" si="12"/>
        <v>1.2175520862544286E-2</v>
      </c>
      <c r="R76" s="141">
        <f t="shared" si="12"/>
        <v>0.13560979968555198</v>
      </c>
      <c r="S76" s="141">
        <f t="shared" si="12"/>
        <v>0.16925212613079116</v>
      </c>
      <c r="T76" s="141">
        <f t="shared" si="12"/>
        <v>0.12079283270379149</v>
      </c>
      <c r="U76" s="141">
        <f t="shared" si="12"/>
        <v>0.15484679662052558</v>
      </c>
      <c r="V76" s="141">
        <f t="shared" si="12"/>
        <v>0.14783177638965886</v>
      </c>
    </row>
    <row r="77" spans="1:22" s="3" customFormat="1" x14ac:dyDescent="0.25">
      <c r="A77" s="61" t="s">
        <v>79</v>
      </c>
      <c r="B77" s="141">
        <f>(B75*100/$B$75)-100</f>
        <v>0</v>
      </c>
      <c r="C77" s="141">
        <f t="shared" ref="C77:M77" si="13">(C75*100/$B$75)-100</f>
        <v>3.2283789224581909</v>
      </c>
      <c r="D77" s="141">
        <f t="shared" si="13"/>
        <v>25.206153093600989</v>
      </c>
      <c r="E77" s="141">
        <f t="shared" si="13"/>
        <v>186.12067459055953</v>
      </c>
      <c r="F77" s="141">
        <f t="shared" si="13"/>
        <v>781.55634432658337</v>
      </c>
      <c r="G77" s="141">
        <f t="shared" si="13"/>
        <v>1462.429003238459</v>
      </c>
      <c r="H77" s="141">
        <f t="shared" si="13"/>
        <v>2619.3577859966667</v>
      </c>
      <c r="I77" s="141">
        <f t="shared" si="13"/>
        <v>14.991105834147461</v>
      </c>
      <c r="J77" s="141">
        <f t="shared" si="13"/>
        <v>-25.694502102757937</v>
      </c>
      <c r="K77" s="141">
        <f t="shared" si="13"/>
        <v>-22.223685002067725</v>
      </c>
      <c r="L77" s="141">
        <f t="shared" si="13"/>
        <v>6.6765513623176531</v>
      </c>
      <c r="M77" s="141">
        <f t="shared" si="13"/>
        <v>-2.7872734397309102</v>
      </c>
      <c r="N77" s="141"/>
      <c r="O77" s="141">
        <f>(O75*100/$O$75)-100</f>
        <v>0</v>
      </c>
      <c r="P77" s="141">
        <f t="shared" ref="P77:V77" si="14">(P75*100/$O$75)-100</f>
        <v>75.619344760546227</v>
      </c>
      <c r="Q77" s="141">
        <f t="shared" si="14"/>
        <v>-88.475442578960823</v>
      </c>
      <c r="R77" s="141">
        <f t="shared" si="14"/>
        <v>14.939554763509435</v>
      </c>
      <c r="S77" s="141">
        <f t="shared" si="14"/>
        <v>18.42776107983542</v>
      </c>
      <c r="T77" s="141">
        <f t="shared" si="14"/>
        <v>-0.33060923651648011</v>
      </c>
      <c r="U77" s="141">
        <f t="shared" si="14"/>
        <v>28.982115620316904</v>
      </c>
      <c r="V77" s="141">
        <f t="shared" si="14"/>
        <v>11.951851602029024</v>
      </c>
    </row>
    <row r="78" spans="1:22" s="3" customFormat="1" x14ac:dyDescent="0.25">
      <c r="A78" s="61" t="s">
        <v>81</v>
      </c>
      <c r="B78" s="141">
        <f>[1]!DPTEST(B6:B53)</f>
        <v>2.4540852837762195E-5</v>
      </c>
      <c r="C78" s="141">
        <f>[1]!DPTEST(C6:C53)</f>
        <v>6.4991702251104844E-4</v>
      </c>
      <c r="D78" s="141">
        <f>[1]!DPTEST(D6:D53)</f>
        <v>0.19187993693551553</v>
      </c>
      <c r="E78" s="141">
        <f>[1]!DPTEST(E6:E53)</f>
        <v>1.1275332689741902E-7</v>
      </c>
      <c r="F78" s="141">
        <f>[1]!DPTEST(F6:F53)</f>
        <v>0.24604630756839763</v>
      </c>
      <c r="G78" s="141">
        <f>[1]!DPTEST(G6:G53)</f>
        <v>0.96280760981245816</v>
      </c>
      <c r="H78" s="141">
        <f>[1]!DPTEST(H6:H53)</f>
        <v>0.60971074600202746</v>
      </c>
      <c r="I78" s="141">
        <f>[1]!DPTEST(I6:I53)</f>
        <v>0.24314792810379204</v>
      </c>
      <c r="J78" s="141">
        <f>[1]!DPTEST(J6:J53)</f>
        <v>1.3298774563649252E-3</v>
      </c>
      <c r="K78" s="141">
        <f>[1]!DPTEST(K6:K53)</f>
        <v>3.3960874402924057E-2</v>
      </c>
      <c r="L78" s="141">
        <f>[1]!DPTEST(L6:L53)</f>
        <v>2.510152579089342E-2</v>
      </c>
      <c r="M78" s="141">
        <f>[1]!DPTEST(M6:M53)</f>
        <v>4.5126672032802295E-2</v>
      </c>
      <c r="N78" s="141"/>
      <c r="O78" s="141">
        <f>[1]!DPTEST(O6:O53)</f>
        <v>0.45150191764290215</v>
      </c>
      <c r="P78" s="141">
        <f>[1]!DPTEST(P6:P53)</f>
        <v>0.66172828654852278</v>
      </c>
      <c r="Q78" s="141">
        <f>[1]!DPTEST(Q6:Q53)</f>
        <v>0.74229398900585708</v>
      </c>
      <c r="R78" s="141">
        <f>[1]!DPTEST(R6:R53)</f>
        <v>0.8399496463186511</v>
      </c>
      <c r="S78" s="141">
        <f>[1]!DPTEST(S6:S53)</f>
        <v>0.47401899580192874</v>
      </c>
      <c r="T78" s="141">
        <f>[1]!DPTEST(T6:T53)</f>
        <v>0.52171945003236786</v>
      </c>
      <c r="U78" s="141">
        <f>[1]!DPTEST(U6:U53)</f>
        <v>0.37326007864491684</v>
      </c>
      <c r="V78" s="141">
        <f>[1]!DPTEST(V6:V53)</f>
        <v>0.11886731720633137</v>
      </c>
    </row>
    <row r="79" spans="1:22" s="3" customFormat="1" x14ac:dyDescent="0.25">
      <c r="A79" s="61" t="s">
        <v>85</v>
      </c>
      <c r="B79" s="141" t="str">
        <f>IF(B78&gt;0.05,"Oui","Non")</f>
        <v>Non</v>
      </c>
      <c r="C79" s="141" t="str">
        <f t="shared" ref="C79:V79" si="15">IF(C78&gt;0.05,"Oui","Non")</f>
        <v>Non</v>
      </c>
      <c r="D79" s="141" t="str">
        <f t="shared" si="15"/>
        <v>Oui</v>
      </c>
      <c r="E79" s="141" t="str">
        <f t="shared" si="15"/>
        <v>Non</v>
      </c>
      <c r="F79" s="141" t="str">
        <f t="shared" si="15"/>
        <v>Oui</v>
      </c>
      <c r="G79" s="141" t="str">
        <f t="shared" si="15"/>
        <v>Oui</v>
      </c>
      <c r="H79" s="141" t="str">
        <f t="shared" si="15"/>
        <v>Oui</v>
      </c>
      <c r="I79" s="141" t="str">
        <f t="shared" si="15"/>
        <v>Oui</v>
      </c>
      <c r="J79" s="141" t="str">
        <f t="shared" si="15"/>
        <v>Non</v>
      </c>
      <c r="K79" s="141" t="str">
        <f t="shared" si="15"/>
        <v>Non</v>
      </c>
      <c r="L79" s="141" t="str">
        <f t="shared" si="15"/>
        <v>Non</v>
      </c>
      <c r="M79" s="141" t="str">
        <f t="shared" si="15"/>
        <v>Non</v>
      </c>
      <c r="N79" s="141"/>
      <c r="O79" s="141" t="str">
        <f t="shared" si="15"/>
        <v>Oui</v>
      </c>
      <c r="P79" s="141" t="str">
        <f t="shared" si="15"/>
        <v>Oui</v>
      </c>
      <c r="Q79" s="141" t="str">
        <f t="shared" si="15"/>
        <v>Oui</v>
      </c>
      <c r="R79" s="141" t="str">
        <f t="shared" si="15"/>
        <v>Oui</v>
      </c>
      <c r="S79" s="141" t="str">
        <f t="shared" si="15"/>
        <v>Oui</v>
      </c>
      <c r="T79" s="141" t="str">
        <f t="shared" si="15"/>
        <v>Oui</v>
      </c>
      <c r="U79" s="141" t="str">
        <f t="shared" si="15"/>
        <v>Oui</v>
      </c>
      <c r="V79" s="141" t="str">
        <f t="shared" si="15"/>
        <v>Oui</v>
      </c>
    </row>
    <row r="80" spans="1:22" s="3" customFormat="1" x14ac:dyDescent="0.25">
      <c r="A80" s="61" t="s">
        <v>122</v>
      </c>
      <c r="B80" s="141" t="str">
        <f>IF(COUNTIF(B79:I79, "Non")=0, "Oui","Non")</f>
        <v>Non</v>
      </c>
      <c r="C80" s="141"/>
      <c r="D80" s="141"/>
      <c r="E80" s="141"/>
      <c r="F80" s="141"/>
      <c r="G80" s="141"/>
      <c r="H80" s="141"/>
      <c r="I80" s="141"/>
      <c r="J80" s="141" t="str">
        <f>IF(COUNTIF(J79:M79, "Non")&gt;0, "Oui","Non")</f>
        <v>Oui</v>
      </c>
      <c r="K80" s="141"/>
      <c r="L80" s="141"/>
      <c r="M80" s="141"/>
      <c r="N80" s="141"/>
      <c r="O80" s="141"/>
      <c r="P80" s="141"/>
      <c r="Q80" s="141"/>
      <c r="R80" s="141" t="str">
        <f>IF(COUNTIF(R79:V79, "Non")&gt;0, "Oui","Non")</f>
        <v>Non</v>
      </c>
      <c r="S80" s="141"/>
      <c r="T80" s="141"/>
      <c r="U80" s="141"/>
      <c r="V80" s="141"/>
    </row>
    <row r="81" spans="1:22" s="3" customFormat="1" x14ac:dyDescent="0.25">
      <c r="A81" s="61" t="s">
        <v>82</v>
      </c>
      <c r="B81" s="141"/>
      <c r="C81" s="141" t="str">
        <f t="shared" ref="C81:M81" si="16">IF($B80="Non","Kruskal-Wallis","ANOVA")</f>
        <v>Kruskal-Wallis</v>
      </c>
      <c r="D81" s="141" t="str">
        <f t="shared" si="16"/>
        <v>Kruskal-Wallis</v>
      </c>
      <c r="E81" s="141" t="str">
        <f t="shared" si="16"/>
        <v>Kruskal-Wallis</v>
      </c>
      <c r="F81" s="141" t="str">
        <f t="shared" si="16"/>
        <v>Kruskal-Wallis</v>
      </c>
      <c r="G81" s="141" t="str">
        <f t="shared" si="16"/>
        <v>Kruskal-Wallis</v>
      </c>
      <c r="H81" s="141" t="str">
        <f t="shared" si="16"/>
        <v>Kruskal-Wallis</v>
      </c>
      <c r="I81" s="141" t="str">
        <f t="shared" si="16"/>
        <v>Kruskal-Wallis</v>
      </c>
      <c r="J81" s="141" t="str">
        <f t="shared" si="16"/>
        <v>Kruskal-Wallis</v>
      </c>
      <c r="K81" s="141" t="str">
        <f t="shared" si="16"/>
        <v>Kruskal-Wallis</v>
      </c>
      <c r="L81" s="141" t="str">
        <f t="shared" si="16"/>
        <v>Kruskal-Wallis</v>
      </c>
      <c r="M81" s="141" t="str">
        <f t="shared" si="16"/>
        <v>Kruskal-Wallis</v>
      </c>
      <c r="N81" s="141"/>
      <c r="O81" s="141" t="str">
        <f>IF($B79="Non",IF(O79="Non","Mann Withney",IF(O79="Oui","Mann Withney","")),IF($B79="Oui",IF(O79="Oui","T-Test Welch",IF(O79="Non","Mann Withney",""))))</f>
        <v>Mann Withney</v>
      </c>
      <c r="P81" s="141" t="str">
        <f t="shared" ref="P81:Q81" si="17">IF($O79="Non",IF(P79="Non","Mann Withney",IF(P$79="Oui","Mann Withney","")),IF($O79="Oui",IF(P79="Oui","T-Test Welch",IF(P79="Non","Mann Withney",""))))</f>
        <v>T-Test Welch</v>
      </c>
      <c r="Q81" s="141" t="str">
        <f t="shared" si="17"/>
        <v>T-Test Welch</v>
      </c>
      <c r="R81" s="141" t="s">
        <v>4245</v>
      </c>
      <c r="S81" s="141" t="s">
        <v>4245</v>
      </c>
      <c r="T81" s="141" t="s">
        <v>4245</v>
      </c>
      <c r="U81" s="141" t="s">
        <v>4245</v>
      </c>
      <c r="V81" s="141" t="s">
        <v>4245</v>
      </c>
    </row>
    <row r="82" spans="1:22" s="3" customFormat="1" ht="15.75" x14ac:dyDescent="0.25">
      <c r="A82" s="61" t="s">
        <v>83</v>
      </c>
      <c r="B82" s="141"/>
      <c r="C82" s="196">
        <v>0.99990000000000001</v>
      </c>
      <c r="D82" s="196">
        <v>0.99990000000000001</v>
      </c>
      <c r="E82" s="196">
        <v>6.13E-2</v>
      </c>
      <c r="F82" s="196">
        <v>1E-4</v>
      </c>
      <c r="G82" s="196">
        <v>1E-4</v>
      </c>
      <c r="H82" s="196">
        <v>1E-4</v>
      </c>
      <c r="I82" s="196">
        <v>0.99990000000000001</v>
      </c>
      <c r="J82" s="196">
        <v>0.99990000000000001</v>
      </c>
      <c r="K82" s="196">
        <v>0.99990000000000001</v>
      </c>
      <c r="L82" s="196">
        <v>0.99990000000000001</v>
      </c>
      <c r="M82" s="196">
        <v>0.99990000000000001</v>
      </c>
      <c r="N82" s="141"/>
      <c r="O82" s="196">
        <v>1E-4</v>
      </c>
      <c r="P82" s="196">
        <v>1E-4</v>
      </c>
      <c r="Q82" s="196">
        <v>1E-4</v>
      </c>
      <c r="R82" s="196">
        <v>0.85060000000000002</v>
      </c>
      <c r="S82" s="196">
        <v>0.7409</v>
      </c>
      <c r="T82" s="196">
        <v>0.99990000000000001</v>
      </c>
      <c r="U82" s="196">
        <v>0.30590000000000001</v>
      </c>
      <c r="V82" s="196">
        <v>0.93610000000000004</v>
      </c>
    </row>
    <row r="83" spans="1:22" s="3" customFormat="1" ht="15.75" thickBot="1" x14ac:dyDescent="0.3">
      <c r="A83" s="62" t="s">
        <v>84</v>
      </c>
      <c r="B83" s="142"/>
      <c r="C83" s="142" t="str">
        <f t="shared" ref="C83:O83" si="18">IF(C82&gt;0.05,"NS",IF(C82&gt;0.01,"*",IF(C82&gt;0.001,"**","***")))</f>
        <v>NS</v>
      </c>
      <c r="D83" s="142" t="str">
        <f t="shared" si="18"/>
        <v>NS</v>
      </c>
      <c r="E83" s="142" t="str">
        <f t="shared" si="18"/>
        <v>NS</v>
      </c>
      <c r="F83" s="142" t="str">
        <f t="shared" si="18"/>
        <v>***</v>
      </c>
      <c r="G83" s="142" t="str">
        <f t="shared" si="18"/>
        <v>***</v>
      </c>
      <c r="H83" s="142" t="str">
        <f t="shared" si="18"/>
        <v>***</v>
      </c>
      <c r="I83" s="142" t="str">
        <f t="shared" si="18"/>
        <v>NS</v>
      </c>
      <c r="J83" s="142" t="str">
        <f t="shared" si="18"/>
        <v>NS</v>
      </c>
      <c r="K83" s="142" t="str">
        <f t="shared" si="18"/>
        <v>NS</v>
      </c>
      <c r="L83" s="142" t="str">
        <f t="shared" si="18"/>
        <v>NS</v>
      </c>
      <c r="M83" s="142" t="str">
        <f t="shared" si="18"/>
        <v>NS</v>
      </c>
      <c r="N83" s="142"/>
      <c r="O83" s="142" t="str">
        <f t="shared" si="18"/>
        <v>***</v>
      </c>
      <c r="P83" s="142" t="str">
        <f t="shared" ref="P83" si="19">IF(P82&gt;0.05,"NS",IF(P82&gt;0.01,"*",IF(P82&gt;0.001,"**","***")))</f>
        <v>***</v>
      </c>
      <c r="Q83" s="142" t="str">
        <f t="shared" ref="Q83:V83" si="20">IF(Q82&gt;0.05,"NS",IF(Q82&gt;0.01,"*",IF(Q82&gt;0.001,"**","***")))</f>
        <v>***</v>
      </c>
      <c r="R83" s="142" t="str">
        <f t="shared" si="20"/>
        <v>NS</v>
      </c>
      <c r="S83" s="142" t="str">
        <f t="shared" si="20"/>
        <v>NS</v>
      </c>
      <c r="T83" s="142" t="str">
        <f t="shared" si="20"/>
        <v>NS</v>
      </c>
      <c r="U83" s="142" t="str">
        <f t="shared" si="20"/>
        <v>NS</v>
      </c>
      <c r="V83" s="142" t="str">
        <f t="shared" si="20"/>
        <v>NS</v>
      </c>
    </row>
    <row r="84" spans="1:22" s="1" customFormat="1" x14ac:dyDescent="0.25"/>
    <row r="85" spans="1:22" s="1" customFormat="1" x14ac:dyDescent="0.25">
      <c r="A85" s="2" t="s">
        <v>39</v>
      </c>
    </row>
    <row r="86" spans="1:22" x14ac:dyDescent="0.25">
      <c r="A86" s="1" t="s">
        <v>23</v>
      </c>
      <c r="B86" s="1">
        <f>B56+(3*B57)</f>
        <v>0.40996047289270499</v>
      </c>
    </row>
    <row r="87" spans="1:22" x14ac:dyDescent="0.25">
      <c r="A87" s="1" t="s">
        <v>24</v>
      </c>
      <c r="B87" s="1">
        <f>B56+(10*B57)</f>
        <v>1.1047567137252883</v>
      </c>
    </row>
    <row r="88" spans="1:22" ht="15.75" thickBot="1" x14ac:dyDescent="0.3"/>
    <row r="89" spans="1:22" s="48" customFormat="1" ht="27" thickBot="1" x14ac:dyDescent="0.3">
      <c r="A89" s="49" t="s">
        <v>55</v>
      </c>
      <c r="B89" s="50"/>
      <c r="C89" s="50"/>
      <c r="D89" s="50"/>
      <c r="E89" s="50"/>
      <c r="F89" s="50"/>
      <c r="G89" s="50"/>
      <c r="H89" s="50"/>
      <c r="I89" s="50"/>
      <c r="J89" s="50"/>
      <c r="K89" s="50"/>
      <c r="L89" s="50"/>
      <c r="M89" s="50"/>
      <c r="N89" s="50"/>
      <c r="O89" s="50"/>
      <c r="P89" s="50"/>
      <c r="Q89" s="50"/>
      <c r="R89" s="50"/>
      <c r="S89" s="50"/>
      <c r="T89" s="50"/>
      <c r="U89" s="50"/>
      <c r="V89" s="50"/>
    </row>
    <row r="90" spans="1:22" ht="15.75" thickBot="1" x14ac:dyDescent="0.3"/>
    <row r="91" spans="1:22" s="48" customFormat="1" ht="27" thickBot="1" x14ac:dyDescent="0.3">
      <c r="A91" s="49" t="s">
        <v>56</v>
      </c>
      <c r="B91" s="50"/>
      <c r="C91" s="50"/>
      <c r="D91" s="50"/>
      <c r="E91" s="50"/>
      <c r="F91" s="50"/>
      <c r="G91" s="50"/>
      <c r="H91" s="50"/>
      <c r="I91" s="50"/>
      <c r="J91" s="50"/>
      <c r="K91" s="50"/>
      <c r="L91" s="50"/>
      <c r="M91" s="50"/>
      <c r="N91" s="50"/>
      <c r="O91" s="50"/>
      <c r="P91" s="50"/>
      <c r="Q91" s="50"/>
      <c r="R91" s="50"/>
      <c r="S91" s="50"/>
      <c r="T91" s="50"/>
      <c r="U91" s="50"/>
      <c r="V91" s="50"/>
    </row>
    <row r="92" spans="1:22" ht="15.75" thickBot="1" x14ac:dyDescent="0.3"/>
    <row r="93" spans="1:22" s="48" customFormat="1" ht="27" thickBot="1" x14ac:dyDescent="0.3">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7" spans="3:19" ht="15.75" x14ac:dyDescent="0.25">
      <c r="I97" s="196"/>
    </row>
    <row r="98" spans="3:19" ht="15.75" x14ac:dyDescent="0.25">
      <c r="I98" s="196"/>
    </row>
    <row r="99" spans="3:19" ht="15.75" x14ac:dyDescent="0.25">
      <c r="C99" s="196"/>
      <c r="I99" s="196"/>
      <c r="S99" s="196"/>
    </row>
    <row r="100" spans="3:19" ht="15.75" x14ac:dyDescent="0.25">
      <c r="C100" s="196"/>
      <c r="I100" s="196"/>
      <c r="S100" s="196"/>
    </row>
    <row r="101" spans="3:19" ht="15.75" x14ac:dyDescent="0.25">
      <c r="C101" s="196"/>
      <c r="I101" s="196"/>
      <c r="S101" s="196"/>
    </row>
    <row r="102" spans="3:19" ht="15.75" x14ac:dyDescent="0.25">
      <c r="C102" s="196"/>
      <c r="S102" s="196"/>
    </row>
    <row r="103" spans="3:19" ht="15.75" x14ac:dyDescent="0.25">
      <c r="C103" s="196"/>
      <c r="S103" s="196"/>
    </row>
    <row r="104" spans="3:19" ht="15.75" x14ac:dyDescent="0.25">
      <c r="C104" s="196"/>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8" customFormat="1" ht="27" thickBot="1" x14ac:dyDescent="0.3">
      <c r="A1" s="231" t="s">
        <v>104</v>
      </c>
      <c r="B1" s="232"/>
      <c r="C1" s="232"/>
      <c r="D1" s="232"/>
      <c r="E1" s="232"/>
      <c r="F1" s="232"/>
      <c r="G1" s="232"/>
      <c r="H1" s="232"/>
      <c r="I1" s="232"/>
      <c r="J1" s="232"/>
      <c r="K1" s="232"/>
      <c r="L1" s="232"/>
      <c r="M1" s="232"/>
      <c r="N1" s="232"/>
      <c r="O1" s="233"/>
    </row>
    <row r="2" spans="1:15" s="48" customFormat="1" ht="27" thickBot="1" x14ac:dyDescent="0.3">
      <c r="A2" s="231" t="s">
        <v>105</v>
      </c>
      <c r="B2" s="232"/>
      <c r="C2" s="232"/>
      <c r="D2" s="232"/>
      <c r="E2" s="232"/>
      <c r="F2" s="232"/>
      <c r="G2" s="232"/>
      <c r="H2" s="232"/>
      <c r="I2" s="232"/>
      <c r="J2" s="232"/>
      <c r="K2" s="232"/>
      <c r="L2" s="232"/>
      <c r="M2" s="232"/>
      <c r="N2" s="232"/>
      <c r="O2" s="233"/>
    </row>
    <row r="3" spans="1:15" s="76" customFormat="1" ht="15.75" x14ac:dyDescent="0.25">
      <c r="H3" s="77"/>
      <c r="I3" s="77"/>
      <c r="J3" s="77"/>
      <c r="K3" s="77"/>
      <c r="L3" s="77"/>
      <c r="M3" s="77"/>
      <c r="N3" s="77"/>
    </row>
    <row r="4" spans="1:15" s="76" customFormat="1" ht="15.75" x14ac:dyDescent="0.25">
      <c r="O4"/>
    </row>
    <row r="5" spans="1:15" s="76" customFormat="1" ht="45.75" customHeight="1" thickBot="1" x14ac:dyDescent="0.3">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75" x14ac:dyDescent="0.25">
      <c r="A6" s="79" t="s">
        <v>28</v>
      </c>
      <c r="B6" s="99">
        <v>64</v>
      </c>
      <c r="C6" s="79"/>
      <c r="D6" s="79"/>
      <c r="E6" s="89"/>
      <c r="F6" s="90"/>
      <c r="G6" s="128">
        <f>IF(F6="NS","NC",ROUND(B6,2-(1+INT(LOG10(ABS(B6))))))</f>
        <v>64</v>
      </c>
      <c r="H6" s="120"/>
      <c r="I6" s="120"/>
      <c r="J6" s="121"/>
      <c r="K6" s="122"/>
      <c r="L6" s="124"/>
      <c r="M6" s="121"/>
      <c r="N6" s="91"/>
      <c r="O6"/>
    </row>
    <row r="7" spans="1:15" s="76" customFormat="1" ht="15.75" x14ac:dyDescent="0.25">
      <c r="A7" s="79" t="str">
        <f>'Page de garde'!A15</f>
        <v>Amantadine-0,001mg/L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Amantadine-0,001mg/L : 0%</v>
      </c>
      <c r="O7"/>
    </row>
    <row r="8" spans="1:15" s="76" customFormat="1" ht="15.75" x14ac:dyDescent="0.25">
      <c r="A8" s="79" t="str">
        <f>'Page de garde'!A16</f>
        <v>Amantadine-0,01mg/L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Amantadine-0,01mg/L : 0%</v>
      </c>
      <c r="O8"/>
    </row>
    <row r="9" spans="1:15" s="76" customFormat="1" ht="15.75" x14ac:dyDescent="0.25">
      <c r="A9" s="79" t="str">
        <f>'Page de garde'!A17</f>
        <v>Amantadine-0,1mg/L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Amantadine-0,1mg/L : 0%</v>
      </c>
      <c r="O9"/>
    </row>
    <row r="10" spans="1:15" s="76" customFormat="1" ht="15.75" x14ac:dyDescent="0.25">
      <c r="A10" s="79" t="str">
        <f>'Page de garde'!A18</f>
        <v>Amantadine-1mg/L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Amantadine-1mg/L : 0%</v>
      </c>
      <c r="O10"/>
    </row>
    <row r="11" spans="1:15" s="76" customFormat="1" ht="15.75" x14ac:dyDescent="0.25">
      <c r="A11" s="79" t="str">
        <f>'Page de garde'!A19</f>
        <v>Amantadine-10mg/L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Amantadine-10mg/L : 0%</v>
      </c>
      <c r="O11"/>
    </row>
    <row r="12" spans="1:15" s="76" customFormat="1" ht="15.75" x14ac:dyDescent="0.2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75" x14ac:dyDescent="0.2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75" x14ac:dyDescent="0.2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75" x14ac:dyDescent="0.2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75" x14ac:dyDescent="0.2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75" x14ac:dyDescent="0.2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75" x14ac:dyDescent="0.2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75" x14ac:dyDescent="0.2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75" x14ac:dyDescent="0.2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75" x14ac:dyDescent="0.2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75" x14ac:dyDescent="0.2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75" x14ac:dyDescent="0.2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75" x14ac:dyDescent="0.2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75" x14ac:dyDescent="0.2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75" x14ac:dyDescent="0.2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75" x14ac:dyDescent="0.25">
      <c r="A27"/>
      <c r="B27"/>
      <c r="C27"/>
      <c r="D27"/>
      <c r="E27"/>
      <c r="F27"/>
      <c r="G27"/>
      <c r="H27"/>
      <c r="I27"/>
      <c r="J27"/>
      <c r="K27"/>
      <c r="L27"/>
      <c r="M27"/>
      <c r="N27"/>
      <c r="O27" s="1"/>
    </row>
    <row r="28" spans="1:15" s="76" customFormat="1" ht="32.25" thickBot="1" x14ac:dyDescent="0.3">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75" x14ac:dyDescent="0.25">
      <c r="A29" s="83" t="s">
        <v>29</v>
      </c>
      <c r="B29" s="99"/>
      <c r="C29" s="79"/>
      <c r="D29" s="79"/>
      <c r="E29" s="81"/>
      <c r="F29" s="90"/>
      <c r="G29" s="133"/>
      <c r="H29" s="120"/>
      <c r="I29" s="120"/>
      <c r="J29" s="121"/>
      <c r="K29" s="122"/>
      <c r="L29" s="124"/>
      <c r="M29" s="121"/>
      <c r="N29" s="91"/>
      <c r="O29"/>
    </row>
    <row r="30" spans="1:15" s="76" customFormat="1" ht="15.75" x14ac:dyDescent="0.25">
      <c r="A30" s="83" t="s">
        <v>31</v>
      </c>
      <c r="B30" s="99"/>
      <c r="C30" s="79"/>
      <c r="D30" s="79"/>
      <c r="E30" s="81"/>
      <c r="F30" s="90"/>
      <c r="G30" s="132" t="e">
        <f>IF(F30="NS","NC",ROUND(B30-$B$29,2-(1+INT(LOG10(ABS(B30-$B$29))))))</f>
        <v>#NUM!</v>
      </c>
      <c r="H30" s="120"/>
      <c r="I30" s="133"/>
      <c r="J30" s="134"/>
      <c r="K30" s="135"/>
      <c r="L30" s="134"/>
      <c r="M30" s="134"/>
      <c r="N30" s="136"/>
      <c r="O30"/>
    </row>
    <row r="31" spans="1:15" s="76" customFormat="1" ht="15.75" x14ac:dyDescent="0.2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75" x14ac:dyDescent="0.25">
      <c r="A32" s="127" t="str">
        <f>'Page de garde'!A39</f>
        <v>Amantadine-0,001mg/L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Amantadine-0,001mg/L : 0%</v>
      </c>
    </row>
    <row r="33" spans="1:14" s="76" customFormat="1" ht="15.75" x14ac:dyDescent="0.25">
      <c r="A33" s="127" t="str">
        <f>'Page de garde'!A40</f>
        <v>Amantadine-0,01mg/L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Amantadine-0,01mg/L : 0%</v>
      </c>
    </row>
    <row r="34" spans="1:14" s="76" customFormat="1" ht="15.75" x14ac:dyDescent="0.25">
      <c r="A34" s="127" t="str">
        <f>'Page de garde'!A41</f>
        <v>Amantadine-0,1mg/L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Amantadine-0,1mg/L : 0%</v>
      </c>
    </row>
    <row r="35" spans="1:14" s="76" customFormat="1" ht="15.75" x14ac:dyDescent="0.25">
      <c r="A35" s="127" t="str">
        <f>'Page de garde'!A42</f>
        <v>Amantadine-1mg/L + Testostérone</v>
      </c>
      <c r="B35" s="98"/>
      <c r="C35" s="86"/>
      <c r="D35" s="86"/>
      <c r="E35" s="81"/>
      <c r="F35" s="93"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Amantadine-1mg/L : 0%</v>
      </c>
    </row>
    <row r="36" spans="1:14" s="76" customFormat="1" ht="15.75" x14ac:dyDescent="0.25">
      <c r="A36" s="127" t="str">
        <f>'Page de garde'!A43</f>
        <v>Amantadine-10mg/L + Testostérone</v>
      </c>
      <c r="B36" s="98"/>
      <c r="C36" s="86"/>
      <c r="D36" s="86"/>
      <c r="E36" s="81"/>
      <c r="F36" s="93"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Amantadine-10mg/L : 0%</v>
      </c>
    </row>
    <row r="37" spans="1:14" s="76" customFormat="1" ht="15.75" x14ac:dyDescent="0.2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75" x14ac:dyDescent="0.2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75" x14ac:dyDescent="0.2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75" x14ac:dyDescent="0.2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75" x14ac:dyDescent="0.2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75" x14ac:dyDescent="0.2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75" x14ac:dyDescent="0.2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75" x14ac:dyDescent="0.2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75" x14ac:dyDescent="0.2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75" x14ac:dyDescent="0.2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75" x14ac:dyDescent="0.2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75" x14ac:dyDescent="0.2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75" x14ac:dyDescent="0.2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75" x14ac:dyDescent="0.2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75" x14ac:dyDescent="0.2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5" thickBot="1" x14ac:dyDescent="0.3">
      <c r="E52" s="77"/>
      <c r="F52" s="77"/>
      <c r="G52" s="77"/>
      <c r="H52" s="77"/>
      <c r="I52" s="77"/>
      <c r="J52" s="77"/>
      <c r="K52" s="77"/>
      <c r="L52" s="77"/>
      <c r="M52" s="77"/>
      <c r="N52" s="77"/>
    </row>
    <row r="53" spans="1:15" s="48" customFormat="1" ht="27" thickBot="1" x14ac:dyDescent="0.3">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2578125" defaultRowHeight="15" x14ac:dyDescent="0.25"/>
  <cols>
    <col min="1" max="1" width="22.85546875" style="179" customWidth="1"/>
    <col min="2" max="2" width="46.28515625" style="179" customWidth="1"/>
    <col min="3" max="3" width="15.28515625" style="179" customWidth="1"/>
    <col min="4" max="4" width="24.7109375" style="179" customWidth="1"/>
    <col min="5" max="5" width="24.42578125" style="179" customWidth="1"/>
    <col min="6" max="6" width="23.140625" style="179" customWidth="1"/>
    <col min="7" max="7" width="21.28515625" style="179" customWidth="1"/>
    <col min="8" max="16384" width="11.42578125" style="179"/>
  </cols>
  <sheetData>
    <row r="1" spans="1:7" ht="30.75" thickBot="1" x14ac:dyDescent="0.3">
      <c r="A1" s="184" t="s">
        <v>132</v>
      </c>
      <c r="B1" s="185" t="s">
        <v>133</v>
      </c>
      <c r="C1" s="185" t="s">
        <v>139</v>
      </c>
      <c r="D1" s="185" t="s">
        <v>138</v>
      </c>
      <c r="E1" s="185" t="s">
        <v>140</v>
      </c>
      <c r="F1" s="186" t="s">
        <v>141</v>
      </c>
      <c r="G1" s="187" t="s">
        <v>142</v>
      </c>
    </row>
    <row r="2" spans="1:7" ht="60" x14ac:dyDescent="0.25">
      <c r="A2" s="180" t="s">
        <v>134</v>
      </c>
      <c r="B2" s="181" t="s">
        <v>135</v>
      </c>
      <c r="C2" s="181" t="s">
        <v>136</v>
      </c>
      <c r="D2" s="181" t="s">
        <v>143</v>
      </c>
      <c r="E2" s="181" t="s">
        <v>137</v>
      </c>
      <c r="F2" s="182" t="s">
        <v>136</v>
      </c>
      <c r="G2" s="183"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3">
        <f>'pooled normalised values'!B75</f>
        <v>0.11219065539302642</v>
      </c>
      <c r="D2" s="17" t="s">
        <v>9</v>
      </c>
      <c r="E2" s="18"/>
      <c r="F2" s="19" t="str">
        <f>'pooled normalised values'!J74</f>
        <v>Amantadine-0,01mg/L</v>
      </c>
      <c r="G2" s="19" t="str">
        <f>'pooled normalised values'!K74</f>
        <v>Amantadine-0,1mg/L</v>
      </c>
      <c r="H2" s="19" t="str">
        <f>'pooled normalised values'!L74</f>
        <v>Amantadine-1mg/L</v>
      </c>
      <c r="I2" s="19" t="str">
        <f>'pooled normalised values'!M74</f>
        <v>Amantadine-10mg/L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Amantadine-0,001mg/L + Testostérone</v>
      </c>
      <c r="W2" s="19" t="str">
        <f>'pooled normalised values'!S74</f>
        <v>Amantadine-0,01mg/L + Testostérone</v>
      </c>
      <c r="X2" s="19" t="str">
        <f>'pooled normalised values'!T74</f>
        <v>Amantadine-0,1mg/L + Testostérone</v>
      </c>
      <c r="Y2" s="19" t="str">
        <f>'pooled normalised values'!U74</f>
        <v>Amantadine-1mg/L + Testostérone</v>
      </c>
      <c r="Z2" s="19" t="str">
        <f>'pooled normalised values'!V74</f>
        <v>Amantadine-10mg/L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3">
        <f>'summary results'!E6</f>
        <v>0</v>
      </c>
      <c r="D3" s="21" t="s">
        <v>10</v>
      </c>
      <c r="E3" s="22"/>
      <c r="F3" s="19">
        <f>HLOOKUP(F2,'pooled normalised values'!B74:V83,2,FALSE)</f>
        <v>8.3363825083967336E-2</v>
      </c>
      <c r="G3" s="19">
        <f>HLOOKUP(G2,'pooled normalised values'!C74:W83,2,FALSE)</f>
        <v>8.725775753672492E-2</v>
      </c>
      <c r="H3" s="19">
        <f>HLOOKUP(H2,'pooled normalised values'!C74:X83,2,FALSE)</f>
        <v>0.11968112212406262</v>
      </c>
      <c r="I3" s="19">
        <f>HLOOKUP(I2,'pooled normalised values'!D74:Y83,2,FALSE)</f>
        <v>0.10906359505339656</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1.1493955476350943</v>
      </c>
      <c r="W3" s="19">
        <f>HLOOKUP(W2,'pooled normalised values'!N74:AM83,2,FALSE)</f>
        <v>1.1842776107983541</v>
      </c>
      <c r="X3" s="19">
        <f>HLOOKUP(X2,'pooled normalised values'!N74:AN83,2,FALSE)</f>
        <v>0.99669390763483523</v>
      </c>
      <c r="Y3" s="19">
        <f>HLOOKUP(Y2,'pooled normalised values'!N74:AO83,2,FALSE)</f>
        <v>1.289821156203169</v>
      </c>
      <c r="Z3" s="19">
        <f>HLOOKUP(Z2,'pooled normalised values'!N74:AP83,2,FALSE)</f>
        <v>1.1195185160202903</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3">
        <f>'pooled normalised values'!O75</f>
        <v>1</v>
      </c>
      <c r="D4" s="21" t="s">
        <v>2</v>
      </c>
      <c r="E4" s="22"/>
      <c r="F4" s="19">
        <f>HLOOKUP(F2,'pooled normalised values'!B74:V83,3,FALSE)</f>
        <v>1.5791749009587311E-2</v>
      </c>
      <c r="G4" s="19">
        <f>HLOOKUP(G2,'pooled normalised values'!C74:W83,3,FALSE)</f>
        <v>1.2516084514343467E-2</v>
      </c>
      <c r="H4" s="19">
        <f>HLOOKUP(H2,'pooled normalised values'!C74:X83,3,FALSE)</f>
        <v>2.0641644796400876E-2</v>
      </c>
      <c r="I4" s="19">
        <f>HLOOKUP(I2,'pooled normalised values'!D74:Y83,3,FALSE)</f>
        <v>2.0464839413053583E-2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0.13560979968555198</v>
      </c>
      <c r="W4" s="19">
        <f>HLOOKUP(W2,'pooled normalised values'!N74:AM83,3,FALSE)</f>
        <v>0.16925212613079116</v>
      </c>
      <c r="X4" s="19">
        <f>HLOOKUP(X2,'pooled normalised values'!N74:AN83,3,FALSE)</f>
        <v>0.12079283270379149</v>
      </c>
      <c r="Y4" s="19">
        <f>HLOOKUP(Y2,'pooled normalised values'!N74:AO83,3,FALSE)</f>
        <v>0.15484679662052558</v>
      </c>
      <c r="Z4" s="19">
        <f>HLOOKUP(Z2,'pooled normalised values'!N74:AP83,3,FALSE)</f>
        <v>0.14783177638965886</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3">
        <f>'pooled normalised values'!P75</f>
        <v>1.7561934476054624</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3">
        <f>'pooled normalised values'!Q75</f>
        <v>0.11524557421039172</v>
      </c>
      <c r="D6" s="21" t="s">
        <v>12</v>
      </c>
      <c r="E6" s="24">
        <f>$B$2</f>
        <v>0.11219065539302642</v>
      </c>
      <c r="F6" s="24">
        <f>$B$2</f>
        <v>0.11219065539302642</v>
      </c>
      <c r="G6" s="24">
        <f t="shared" ref="G6:R6" si="0">$B$2</f>
        <v>0.11219065539302642</v>
      </c>
      <c r="H6" s="24">
        <f t="shared" si="0"/>
        <v>0.11219065539302642</v>
      </c>
      <c r="I6" s="24">
        <f t="shared" si="0"/>
        <v>0.11219065539302642</v>
      </c>
      <c r="J6" s="24">
        <f t="shared" si="0"/>
        <v>0.11219065539302642</v>
      </c>
      <c r="K6" s="24">
        <f t="shared" si="0"/>
        <v>0.11219065539302642</v>
      </c>
      <c r="L6" s="24">
        <f t="shared" si="0"/>
        <v>0.11219065539302642</v>
      </c>
      <c r="M6" s="24">
        <f t="shared" si="0"/>
        <v>0.11219065539302642</v>
      </c>
      <c r="N6" s="24">
        <f t="shared" si="0"/>
        <v>0.11219065539302642</v>
      </c>
      <c r="O6" s="24">
        <f t="shared" si="0"/>
        <v>0.11219065539302642</v>
      </c>
      <c r="P6" s="24">
        <f t="shared" si="0"/>
        <v>0.11219065539302642</v>
      </c>
      <c r="Q6" s="24">
        <f t="shared" si="0"/>
        <v>0.11219065539302642</v>
      </c>
      <c r="R6" s="24">
        <f t="shared" si="0"/>
        <v>0.11219065539302642</v>
      </c>
      <c r="S6" s="24">
        <f>$B$2</f>
        <v>0.11219065539302642</v>
      </c>
      <c r="T6" s="24">
        <f>$B$2</f>
        <v>0.11219065539302642</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0.11524557421039172</v>
      </c>
      <c r="V8" s="25">
        <f t="shared" ref="V8:AJ8" si="2">$B$6</f>
        <v>0.11524557421039172</v>
      </c>
      <c r="W8" s="25">
        <f t="shared" si="2"/>
        <v>0.11524557421039172</v>
      </c>
      <c r="X8" s="25">
        <f t="shared" si="2"/>
        <v>0.11524557421039172</v>
      </c>
      <c r="Y8" s="25">
        <f t="shared" si="2"/>
        <v>0.11524557421039172</v>
      </c>
      <c r="Z8" s="25">
        <f t="shared" si="2"/>
        <v>0.11524557421039172</v>
      </c>
      <c r="AA8" s="25">
        <f t="shared" si="2"/>
        <v>0.11524557421039172</v>
      </c>
      <c r="AB8" s="25">
        <f t="shared" si="2"/>
        <v>0.11524557421039172</v>
      </c>
      <c r="AC8" s="25">
        <f t="shared" si="2"/>
        <v>0.11524557421039172</v>
      </c>
      <c r="AD8" s="25">
        <f t="shared" si="2"/>
        <v>0.11524557421039172</v>
      </c>
      <c r="AE8" s="25">
        <f t="shared" si="2"/>
        <v>0.11524557421039172</v>
      </c>
      <c r="AF8" s="25">
        <f t="shared" si="2"/>
        <v>0.11524557421039172</v>
      </c>
      <c r="AG8" s="25">
        <f t="shared" si="2"/>
        <v>0.11524557421039172</v>
      </c>
      <c r="AH8" s="25">
        <f t="shared" si="2"/>
        <v>0.11524557421039172</v>
      </c>
      <c r="AI8" s="25">
        <f t="shared" si="2"/>
        <v>0.11524557421039172</v>
      </c>
      <c r="AJ8" s="25">
        <f t="shared" si="2"/>
        <v>0.11524557421039172</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1.6409478733950706</v>
      </c>
      <c r="V9" s="25">
        <f>$B$5-V8</f>
        <v>1.6409478733950706</v>
      </c>
      <c r="W9" s="25">
        <f t="shared" ref="W9:AH9" si="4">$B$5-W8</f>
        <v>1.6409478733950706</v>
      </c>
      <c r="X9" s="25">
        <f t="shared" si="4"/>
        <v>1.6409478733950706</v>
      </c>
      <c r="Y9" s="25">
        <f t="shared" si="4"/>
        <v>1.6409478733950706</v>
      </c>
      <c r="Z9" s="25">
        <f t="shared" si="4"/>
        <v>1.6409478733950706</v>
      </c>
      <c r="AA9" s="25">
        <f t="shared" si="4"/>
        <v>1.6409478733950706</v>
      </c>
      <c r="AB9" s="25">
        <f t="shared" si="4"/>
        <v>1.6409478733950706</v>
      </c>
      <c r="AC9" s="25">
        <f t="shared" si="4"/>
        <v>1.6409478733950706</v>
      </c>
      <c r="AD9" s="25">
        <f t="shared" si="4"/>
        <v>1.6409478733950706</v>
      </c>
      <c r="AE9" s="25">
        <f t="shared" si="4"/>
        <v>1.6409478733950706</v>
      </c>
      <c r="AF9" s="25">
        <f t="shared" si="4"/>
        <v>1.6409478733950706</v>
      </c>
      <c r="AG9" s="25">
        <f t="shared" si="4"/>
        <v>1.6409478733950706</v>
      </c>
      <c r="AH9" s="25">
        <f t="shared" si="4"/>
        <v>1.6409478733950706</v>
      </c>
      <c r="AI9" s="25">
        <f>$B$5-AI8</f>
        <v>1.6409478733950706</v>
      </c>
      <c r="AJ9" s="25">
        <f>$B$5-AJ8</f>
        <v>1.6409478733950706</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0.85905212660492936</v>
      </c>
      <c r="V10" s="25">
        <f>2.5-V9</f>
        <v>0.85905212660492936</v>
      </c>
      <c r="W10" s="25">
        <f t="shared" ref="W10:AH10" si="6">2.5-W9</f>
        <v>0.85905212660492936</v>
      </c>
      <c r="X10" s="25">
        <f t="shared" si="6"/>
        <v>0.85905212660492936</v>
      </c>
      <c r="Y10" s="25">
        <f t="shared" si="6"/>
        <v>0.85905212660492936</v>
      </c>
      <c r="Z10" s="25">
        <f t="shared" si="6"/>
        <v>0.85905212660492936</v>
      </c>
      <c r="AA10" s="25">
        <f t="shared" si="6"/>
        <v>0.85905212660492936</v>
      </c>
      <c r="AB10" s="25">
        <f t="shared" si="6"/>
        <v>0.85905212660492936</v>
      </c>
      <c r="AC10" s="25">
        <f t="shared" si="6"/>
        <v>0.85905212660492936</v>
      </c>
      <c r="AD10" s="25">
        <f t="shared" si="6"/>
        <v>0.85905212660492936</v>
      </c>
      <c r="AE10" s="25">
        <f t="shared" si="6"/>
        <v>0.85905212660492936</v>
      </c>
      <c r="AF10" s="25">
        <f t="shared" si="6"/>
        <v>0.85905212660492936</v>
      </c>
      <c r="AG10" s="25">
        <f t="shared" si="6"/>
        <v>0.85905212660492936</v>
      </c>
      <c r="AH10" s="25">
        <f t="shared" si="6"/>
        <v>0.85905212660492936</v>
      </c>
      <c r="AI10" s="25">
        <f>2.5-AI9</f>
        <v>0.85905212660492936</v>
      </c>
      <c r="AJ10" s="25">
        <f>2.5-AJ9</f>
        <v>0.85905212660492936</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3">
        <f>'pooled normalised values'!B75</f>
        <v>0.11219065539302642</v>
      </c>
      <c r="D2" s="17" t="s">
        <v>9</v>
      </c>
      <c r="E2" s="18"/>
      <c r="F2" s="19" t="str">
        <f>'pooled normalised values'!J74</f>
        <v>Amantadine-0,01mg/L</v>
      </c>
      <c r="G2" s="18"/>
      <c r="H2" s="20"/>
      <c r="I2" s="19" t="str">
        <f>'pooled normalised values'!R74</f>
        <v>Amantadine-0,001mg/L + Testostérone</v>
      </c>
      <c r="J2" s="20"/>
      <c r="K2" s="17" t="s">
        <v>9</v>
      </c>
    </row>
    <row r="3" spans="1:11" x14ac:dyDescent="0.2">
      <c r="A3" s="17" t="s">
        <v>71</v>
      </c>
      <c r="B3" s="63">
        <f>'summary results'!E6</f>
        <v>0</v>
      </c>
      <c r="D3" s="21" t="s">
        <v>10</v>
      </c>
      <c r="E3" s="22"/>
      <c r="F3" s="19">
        <f>HLOOKUP(F2,'pooled normalised values'!B74:V83,2,FALSE)</f>
        <v>8.3363825083967336E-2</v>
      </c>
      <c r="G3" s="22"/>
      <c r="H3" s="20"/>
      <c r="I3" s="19">
        <f>HLOOKUP(I2,'pooled normalised values'!N74:AL83,2,FALSE)</f>
        <v>1.1493955476350943</v>
      </c>
      <c r="J3" s="20"/>
      <c r="K3" s="21" t="s">
        <v>10</v>
      </c>
    </row>
    <row r="4" spans="1:11" x14ac:dyDescent="0.2">
      <c r="A4" s="17" t="s">
        <v>72</v>
      </c>
      <c r="B4" s="63">
        <f>'pooled normalised values'!O75</f>
        <v>1</v>
      </c>
      <c r="D4" s="21" t="s">
        <v>2</v>
      </c>
      <c r="E4" s="22"/>
      <c r="F4" s="19">
        <f>HLOOKUP(F2,'pooled normalised values'!B74:V83,3,FALSE)</f>
        <v>1.5791749009587311E-2</v>
      </c>
      <c r="G4" s="22"/>
      <c r="H4" s="20"/>
      <c r="I4" s="19">
        <f>HLOOKUP(I2,'pooled normalised values'!N74:AL83,3,FALSE)</f>
        <v>0.13560979968555198</v>
      </c>
      <c r="J4" s="20"/>
      <c r="K4" s="21" t="s">
        <v>2</v>
      </c>
    </row>
    <row r="5" spans="1:11" x14ac:dyDescent="0.2">
      <c r="A5" s="17" t="s">
        <v>73</v>
      </c>
      <c r="B5" s="63">
        <f>'pooled normalised values'!P75</f>
        <v>1.7561934476054624</v>
      </c>
      <c r="D5" s="23" t="s">
        <v>11</v>
      </c>
      <c r="E5" s="22"/>
      <c r="F5" s="19" t="str">
        <f>HLOOKUP(F2,'pooled normalised values'!B74:V83,10,FALSE)</f>
        <v>NS</v>
      </c>
      <c r="G5" s="22"/>
      <c r="H5" s="20"/>
      <c r="I5" s="19" t="str">
        <f>HLOOKUP(I2,'pooled normalised values'!N74:AL83,10,FALSE)</f>
        <v>NS</v>
      </c>
      <c r="J5" s="20"/>
      <c r="K5" s="23" t="s">
        <v>11</v>
      </c>
    </row>
    <row r="6" spans="1:11" x14ac:dyDescent="0.2">
      <c r="A6" s="17" t="s">
        <v>74</v>
      </c>
      <c r="B6" s="63">
        <f>'pooled normalised values'!Q75</f>
        <v>0.11524557421039172</v>
      </c>
      <c r="D6" s="21" t="s">
        <v>12</v>
      </c>
      <c r="E6" s="24">
        <f>$B$2</f>
        <v>0.11219065539302642</v>
      </c>
      <c r="F6" s="24">
        <f>$B$2</f>
        <v>0.11219065539302642</v>
      </c>
      <c r="G6" s="24">
        <f>$B$2</f>
        <v>0.11219065539302642</v>
      </c>
      <c r="H6" s="25"/>
      <c r="I6" s="25"/>
      <c r="J6" s="25"/>
      <c r="K6" s="21" t="s">
        <v>12</v>
      </c>
    </row>
    <row r="7" spans="1:11" x14ac:dyDescent="0.2">
      <c r="B7" s="26"/>
      <c r="D7" s="26" t="s">
        <v>13</v>
      </c>
      <c r="E7" s="24"/>
      <c r="F7" s="24"/>
      <c r="G7" s="27"/>
      <c r="H7" s="25">
        <f t="shared" ref="H7:J7" si="0">$B$4</f>
        <v>1</v>
      </c>
      <c r="I7" s="25">
        <f t="shared" si="0"/>
        <v>1</v>
      </c>
      <c r="J7" s="25">
        <f t="shared" si="0"/>
        <v>1</v>
      </c>
      <c r="K7" s="26" t="s">
        <v>13</v>
      </c>
    </row>
    <row r="8" spans="1:11" x14ac:dyDescent="0.2">
      <c r="D8" s="28" t="s">
        <v>14</v>
      </c>
      <c r="E8" s="24">
        <v>0</v>
      </c>
      <c r="F8" s="24">
        <v>0</v>
      </c>
      <c r="G8" s="27">
        <v>0</v>
      </c>
      <c r="H8" s="25">
        <f>$B$6</f>
        <v>0.11524557421039172</v>
      </c>
      <c r="I8" s="25">
        <f t="shared" ref="I8:J8" si="1">$B$6</f>
        <v>0.11524557421039172</v>
      </c>
      <c r="J8" s="25">
        <f t="shared" si="1"/>
        <v>0.11524557421039172</v>
      </c>
      <c r="K8" s="28" t="s">
        <v>14</v>
      </c>
    </row>
    <row r="9" spans="1:11" x14ac:dyDescent="0.2">
      <c r="D9" s="28" t="s">
        <v>15</v>
      </c>
      <c r="E9" s="29">
        <f>$B$3-E8</f>
        <v>0</v>
      </c>
      <c r="F9" s="29">
        <f>$B$3-F8</f>
        <v>0</v>
      </c>
      <c r="G9" s="29">
        <f>$B$3-G8</f>
        <v>0</v>
      </c>
      <c r="H9" s="25">
        <f>$B$5-H8</f>
        <v>1.6409478733950706</v>
      </c>
      <c r="I9" s="25">
        <f>$B$5-I8</f>
        <v>1.6409478733950706</v>
      </c>
      <c r="J9" s="25">
        <f>$B$5-J8</f>
        <v>1.6409478733950706</v>
      </c>
      <c r="K9" s="28" t="s">
        <v>15</v>
      </c>
    </row>
    <row r="10" spans="1:11" x14ac:dyDescent="0.2">
      <c r="D10" s="28" t="s">
        <v>16</v>
      </c>
      <c r="E10" s="27">
        <f t="shared" ref="E10:J10" si="2">2.5-E9</f>
        <v>2.5</v>
      </c>
      <c r="F10" s="27">
        <f t="shared" si="2"/>
        <v>2.5</v>
      </c>
      <c r="G10" s="27">
        <f t="shared" si="2"/>
        <v>2.5</v>
      </c>
      <c r="H10" s="25">
        <f t="shared" si="2"/>
        <v>0.85905212660492936</v>
      </c>
      <c r="I10" s="25">
        <f t="shared" si="2"/>
        <v>0.85905212660492936</v>
      </c>
      <c r="J10" s="25">
        <f t="shared" si="2"/>
        <v>0.85905212660492936</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4" t="s">
        <v>99</v>
      </c>
      <c r="R1" s="234"/>
      <c r="S1" s="234"/>
      <c r="U1" s="234" t="s">
        <v>98</v>
      </c>
      <c r="V1" s="234"/>
      <c r="W1" s="234"/>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131</v>
      </c>
      <c r="U2" s="118" t="s">
        <v>7</v>
      </c>
      <c r="V2" s="1" t="s">
        <v>131</v>
      </c>
    </row>
    <row r="3" spans="1:23" x14ac:dyDescent="0.2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2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2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2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2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2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D8C360-89C3-4168-BA40-A7BFB7C9669E}"/>
</file>

<file path=customXml/itemProps2.xml><?xml version="1.0" encoding="utf-8"?>
<ds:datastoreItem xmlns:ds="http://schemas.openxmlformats.org/officeDocument/2006/customXml" ds:itemID="{5EC5A52A-D032-463A-B93F-AB04183A1D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2021-03-18T11:12:25Z</dcterms:modified>
</cp:coreProperties>
</file>