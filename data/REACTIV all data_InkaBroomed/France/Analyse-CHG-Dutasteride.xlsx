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3.xml" ContentType="application/vnd.openxmlformats-officedocument.spreadsheetml.chartsheet+xml"/>
  <Override PartName="/xl/worksheets/sheet10.xml" ContentType="application/vnd.openxmlformats-officedocument.spreadsheetml.worksheet+xml"/>
  <Override PartName="/xl/chartsheets/sheet4.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5.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6.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7.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22" documentId="13_ncr:1_{265EECA6-D08C-467F-8F57-52DD2B1349DD}" xr6:coauthVersionLast="47" xr6:coauthVersionMax="47" xr10:uidLastSave="{84A237D6-F44F-4BAA-A888-F6C445534FD9}"/>
  <bookViews>
    <workbookView xWindow="-108" yWindow="-108" windowWidth="23256" windowHeight="12576" firstSheet="3" activeTab="10" xr2:uid="{00000000-000D-0000-FFFF-FFFF00000000}"/>
  </bookViews>
  <sheets>
    <sheet name="Page de garde" sheetId="10" r:id="rId1"/>
    <sheet name="Feuil1" sheetId="39" r:id="rId2"/>
    <sheet name="Feuil2" sheetId="40" r:id="rId3"/>
    <sheet name="Raw data R1" sheetId="35" r:id="rId4"/>
    <sheet name="R1" sheetId="1" r:id="rId5"/>
    <sheet name="Graph R1" sheetId="8" r:id="rId6"/>
    <sheet name="Raw data R2" sheetId="36" r:id="rId7"/>
    <sheet name="R2" sheetId="23" r:id="rId8"/>
    <sheet name="Graph R4" sheetId="19" r:id="rId9"/>
    <sheet name="Raw data R3" sheetId="37" r:id="rId10"/>
    <sheet name="R3" sheetId="33" r:id="rId11"/>
    <sheet name="Graph R6" sheetId="34" r:id="rId12"/>
    <sheet name="pooled normalised values" sheetId="4" r:id="rId13"/>
    <sheet name="pooled normalised graphe" sheetId="5" r:id="rId14"/>
    <sheet name="summary results" sheetId="22" r:id="rId15"/>
    <sheet name="Notice" sheetId="38" r:id="rId16"/>
    <sheet name="Graph format rapport CHG" sheetId="12" r:id="rId17"/>
    <sheet name="Graph format rapport CHG 1éch" sheetId="27" r:id="rId18"/>
    <sheet name="Récap" sheetId="28" r:id="rId19"/>
  </sheets>
  <externalReferences>
    <externalReference r:id="rId20"/>
  </externalReferences>
  <definedNames>
    <definedName name="_xlnm.Print_Area" localSheetId="0">'Page de garde'!$A$1:$I$52</definedName>
  </definedNames>
  <calcPr calcId="191029"/>
  <pivotCaches>
    <pivotCache cacheId="0" r:id="rId21"/>
    <pivotCache cacheId="1" r:id="rId22"/>
    <pivotCache cacheId="2" r:id="rId23"/>
    <pivotCache cacheId="3"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3" i="23" l="1"/>
  <c r="I61" i="33" l="1"/>
  <c r="J61" i="33"/>
  <c r="K61" i="33"/>
  <c r="L61" i="33"/>
  <c r="M61" i="33"/>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J35" i="33" s="1"/>
  <c r="J45" i="4" s="1"/>
  <c r="L23" i="33"/>
  <c r="J23" i="33"/>
  <c r="I23" i="33"/>
  <c r="H23" i="33"/>
  <c r="G23" i="33"/>
  <c r="F23" i="33"/>
  <c r="E23" i="33"/>
  <c r="D23" i="33"/>
  <c r="C23" i="33"/>
  <c r="B23" i="33"/>
  <c r="A22" i="33"/>
  <c r="H22" i="33"/>
  <c r="G45" i="33"/>
  <c r="F27" i="33"/>
  <c r="F52" i="33" s="1"/>
  <c r="E45" i="33"/>
  <c r="D22" i="33"/>
  <c r="C45" i="33"/>
  <c r="B45" i="33"/>
  <c r="V29" i="33" l="1"/>
  <c r="V39" i="4" s="1"/>
  <c r="R34" i="33"/>
  <c r="R44" i="4" s="1"/>
  <c r="I35" i="33"/>
  <c r="I45" i="4" s="1"/>
  <c r="T28" i="33"/>
  <c r="S30" i="33"/>
  <c r="S40" i="4" s="1"/>
  <c r="T31" i="33"/>
  <c r="T41" i="4" s="1"/>
  <c r="Q32" i="33"/>
  <c r="Q42" i="4" s="1"/>
  <c r="S34" i="33"/>
  <c r="S44" i="4" s="1"/>
  <c r="Q28" i="33"/>
  <c r="U28" i="33"/>
  <c r="U38" i="4" s="1"/>
  <c r="S29" i="33"/>
  <c r="S39" i="4" s="1"/>
  <c r="P30" i="33"/>
  <c r="P40" i="4" s="1"/>
  <c r="T30" i="33"/>
  <c r="T40" i="4" s="1"/>
  <c r="Q31" i="33"/>
  <c r="Q41" i="4" s="1"/>
  <c r="U31" i="33"/>
  <c r="U41" i="4" s="1"/>
  <c r="R32" i="33"/>
  <c r="R42" i="4" s="1"/>
  <c r="V32" i="33"/>
  <c r="V42" i="4" s="1"/>
  <c r="S33" i="33"/>
  <c r="S43" i="4" s="1"/>
  <c r="P34" i="33"/>
  <c r="P44" i="4" s="1"/>
  <c r="T34" i="33"/>
  <c r="T44" i="4" s="1"/>
  <c r="P35" i="33"/>
  <c r="P45" i="4" s="1"/>
  <c r="T35" i="33"/>
  <c r="T45" i="4" s="1"/>
  <c r="P28" i="33"/>
  <c r="P38" i="4" s="1"/>
  <c r="R29" i="33"/>
  <c r="R39" i="4" s="1"/>
  <c r="R33" i="33"/>
  <c r="R43" i="4" s="1"/>
  <c r="R28" i="33"/>
  <c r="V28" i="33"/>
  <c r="P29" i="33"/>
  <c r="P39" i="4" s="1"/>
  <c r="T29" i="33"/>
  <c r="T39" i="4" s="1"/>
  <c r="Q30" i="33"/>
  <c r="Q40" i="4" s="1"/>
  <c r="U30" i="33"/>
  <c r="U40" i="4" s="1"/>
  <c r="R31" i="33"/>
  <c r="R41" i="4" s="1"/>
  <c r="V31" i="33"/>
  <c r="V41" i="4" s="1"/>
  <c r="S32" i="33"/>
  <c r="S42" i="4" s="1"/>
  <c r="P33" i="33"/>
  <c r="P43" i="4" s="1"/>
  <c r="T33" i="33"/>
  <c r="T43" i="4" s="1"/>
  <c r="Q34" i="33"/>
  <c r="Q44" i="4" s="1"/>
  <c r="U34" i="33"/>
  <c r="U44" i="4" s="1"/>
  <c r="Q35" i="33"/>
  <c r="Q45" i="4" s="1"/>
  <c r="U35" i="33"/>
  <c r="U45" i="4" s="1"/>
  <c r="V33" i="33"/>
  <c r="V43" i="4" s="1"/>
  <c r="S28" i="33"/>
  <c r="S38" i="4" s="1"/>
  <c r="Q29" i="33"/>
  <c r="Q39" i="4" s="1"/>
  <c r="U29" i="33"/>
  <c r="U39" i="4" s="1"/>
  <c r="R30" i="33"/>
  <c r="R40" i="4" s="1"/>
  <c r="V30" i="33"/>
  <c r="V40" i="4" s="1"/>
  <c r="S31" i="33"/>
  <c r="S41" i="4" s="1"/>
  <c r="P32" i="33"/>
  <c r="P42" i="4" s="1"/>
  <c r="T32" i="33"/>
  <c r="T42" i="4" s="1"/>
  <c r="Q33" i="33"/>
  <c r="Q43" i="4" s="1"/>
  <c r="U33" i="33"/>
  <c r="U43" i="4" s="1"/>
  <c r="V34" i="33"/>
  <c r="V44" i="4" s="1"/>
  <c r="R35" i="33"/>
  <c r="R45" i="4" s="1"/>
  <c r="V35" i="33"/>
  <c r="V45" i="4" s="1"/>
  <c r="P31" i="33"/>
  <c r="P41" i="4" s="1"/>
  <c r="U32" i="33"/>
  <c r="U42" i="4" s="1"/>
  <c r="S35" i="33"/>
  <c r="S45" i="4" s="1"/>
  <c r="O36" i="33"/>
  <c r="O46" i="4" s="1"/>
  <c r="O37" i="33"/>
  <c r="O47" i="4" s="1"/>
  <c r="O38" i="33"/>
  <c r="O48" i="4" s="1"/>
  <c r="O39" i="33"/>
  <c r="O49" i="4" s="1"/>
  <c r="O40" i="33"/>
  <c r="O50" i="4" s="1"/>
  <c r="O41" i="33"/>
  <c r="O51" i="4" s="1"/>
  <c r="O42" i="33"/>
  <c r="O52" i="4" s="1"/>
  <c r="O43" i="33"/>
  <c r="O28" i="33"/>
  <c r="O38" i="4" s="1"/>
  <c r="O29" i="33"/>
  <c r="O39" i="4" s="1"/>
  <c r="O30" i="33"/>
  <c r="O40" i="4" s="1"/>
  <c r="O31" i="33"/>
  <c r="O41" i="4" s="1"/>
  <c r="O32" i="33"/>
  <c r="O42" i="4" s="1"/>
  <c r="O33" i="33"/>
  <c r="O43" i="4" s="1"/>
  <c r="O34" i="33"/>
  <c r="O44" i="4" s="1"/>
  <c r="I28" i="33"/>
  <c r="O35" i="33"/>
  <c r="O45" i="4" s="1"/>
  <c r="E28" i="33"/>
  <c r="D28" i="33"/>
  <c r="H28" i="33"/>
  <c r="L28" i="33"/>
  <c r="L38" i="4" s="1"/>
  <c r="C29" i="33"/>
  <c r="C39" i="4" s="1"/>
  <c r="G29" i="33"/>
  <c r="G39" i="4" s="1"/>
  <c r="K29" i="33"/>
  <c r="K39" i="4" s="1"/>
  <c r="C30" i="33"/>
  <c r="C40" i="4" s="1"/>
  <c r="G30" i="33"/>
  <c r="G40" i="4" s="1"/>
  <c r="K30" i="33"/>
  <c r="K40" i="4" s="1"/>
  <c r="C31" i="33"/>
  <c r="C41" i="4" s="1"/>
  <c r="G31" i="33"/>
  <c r="G41" i="4" s="1"/>
  <c r="K31" i="33"/>
  <c r="K41" i="4" s="1"/>
  <c r="C32" i="33"/>
  <c r="C42" i="4" s="1"/>
  <c r="G32" i="33"/>
  <c r="G42" i="4" s="1"/>
  <c r="K32" i="33"/>
  <c r="K42" i="4" s="1"/>
  <c r="C33" i="33"/>
  <c r="C43" i="4" s="1"/>
  <c r="G33" i="33"/>
  <c r="G43" i="4" s="1"/>
  <c r="K33" i="33"/>
  <c r="K43" i="4" s="1"/>
  <c r="C34" i="33"/>
  <c r="C44" i="4" s="1"/>
  <c r="G34" i="33"/>
  <c r="G44" i="4" s="1"/>
  <c r="K34" i="33"/>
  <c r="K44" i="4" s="1"/>
  <c r="C35" i="33"/>
  <c r="C45" i="4" s="1"/>
  <c r="G35" i="33"/>
  <c r="G45" i="4" s="1"/>
  <c r="K35" i="33"/>
  <c r="K45" i="4" s="1"/>
  <c r="M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D35" i="33"/>
  <c r="D45" i="4" s="1"/>
  <c r="H35" i="33"/>
  <c r="H45" i="4" s="1"/>
  <c r="L35" i="33"/>
  <c r="L45" i="4" s="1"/>
  <c r="B28" i="33"/>
  <c r="F28" i="33"/>
  <c r="J28" i="33"/>
  <c r="B29" i="33"/>
  <c r="B39" i="4" s="1"/>
  <c r="E29" i="33"/>
  <c r="E39" i="4" s="1"/>
  <c r="I29" i="33"/>
  <c r="I39" i="4" s="1"/>
  <c r="M29" i="33"/>
  <c r="M39" i="4" s="1"/>
  <c r="B30" i="33"/>
  <c r="B40" i="4" s="1"/>
  <c r="E30" i="33"/>
  <c r="E40" i="4" s="1"/>
  <c r="I30" i="33"/>
  <c r="I40" i="4" s="1"/>
  <c r="M30" i="33"/>
  <c r="M40" i="4" s="1"/>
  <c r="B31" i="33"/>
  <c r="B41" i="4" s="1"/>
  <c r="E31" i="33"/>
  <c r="E41" i="4" s="1"/>
  <c r="I31" i="33"/>
  <c r="I41" i="4" s="1"/>
  <c r="M31" i="33"/>
  <c r="M41" i="4" s="1"/>
  <c r="B32" i="33"/>
  <c r="B42" i="4" s="1"/>
  <c r="E32" i="33"/>
  <c r="E42" i="4" s="1"/>
  <c r="I32" i="33"/>
  <c r="I42" i="4" s="1"/>
  <c r="M32" i="33"/>
  <c r="M42" i="4" s="1"/>
  <c r="B33" i="33"/>
  <c r="B43" i="4" s="1"/>
  <c r="E33" i="33"/>
  <c r="E43" i="4" s="1"/>
  <c r="I33" i="33"/>
  <c r="I43" i="4" s="1"/>
  <c r="M33" i="33"/>
  <c r="M43" i="4" s="1"/>
  <c r="B34" i="33"/>
  <c r="B44" i="4" s="1"/>
  <c r="E34" i="33"/>
  <c r="E44" i="4" s="1"/>
  <c r="I34" i="33"/>
  <c r="I44" i="4" s="1"/>
  <c r="M34" i="33"/>
  <c r="M44" i="4" s="1"/>
  <c r="B35" i="33"/>
  <c r="B45" i="4" s="1"/>
  <c r="E35" i="33"/>
  <c r="E45" i="4" s="1"/>
  <c r="M35" i="33"/>
  <c r="M45" i="4" s="1"/>
  <c r="C28" i="33"/>
  <c r="G28" i="33"/>
  <c r="G38" i="4" s="1"/>
  <c r="K28" i="33"/>
  <c r="F29" i="33"/>
  <c r="F39" i="4" s="1"/>
  <c r="J29" i="33"/>
  <c r="J39" i="4" s="1"/>
  <c r="F30" i="33"/>
  <c r="F40" i="4" s="1"/>
  <c r="J30" i="33"/>
  <c r="J40" i="4" s="1"/>
  <c r="F31" i="33"/>
  <c r="F41" i="4" s="1"/>
  <c r="J31" i="33"/>
  <c r="J41" i="4" s="1"/>
  <c r="F32" i="33"/>
  <c r="F42" i="4" s="1"/>
  <c r="J32" i="33"/>
  <c r="J42" i="4" s="1"/>
  <c r="F33" i="33"/>
  <c r="F43" i="4" s="1"/>
  <c r="J33" i="33"/>
  <c r="J43" i="4" s="1"/>
  <c r="F34" i="33"/>
  <c r="F44" i="4" s="1"/>
  <c r="J34" i="33"/>
  <c r="J44" i="4" s="1"/>
  <c r="F35" i="33"/>
  <c r="F45" i="4" s="1"/>
  <c r="V38" i="4"/>
  <c r="B22" i="33"/>
  <c r="E22" i="33"/>
  <c r="I45" i="33"/>
  <c r="I52" i="33"/>
  <c r="I27" i="33"/>
  <c r="P47" i="33"/>
  <c r="P48" i="33" s="1"/>
  <c r="P54" i="33" s="1"/>
  <c r="T38" i="4"/>
  <c r="B27" i="33"/>
  <c r="B52" i="33" s="1"/>
  <c r="Q38" i="4"/>
  <c r="D27" i="33"/>
  <c r="D52" i="33" s="1"/>
  <c r="I22" i="33"/>
  <c r="E27" i="33"/>
  <c r="E52" i="33" s="1"/>
  <c r="D45" i="33"/>
  <c r="F22" i="33"/>
  <c r="V46" i="33"/>
  <c r="V53" i="33" s="1"/>
  <c r="F45" i="33"/>
  <c r="G22" i="33"/>
  <c r="G27" i="33"/>
  <c r="G52" i="33" s="1"/>
  <c r="C22" i="33"/>
  <c r="C27" i="33"/>
  <c r="C52" i="33" s="1"/>
  <c r="H27" i="33"/>
  <c r="H52" i="33" s="1"/>
  <c r="H45" i="33"/>
  <c r="J56" i="33"/>
  <c r="D56" i="33"/>
  <c r="U56" i="33"/>
  <c r="Q56" i="33"/>
  <c r="L56" i="33"/>
  <c r="M56" i="33"/>
  <c r="K56" i="33"/>
  <c r="H56" i="33"/>
  <c r="O56" i="33"/>
  <c r="T56" i="33"/>
  <c r="V56" i="33"/>
  <c r="B56" i="33"/>
  <c r="C56" i="33"/>
  <c r="E56" i="33"/>
  <c r="R56" i="33"/>
  <c r="S56" i="33"/>
  <c r="P56" i="33"/>
  <c r="I56" i="33"/>
  <c r="F56" i="33"/>
  <c r="G56" i="33"/>
  <c r="F47" i="33" l="1"/>
  <c r="F48" i="33" s="1"/>
  <c r="F54" i="33" s="1"/>
  <c r="M46" i="33"/>
  <c r="M53" i="33" s="1"/>
  <c r="I47" i="33"/>
  <c r="I48" i="33" s="1"/>
  <c r="I54" i="33" s="1"/>
  <c r="Q46" i="33"/>
  <c r="Q53" i="33" s="1"/>
  <c r="R47" i="33"/>
  <c r="R48" i="33" s="1"/>
  <c r="R54" i="33" s="1"/>
  <c r="T47" i="33"/>
  <c r="T48" i="33" s="1"/>
  <c r="T54" i="33" s="1"/>
  <c r="P46" i="33"/>
  <c r="P53" i="33" s="1"/>
  <c r="S47" i="33"/>
  <c r="S48" i="33" s="1"/>
  <c r="S54" i="33" s="1"/>
  <c r="R46" i="33"/>
  <c r="R53" i="33" s="1"/>
  <c r="S46" i="33"/>
  <c r="S53" i="33" s="1"/>
  <c r="Q47" i="33"/>
  <c r="Q48" i="33" s="1"/>
  <c r="Q54" i="33" s="1"/>
  <c r="T46" i="33"/>
  <c r="T53" i="33" s="1"/>
  <c r="R38" i="4"/>
  <c r="V47" i="33"/>
  <c r="V48" i="33" s="1"/>
  <c r="V54" i="33" s="1"/>
  <c r="U47" i="33"/>
  <c r="U48" i="33" s="1"/>
  <c r="U54" i="33" s="1"/>
  <c r="E47" i="33"/>
  <c r="E48" i="33" s="1"/>
  <c r="E54" i="33" s="1"/>
  <c r="U46" i="33"/>
  <c r="U53" i="33" s="1"/>
  <c r="O46" i="33"/>
  <c r="O53" i="33" s="1"/>
  <c r="O55" i="33" s="1"/>
  <c r="F57" i="33"/>
  <c r="E57" i="33"/>
  <c r="K57" i="33"/>
  <c r="B57" i="33"/>
  <c r="L57" i="33"/>
  <c r="G57" i="33"/>
  <c r="H57" i="33"/>
  <c r="I57" i="33"/>
  <c r="C57" i="33"/>
  <c r="J57" i="33"/>
  <c r="M57" i="33"/>
  <c r="D57" i="33"/>
  <c r="F38" i="4"/>
  <c r="E38" i="4"/>
  <c r="B38" i="4"/>
  <c r="G47" i="33"/>
  <c r="G48" i="33" s="1"/>
  <c r="G54" i="33" s="1"/>
  <c r="H38" i="4"/>
  <c r="I38" i="4"/>
  <c r="U55" i="33"/>
  <c r="C38" i="4"/>
  <c r="M38" i="4"/>
  <c r="D38" i="4"/>
  <c r="V57" i="33"/>
  <c r="P57" i="33"/>
  <c r="S57" i="33"/>
  <c r="R57" i="33"/>
  <c r="R61" i="33" s="1"/>
  <c r="U57" i="33"/>
  <c r="Q57" i="33"/>
  <c r="T57" i="33"/>
  <c r="E46" i="33"/>
  <c r="E53" i="33" s="1"/>
  <c r="D46" i="33"/>
  <c r="D53" i="33" s="1"/>
  <c r="O57" i="33"/>
  <c r="Q59" i="33" s="1"/>
  <c r="Q61" i="33" s="1"/>
  <c r="O47" i="33"/>
  <c r="O48" i="33" s="1"/>
  <c r="O54" i="33" s="1"/>
  <c r="V55" i="33"/>
  <c r="J46" i="33"/>
  <c r="J53" i="33" s="1"/>
  <c r="M47" i="33"/>
  <c r="M48" i="33" s="1"/>
  <c r="M54" i="33" s="1"/>
  <c r="G46" i="33"/>
  <c r="G53" i="33" s="1"/>
  <c r="F46" i="33"/>
  <c r="F53" i="33" s="1"/>
  <c r="H47" i="33"/>
  <c r="H48" i="33" s="1"/>
  <c r="H54" i="33" s="1"/>
  <c r="H46" i="33"/>
  <c r="H53" i="33" s="1"/>
  <c r="I46" i="33"/>
  <c r="I53" i="33" s="1"/>
  <c r="D47" i="33"/>
  <c r="D48" i="33" s="1"/>
  <c r="D54" i="33" s="1"/>
  <c r="J38" i="4"/>
  <c r="K47" i="33"/>
  <c r="K48" i="33" s="1"/>
  <c r="K54" i="33" s="1"/>
  <c r="L46" i="33"/>
  <c r="L53" i="33" s="1"/>
  <c r="B46" i="33"/>
  <c r="B53" i="33" s="1"/>
  <c r="M55" i="33" s="1"/>
  <c r="L47" i="33"/>
  <c r="L48" i="33" s="1"/>
  <c r="L54" i="33" s="1"/>
  <c r="K46" i="33"/>
  <c r="K53" i="33" s="1"/>
  <c r="B47" i="33"/>
  <c r="B48" i="33" s="1"/>
  <c r="B54" i="33" s="1"/>
  <c r="K38" i="4"/>
  <c r="C46" i="33"/>
  <c r="C53" i="33" s="1"/>
  <c r="J47" i="33"/>
  <c r="J48" i="33" s="1"/>
  <c r="J54" i="33" s="1"/>
  <c r="C47" i="33"/>
  <c r="C48" i="33" s="1"/>
  <c r="C54" i="33" s="1"/>
  <c r="Q55" i="33"/>
  <c r="S55" i="33"/>
  <c r="T55" i="33"/>
  <c r="P55" i="33"/>
  <c r="R55" i="33"/>
  <c r="S61" i="33"/>
  <c r="U61" i="33"/>
  <c r="V61" i="33"/>
  <c r="P59" i="33" l="1"/>
  <c r="P61" i="33" s="1"/>
  <c r="O59" i="33"/>
  <c r="B64" i="33"/>
  <c r="T61" i="33"/>
  <c r="B65" i="33"/>
  <c r="D55" i="33"/>
  <c r="B55" i="33"/>
  <c r="K55" i="33"/>
  <c r="L55" i="33"/>
  <c r="G55" i="33"/>
  <c r="F55" i="33"/>
  <c r="C55" i="33"/>
  <c r="J55" i="33"/>
  <c r="H55" i="33"/>
  <c r="I55" i="33"/>
  <c r="E55" i="33"/>
  <c r="O61" i="33" l="1"/>
  <c r="H61" i="33"/>
  <c r="F61" i="33"/>
  <c r="G61" i="33"/>
  <c r="D61" i="33"/>
  <c r="E61" i="33"/>
  <c r="C61" i="33"/>
  <c r="M4" i="33"/>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36" i="23"/>
  <c r="P30" i="4" s="1"/>
  <c r="Q36" i="23"/>
  <c r="Q30" i="4" s="1"/>
  <c r="R36" i="23"/>
  <c r="R30" i="4" s="1"/>
  <c r="S36" i="23"/>
  <c r="S30" i="4" s="1"/>
  <c r="T36" i="23"/>
  <c r="T30" i="4" s="1"/>
  <c r="U36" i="23"/>
  <c r="U30" i="4" s="1"/>
  <c r="V36" i="23"/>
  <c r="V30" i="4" s="1"/>
  <c r="P37" i="23"/>
  <c r="P31" i="4" s="1"/>
  <c r="Q37" i="23"/>
  <c r="Q31" i="4" s="1"/>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S36" i="4" s="1"/>
  <c r="T42" i="23"/>
  <c r="T36" i="4" s="1"/>
  <c r="U42" i="23"/>
  <c r="U36" i="4" s="1"/>
  <c r="V42" i="23"/>
  <c r="V36" i="4" s="1"/>
  <c r="P43" i="23"/>
  <c r="Q43" i="23"/>
  <c r="R43" i="23"/>
  <c r="S43" i="23"/>
  <c r="T43" i="23"/>
  <c r="U43" i="23"/>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U37" i="4"/>
  <c r="Q37" i="4"/>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V33" i="4"/>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29" i="23"/>
  <c r="J23" i="4" s="1"/>
  <c r="J40" i="23"/>
  <c r="J34" i="4" s="1"/>
  <c r="J36" i="23"/>
  <c r="J30" i="4" s="1"/>
  <c r="C35" i="23"/>
  <c r="C29" i="4" s="1"/>
  <c r="F32" i="23"/>
  <c r="F26" i="4" s="1"/>
  <c r="J42" i="23"/>
  <c r="J36" i="4" s="1"/>
  <c r="J38" i="23"/>
  <c r="J32" i="4" s="1"/>
  <c r="C33" i="23"/>
  <c r="C27" i="4" s="1"/>
  <c r="J41" i="23"/>
  <c r="J35" i="4" s="1"/>
  <c r="J37" i="23"/>
  <c r="J31" i="4" s="1"/>
  <c r="E34" i="23"/>
  <c r="E28" i="4" s="1"/>
  <c r="J43" i="23"/>
  <c r="J39" i="23"/>
  <c r="J33" i="4" s="1"/>
  <c r="G34" i="23"/>
  <c r="G28" i="4" s="1"/>
  <c r="I32" i="23"/>
  <c r="I26" i="4" s="1"/>
  <c r="E35" i="23"/>
  <c r="E29" i="4" s="1"/>
  <c r="G33" i="23"/>
  <c r="G27"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H27" i="1"/>
  <c r="H52" i="1" s="1"/>
  <c r="G27" i="1"/>
  <c r="G52" i="1" s="1"/>
  <c r="F27" i="1"/>
  <c r="F52" i="1" s="1"/>
  <c r="E4" i="4"/>
  <c r="D22" i="1"/>
  <c r="C45" i="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C29" i="1" l="1"/>
  <c r="C7" i="4" s="1"/>
  <c r="O37" i="1"/>
  <c r="Q31" i="1"/>
  <c r="Q9" i="4" s="1"/>
  <c r="Q34" i="1"/>
  <c r="Q12" i="4" s="1"/>
  <c r="S33" i="1"/>
  <c r="S11" i="4" s="1"/>
  <c r="Q33" i="1"/>
  <c r="Q11" i="4" s="1"/>
  <c r="S32" i="1"/>
  <c r="S10" i="4" s="1"/>
  <c r="S28" i="1"/>
  <c r="S6" i="4" s="1"/>
  <c r="S29" i="1"/>
  <c r="S7" i="4" s="1"/>
  <c r="P33" i="1"/>
  <c r="P11" i="4" s="1"/>
  <c r="S35" i="1"/>
  <c r="S13" i="4" s="1"/>
  <c r="S31" i="1"/>
  <c r="S9" i="4" s="1"/>
  <c r="Q35" i="1"/>
  <c r="Q13" i="4" s="1"/>
  <c r="P30" i="1"/>
  <c r="P8" i="4" s="1"/>
  <c r="S34" i="1"/>
  <c r="S12" i="4" s="1"/>
  <c r="S30" i="1"/>
  <c r="S8" i="4" s="1"/>
  <c r="M35" i="23"/>
  <c r="M29" i="4" s="1"/>
  <c r="V33" i="1"/>
  <c r="V11" i="4" s="1"/>
  <c r="V34" i="1"/>
  <c r="V12" i="4" s="1"/>
  <c r="V31" i="1"/>
  <c r="V9" i="4" s="1"/>
  <c r="V30" i="1"/>
  <c r="V8" i="4" s="1"/>
  <c r="V28" i="1"/>
  <c r="Q28" i="1"/>
  <c r="P28" i="1"/>
  <c r="P6" i="4" s="1"/>
  <c r="O39" i="1"/>
  <c r="O17" i="4" s="1"/>
  <c r="G32" i="23"/>
  <c r="G26" i="4" s="1"/>
  <c r="I28" i="23"/>
  <c r="I22" i="4" s="1"/>
  <c r="U35" i="1"/>
  <c r="U13" i="4" s="1"/>
  <c r="U34" i="1"/>
  <c r="U12" i="4" s="1"/>
  <c r="U33" i="1"/>
  <c r="U11" i="4" s="1"/>
  <c r="U32" i="1"/>
  <c r="U10" i="4" s="1"/>
  <c r="U31" i="1"/>
  <c r="U9" i="4" s="1"/>
  <c r="U30" i="1"/>
  <c r="U8" i="4" s="1"/>
  <c r="U29" i="1"/>
  <c r="U7" i="4" s="1"/>
  <c r="U28" i="1"/>
  <c r="U6" i="4" s="1"/>
  <c r="R33" i="1"/>
  <c r="R11" i="4" s="1"/>
  <c r="V35" i="1"/>
  <c r="V13" i="4" s="1"/>
  <c r="V32" i="1"/>
  <c r="V10" i="4" s="1"/>
  <c r="V29" i="1"/>
  <c r="V7" i="4" s="1"/>
  <c r="P34" i="1"/>
  <c r="P12" i="4" s="1"/>
  <c r="O42" i="1"/>
  <c r="O20" i="4" s="1"/>
  <c r="H28" i="23"/>
  <c r="H22" i="4" s="1"/>
  <c r="G30" i="23"/>
  <c r="G24" i="4" s="1"/>
  <c r="F30" i="23"/>
  <c r="F24" i="4" s="1"/>
  <c r="E29" i="23"/>
  <c r="E23" i="4" s="1"/>
  <c r="T35" i="1"/>
  <c r="T13" i="4" s="1"/>
  <c r="T34" i="1"/>
  <c r="T12" i="4" s="1"/>
  <c r="T33" i="1"/>
  <c r="T11" i="4" s="1"/>
  <c r="T32" i="1"/>
  <c r="T10" i="4" s="1"/>
  <c r="T31" i="1"/>
  <c r="T9" i="4" s="1"/>
  <c r="T30" i="1"/>
  <c r="T8" i="4" s="1"/>
  <c r="T29" i="1"/>
  <c r="T7" i="4" s="1"/>
  <c r="T28" i="1"/>
  <c r="O9" i="12"/>
  <c r="O10" i="12" s="1"/>
  <c r="O33" i="23"/>
  <c r="O27" i="4" s="1"/>
  <c r="T33" i="23"/>
  <c r="T27" i="4" s="1"/>
  <c r="P27" i="4"/>
  <c r="U32" i="23"/>
  <c r="U26" i="4" s="1"/>
  <c r="Q32" i="23"/>
  <c r="Q26" i="4" s="1"/>
  <c r="U31" i="23"/>
  <c r="U25" i="4" s="1"/>
  <c r="Q31" i="23"/>
  <c r="Q25" i="4" s="1"/>
  <c r="T30" i="23"/>
  <c r="T24" i="4" s="1"/>
  <c r="P30" i="23"/>
  <c r="P24" i="4" s="1"/>
  <c r="V29" i="23"/>
  <c r="V23" i="4" s="1"/>
  <c r="U28" i="23"/>
  <c r="Q28" i="23"/>
  <c r="I30" i="23"/>
  <c r="I24" i="4" s="1"/>
  <c r="F33" i="23"/>
  <c r="F27" i="4" s="1"/>
  <c r="G29" i="23"/>
  <c r="G23" i="4" s="1"/>
  <c r="D29" i="23"/>
  <c r="D23" i="4" s="1"/>
  <c r="F31" i="23"/>
  <c r="F25" i="4" s="1"/>
  <c r="D33" i="23"/>
  <c r="D27" i="4" s="1"/>
  <c r="F35" i="23"/>
  <c r="F29" i="4" s="1"/>
  <c r="I34" i="23"/>
  <c r="I28" i="4" s="1"/>
  <c r="D28" i="23"/>
  <c r="D22" i="4" s="1"/>
  <c r="J30" i="23"/>
  <c r="J24" i="4" s="1"/>
  <c r="D30" i="23"/>
  <c r="D24" i="4" s="1"/>
  <c r="J32" i="23"/>
  <c r="J26" i="4" s="1"/>
  <c r="G35" i="23"/>
  <c r="G29" i="4" s="1"/>
  <c r="C28" i="23"/>
  <c r="O42" i="23"/>
  <c r="O36" i="4" s="1"/>
  <c r="T35" i="23"/>
  <c r="T29" i="4" s="1"/>
  <c r="P35" i="23"/>
  <c r="P29" i="4" s="1"/>
  <c r="U34" i="23"/>
  <c r="U28" i="4" s="1"/>
  <c r="Q34" i="23"/>
  <c r="Q28" i="4" s="1"/>
  <c r="S33" i="23"/>
  <c r="S27" i="4" s="1"/>
  <c r="T32" i="23"/>
  <c r="T26" i="4" s="1"/>
  <c r="P32" i="23"/>
  <c r="P26" i="4" s="1"/>
  <c r="T31" i="23"/>
  <c r="T25" i="4" s="1"/>
  <c r="P31" i="23"/>
  <c r="P25" i="4" s="1"/>
  <c r="S30" i="23"/>
  <c r="S24" i="4" s="1"/>
  <c r="U29" i="23"/>
  <c r="U23" i="4" s="1"/>
  <c r="Q29" i="23"/>
  <c r="Q23" i="4" s="1"/>
  <c r="T28" i="23"/>
  <c r="P28" i="23"/>
  <c r="O41" i="23"/>
  <c r="O35" i="4" s="1"/>
  <c r="S35" i="23"/>
  <c r="S29" i="4" s="1"/>
  <c r="T34" i="23"/>
  <c r="T28" i="4" s="1"/>
  <c r="P34" i="23"/>
  <c r="P28" i="4" s="1"/>
  <c r="V33" i="23"/>
  <c r="V27" i="4" s="1"/>
  <c r="R33" i="23"/>
  <c r="R27" i="4" s="1"/>
  <c r="S32" i="23"/>
  <c r="S26" i="4" s="1"/>
  <c r="S31" i="23"/>
  <c r="S25" i="4" s="1"/>
  <c r="V30" i="23"/>
  <c r="V24" i="4" s="1"/>
  <c r="R30" i="23"/>
  <c r="R24" i="4" s="1"/>
  <c r="T29" i="23"/>
  <c r="T23" i="4" s="1"/>
  <c r="P29" i="23"/>
  <c r="P23" i="4" s="1"/>
  <c r="S28" i="23"/>
  <c r="U35" i="23"/>
  <c r="Q35" i="23"/>
  <c r="Q29" i="4" s="1"/>
  <c r="V34" i="23"/>
  <c r="V28" i="4" s="1"/>
  <c r="R34" i="23"/>
  <c r="R28" i="4" s="1"/>
  <c r="R29" i="23"/>
  <c r="R23" i="4" s="1"/>
  <c r="G28" i="23"/>
  <c r="G22" i="4" s="1"/>
  <c r="J33" i="23"/>
  <c r="J27" i="4" s="1"/>
  <c r="I35" i="23"/>
  <c r="I29" i="4" s="1"/>
  <c r="H29" i="23"/>
  <c r="H23" i="4" s="1"/>
  <c r="J31" i="23"/>
  <c r="J25" i="4" s="1"/>
  <c r="H33" i="23"/>
  <c r="H27" i="4" s="1"/>
  <c r="J35" i="23"/>
  <c r="J29" i="4" s="1"/>
  <c r="C32" i="23"/>
  <c r="C26" i="4" s="1"/>
  <c r="H35" i="23"/>
  <c r="H29" i="4" s="1"/>
  <c r="C29" i="23"/>
  <c r="C23" i="4" s="1"/>
  <c r="I31" i="23"/>
  <c r="I25" i="4" s="1"/>
  <c r="F34" i="23"/>
  <c r="F28" i="4" s="1"/>
  <c r="F28" i="23"/>
  <c r="H30" i="23"/>
  <c r="H24" i="4" s="1"/>
  <c r="E33" i="23"/>
  <c r="E27" i="4" s="1"/>
  <c r="H31" i="23"/>
  <c r="H25" i="4" s="1"/>
  <c r="D35" i="23"/>
  <c r="D29" i="4" s="1"/>
  <c r="D32" i="23"/>
  <c r="D26" i="4" s="1"/>
  <c r="E28" i="23"/>
  <c r="E22" i="4" s="1"/>
  <c r="C30" i="23"/>
  <c r="C24" i="4" s="1"/>
  <c r="E32" i="23"/>
  <c r="E26" i="4" s="1"/>
  <c r="C34" i="23"/>
  <c r="C28" i="4" s="1"/>
  <c r="H32" i="23"/>
  <c r="H26" i="4" s="1"/>
  <c r="J34" i="23"/>
  <c r="J28" i="4" s="1"/>
  <c r="J28" i="23"/>
  <c r="C31" i="23"/>
  <c r="C25" i="4" s="1"/>
  <c r="D34" i="23"/>
  <c r="D28" i="4" s="1"/>
  <c r="E30" i="23"/>
  <c r="E24" i="4" s="1"/>
  <c r="O36" i="23"/>
  <c r="O30" i="4" s="1"/>
  <c r="V35" i="23"/>
  <c r="V29" i="4" s="1"/>
  <c r="R35" i="23"/>
  <c r="R29" i="4" s="1"/>
  <c r="S34" i="23"/>
  <c r="S28" i="4" s="1"/>
  <c r="U33" i="23"/>
  <c r="U27" i="4" s="1"/>
  <c r="Q33" i="23"/>
  <c r="Q27" i="4" s="1"/>
  <c r="V32" i="23"/>
  <c r="V26" i="4" s="1"/>
  <c r="R32" i="23"/>
  <c r="R26" i="4" s="1"/>
  <c r="V31" i="23"/>
  <c r="V25" i="4" s="1"/>
  <c r="R31" i="23"/>
  <c r="R25" i="4" s="1"/>
  <c r="U30" i="23"/>
  <c r="U24" i="4" s="1"/>
  <c r="Q30" i="23"/>
  <c r="Q24" i="4" s="1"/>
  <c r="S29" i="23"/>
  <c r="S23" i="4" s="1"/>
  <c r="V28" i="23"/>
  <c r="R28" i="23"/>
  <c r="R22" i="4" s="1"/>
  <c r="O40" i="23"/>
  <c r="O34" i="4" s="1"/>
  <c r="E31" i="23"/>
  <c r="I29" i="23"/>
  <c r="G31" i="23"/>
  <c r="I33" i="23"/>
  <c r="I27" i="4" s="1"/>
  <c r="D31" i="23"/>
  <c r="O43" i="23"/>
  <c r="O39" i="23"/>
  <c r="O33" i="4" s="1"/>
  <c r="O29" i="23"/>
  <c r="O23" i="4" s="1"/>
  <c r="H34" i="23"/>
  <c r="F29" i="23"/>
  <c r="O35" i="23"/>
  <c r="O29" i="4" s="1"/>
  <c r="L34" i="23"/>
  <c r="L28" i="4" s="1"/>
  <c r="K33" i="23"/>
  <c r="K27" i="4" s="1"/>
  <c r="K31" i="23"/>
  <c r="K25" i="4" s="1"/>
  <c r="M30" i="23"/>
  <c r="M24" i="4" s="1"/>
  <c r="L29" i="23"/>
  <c r="L23" i="4" s="1"/>
  <c r="K28" i="23"/>
  <c r="L35" i="23"/>
  <c r="L29" i="4" s="1"/>
  <c r="K34" i="23"/>
  <c r="K28" i="4" s="1"/>
  <c r="M32" i="23"/>
  <c r="M26" i="4" s="1"/>
  <c r="L30" i="23"/>
  <c r="L24" i="4" s="1"/>
  <c r="K29" i="23"/>
  <c r="K23" i="4" s="1"/>
  <c r="K35" i="23"/>
  <c r="K29" i="4" s="1"/>
  <c r="M33" i="23"/>
  <c r="M27" i="4" s="1"/>
  <c r="L32" i="23"/>
  <c r="L26" i="4" s="1"/>
  <c r="M31" i="23"/>
  <c r="M25" i="4" s="1"/>
  <c r="K30" i="23"/>
  <c r="K24" i="4" s="1"/>
  <c r="M28" i="23"/>
  <c r="M22" i="4" s="1"/>
  <c r="M34" i="23"/>
  <c r="M28" i="4" s="1"/>
  <c r="L33" i="23"/>
  <c r="L27" i="4" s="1"/>
  <c r="K32" i="23"/>
  <c r="K26" i="4" s="1"/>
  <c r="L31" i="23"/>
  <c r="L25" i="4" s="1"/>
  <c r="M29" i="23"/>
  <c r="M23" i="4" s="1"/>
  <c r="L28" i="23"/>
  <c r="L22" i="4" s="1"/>
  <c r="G34" i="1"/>
  <c r="G12" i="4" s="1"/>
  <c r="O38" i="1"/>
  <c r="O16" i="4" s="1"/>
  <c r="O41" i="1"/>
  <c r="O19" i="4" s="1"/>
  <c r="O40" i="1"/>
  <c r="O18" i="4" s="1"/>
  <c r="O43" i="1"/>
  <c r="O21" i="4" s="1"/>
  <c r="J32" i="1"/>
  <c r="J10" i="4" s="1"/>
  <c r="L35" i="1"/>
  <c r="L13" i="4" s="1"/>
  <c r="K32" i="1"/>
  <c r="K10" i="4" s="1"/>
  <c r="K31" i="1"/>
  <c r="L30" i="1"/>
  <c r="L8" i="4" s="1"/>
  <c r="F33" i="1"/>
  <c r="F11" i="4" s="1"/>
  <c r="C35" i="1"/>
  <c r="C13" i="4" s="1"/>
  <c r="H32" i="1"/>
  <c r="H10" i="4" s="1"/>
  <c r="D33" i="1"/>
  <c r="D11" i="4" s="1"/>
  <c r="H34" i="1"/>
  <c r="H12" i="4" s="1"/>
  <c r="J35" i="1"/>
  <c r="J13" i="4" s="1"/>
  <c r="J31" i="1"/>
  <c r="J9" i="4" s="1"/>
  <c r="K35" i="1"/>
  <c r="K13" i="4" s="1"/>
  <c r="M33" i="1"/>
  <c r="M11" i="4" s="1"/>
  <c r="K30" i="1"/>
  <c r="K8" i="4" s="1"/>
  <c r="M28" i="1"/>
  <c r="O32" i="1"/>
  <c r="O10" i="4" s="1"/>
  <c r="G30" i="1"/>
  <c r="G8" i="4" s="1"/>
  <c r="F34" i="1"/>
  <c r="F12" i="4" s="1"/>
  <c r="F30" i="1"/>
  <c r="F8" i="4" s="1"/>
  <c r="I30" i="1"/>
  <c r="I8" i="4" s="1"/>
  <c r="E32" i="1"/>
  <c r="E10" i="4" s="1"/>
  <c r="C33" i="1"/>
  <c r="C11" i="4" s="1"/>
  <c r="J34" i="1"/>
  <c r="J12" i="4" s="1"/>
  <c r="J30" i="1"/>
  <c r="J8" i="4" s="1"/>
  <c r="J28" i="1"/>
  <c r="J6" i="4" s="1"/>
  <c r="M34" i="1"/>
  <c r="M12" i="4" s="1"/>
  <c r="L33" i="1"/>
  <c r="L11" i="4" s="1"/>
  <c r="M32" i="1"/>
  <c r="M10" i="4" s="1"/>
  <c r="M31" i="1"/>
  <c r="M9" i="4" s="1"/>
  <c r="M29" i="1"/>
  <c r="M7" i="4" s="1"/>
  <c r="L28" i="1"/>
  <c r="L6" i="4" s="1"/>
  <c r="G35" i="1"/>
  <c r="G13" i="4" s="1"/>
  <c r="E33" i="1"/>
  <c r="E11" i="4" s="1"/>
  <c r="E29" i="1"/>
  <c r="E7" i="4" s="1"/>
  <c r="H33" i="1"/>
  <c r="H11" i="4" s="1"/>
  <c r="H35" i="1"/>
  <c r="H13" i="4" s="1"/>
  <c r="E35" i="1"/>
  <c r="E13" i="4" s="1"/>
  <c r="H30" i="1"/>
  <c r="H8" i="4" s="1"/>
  <c r="K34" i="1"/>
  <c r="K12" i="4" s="1"/>
  <c r="K29" i="1"/>
  <c r="K7" i="4" s="1"/>
  <c r="F35" i="1"/>
  <c r="F13" i="4" s="1"/>
  <c r="D35" i="1"/>
  <c r="D13" i="4" s="1"/>
  <c r="G29" i="1"/>
  <c r="G7" i="4" s="1"/>
  <c r="B33" i="1"/>
  <c r="B11" i="4" s="1"/>
  <c r="F29" i="1"/>
  <c r="F7" i="4" s="1"/>
  <c r="I33" i="1"/>
  <c r="I11" i="4" s="1"/>
  <c r="I29" i="1"/>
  <c r="I7" i="4" s="1"/>
  <c r="I34" i="1"/>
  <c r="I12" i="4" s="1"/>
  <c r="E30" i="1"/>
  <c r="E8" i="4" s="1"/>
  <c r="H31" i="1"/>
  <c r="H9" i="4" s="1"/>
  <c r="F32" i="1"/>
  <c r="F10" i="4" s="1"/>
  <c r="J33" i="1"/>
  <c r="J11" i="4" s="1"/>
  <c r="J29" i="1"/>
  <c r="J7" i="4" s="1"/>
  <c r="M35" i="1"/>
  <c r="M13" i="4" s="1"/>
  <c r="L34" i="1"/>
  <c r="L12" i="4" s="1"/>
  <c r="K33" i="1"/>
  <c r="K11" i="4" s="1"/>
  <c r="L32" i="1"/>
  <c r="L10" i="4" s="1"/>
  <c r="L31" i="1"/>
  <c r="L9" i="4" s="1"/>
  <c r="M30" i="1"/>
  <c r="M8" i="4" s="1"/>
  <c r="L29" i="1"/>
  <c r="L7" i="4" s="1"/>
  <c r="K28" i="1"/>
  <c r="K6" i="4" s="1"/>
  <c r="Q6" i="4"/>
  <c r="C22" i="4"/>
  <c r="Q22"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15" i="4"/>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P37" i="1"/>
  <c r="F22" i="23"/>
  <c r="O36" i="1"/>
  <c r="H45" i="23"/>
  <c r="U46" i="23"/>
  <c r="U53" i="23" s="1"/>
  <c r="R31" i="1"/>
  <c r="R9" i="4" s="1"/>
  <c r="V22" i="4"/>
  <c r="U29" i="4"/>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O28" i="1"/>
  <c r="C30" i="1"/>
  <c r="C8" i="4" s="1"/>
  <c r="C31" i="1"/>
  <c r="C9" i="4" s="1"/>
  <c r="D29" i="1"/>
  <c r="D7" i="4" s="1"/>
  <c r="D30" i="1"/>
  <c r="V6" i="4"/>
  <c r="G21" i="4"/>
  <c r="I21" i="4"/>
  <c r="F21" i="4"/>
  <c r="H21" i="4"/>
  <c r="E21" i="4"/>
  <c r="L52" i="23"/>
  <c r="D17" i="4"/>
  <c r="C4" i="4"/>
  <c r="A47" i="22"/>
  <c r="G27" i="23"/>
  <c r="G52" i="23" s="1"/>
  <c r="A50" i="22"/>
  <c r="H50" i="22" s="1"/>
  <c r="K27" i="23"/>
  <c r="L22" i="1"/>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P56" i="23"/>
  <c r="S56" i="23"/>
  <c r="S56" i="1"/>
  <c r="Q56" i="23"/>
  <c r="U56" i="23"/>
  <c r="U56" i="1"/>
  <c r="F56" i="1"/>
  <c r="R56" i="23"/>
  <c r="V56" i="23"/>
  <c r="D56" i="1"/>
  <c r="V56" i="1"/>
  <c r="I56" i="1"/>
  <c r="K56" i="23"/>
  <c r="F56" i="23"/>
  <c r="C56" i="23"/>
  <c r="B56" i="23"/>
  <c r="I56" i="23"/>
  <c r="P56" i="1"/>
  <c r="B56" i="1"/>
  <c r="M56" i="1"/>
  <c r="R56" i="1"/>
  <c r="E56" i="23"/>
  <c r="T56" i="23"/>
  <c r="C56" i="1"/>
  <c r="L56" i="23"/>
  <c r="O56" i="23"/>
  <c r="H56" i="23"/>
  <c r="G56" i="1"/>
  <c r="H56" i="1"/>
  <c r="L78" i="4"/>
  <c r="T56" i="1"/>
  <c r="Q56" i="1"/>
  <c r="M56" i="23"/>
  <c r="O56" i="1"/>
  <c r="G56" i="23"/>
  <c r="L56" i="1"/>
  <c r="E56" i="1"/>
  <c r="V78" i="4"/>
  <c r="J56" i="1"/>
  <c r="K56" i="1"/>
  <c r="D56" i="23"/>
  <c r="J56" i="23"/>
  <c r="S46" i="1" l="1"/>
  <c r="S53" i="1" s="1"/>
  <c r="S47" i="1"/>
  <c r="S48" i="1" s="1"/>
  <c r="S54" i="1" s="1"/>
  <c r="S57" i="1"/>
  <c r="V46" i="1"/>
  <c r="V53" i="1" s="1"/>
  <c r="C47" i="23"/>
  <c r="C48" i="23" s="1"/>
  <c r="C54" i="23" s="1"/>
  <c r="U57" i="1"/>
  <c r="T57" i="1"/>
  <c r="V57" i="1"/>
  <c r="U46" i="1"/>
  <c r="U53" i="1" s="1"/>
  <c r="I47" i="23"/>
  <c r="I48" i="23" s="1"/>
  <c r="I54" i="23" s="1"/>
  <c r="I46" i="23"/>
  <c r="I53" i="23" s="1"/>
  <c r="U47" i="1"/>
  <c r="U48" i="1" s="1"/>
  <c r="U54" i="1" s="1"/>
  <c r="L46" i="23"/>
  <c r="L53" i="23" s="1"/>
  <c r="R46" i="23"/>
  <c r="R53" i="23" s="1"/>
  <c r="T6" i="4"/>
  <c r="C46" i="23"/>
  <c r="C53" i="23" s="1"/>
  <c r="V47" i="1"/>
  <c r="V48" i="1" s="1"/>
  <c r="V54" i="1" s="1"/>
  <c r="T47" i="1"/>
  <c r="T48" i="1" s="1"/>
  <c r="T54" i="1" s="1"/>
  <c r="F46" i="23"/>
  <c r="F53" i="23" s="1"/>
  <c r="T46" i="1"/>
  <c r="T53" i="1" s="1"/>
  <c r="H46" i="23"/>
  <c r="H53" i="23" s="1"/>
  <c r="E46" i="23"/>
  <c r="E53" i="23" s="1"/>
  <c r="F47" i="23"/>
  <c r="F48" i="23" s="1"/>
  <c r="F54" i="23" s="1"/>
  <c r="P47" i="23"/>
  <c r="P48" i="23" s="1"/>
  <c r="P54" i="23" s="1"/>
  <c r="T57" i="23"/>
  <c r="U57" i="23"/>
  <c r="J57" i="23"/>
  <c r="Q57" i="23"/>
  <c r="R57" i="23"/>
  <c r="S57" i="23"/>
  <c r="C57" i="23"/>
  <c r="V57" i="23"/>
  <c r="P57" i="23"/>
  <c r="D47" i="23"/>
  <c r="D48" i="23" s="1"/>
  <c r="D54" i="23" s="1"/>
  <c r="T22" i="4"/>
  <c r="T57" i="4" s="1"/>
  <c r="T58" i="4" s="1"/>
  <c r="T76" i="4" s="1"/>
  <c r="V46" i="23"/>
  <c r="V53" i="23" s="1"/>
  <c r="E47" i="23"/>
  <c r="E48" i="23" s="1"/>
  <c r="E54" i="23" s="1"/>
  <c r="U22" i="4"/>
  <c r="U63" i="4" s="1"/>
  <c r="U64" i="4" s="1"/>
  <c r="S47" i="23"/>
  <c r="S48" i="23" s="1"/>
  <c r="S54" i="23" s="1"/>
  <c r="U47" i="23"/>
  <c r="U48" i="23" s="1"/>
  <c r="U54" i="23" s="1"/>
  <c r="Q47" i="23"/>
  <c r="Q48" i="23" s="1"/>
  <c r="Q54" i="23" s="1"/>
  <c r="Q46" i="23"/>
  <c r="Q53" i="23" s="1"/>
  <c r="R47" i="23"/>
  <c r="R48" i="23" s="1"/>
  <c r="R54" i="23" s="1"/>
  <c r="F22" i="4"/>
  <c r="S22" i="4"/>
  <c r="S63" i="4" s="1"/>
  <c r="S64" i="4" s="1"/>
  <c r="S46" i="23"/>
  <c r="S53" i="23" s="1"/>
  <c r="J46" i="23"/>
  <c r="J53" i="23" s="1"/>
  <c r="J47" i="23"/>
  <c r="J48" i="23" s="1"/>
  <c r="J54" i="23" s="1"/>
  <c r="T47" i="23"/>
  <c r="T48" i="23" s="1"/>
  <c r="T54" i="23" s="1"/>
  <c r="T46" i="23"/>
  <c r="T53" i="23" s="1"/>
  <c r="D46" i="23"/>
  <c r="D53" i="23" s="1"/>
  <c r="G46" i="23"/>
  <c r="G53" i="23" s="1"/>
  <c r="V47" i="23"/>
  <c r="V48" i="23" s="1"/>
  <c r="V54" i="23" s="1"/>
  <c r="P46" i="23"/>
  <c r="P53" i="23" s="1"/>
  <c r="J22" i="4"/>
  <c r="J63" i="4" s="1"/>
  <c r="J64" i="4" s="1"/>
  <c r="G57" i="23"/>
  <c r="I57" i="23"/>
  <c r="D57" i="23"/>
  <c r="E57" i="23"/>
  <c r="G25" i="4"/>
  <c r="I23" i="4"/>
  <c r="D25" i="4"/>
  <c r="E25" i="4"/>
  <c r="K46" i="23"/>
  <c r="K53" i="23" s="1"/>
  <c r="G47" i="23"/>
  <c r="G48" i="23" s="1"/>
  <c r="G54" i="23" s="1"/>
  <c r="H47" i="23"/>
  <c r="H48" i="23" s="1"/>
  <c r="H54" i="23" s="1"/>
  <c r="F57" i="23"/>
  <c r="H57" i="23"/>
  <c r="M47" i="23"/>
  <c r="M48" i="23" s="1"/>
  <c r="M54" i="23" s="1"/>
  <c r="F23" i="4"/>
  <c r="K47" i="23"/>
  <c r="K48" i="23" s="1"/>
  <c r="K54" i="23" s="1"/>
  <c r="H28" i="4"/>
  <c r="L47" i="23"/>
  <c r="L48" i="23" s="1"/>
  <c r="L54" i="23" s="1"/>
  <c r="M46" i="23"/>
  <c r="M53" i="23" s="1"/>
  <c r="L57" i="23"/>
  <c r="K57" i="23"/>
  <c r="M57" i="23"/>
  <c r="K22" i="4"/>
  <c r="M47" i="1"/>
  <c r="M48" i="1" s="1"/>
  <c r="M54" i="1" s="1"/>
  <c r="K46" i="1"/>
  <c r="K53" i="1" s="1"/>
  <c r="L57" i="1"/>
  <c r="M57" i="1"/>
  <c r="K57" i="1"/>
  <c r="J57" i="1"/>
  <c r="L46" i="1"/>
  <c r="L53" i="1" s="1"/>
  <c r="M46" i="1"/>
  <c r="M53" i="1" s="1"/>
  <c r="L63" i="4"/>
  <c r="L64" i="4" s="1"/>
  <c r="L47" i="1"/>
  <c r="L48" i="1" s="1"/>
  <c r="L54" i="1" s="1"/>
  <c r="K9" i="4"/>
  <c r="J46" i="1"/>
  <c r="J53" i="1" s="1"/>
  <c r="K47" i="1"/>
  <c r="K48" i="1" s="1"/>
  <c r="K54" i="1" s="1"/>
  <c r="J47" i="1"/>
  <c r="J48" i="1" s="1"/>
  <c r="J54" i="1" s="1"/>
  <c r="M6" i="4"/>
  <c r="M56" i="4" s="1"/>
  <c r="M75" i="4" s="1"/>
  <c r="F46" i="1"/>
  <c r="F53" i="1" s="1"/>
  <c r="P47" i="1"/>
  <c r="P48" i="1" s="1"/>
  <c r="P54" i="1" s="1"/>
  <c r="D6" i="4"/>
  <c r="R6" i="4"/>
  <c r="C6" i="4"/>
  <c r="B22" i="4"/>
  <c r="I6" i="4"/>
  <c r="P7" i="4"/>
  <c r="E6" i="4"/>
  <c r="H6" i="4"/>
  <c r="F6" i="4"/>
  <c r="O6" i="4"/>
  <c r="B6" i="4"/>
  <c r="G6" i="4"/>
  <c r="Q7" i="4"/>
  <c r="V63" i="4"/>
  <c r="V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H57" i="1"/>
  <c r="G57" i="1"/>
  <c r="F57" i="1"/>
  <c r="I57" i="1"/>
  <c r="E57" i="1"/>
  <c r="H7" i="4"/>
  <c r="G46" i="1"/>
  <c r="G53" i="1" s="1"/>
  <c r="H46" i="1"/>
  <c r="H53" i="1" s="1"/>
  <c r="H47" i="1"/>
  <c r="H48" i="1" s="1"/>
  <c r="H54" i="1" s="1"/>
  <c r="G11" i="4"/>
  <c r="F9" i="4"/>
  <c r="I13" i="4"/>
  <c r="E12" i="4"/>
  <c r="I55" i="4"/>
  <c r="I62" i="4"/>
  <c r="V57" i="4"/>
  <c r="V58" i="4" s="1"/>
  <c r="V76" i="4" s="1"/>
  <c r="V56" i="4"/>
  <c r="V75" i="4" s="1"/>
  <c r="L56" i="4"/>
  <c r="L75" i="4" s="1"/>
  <c r="J56" i="4"/>
  <c r="J75" i="4" s="1"/>
  <c r="O55" i="4"/>
  <c r="O62" i="4"/>
  <c r="F55" i="4"/>
  <c r="F62" i="4"/>
  <c r="M55" i="4"/>
  <c r="M62" i="4"/>
  <c r="J55" i="4"/>
  <c r="J62" i="4"/>
  <c r="L57" i="4"/>
  <c r="L58" i="4" s="1"/>
  <c r="L76" i="4" s="1"/>
  <c r="P55" i="4"/>
  <c r="P62" i="4"/>
  <c r="G55" i="4"/>
  <c r="G62" i="4"/>
  <c r="H74" i="4"/>
  <c r="H62" i="4"/>
  <c r="U22" i="33"/>
  <c r="U45" i="33"/>
  <c r="U27" i="33"/>
  <c r="U52" i="33" s="1"/>
  <c r="R45" i="33"/>
  <c r="R27" i="33"/>
  <c r="R52" i="33" s="1"/>
  <c r="R22" i="33"/>
  <c r="T56" i="4"/>
  <c r="T75" i="4" s="1"/>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V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F55" i="23"/>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G78" i="4"/>
  <c r="D78" i="4"/>
  <c r="B78" i="4"/>
  <c r="J78" i="4"/>
  <c r="F78" i="4"/>
  <c r="Q78" i="4"/>
  <c r="S78" i="4"/>
  <c r="M78" i="4"/>
  <c r="I78" i="4"/>
  <c r="H78" i="4"/>
  <c r="O78" i="4"/>
  <c r="R78" i="4"/>
  <c r="P78" i="4"/>
  <c r="E78" i="4"/>
  <c r="T78" i="4"/>
  <c r="U78" i="4"/>
  <c r="K78" i="4"/>
  <c r="C78" i="4"/>
  <c r="T63" i="4" l="1"/>
  <c r="T64" i="4" s="1"/>
  <c r="C63" i="4"/>
  <c r="C64" i="4" s="1"/>
  <c r="J57" i="4"/>
  <c r="J58" i="4" s="1"/>
  <c r="J76" i="4" s="1"/>
  <c r="F4" i="12" s="1"/>
  <c r="G55" i="1"/>
  <c r="S57" i="4"/>
  <c r="S58" i="4" s="1"/>
  <c r="S76" i="4" s="1"/>
  <c r="M57" i="4"/>
  <c r="M58" i="4" s="1"/>
  <c r="M76" i="4" s="1"/>
  <c r="I4" i="12" s="1"/>
  <c r="M63" i="4"/>
  <c r="M64" i="4" s="1"/>
  <c r="U56" i="4"/>
  <c r="U75" i="4" s="1"/>
  <c r="U57" i="4"/>
  <c r="U58" i="4" s="1"/>
  <c r="U76" i="4" s="1"/>
  <c r="S56" i="4"/>
  <c r="S75" i="4" s="1"/>
  <c r="K63" i="4"/>
  <c r="K64" i="4" s="1"/>
  <c r="R63" i="4"/>
  <c r="R64" i="4" s="1"/>
  <c r="K57" i="4"/>
  <c r="K58" i="4" s="1"/>
  <c r="K76" i="4" s="1"/>
  <c r="G4" i="12" s="1"/>
  <c r="I57" i="4"/>
  <c r="I58" i="4" s="1"/>
  <c r="I76" i="4" s="1"/>
  <c r="J79" i="4"/>
  <c r="T79" i="4"/>
  <c r="U79" i="4"/>
  <c r="S79" i="4"/>
  <c r="K56" i="4"/>
  <c r="K75" i="4" s="1"/>
  <c r="C55" i="23"/>
  <c r="P55" i="23"/>
  <c r="V55" i="23"/>
  <c r="S55" i="23"/>
  <c r="U55" i="23"/>
  <c r="M79" i="4"/>
  <c r="K79" i="4"/>
  <c r="V4" i="4"/>
  <c r="V55" i="4" s="1"/>
  <c r="I63" i="4"/>
  <c r="I64" i="4" s="1"/>
  <c r="H56" i="4"/>
  <c r="H75" i="4" s="1"/>
  <c r="F63" i="4"/>
  <c r="F64" i="4" s="1"/>
  <c r="T55" i="1"/>
  <c r="Q55" i="23"/>
  <c r="V55" i="1"/>
  <c r="R55" i="1"/>
  <c r="P55" i="1"/>
  <c r="R55" i="23"/>
  <c r="T55" i="23"/>
  <c r="U55" i="1"/>
  <c r="Q55" i="1"/>
  <c r="S55" i="1"/>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H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C56" i="4"/>
  <c r="C75" i="4" s="1"/>
  <c r="R2" i="12"/>
  <c r="R4" i="12" s="1"/>
  <c r="P56" i="4"/>
  <c r="R57" i="4"/>
  <c r="R58" i="4" s="1"/>
  <c r="R76" i="4" s="1"/>
  <c r="Q57" i="4"/>
  <c r="Q58" i="4" s="1"/>
  <c r="Q76" i="4" s="1"/>
  <c r="Q79" i="4"/>
  <c r="P79" i="4"/>
  <c r="R79" i="4"/>
  <c r="U4" i="4"/>
  <c r="F2" i="27"/>
  <c r="F4" i="27" s="1"/>
  <c r="O2" i="12"/>
  <c r="O4" i="12" s="1"/>
  <c r="U27" i="1"/>
  <c r="U52" i="1" s="1"/>
  <c r="C79" i="4"/>
  <c r="D79" i="4"/>
  <c r="K15" i="28"/>
  <c r="K13" i="28"/>
  <c r="K11" i="28"/>
  <c r="K9" i="28"/>
  <c r="L14" i="28"/>
  <c r="L12" i="28"/>
  <c r="L10" i="28"/>
  <c r="L8" i="28"/>
  <c r="L15" i="28"/>
  <c r="L13" i="28"/>
  <c r="L11" i="28"/>
  <c r="L9" i="28"/>
  <c r="K14" i="28"/>
  <c r="K12" i="28"/>
  <c r="K10" i="28"/>
  <c r="K8" i="28"/>
  <c r="L55" i="23"/>
  <c r="D55" i="23"/>
  <c r="H55" i="23"/>
  <c r="K55" i="23"/>
  <c r="J55" i="23"/>
  <c r="M55" i="23"/>
  <c r="G55" i="23"/>
  <c r="E55" i="23"/>
  <c r="I55" i="23"/>
  <c r="O79" i="4"/>
  <c r="B79" i="4"/>
  <c r="B64" i="23"/>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5" i="1"/>
  <c r="H55" i="1"/>
  <c r="F55" i="1"/>
  <c r="I55" i="1"/>
  <c r="L55" i="1"/>
  <c r="J55" i="1"/>
  <c r="D55" i="1"/>
  <c r="K55" i="1"/>
  <c r="E55" i="1"/>
  <c r="H3" i="12"/>
  <c r="M55" i="1"/>
  <c r="B65" i="1"/>
  <c r="B64" i="1"/>
  <c r="B55" i="1"/>
  <c r="T27" i="23"/>
  <c r="T52" i="23" s="1"/>
  <c r="T45" i="23"/>
  <c r="T22" i="23"/>
  <c r="F3" i="12"/>
  <c r="J3" i="12"/>
  <c r="I3" i="12"/>
  <c r="T27" i="1"/>
  <c r="T52" i="1" s="1"/>
  <c r="T45" i="1"/>
  <c r="T4" i="4"/>
  <c r="T62" i="4" s="1"/>
  <c r="T22" i="1"/>
  <c r="G3" i="12" l="1"/>
  <c r="V62" i="4"/>
  <c r="T77" i="4"/>
  <c r="I94" i="4"/>
  <c r="V74" i="4"/>
  <c r="Z2" i="12" s="1"/>
  <c r="AA2" i="12"/>
  <c r="J80" i="4"/>
  <c r="AH2" i="12"/>
  <c r="P75" i="4"/>
  <c r="AE2" i="12"/>
  <c r="U74" i="4"/>
  <c r="Y2" i="12" s="1"/>
  <c r="U62" i="4"/>
  <c r="B6" i="12"/>
  <c r="B6" i="27"/>
  <c r="U55" i="4"/>
  <c r="F3" i="27"/>
  <c r="V77" i="4"/>
  <c r="U77" i="4"/>
  <c r="O77" i="4"/>
  <c r="S77" i="4"/>
  <c r="Q77" i="4"/>
  <c r="R77" i="4"/>
  <c r="B86" i="4"/>
  <c r="B87" i="4"/>
  <c r="B75" i="4"/>
  <c r="Q94" i="4" s="1"/>
  <c r="O3" i="12"/>
  <c r="R3" i="12"/>
  <c r="S3" i="12"/>
  <c r="N3" i="12"/>
  <c r="M3" i="12"/>
  <c r="L3" i="12"/>
  <c r="AC2" i="12"/>
  <c r="S55" i="4"/>
  <c r="S74" i="4"/>
  <c r="W2" i="12" s="1"/>
  <c r="AG2" i="12"/>
  <c r="R55" i="4"/>
  <c r="R74" i="4"/>
  <c r="P3" i="12"/>
  <c r="Q3" i="12"/>
  <c r="K2" i="12"/>
  <c r="K4" i="12" s="1"/>
  <c r="B4" i="27"/>
  <c r="B4" i="12"/>
  <c r="AB2" i="12"/>
  <c r="AF2" i="12"/>
  <c r="T55" i="4"/>
  <c r="T74" i="4"/>
  <c r="G94" i="4" l="1"/>
  <c r="F94" i="4"/>
  <c r="U94" i="4"/>
  <c r="N94" i="4"/>
  <c r="B94" i="4"/>
  <c r="J94" i="4"/>
  <c r="L94" i="4"/>
  <c r="M94" i="4"/>
  <c r="T94" i="4"/>
  <c r="V94" i="4"/>
  <c r="B5" i="27"/>
  <c r="P94" i="4"/>
  <c r="H94" i="4"/>
  <c r="R94" i="4"/>
  <c r="O94" i="4"/>
  <c r="S94" i="4"/>
  <c r="D94" i="4"/>
  <c r="E94" i="4"/>
  <c r="K94" i="4"/>
  <c r="C94" i="4"/>
  <c r="B5" i="12"/>
  <c r="F7" i="28"/>
  <c r="P77" i="4"/>
  <c r="AB4" i="12"/>
  <c r="AD4" i="12"/>
  <c r="AE4" i="12"/>
  <c r="Z4" i="12"/>
  <c r="W4" i="12"/>
  <c r="AG4" i="12"/>
  <c r="AC4" i="12"/>
  <c r="AH4" i="12"/>
  <c r="AF4" i="12"/>
  <c r="Y4" i="12"/>
  <c r="AA4" i="12"/>
  <c r="F3" i="28"/>
  <c r="K77" i="4"/>
  <c r="E5" i="28" s="1"/>
  <c r="J77" i="4"/>
  <c r="E4" i="28" s="1"/>
  <c r="G77" i="4"/>
  <c r="F77" i="4"/>
  <c r="L77" i="4"/>
  <c r="E6" i="28" s="1"/>
  <c r="B77" i="4"/>
  <c r="B2" i="27"/>
  <c r="G6" i="27" s="1"/>
  <c r="M77" i="4"/>
  <c r="E7" i="28" s="1"/>
  <c r="I77" i="4"/>
  <c r="E3" i="28" s="1"/>
  <c r="B2" i="12"/>
  <c r="E6" i="12" s="1"/>
  <c r="H77" i="4"/>
  <c r="D77" i="4"/>
  <c r="C77" i="4"/>
  <c r="E77" i="4"/>
  <c r="AG8" i="12"/>
  <c r="U8" i="12"/>
  <c r="AJ8" i="12"/>
  <c r="AB8" i="12"/>
  <c r="AB9" i="12" s="1"/>
  <c r="AB10" i="12" s="1"/>
  <c r="Z8" i="12"/>
  <c r="AC8" i="12"/>
  <c r="V8" i="12"/>
  <c r="X8" i="12"/>
  <c r="X9" i="12" s="1"/>
  <c r="X10" i="12" s="1"/>
  <c r="AH8" i="12"/>
  <c r="AD8" i="12"/>
  <c r="AI8" i="12"/>
  <c r="W8" i="12"/>
  <c r="W9" i="12" s="1"/>
  <c r="W10" i="12" s="1"/>
  <c r="Y8" i="12"/>
  <c r="AE8" i="12"/>
  <c r="AA8" i="12"/>
  <c r="AF8" i="12"/>
  <c r="AF9" i="12" s="1"/>
  <c r="AF10" i="12" s="1"/>
  <c r="H8" i="27"/>
  <c r="J8" i="27"/>
  <c r="J9" i="27" s="1"/>
  <c r="J10" i="27" s="1"/>
  <c r="I8" i="27"/>
  <c r="S5" i="12"/>
  <c r="P5" i="12"/>
  <c r="AG3" i="12"/>
  <c r="AD3" i="12"/>
  <c r="AE3" i="12"/>
  <c r="AC3" i="12"/>
  <c r="W3" i="12"/>
  <c r="Y3" i="12"/>
  <c r="I2" i="27"/>
  <c r="I4" i="27" s="1"/>
  <c r="V2" i="12"/>
  <c r="V4" i="12" s="1"/>
  <c r="J2" i="28"/>
  <c r="K3" i="12"/>
  <c r="F2" i="28"/>
  <c r="J3" i="28"/>
  <c r="Z3" i="12"/>
  <c r="AA3" i="12"/>
  <c r="AH3" i="12"/>
  <c r="I3" i="28"/>
  <c r="I2"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F4" i="28"/>
  <c r="J11" i="28"/>
  <c r="I6" i="28"/>
  <c r="J9" i="28"/>
  <c r="I8" i="28"/>
  <c r="F14" i="28"/>
  <c r="F12" i="28"/>
  <c r="J6" i="28"/>
  <c r="J7" i="28"/>
  <c r="E12" i="28"/>
  <c r="I10" i="28"/>
  <c r="I13" i="28"/>
  <c r="E15" i="28"/>
  <c r="E11" i="28"/>
  <c r="F11" i="28"/>
  <c r="F6" i="28"/>
  <c r="J14" i="28"/>
  <c r="I15" i="28"/>
  <c r="I9" i="28"/>
  <c r="J5" i="28"/>
  <c r="J8" i="28"/>
  <c r="F10" i="28"/>
  <c r="I5" i="28"/>
  <c r="I4" i="28"/>
  <c r="I7" i="28"/>
  <c r="E13" i="28"/>
  <c r="E9" i="28"/>
  <c r="J10" i="28"/>
  <c r="I14" i="28"/>
  <c r="J4" i="28"/>
  <c r="J12" i="28"/>
  <c r="I12" i="28"/>
  <c r="J15" i="28"/>
  <c r="AI2" i="12"/>
  <c r="AI4" i="12" s="1"/>
  <c r="X2" i="12"/>
  <c r="X4" i="12" s="1"/>
  <c r="I9" i="27" l="1"/>
  <c r="I10" i="27" s="1"/>
  <c r="H9" i="27"/>
  <c r="H10" i="27" s="1"/>
  <c r="AE9" i="12"/>
  <c r="AE10" i="12" s="1"/>
  <c r="AD9" i="12"/>
  <c r="AD10" i="12" s="1"/>
  <c r="AC9" i="12"/>
  <c r="AC10" i="12" s="1"/>
  <c r="U9" i="12"/>
  <c r="U10" i="12" s="1"/>
  <c r="AA9" i="12"/>
  <c r="AA10" i="12" s="1"/>
  <c r="AI9" i="12"/>
  <c r="AI10" i="12" s="1"/>
  <c r="V9" i="12"/>
  <c r="V10" i="12" s="1"/>
  <c r="AJ9" i="12"/>
  <c r="AJ10" i="12" s="1"/>
  <c r="Y9" i="12"/>
  <c r="Y10" i="12" s="1"/>
  <c r="AH9" i="12"/>
  <c r="AH10" i="12" s="1"/>
  <c r="Z9" i="12"/>
  <c r="Z10" i="12" s="1"/>
  <c r="AG9" i="12"/>
  <c r="AG10" i="12" s="1"/>
  <c r="R5" i="12"/>
  <c r="Q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F19" i="22"/>
  <c r="G19" i="22" s="1"/>
  <c r="F23" i="22"/>
  <c r="G23" i="22" s="1"/>
  <c r="N5" i="12"/>
  <c r="M5" i="12"/>
  <c r="I5" i="12"/>
  <c r="F20" i="22"/>
  <c r="I20" i="22" s="1"/>
  <c r="F9" i="22"/>
  <c r="F12" i="22"/>
  <c r="G12" i="22" s="1"/>
  <c r="F16" i="22"/>
  <c r="G16" i="22" s="1"/>
  <c r="F22" i="22"/>
  <c r="I22" i="22" s="1"/>
  <c r="J5" i="12"/>
  <c r="F15" i="22"/>
  <c r="G15" i="22" s="1"/>
  <c r="L5" i="12"/>
  <c r="F21" i="22"/>
  <c r="G21" i="22" s="1"/>
  <c r="F5" i="12"/>
  <c r="F24" i="22"/>
  <c r="I24" i="22" s="1"/>
  <c r="F10" i="22"/>
  <c r="F11" i="22"/>
  <c r="F13" i="22"/>
  <c r="I13" i="22" s="1"/>
  <c r="F14" i="22"/>
  <c r="K14" i="22" s="1"/>
  <c r="M14" i="22" s="1"/>
  <c r="F18" i="22"/>
  <c r="G18" i="22" s="1"/>
  <c r="F8" i="22"/>
  <c r="G8" i="22" s="1"/>
  <c r="F5" i="27"/>
  <c r="F25" i="22"/>
  <c r="I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I34" i="22"/>
  <c r="K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I36" i="22" l="1"/>
  <c r="K36" i="22" s="1"/>
  <c r="L7" i="28" s="1"/>
  <c r="I9" i="22"/>
  <c r="G5" i="28" s="1"/>
  <c r="I32" i="22"/>
  <c r="K32" i="22" s="1"/>
  <c r="L3" i="28" s="1"/>
  <c r="G13" i="22"/>
  <c r="I33" i="22"/>
  <c r="K33" i="22" s="1"/>
  <c r="L4" i="28" s="1"/>
  <c r="I35" i="22"/>
  <c r="K35" i="22" s="1"/>
  <c r="N35" i="22" s="1"/>
  <c r="K12" i="22"/>
  <c r="M12" i="22" s="1"/>
  <c r="K15" i="22"/>
  <c r="M15" i="22" s="1"/>
  <c r="K16" i="22"/>
  <c r="M16" i="22" s="1"/>
  <c r="M34" i="22"/>
  <c r="K5" i="28"/>
  <c r="I12" i="22"/>
  <c r="G2" i="28" s="1"/>
  <c r="I15" i="22"/>
  <c r="G25" i="22"/>
  <c r="K26" i="22"/>
  <c r="M26" i="22" s="1"/>
  <c r="K24" i="22"/>
  <c r="M24" i="22" s="1"/>
  <c r="N34" i="22"/>
  <c r="L5" i="28"/>
  <c r="I19" i="22"/>
  <c r="G10" i="22"/>
  <c r="I10" i="22" s="1"/>
  <c r="K18" i="22"/>
  <c r="M18" i="22" s="1"/>
  <c r="I18" i="22"/>
  <c r="K19" i="22"/>
  <c r="M19" i="22" s="1"/>
  <c r="G11" i="22"/>
  <c r="I11" i="22" s="1"/>
  <c r="I14" i="22"/>
  <c r="K25" i="22"/>
  <c r="M25" i="22" s="1"/>
  <c r="G24" i="22"/>
  <c r="G14" i="22"/>
  <c r="G7" i="22"/>
  <c r="I7" i="22" s="1"/>
  <c r="G22" i="22"/>
  <c r="K21" i="22"/>
  <c r="M21" i="22" s="1"/>
  <c r="I17" i="22"/>
  <c r="I26" i="22"/>
  <c r="G17" i="22"/>
  <c r="K13" i="22"/>
  <c r="M13" i="22" s="1"/>
  <c r="I16" i="22"/>
  <c r="G20" i="22"/>
  <c r="K23" i="22"/>
  <c r="M23" i="22" s="1"/>
  <c r="I21" i="22"/>
  <c r="K22" i="22"/>
  <c r="M22" i="22" s="1"/>
  <c r="I8" i="22"/>
  <c r="G4" i="28" s="1"/>
  <c r="I23" i="22"/>
  <c r="K20" i="22"/>
  <c r="M20" i="22" s="1"/>
  <c r="N17" i="22"/>
  <c r="N14" i="22"/>
  <c r="L2" i="28"/>
  <c r="K2" i="28"/>
  <c r="G13" i="28"/>
  <c r="G14" i="28"/>
  <c r="G8" i="28"/>
  <c r="G11" i="28"/>
  <c r="G12" i="28"/>
  <c r="G9" i="28"/>
  <c r="G15" i="28"/>
  <c r="G10" i="28"/>
  <c r="H15" i="28"/>
  <c r="H12" i="28"/>
  <c r="H9" i="28"/>
  <c r="H14" i="28"/>
  <c r="H10" i="28"/>
  <c r="H13" i="28"/>
  <c r="H11" i="28"/>
  <c r="H8" i="28"/>
  <c r="N36" i="22" l="1"/>
  <c r="K7" i="28"/>
  <c r="K9" i="22"/>
  <c r="M9" i="22" s="1"/>
  <c r="M36" i="22"/>
  <c r="G3" i="28"/>
  <c r="K7" i="22"/>
  <c r="K11" i="22"/>
  <c r="M11" i="22" s="1"/>
  <c r="G7" i="28"/>
  <c r="G6" i="28"/>
  <c r="K10" i="22"/>
  <c r="K8" i="22"/>
  <c r="M8" i="22" s="1"/>
  <c r="N13" i="22"/>
  <c r="N32" i="22"/>
  <c r="M35" i="22"/>
  <c r="K6" i="28"/>
  <c r="N33" i="22"/>
  <c r="L6" i="28"/>
  <c r="M32" i="22"/>
  <c r="K3" i="28"/>
  <c r="K4" i="28"/>
  <c r="H2" i="28"/>
  <c r="N12" i="22"/>
  <c r="M33" i="22"/>
  <c r="N15" i="22"/>
  <c r="N16" i="22"/>
  <c r="N21" i="22"/>
  <c r="N18" i="22"/>
  <c r="H5" i="28"/>
  <c r="N26" i="22"/>
  <c r="N19" i="22"/>
  <c r="N20" i="22"/>
  <c r="N24" i="22"/>
  <c r="N25" i="22"/>
  <c r="N23" i="22"/>
  <c r="N22" i="22"/>
  <c r="N9" i="22" l="1"/>
  <c r="N11" i="22"/>
  <c r="N8" i="22"/>
  <c r="H4" i="28"/>
  <c r="H7" i="28"/>
  <c r="M10" i="22"/>
  <c r="N10" i="22"/>
  <c r="H6" i="28"/>
  <c r="M7" i="22"/>
  <c r="H3" i="28"/>
  <c r="N7"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<sst xmlns="http://schemas.openxmlformats.org/spreadsheetml/2006/main" count="8067" uniqueCount="4349">
  <si>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</si>
  <si>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</si>
  <si>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</si>
  <si>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</si>
  <si>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</si>
  <si>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</si>
  <si>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</si>
  <si>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</si>
  <si>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</si>
  <si>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</si>
  <si>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</si>
  <si>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</si>
  <si>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</si>
  <si>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</si>
  <si>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</si>
  <si>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</si>
  <si>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</si>
  <si>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</si>
  <si>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</si>
  <si>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</si>
  <si>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</si>
  <si>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</si>
  <si>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</si>
  <si>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</si>
  <si>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</si>
  <si>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</si>
  <si>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</si>
  <si>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</si>
  <si>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</si>
  <si>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</si>
  <si>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</si>
  <si>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</si>
  <si>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</si>
  <si>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</si>
  <si>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</si>
  <si>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</si>
  <si>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</si>
  <si>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</si>
  <si>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</si>
  <si>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</si>
  <si>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</si>
  <si>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</si>
  <si>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</si>
  <si>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</si>
  <si>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</si>
  <si>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</si>
  <si>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</si>
  <si>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</si>
  <si>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</si>
  <si>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</si>
  <si>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</si>
  <si>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</si>
  <si>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</si>
  <si>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</si>
  <si>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</si>
  <si>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</si>
  <si>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</si>
  <si>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</si>
  <si>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</si>
  <si>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</si>
  <si>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</si>
  <si>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</si>
  <si>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</si>
  <si>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</si>
  <si>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</si>
  <si>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</si>
  <si>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</si>
  <si>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</si>
  <si>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</si>
  <si>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</si>
  <si>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</si>
  <si>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</si>
  <si>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</si>
  <si>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</si>
  <si>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</si>
  <si>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</si>
  <si>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</si>
  <si>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</si>
  <si>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</si>
  <si>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</si>
  <si>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</si>
  <si>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</si>
  <si>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</si>
  <si>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</si>
  <si>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</si>
  <si>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</si>
  <si>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</si>
  <si>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</si>
  <si>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</si>
  <si>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</si>
  <si>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</si>
  <si>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</si>
  <si>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</si>
  <si>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</si>
  <si>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</si>
  <si>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</si>
  <si>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</si>
  <si>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</si>
  <si>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</si>
  <si>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</si>
  <si>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</si>
  <si>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</si>
  <si>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</si>
  <si>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</si>
  <si>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</si>
  <si>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</si>
  <si>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</si>
  <si>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</si>
  <si>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</si>
  <si>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</si>
  <si>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</si>
  <si>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</si>
  <si>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</si>
  <si>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</si>
  <si>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</si>
  <si>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</si>
  <si>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</si>
  <si>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</si>
  <si>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</si>
  <si>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</si>
  <si>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</si>
  <si>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</si>
  <si>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</si>
  <si>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</si>
  <si>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</si>
  <si>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</si>
  <si>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</si>
  <si>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</si>
  <si>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</si>
  <si>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</si>
  <si>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</si>
  <si>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</si>
  <si>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</si>
  <si>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</si>
  <si>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</si>
  <si>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</si>
  <si>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</si>
  <si>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</si>
  <si>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</si>
  <si>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</si>
  <si>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</si>
  <si>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</si>
  <si>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</si>
  <si>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</si>
  <si>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</si>
  <si>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</si>
  <si>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</si>
  <si>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</si>
  <si>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</si>
  <si>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</si>
  <si>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</si>
  <si>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</si>
  <si>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</si>
  <si>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</si>
  <si>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</si>
  <si>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</si>
  <si>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</si>
  <si>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</si>
  <si>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</si>
  <si>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</si>
  <si>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</si>
  <si>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</si>
  <si>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</si>
  <si>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</si>
  <si>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</si>
  <si>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</si>
  <si>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Dutasteride-0,01mg/L</t>
  </si>
  <si>
    <t>Dutasteride-0,1mg/L</t>
  </si>
  <si>
    <t>Dutasteride-0,25mg/L</t>
  </si>
  <si>
    <t>Dutasteride-0,5mg/L</t>
  </si>
  <si>
    <t>Dutasteride-1mg/L</t>
  </si>
  <si>
    <t>Dutasteride</t>
  </si>
  <si>
    <t xml:space="preserve"> 2033.2101 </t>
  </si>
  <si>
    <t xml:space="preserve"> 4066.4202 </t>
  </si>
  <si>
    <t xml:space="preserve"> 67.4255 </t>
  </si>
  <si>
    <t xml:space="preserve"> 5277.6943 </t>
  </si>
  <si>
    <t xml:space="preserve"> 7289.2745 </t>
  </si>
  <si>
    <t xml:space="preserve"> 367.7082 </t>
  </si>
  <si>
    <t xml:space="preserve"> 930.0855 </t>
  </si>
  <si>
    <t xml:space="preserve"> 129.7794 </t>
  </si>
  <si>
    <t xml:space="preserve"> 194.6691 </t>
  </si>
  <si>
    <t xml:space="preserve"> 63.3333 </t>
  </si>
  <si>
    <t xml:space="preserve"> 237.9288 </t>
  </si>
  <si>
    <t xml:space="preserve"> 994.9752 </t>
  </si>
  <si>
    <t xml:space="preserve"> 64.6957 </t>
  </si>
  <si>
    <t xml:space="preserve"> 151.4093 </t>
  </si>
  <si>
    <t xml:space="preserve"> 1643.872 </t>
  </si>
  <si>
    <t xml:space="preserve"> 778.6762 </t>
  </si>
  <si>
    <t xml:space="preserve"> 519.1175 </t>
  </si>
  <si>
    <t xml:space="preserve"> 1124.7545 </t>
  </si>
  <si>
    <t xml:space="preserve"> 757.0463 </t>
  </si>
  <si>
    <t xml:space="preserve"> 1146.3844 </t>
  </si>
  <si>
    <t xml:space="preserve"> 216.2989 </t>
  </si>
  <si>
    <t xml:space="preserve"> 63.8 </t>
  </si>
  <si>
    <t xml:space="preserve"> 324.4484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</si>
  <si>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</si>
  <si>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</si>
  <si>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</si>
  <si>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</si>
  <si>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</si>
  <si>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</si>
  <si>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</si>
  <si>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file name </t>
  </si>
  <si>
    <t xml:space="preserve"> 1578.9823 </t>
  </si>
  <si>
    <t xml:space="preserve"> 410.968 </t>
  </si>
  <si>
    <t xml:space="preserve"> 4369.2387 </t>
  </si>
  <si>
    <t xml:space="preserve"> 4304.349 </t>
  </si>
  <si>
    <t xml:space="preserve"> 6207.7798 </t>
  </si>
  <si>
    <t xml:space="preserve"> 584.0072 </t>
  </si>
  <si>
    <t xml:space="preserve"> 66.3333 </t>
  </si>
  <si>
    <t xml:space="preserve"> 4239.4593 </t>
  </si>
  <si>
    <t xml:space="preserve"> 389.3381 </t>
  </si>
  <si>
    <t xml:space="preserve"> 63.2222 </t>
  </si>
  <si>
    <t xml:space="preserve"> 670.5267 </t>
  </si>
  <si>
    <t xml:space="preserve"> 302.8185 </t>
  </si>
  <si>
    <t xml:space="preserve"> 62.7857 </t>
  </si>
  <si>
    <t xml:space="preserve"> 64.1111 </t>
  </si>
  <si>
    <t xml:space="preserve"> 497.4876 </t>
  </si>
  <si>
    <t xml:space="preserve"> 627.2669 </t>
  </si>
  <si>
    <t xml:space="preserve"> 62.4286 </t>
  </si>
  <si>
    <t xml:space="preserve"> 63.7222 </t>
  </si>
  <si>
    <t xml:space="preserve"> 800.3061 </t>
  </si>
  <si>
    <t xml:space="preserve"> 540.7474 </t>
  </si>
  <si>
    <t xml:space="preserve"> 66.2 </t>
  </si>
  <si>
    <t xml:space="preserve"> 86.5196 </t>
  </si>
  <si>
    <t xml:space="preserve"> 64.25 </t>
  </si>
  <si>
    <t xml:space="preserve"> 173.0392 </t>
  </si>
  <si>
    <t xml:space="preserve"> 64.125 </t>
  </si>
  <si>
    <t xml:space="preserve"> 63.4286 </t>
  </si>
  <si>
    <t xml:space="preserve"> 281.1886 </t>
  </si>
  <si>
    <t xml:space="preserve"> 64.7778 </t>
  </si>
  <si>
    <t xml:space="preserve"> 1081.4947 </t>
  </si>
  <si>
    <t xml:space="preserve"> 63.44 </t>
  </si>
  <si>
    <t xml:space="preserve"> 843.5659 </t>
  </si>
  <si>
    <t xml:space="preserve"> 259.5587 </t>
  </si>
  <si>
    <t xml:space="preserve"> 1816.9111 </t>
  </si>
  <si>
    <t xml:space="preserve"> 735.4164 </t>
  </si>
  <si>
    <t xml:space="preserve"> 7786.7621 </t>
  </si>
  <si>
    <t xml:space="preserve"> 865.1958 </t>
  </si>
  <si>
    <t xml:space="preserve"> 605.637 </t>
  </si>
  <si>
    <t xml:space="preserve"> 63.6667 </t>
  </si>
  <si>
    <t xml:space="preserve"> 65.625 </t>
  </si>
  <si>
    <t xml:space="preserve"> 1860.1709 </t>
  </si>
  <si>
    <t xml:space="preserve"> 1557.3524 </t>
  </si>
  <si>
    <t xml:space="preserve"> 63.9444 </t>
  </si>
  <si>
    <t xml:space="preserve"> 454.2278 </t>
  </si>
  <si>
    <t xml:space="preserve"> 2984.9255 </t>
  </si>
  <si>
    <t xml:space="preserve"> 1838.541 </t>
  </si>
  <si>
    <t xml:space="preserve"> 1600.6122 </t>
  </si>
  <si>
    <t xml:space="preserve"> 3741.9718 </t>
  </si>
  <si>
    <t xml:space="preserve"> 3936.6408 </t>
  </si>
  <si>
    <t xml:space="preserve"> 3504.0429 </t>
  </si>
  <si>
    <t xml:space="preserve"> 951.7154 </t>
  </si>
  <si>
    <t xml:space="preserve"> 62.7273 </t>
  </si>
  <si>
    <t xml:space="preserve"> 2162.9895 </t>
  </si>
  <si>
    <t xml:space="preserve"> 1903.4307 </t>
  </si>
  <si>
    <t xml:space="preserve"> 5991.4808 </t>
  </si>
  <si>
    <t xml:space="preserve"> 6510.5983 </t>
  </si>
  <si>
    <t xml:space="preserve"> 5926.5911 </t>
  </si>
  <si>
    <t xml:space="preserve"> 4455.7583 </t>
  </si>
  <si>
    <t xml:space="preserve"> 28270.2723 </t>
  </si>
  <si>
    <t xml:space="preserve"> 32293.4327 </t>
  </si>
  <si>
    <t xml:space="preserve"> 20288.8412 </t>
  </si>
  <si>
    <t xml:space="preserve"> 20678.1793 </t>
  </si>
  <si>
    <t xml:space="preserve"> 14492.0294 </t>
  </si>
  <si>
    <t xml:space="preserve"> 67.5272 </t>
  </si>
  <si>
    <t xml:space="preserve"> 72.4712 </t>
  </si>
  <si>
    <t xml:space="preserve"> 10057.901 </t>
  </si>
  <si>
    <t xml:space="preserve"> 5883.3313 </t>
  </si>
  <si>
    <t xml:space="preserve"> 22040.8626 </t>
  </si>
  <si>
    <t xml:space="preserve"> 4390.8686 </t>
  </si>
  <si>
    <t xml:space="preserve"> 44492.6933 </t>
  </si>
  <si>
    <t xml:space="preserve"> 45379.5189 </t>
  </si>
  <si>
    <t xml:space="preserve"> 42762.3017 </t>
  </si>
  <si>
    <t xml:space="preserve"> 2184.6194 </t>
  </si>
  <si>
    <t xml:space="preserve"> 1730.3916 </t>
  </si>
  <si>
    <t xml:space="preserve"> 2249.509 </t>
  </si>
  <si>
    <t xml:space="preserve"> 2790.2564 </t>
  </si>
  <si>
    <t xml:space="preserve"> 65.5354 </t>
  </si>
  <si>
    <t xml:space="preserve"> 63.8182 </t>
  </si>
  <si>
    <t xml:space="preserve"> 2660.477 </t>
  </si>
  <si>
    <t xml:space="preserve"> 1232.904 </t>
  </si>
  <si>
    <t xml:space="preserve"> 1016.605 </t>
  </si>
  <si>
    <t xml:space="preserve"> 6813.4168 </t>
  </si>
  <si>
    <t xml:space="preserve"> 64.5833 </t>
  </si>
  <si>
    <t xml:space="preserve"> 886.8257 </t>
  </si>
  <si>
    <t xml:space="preserve"> 62.75 </t>
  </si>
  <si>
    <t xml:space="preserve"> 3374.2636 </t>
  </si>
  <si>
    <t xml:space="preserve"> 1276.1638 </t>
  </si>
  <si>
    <t xml:space="preserve"> 2963.2956 </t>
  </si>
  <si>
    <t xml:space="preserve"> 2638.8471 </t>
  </si>
  <si>
    <t xml:space="preserve"> 1925.0606 </t>
  </si>
  <si>
    <t xml:space="preserve"> 7938.1713 </t>
  </si>
  <si>
    <t xml:space="preserve"> 1449.2029 </t>
  </si>
  <si>
    <t xml:space="preserve"> 3785.2316 </t>
  </si>
  <si>
    <t xml:space="preserve"> 1708.7617 </t>
  </si>
  <si>
    <t xml:space="preserve"> 64.8897 </t>
  </si>
  <si>
    <t xml:space="preserve"> 62.6667 </t>
  </si>
  <si>
    <t xml:space="preserve"> 108.1495 </t>
  </si>
  <si>
    <t xml:space="preserve"> 1103.1246 </t>
  </si>
  <si>
    <t xml:space="preserve"> 62.5294 </t>
  </si>
  <si>
    <t xml:space="preserve"> 63.4 </t>
  </si>
  <si>
    <t xml:space="preserve"> 62.3333 </t>
  </si>
  <si>
    <t xml:space="preserve"> 648.8968 </t>
  </si>
  <si>
    <t xml:space="preserve"> 64.4 </t>
  </si>
  <si>
    <t xml:space="preserve"> 346.0783 </t>
  </si>
  <si>
    <t xml:space="preserve"> 63.375 </t>
  </si>
  <si>
    <t xml:space="preserve"> 62.5 </t>
  </si>
  <si>
    <t xml:space="preserve"> 713.7865 </t>
  </si>
  <si>
    <t xml:space="preserve"> 1297.7937 </t>
  </si>
  <si>
    <t xml:space="preserve"> 973.3453 </t>
  </si>
  <si>
    <t xml:space="preserve"> 1492.4627 </t>
  </si>
  <si>
    <t xml:space="preserve"> 65.6667 </t>
  </si>
  <si>
    <t xml:space="preserve"> 65.7143 </t>
  </si>
  <si>
    <t xml:space="preserve"> 62.9444 </t>
  </si>
  <si>
    <t xml:space="preserve"> 62.1739 </t>
  </si>
  <si>
    <t xml:space="preserve"> 821.936 </t>
  </si>
  <si>
    <t xml:space="preserve"> 1687.1318 </t>
  </si>
  <si>
    <t xml:space="preserve"> 692.1566 </t>
  </si>
  <si>
    <t xml:space="preserve"> 63.5 </t>
  </si>
  <si>
    <t xml:space="preserve"> 1881.8008 </t>
  </si>
  <si>
    <t xml:space="preserve"> 6532.2282 </t>
  </si>
  <si>
    <t xml:space="preserve"> 1168.0143 </t>
  </si>
  <si>
    <t xml:space="preserve"> 432.5979 </t>
  </si>
  <si>
    <t xml:space="preserve"> 63.2 </t>
  </si>
  <si>
    <t xml:space="preserve"> 64.2 </t>
  </si>
  <si>
    <t xml:space="preserve"> 475.8577 </t>
  </si>
  <si>
    <t xml:space="preserve"> 63.9091 </t>
  </si>
  <si>
    <t xml:space="preserve"> 1038.2349 </t>
  </si>
  <si>
    <t xml:space="preserve"> 4196.1996 </t>
  </si>
  <si>
    <t xml:space="preserve"> 65.3333 </t>
  </si>
  <si>
    <t xml:space="preserve"> 63.75 </t>
  </si>
  <si>
    <t xml:space="preserve"> 6164.52 </t>
  </si>
  <si>
    <t xml:space="preserve"> 2746.9966 </t>
  </si>
  <si>
    <t xml:space="preserve"> 562.3773 </t>
  </si>
  <si>
    <t xml:space="preserve"> 62.9231 </t>
  </si>
  <si>
    <t xml:space="preserve"> 8197.7301 </t>
  </si>
  <si>
    <t xml:space="preserve"> 7008.0859 </t>
  </si>
  <si>
    <t xml:space="preserve"> 2595.5874 </t>
  </si>
  <si>
    <t xml:space="preserve"> 64.3333 </t>
  </si>
  <si>
    <t xml:space="preserve"> 20656.5494 </t>
  </si>
  <si>
    <t xml:space="preserve"> 13345.645 </t>
  </si>
  <si>
    <t xml:space="preserve"> 28832.6495 </t>
  </si>
  <si>
    <t xml:space="preserve"> 35191.8386 </t>
  </si>
  <si>
    <t xml:space="preserve"> 12177.6307 </t>
  </si>
  <si>
    <t xml:space="preserve"> 14838.1077 </t>
  </si>
  <si>
    <t xml:space="preserve"> 2552.3276 </t>
  </si>
  <si>
    <t xml:space="preserve"> 1514.0926 </t>
  </si>
  <si>
    <t xml:space="preserve"> 63.3846 </t>
  </si>
  <si>
    <t xml:space="preserve"> 1211.2741 </t>
  </si>
  <si>
    <t xml:space="preserve"> 63.4444 </t>
  </si>
  <si>
    <t xml:space="preserve"> 7527.2033 </t>
  </si>
  <si>
    <t xml:space="preserve"> 8565.4383 </t>
  </si>
  <si>
    <t xml:space="preserve"> 3958.2707 </t>
  </si>
  <si>
    <t xml:space="preserve"> 63.7391 </t>
  </si>
  <si>
    <t xml:space="preserve"> 3655.4522 </t>
  </si>
  <si>
    <t xml:space="preserve"> 7592.093 </t>
  </si>
  <si>
    <t xml:space="preserve"> 1341.0535 </t>
  </si>
  <si>
    <t xml:space="preserve"> 64.4444 </t>
  </si>
  <si>
    <t xml:space="preserve"> 35126.9489 </t>
  </si>
  <si>
    <t xml:space="preserve"> 2465.808 </t>
  </si>
  <si>
    <t xml:space="preserve"> 64.7 </t>
  </si>
  <si>
    <t xml:space="preserve"> 3309.3739 </t>
  </si>
  <si>
    <t xml:space="preserve"> 3871.7511 </t>
  </si>
  <si>
    <t xml:space="preserve"> 12026.2214 </t>
  </si>
  <si>
    <t xml:space="preserve"> 4650.4273 </t>
  </si>
  <si>
    <t xml:space="preserve"> 5667.0324 </t>
  </si>
  <si>
    <t xml:space="preserve"> 9949.7515 </t>
  </si>
  <si>
    <t xml:space="preserve"> 6770.157 </t>
  </si>
  <si>
    <t xml:space="preserve"> 5429.1036 </t>
  </si>
  <si>
    <t xml:space="preserve"> 1427.573 </t>
  </si>
  <si>
    <t xml:space="preserve"> 6380.8189 </t>
  </si>
  <si>
    <t xml:space="preserve"> 3763.6017 </t>
  </si>
  <si>
    <t xml:space="preserve"> 10555.3886 </t>
  </si>
  <si>
    <t xml:space="preserve"> 18558.4496 </t>
  </si>
  <si>
    <t xml:space="preserve"> 908.4556 </t>
  </si>
  <si>
    <t xml:space="preserve"> 5775.1819 </t>
  </si>
  <si>
    <t xml:space="preserve"> 3049.8151 </t>
  </si>
  <si>
    <t xml:space="preserve"> 5342.584 </t>
  </si>
  <si>
    <t xml:space="preserve"> 3633.8223 </t>
  </si>
  <si>
    <t xml:space="preserve"> 10468.869 </t>
  </si>
  <si>
    <t xml:space="preserve"> 10144.4206 </t>
  </si>
  <si>
    <t xml:space="preserve"> 12804.8976 </t>
  </si>
  <si>
    <t xml:space="preserve"> 13670.0934 </t>
  </si>
  <si>
    <t xml:space="preserve"> 4477.3882 </t>
  </si>
  <si>
    <t xml:space="preserve"> 2573.9575 </t>
  </si>
  <si>
    <t xml:space="preserve"> 7116.2353 </t>
  </si>
  <si>
    <t xml:space="preserve"> 4758.5768 </t>
  </si>
  <si>
    <t xml:space="preserve"> 65.4318 </t>
  </si>
  <si>
    <t xml:space="preserve"> 17217.3961 </t>
  </si>
  <si>
    <t>Colonne1</t>
  </si>
  <si>
    <t>01 Evian + 0.2% DMSO</t>
  </si>
  <si>
    <t>02 EE2 33.8</t>
  </si>
  <si>
    <t>03 EE2 50.6</t>
  </si>
  <si>
    <t>04 EE2 76</t>
  </si>
  <si>
    <t>05 EE2 114</t>
  </si>
  <si>
    <t>06 EE2 170.9</t>
  </si>
  <si>
    <t>07 EE2 488</t>
  </si>
  <si>
    <t>08 Dutastéride 0.01mg_L</t>
  </si>
  <si>
    <t>09 Dutastéride 0.1mg_L</t>
  </si>
  <si>
    <t>10 Dutastéride 0.25mg_L</t>
  </si>
  <si>
    <t>11 Dutastéride 0.5mg_L</t>
  </si>
  <si>
    <t>12 Dutastéride 1mg_L</t>
  </si>
  <si>
    <t>01 Testo 30</t>
  </si>
  <si>
    <t>02 Testo 30</t>
  </si>
  <si>
    <t>03 Testo+ EE2 64</t>
  </si>
  <si>
    <t>04 Testo+ FAD</t>
  </si>
  <si>
    <t>05 Dutastéride 0.01mg_L Dopé</t>
  </si>
  <si>
    <t>06 Dutastéride 0.1mg_L Dopé</t>
  </si>
  <si>
    <t>07  Dutastéride 0.25mg_L Dopé</t>
  </si>
  <si>
    <t>08 Dutastéride 0.5 mg_L Dopé</t>
  </si>
  <si>
    <t>09 Dutastéride 1mg_L Dopé</t>
  </si>
  <si>
    <t>B</t>
  </si>
  <si>
    <t>C</t>
  </si>
  <si>
    <t>D</t>
  </si>
  <si>
    <t>E</t>
  </si>
  <si>
    <t>F</t>
  </si>
  <si>
    <t>G</t>
  </si>
  <si>
    <t>H</t>
  </si>
  <si>
    <t>Dutasteride-0,01mg/L + Testostérone</t>
  </si>
  <si>
    <t>Dutasteride-0,1mg/L + Testostérone</t>
  </si>
  <si>
    <t>Dutasteride-0,25mg/L + Testostérone</t>
  </si>
  <si>
    <t>Dutasteride-0,5mg/L + Testostérone</t>
  </si>
  <si>
    <t>Dutasteride-1mg/L + Testostérone</t>
  </si>
  <si>
    <t>Krustall Wallis</t>
  </si>
  <si>
    <t xml:space="preserve">F:\images\2021-CHG-ACH-Dutasteride 2\plaque 1/@01 Evian + 0.2% DMSO/A1_01.tif </t>
  </si>
  <si>
    <t xml:space="preserve"> 6142.8901 </t>
  </si>
  <si>
    <t xml:space="preserve"> 67.5775 </t>
  </si>
  <si>
    <t xml:space="preserve">F:\images\2021-CHG-ACH-Dutasteride 2\plaque 1/@01 Evian + 0.2% DMSO/A1_02.tif </t>
  </si>
  <si>
    <t xml:space="preserve"> 63.8261 </t>
  </si>
  <si>
    <t xml:space="preserve">F:\images\2021-CHG-ACH-Dutasteride 2\plaque 1/@01 Evian + 0.2% DMSO/A1_03.tif </t>
  </si>
  <si>
    <t xml:space="preserve"> 65.7 </t>
  </si>
  <si>
    <t xml:space="preserve">F:\images\2021-CHG-ACH-Dutasteride 2\plaque 1/@01 Evian + 0.2% DMSO/B1_01.tif </t>
  </si>
  <si>
    <t xml:space="preserve"> 63.9231 </t>
  </si>
  <si>
    <t xml:space="preserve">F:\images\2021-CHG-ACH-Dutasteride 2\plaque 1/@01 Evian + 0.2% DMSO/B1_02.tif </t>
  </si>
  <si>
    <t xml:space="preserve"> 64.4118 </t>
  </si>
  <si>
    <t xml:space="preserve">F:\images\2021-CHG-ACH-Dutasteride 2\plaque 1/@01 Evian + 0.2% DMSO/B1_03.tif </t>
  </si>
  <si>
    <t xml:space="preserve"> 65.3125 </t>
  </si>
  <si>
    <t xml:space="preserve">F:\images\2021-CHG-ACH-Dutasteride 2\plaque 1/@01 Evian + 0.2% DMSO/C1_01.tif </t>
  </si>
  <si>
    <t xml:space="preserve"> 5450.7334 </t>
  </si>
  <si>
    <t xml:space="preserve"> 66.0794 </t>
  </si>
  <si>
    <t xml:space="preserve">F:\images\2021-CHG-ACH-Dutasteride 2\plaque 1/@01 Evian + 0.2% DMSO/C1_02.tif </t>
  </si>
  <si>
    <t xml:space="preserve"> 66.3095 </t>
  </si>
  <si>
    <t xml:space="preserve">F:\images\2021-CHG-ACH-Dutasteride 2\plaque 1/@01 Evian + 0.2% DMSO/C1_03.tif </t>
  </si>
  <si>
    <t xml:space="preserve"> 2530.6977 </t>
  </si>
  <si>
    <t xml:space="preserve"> 65.9744 </t>
  </si>
  <si>
    <t xml:space="preserve">F:\images\2021-CHG-ACH-Dutasteride 2\plaque 1/@01 Evian + 0.2% DMSO/D1_01.tif </t>
  </si>
  <si>
    <t xml:space="preserve"> 64.28 </t>
  </si>
  <si>
    <t xml:space="preserve">F:\images\2021-CHG-ACH-Dutasteride 2\plaque 1/@01 Evian + 0.2% DMSO/D1_02.tif </t>
  </si>
  <si>
    <t xml:space="preserve"> 62.55 </t>
  </si>
  <si>
    <t xml:space="preserve">F:\images\2021-CHG-ACH-Dutasteride 2\plaque 1/@01 Evian + 0.2% DMSO/D1_03.tif </t>
  </si>
  <si>
    <t xml:space="preserve"> 63.1053 </t>
  </si>
  <si>
    <t xml:space="preserve">F:\images\2021-CHG-ACH-Dutasteride 2\plaque 1/@01 Evian + 0.2% DMSO/E1_01.tif </t>
  </si>
  <si>
    <t xml:space="preserve"> 64.4286 </t>
  </si>
  <si>
    <t xml:space="preserve">F:\images\2021-CHG-ACH-Dutasteride 2\plaque 1/@01 Evian + 0.2% DMSO/E1_02.tif </t>
  </si>
  <si>
    <t xml:space="preserve"> 63.6154 </t>
  </si>
  <si>
    <t xml:space="preserve">F:\images\2021-CHG-ACH-Dutasteride 2\plaque 1/@01 Evian + 0.2% DMSO/E1_03.tif </t>
  </si>
  <si>
    <t xml:space="preserve"> 1665.5019 </t>
  </si>
  <si>
    <t xml:space="preserve"> 64.0649 </t>
  </si>
  <si>
    <t xml:space="preserve">F:\images\2021-CHG-ACH-Dutasteride 2\plaque 1/@01 Evian + 0.2% DMSO/F1_01.tif </t>
  </si>
  <si>
    <t xml:space="preserve"> 8846.6269 </t>
  </si>
  <si>
    <t xml:space="preserve"> 74.4841 </t>
  </si>
  <si>
    <t xml:space="preserve">F:\images\2021-CHG-ACH-Dutasteride 2\plaque 1/@01 Evian + 0.2% DMSO/F1_02.tif </t>
  </si>
  <si>
    <t xml:space="preserve"> 72.1392 </t>
  </si>
  <si>
    <t xml:space="preserve">F:\images\2021-CHG-ACH-Dutasteride 2\plaque 1/@01 Evian + 0.2% DMSO/F1_03.tif </t>
  </si>
  <si>
    <t xml:space="preserve"> 64.7143 </t>
  </si>
  <si>
    <t xml:space="preserve">F:\images\2021-CHG-ACH-Dutasteride 2\plaque 1/@01 Evian + 0.2% DMSO/G1_01.tif </t>
  </si>
  <si>
    <t xml:space="preserve"> 67.7 </t>
  </si>
  <si>
    <t xml:space="preserve">F:\images\2021-CHG-ACH-Dutasteride 2\plaque 1/@01 Evian + 0.2% DMSO/G1_02.tif </t>
  </si>
  <si>
    <t xml:space="preserve">F:\images\2021-CHG-ACH-Dutasteride 2\plaque 1/@01 Evian + 0.2% DMSO/G1_03.tif </t>
  </si>
  <si>
    <t xml:space="preserve">F:\images\2021-CHG-ACH-Dutasteride 2\plaque 1/@01 Evian + 0.2% DMSO/H1_01.tif </t>
  </si>
  <si>
    <t xml:space="preserve"> 8435.6589 </t>
  </si>
  <si>
    <t xml:space="preserve"> 70.6538 </t>
  </si>
  <si>
    <t xml:space="preserve">F:\images\2021-CHG-ACH-Dutasteride 2\plaque 1/@01 Evian + 0.2% DMSO/H1_02.tif </t>
  </si>
  <si>
    <t xml:space="preserve"> 69.7181 </t>
  </si>
  <si>
    <t xml:space="preserve">F:\images\2021-CHG-ACH-Dutasteride 2\plaque 1/@01 Evian + 0.2% DMSO/H1_03.tif </t>
  </si>
  <si>
    <t xml:space="preserve">F:\images\2021-CHG-ACH-Dutasteride 2\plaque 1/@01 Evian + 0.2% DMSO/ </t>
  </si>
  <si>
    <t xml:space="preserve"> 66.0014 </t>
  </si>
  <si>
    <t xml:space="preserve"> 3.0332 </t>
  </si>
  <si>
    <t xml:space="preserve"> 171408.792 </t>
  </si>
  <si>
    <t xml:space="preserve"> 197143.893 </t>
  </si>
  <si>
    <t xml:space="preserve">F:\images\2021-CHG-ACH-Dutasteride 2\plaque 1/@02 EE2 33.8/A2_01.tif </t>
  </si>
  <si>
    <t xml:space="preserve"> 7981.4311 </t>
  </si>
  <si>
    <t xml:space="preserve"> 71.2114 </t>
  </si>
  <si>
    <t xml:space="preserve">F:\images\2021-CHG-ACH-Dutasteride 2\plaque 1/@02 EE2 33.8/A2_02.tif </t>
  </si>
  <si>
    <t xml:space="preserve"> 3395.8935 </t>
  </si>
  <si>
    <t xml:space="preserve"> 67.8408 </t>
  </si>
  <si>
    <t xml:space="preserve">F:\images\2021-CHG-ACH-Dutasteride 2\plaque 1/@02 EE2 33.8/A2_03.tif </t>
  </si>
  <si>
    <t xml:space="preserve"> 4131.3099 </t>
  </si>
  <si>
    <t xml:space="preserve"> 65.3141 </t>
  </si>
  <si>
    <t xml:space="preserve">F:\images\2021-CHG-ACH-Dutasteride 2\plaque 1/@02 EE2 33.8/B2_01.tif </t>
  </si>
  <si>
    <t xml:space="preserve">F:\images\2021-CHG-ACH-Dutasteride 2\plaque 1/@02 EE2 33.8/B2_02.tif </t>
  </si>
  <si>
    <t xml:space="preserve"> 64.0769 </t>
  </si>
  <si>
    <t xml:space="preserve">F:\images\2021-CHG-ACH-Dutasteride 2\plaque 1/@02 EE2 33.8/B2_03.tif </t>
  </si>
  <si>
    <t xml:space="preserve"> 65.4091 </t>
  </si>
  <si>
    <t xml:space="preserve">F:\images\2021-CHG-ACH-Dutasteride 2\plaque 1/@02 EE2 33.8/C2_01.tif </t>
  </si>
  <si>
    <t xml:space="preserve"> 4217.8295 </t>
  </si>
  <si>
    <t xml:space="preserve"> 64.6154 </t>
  </si>
  <si>
    <t xml:space="preserve">F:\images\2021-CHG-ACH-Dutasteride 2\plaque 1/@02 EE2 33.8/C2_02.tif </t>
  </si>
  <si>
    <t xml:space="preserve"> 3244.4842 </t>
  </si>
  <si>
    <t xml:space="preserve"> 64.5867 </t>
  </si>
  <si>
    <t xml:space="preserve">F:\images\2021-CHG-ACH-Dutasteride 2\plaque 1/@02 EE2 33.8/C2_03.tif </t>
  </si>
  <si>
    <t xml:space="preserve"> 5558.8829 </t>
  </si>
  <si>
    <t xml:space="preserve"> 70.8988 </t>
  </si>
  <si>
    <t xml:space="preserve">F:\images\2021-CHG-ACH-Dutasteride 2\plaque 1/@02 EE2 33.8/D2_01.tif </t>
  </si>
  <si>
    <t xml:space="preserve"> 5515.6231 </t>
  </si>
  <si>
    <t xml:space="preserve"> 70.4588 </t>
  </si>
  <si>
    <t xml:space="preserve">F:\images\2021-CHG-ACH-Dutasteride 2\plaque 1/@02 EE2 33.8/D2_02.tif </t>
  </si>
  <si>
    <t xml:space="preserve"> 4347.6088 </t>
  </si>
  <si>
    <t xml:space="preserve">F:\images\2021-CHG-ACH-Dutasteride 2\plaque 1/@02 EE2 33.8/D2_03.tif </t>
  </si>
  <si>
    <t xml:space="preserve"> 3568.9326 </t>
  </si>
  <si>
    <t xml:space="preserve"> 69.0121 </t>
  </si>
  <si>
    <t xml:space="preserve">F:\images\2021-CHG-ACH-Dutasteride 2\plaque 1/@02 EE2 33.8/E2_01.tif </t>
  </si>
  <si>
    <t xml:space="preserve"> 62.4074 </t>
  </si>
  <si>
    <t xml:space="preserve">F:\images\2021-CHG-ACH-Dutasteride 2\plaque 1/@02 EE2 33.8/E2_02.tif </t>
  </si>
  <si>
    <t xml:space="preserve"> 62.8889 </t>
  </si>
  <si>
    <t xml:space="preserve">F:\images\2021-CHG-ACH-Dutasteride 2\plaque 1/@02 EE2 33.8/E2_03.tif </t>
  </si>
  <si>
    <t xml:space="preserve"> 62.7143 </t>
  </si>
  <si>
    <t xml:space="preserve">F:\images\2021-CHG-ACH-Dutasteride 2\plaque 1/@02 EE2 33.8/F2_01.tif </t>
  </si>
  <si>
    <t xml:space="preserve"> 65.0914 </t>
  </si>
  <si>
    <t xml:space="preserve">F:\images\2021-CHG-ACH-Dutasteride 2\plaque 1/@02 EE2 33.8/F2_02.tif </t>
  </si>
  <si>
    <t xml:space="preserve"> 2920.0358 </t>
  </si>
  <si>
    <t xml:space="preserve"> 64.1185 </t>
  </si>
  <si>
    <t xml:space="preserve">F:\images\2021-CHG-ACH-Dutasteride 2\plaque 1/@02 EE2 33.8/F2_03.tif </t>
  </si>
  <si>
    <t xml:space="preserve"> 1319.4236 </t>
  </si>
  <si>
    <t xml:space="preserve"> 63.918 </t>
  </si>
  <si>
    <t xml:space="preserve">F:\images\2021-CHG-ACH-Dutasteride 2\plaque 1/@02 EE2 33.8/G2_01.tif </t>
  </si>
  <si>
    <t xml:space="preserve"> 65.4802 </t>
  </si>
  <si>
    <t xml:space="preserve">F:\images\2021-CHG-ACH-Dutasteride 2\plaque 1/@02 EE2 33.8/G2_02.tif </t>
  </si>
  <si>
    <t xml:space="preserve"> 64.7971 </t>
  </si>
  <si>
    <t xml:space="preserve">F:\images\2021-CHG-ACH-Dutasteride 2\plaque 1/@02 EE2 33.8/G2_03.tif </t>
  </si>
  <si>
    <t xml:space="preserve"> 68.6786 </t>
  </si>
  <si>
    <t xml:space="preserve">F:\images\2021-CHG-ACH-Dutasteride 2\plaque 1/@02 EE2 33.8/H2_01.tif </t>
  </si>
  <si>
    <t xml:space="preserve"> 7462.3136 </t>
  </si>
  <si>
    <t xml:space="preserve"> 64.8522 </t>
  </si>
  <si>
    <t xml:space="preserve">F:\images\2021-CHG-ACH-Dutasteride 2\plaque 1/@02 EE2 33.8/H2_02.tif </t>
  </si>
  <si>
    <t xml:space="preserve"> 62.4146 </t>
  </si>
  <si>
    <t>F:\images\2021-CHG-ACH-Dutasteride 2\plaque 1/@02 EE2 33.8/H2_03- exclu.tif</t>
  </si>
  <si>
    <t xml:space="preserve">F:\images\2021-CHG-ACH-Dutasteride 2\plaque 1/@02 EE2 33.8/ </t>
  </si>
  <si>
    <t xml:space="preserve"> 65.7862 </t>
  </si>
  <si>
    <t xml:space="preserve"> 2.6702 </t>
  </si>
  <si>
    <t xml:space="preserve"> 211808.958 </t>
  </si>
  <si>
    <t xml:space="preserve"> 152550.737 </t>
  </si>
  <si>
    <t xml:space="preserve">F:\images\2021-CHG-ACH-Dutasteride 2\plaque 1/@03 EE2 50.6/A3_01.tif </t>
  </si>
  <si>
    <t xml:space="preserve"> 67.6098 </t>
  </si>
  <si>
    <t xml:space="preserve">F:\images\2021-CHG-ACH-Dutasteride 2\plaque 1/@03 EE2 50.6/A3_02.tif </t>
  </si>
  <si>
    <t xml:space="preserve"> 68.9231 </t>
  </si>
  <si>
    <t xml:space="preserve">F:\images\2021-CHG-ACH-Dutasteride 2\plaque 1/@03 EE2 50.6/A3_03.tif </t>
  </si>
  <si>
    <t xml:space="preserve"> 68.1489 </t>
  </si>
  <si>
    <t xml:space="preserve">F:\images\2021-CHG-ACH-Dutasteride 2\plaque 1/@03 EE2 50.6/B3_01.tif </t>
  </si>
  <si>
    <t xml:space="preserve"> 66.597 </t>
  </si>
  <si>
    <t xml:space="preserve">F:\images\2021-CHG-ACH-Dutasteride 2\plaque 1/@03 EE2 50.6/B3_02.tif </t>
  </si>
  <si>
    <t xml:space="preserve"> 64.6522 </t>
  </si>
  <si>
    <t xml:space="preserve">F:\images\2021-CHG-ACH-Dutasteride 2\plaque 1/@03 EE2 50.6/B3_03.tif </t>
  </si>
  <si>
    <t xml:space="preserve"> 64.5686 </t>
  </si>
  <si>
    <t xml:space="preserve">F:\images\2021-CHG-ACH-Dutasteride 2\plaque 1/@03 EE2 50.6/C3_01.tif </t>
  </si>
  <si>
    <t xml:space="preserve">F:\images\2021-CHG-ACH-Dutasteride 2\plaque 1/@03 EE2 50.6/C3_02.tif </t>
  </si>
  <si>
    <t xml:space="preserve"> 64.3429 </t>
  </si>
  <si>
    <t xml:space="preserve">F:\images\2021-CHG-ACH-Dutasteride 2\plaque 1/@03 EE2 50.6/C3_03.tif </t>
  </si>
  <si>
    <t xml:space="preserve"> 65.2692 </t>
  </si>
  <si>
    <t xml:space="preserve">F:\images\2021-CHG-ACH-Dutasteride 2\plaque 1/@03 EE2 50.6/D3_01.tif </t>
  </si>
  <si>
    <t xml:space="preserve"> 8262.6197 </t>
  </si>
  <si>
    <t xml:space="preserve"> 65.4031 </t>
  </si>
  <si>
    <t xml:space="preserve">F:\images\2021-CHG-ACH-Dutasteride 2\plaque 1/@03 EE2 50.6/D3_02.tif </t>
  </si>
  <si>
    <t xml:space="preserve"> 8824.997 </t>
  </si>
  <si>
    <t xml:space="preserve"> 65.8897 </t>
  </si>
  <si>
    <t xml:space="preserve">F:\images\2021-CHG-ACH-Dutasteride 2\plaque 1/@03 EE2 50.6/D3_03.tif </t>
  </si>
  <si>
    <t xml:space="preserve"> 8695.2176 </t>
  </si>
  <si>
    <t xml:space="preserve"> 65.2637 </t>
  </si>
  <si>
    <t xml:space="preserve">F:\images\2021-CHG-ACH-Dutasteride 2\plaque 1/@03 EE2 50.6/E3_01.tif </t>
  </si>
  <si>
    <t xml:space="preserve"> 63.1379 </t>
  </si>
  <si>
    <t xml:space="preserve">F:\images\2021-CHG-ACH-Dutasteride 2\plaque 1/@03 EE2 50.6/E3_02.tif </t>
  </si>
  <si>
    <t xml:space="preserve"> 1773.6514 </t>
  </si>
  <si>
    <t xml:space="preserve"> 64.0122 </t>
  </si>
  <si>
    <t xml:space="preserve">F:\images\2021-CHG-ACH-Dutasteride 2\plaque 1/@03 EE2 50.6/E3_03.tif </t>
  </si>
  <si>
    <t xml:space="preserve"> 63.2571 </t>
  </si>
  <si>
    <t xml:space="preserve">F:\images\2021-CHG-ACH-Dutasteride 2\plaque 1/@03 EE2 50.6/F3_01.tif </t>
  </si>
  <si>
    <t xml:space="preserve"> 43.2598 </t>
  </si>
  <si>
    <t xml:space="preserve">F:\images\2021-CHG-ACH-Dutasteride 2\plaque 1/@03 EE2 50.6/F3_02.tif </t>
  </si>
  <si>
    <t xml:space="preserve"> 62.4 </t>
  </si>
  <si>
    <t xml:space="preserve">F:\images\2021-CHG-ACH-Dutasteride 2\plaque 1/@03 EE2 50.6/F3_03.tif </t>
  </si>
  <si>
    <t xml:space="preserve"> 62.8182 </t>
  </si>
  <si>
    <t xml:space="preserve">F:\images\2021-CHG-ACH-Dutasteride 2\plaque 1/@03 EE2 50.6/G3_01.tif </t>
  </si>
  <si>
    <t xml:space="preserve">F:\images\2021-CHG-ACH-Dutasteride 2\plaque 1/@03 EE2 50.6/G3_02.tif </t>
  </si>
  <si>
    <t xml:space="preserve"> 68.6667 </t>
  </si>
  <si>
    <t xml:space="preserve">F:\images\2021-CHG-ACH-Dutasteride 2\plaque 1/@03 EE2 50.6/G3_03.tif </t>
  </si>
  <si>
    <t xml:space="preserve"> 65.5 </t>
  </si>
  <si>
    <t xml:space="preserve">F:\images\2021-CHG-ACH-Dutasteride 2\plaque 1/@03 EE2 50.6/H3_01.tif </t>
  </si>
  <si>
    <t xml:space="preserve"> 65.4444 </t>
  </si>
  <si>
    <t xml:space="preserve">F:\images\2021-CHG-ACH-Dutasteride 2\plaque 1/@03 EE2 50.6/H3_02.tif </t>
  </si>
  <si>
    <t xml:space="preserve"> 71.6985 </t>
  </si>
  <si>
    <t xml:space="preserve">F:\images\2021-CHG-ACH-Dutasteride 2\plaque 1/@03 EE2 50.6/H3_03.tif </t>
  </si>
  <si>
    <t xml:space="preserve"> 1968.3204 </t>
  </si>
  <si>
    <t xml:space="preserve"> 68.5495 </t>
  </si>
  <si>
    <t xml:space="preserve">F:\images\2021-CHG-ACH-Dutasteride 2\plaque 1/@03 EE2 50.6/ </t>
  </si>
  <si>
    <t xml:space="preserve"> 65.4789 </t>
  </si>
  <si>
    <t xml:space="preserve"> 2.4011 </t>
  </si>
  <si>
    <t xml:space="preserve"> 149586.917 </t>
  </si>
  <si>
    <t xml:space="preserve"> 190387.157 </t>
  </si>
  <si>
    <t xml:space="preserve">F:\images\2021-CHG-ACH-Dutasteride 2\plaque 1/@04 EE2 76/A4_01.tif </t>
  </si>
  <si>
    <t xml:space="preserve"> 66.05 </t>
  </si>
  <si>
    <t xml:space="preserve">F:\images\2021-CHG-ACH-Dutasteride 2\plaque 1/@04 EE2 76/A4_02.tif </t>
  </si>
  <si>
    <t xml:space="preserve"> 64.72 </t>
  </si>
  <si>
    <t xml:space="preserve">F:\images\2021-CHG-ACH-Dutasteride 2\plaque 1/@04 EE2 76/A4_03.tif </t>
  </si>
  <si>
    <t xml:space="preserve"> 67.6404 </t>
  </si>
  <si>
    <t xml:space="preserve">F:\images\2021-CHG-ACH-Dutasteride 2\plaque 1/@04 EE2 76/B4_01.tif </t>
  </si>
  <si>
    <t xml:space="preserve"> 6359.189 </t>
  </si>
  <si>
    <t xml:space="preserve"> 68.3197 </t>
  </si>
  <si>
    <t xml:space="preserve">F:\images\2021-CHG-ACH-Dutasteride 2\plaque 1/@04 EE2 76/B4_02.tif </t>
  </si>
  <si>
    <t xml:space="preserve"> 71.3247 </t>
  </si>
  <si>
    <t xml:space="preserve">F:\images\2021-CHG-ACH-Dutasteride 2\plaque 1/@04 EE2 76/B4_03.tif </t>
  </si>
  <si>
    <t xml:space="preserve"> 7159.4951 </t>
  </si>
  <si>
    <t xml:space="preserve"> 67.8066 </t>
  </si>
  <si>
    <t xml:space="preserve">F:\images\2021-CHG-ACH-Dutasteride 2\plaque 1/@04 EE2 76/C4_01.tif </t>
  </si>
  <si>
    <t xml:space="preserve"> 64.2222 </t>
  </si>
  <si>
    <t xml:space="preserve">F:\images\2021-CHG-ACH-Dutasteride 2\plaque 1/@04 EE2 76/C4_02.tif </t>
  </si>
  <si>
    <t xml:space="preserve"> 64.4571 </t>
  </si>
  <si>
    <t xml:space="preserve">F:\images\2021-CHG-ACH-Dutasteride 2\plaque 1/@04 EE2 76/C4_03.tif </t>
  </si>
  <si>
    <t xml:space="preserve"> 62.0526 </t>
  </si>
  <si>
    <t xml:space="preserve">F:\images\2021-CHG-ACH-Dutasteride 2\plaque 1/@04 EE2 76/D4_01.tif </t>
  </si>
  <si>
    <t xml:space="preserve"> 14946.2572 </t>
  </si>
  <si>
    <t xml:space="preserve"> 65.686 </t>
  </si>
  <si>
    <t xml:space="preserve">F:\images\2021-CHG-ACH-Dutasteride 2\plaque 1/@04 EE2 76/D4_02.tif </t>
  </si>
  <si>
    <t xml:space="preserve"> 13194.2357 </t>
  </si>
  <si>
    <t xml:space="preserve"> 66.4787 </t>
  </si>
  <si>
    <t xml:space="preserve">F:\images\2021-CHG-ACH-Dutasteride 2\plaque 1/@04 EE2 76/D4_03.tif </t>
  </si>
  <si>
    <t xml:space="preserve"> 11290.805 </t>
  </si>
  <si>
    <t xml:space="preserve"> 65.2433 </t>
  </si>
  <si>
    <t xml:space="preserve">F:\images\2021-CHG-ACH-Dutasteride 2\plaque 1/@04 EE2 76/E4_01.tif </t>
  </si>
  <si>
    <t xml:space="preserve"> 64.3625 </t>
  </si>
  <si>
    <t xml:space="preserve">F:\images\2021-CHG-ACH-Dutasteride 2\plaque 1/@04 EE2 76/E4_02.tif </t>
  </si>
  <si>
    <t xml:space="preserve"> 63.121 </t>
  </si>
  <si>
    <t xml:space="preserve">F:\images\2021-CHG-ACH-Dutasteride 2\plaque 1/@04 EE2 76/E4_03.tif </t>
  </si>
  <si>
    <t xml:space="preserve"> 63.8013 </t>
  </si>
  <si>
    <t xml:space="preserve">F:\images\2021-CHG-ACH-Dutasteride 2\plaque 1/@04 EE2 76/F4_01.tif </t>
  </si>
  <si>
    <t xml:space="preserve"> 6964.8261 </t>
  </si>
  <si>
    <t xml:space="preserve"> 63.6056 </t>
  </si>
  <si>
    <t xml:space="preserve">F:\images\2021-CHG-ACH-Dutasteride 2\plaque 1/@04 EE2 76/F4_02.tif </t>
  </si>
  <si>
    <t xml:space="preserve"> 63.9636 </t>
  </si>
  <si>
    <t xml:space="preserve">F:\images\2021-CHG-ACH-Dutasteride 2\plaque 1/@04 EE2 76/F4_03.tif </t>
  </si>
  <si>
    <t xml:space="preserve"> 5407.4737 </t>
  </si>
  <si>
    <t xml:space="preserve"> 63.76 </t>
  </si>
  <si>
    <t xml:space="preserve">F:\images\2021-CHG-ACH-Dutasteride 2\plaque 1/@04 EE2 76/G4_01.tif </t>
  </si>
  <si>
    <t xml:space="preserve"> 7354.1642 </t>
  </si>
  <si>
    <t xml:space="preserve"> 70.7059 </t>
  </si>
  <si>
    <t xml:space="preserve">F:\images\2021-CHG-ACH-Dutasteride 2\plaque 1/@04 EE2 76/G4_02.tif </t>
  </si>
  <si>
    <t xml:space="preserve"> 64.8454 </t>
  </si>
  <si>
    <t xml:space="preserve">F:\images\2021-CHG-ACH-Dutasteride 2\plaque 1/@04 EE2 76/G4_03.tif </t>
  </si>
  <si>
    <t xml:space="preserve"> 5969.8509 </t>
  </si>
  <si>
    <t xml:space="preserve"> 67.1703 </t>
  </si>
  <si>
    <t>F:\images\2021-CHG-ACH-Dutasteride 2\plaque 1/@04 EE2 76/H4_01- exclu.tif</t>
  </si>
  <si>
    <t>F:\images\2021-CHG-ACH-Dutasteride 2\plaque 1/@04 EE2 76/H4_02- exclu.tif</t>
  </si>
  <si>
    <t>F:\images\2021-CHG-ACH-Dutasteride 2\plaque 1/@04 EE2 76/H4_03- exclu.tif</t>
  </si>
  <si>
    <t xml:space="preserve">F:\images\2021-CHG-ACH-Dutasteride 2\plaque 1/@04 EE2 76/ </t>
  </si>
  <si>
    <t xml:space="preserve"> 2.3003 </t>
  </si>
  <si>
    <t xml:space="preserve"> 306946.167 </t>
  </si>
  <si>
    <t xml:space="preserve"> 280129.719 </t>
  </si>
  <si>
    <t>F:\images\2021-CHG-ACH-Dutasteride 2\plaque 1/@05 EE2 114/A5_01- exclu.tif</t>
  </si>
  <si>
    <t xml:space="preserve">F:\images\2021-CHG-ACH-Dutasteride 2\plaque 1/@05 EE2 114/A5_02.tif </t>
  </si>
  <si>
    <t xml:space="preserve"> 36727.5611 </t>
  </si>
  <si>
    <t xml:space="preserve"> 69.4953 </t>
  </si>
  <si>
    <t xml:space="preserve">F:\images\2021-CHG-ACH-Dutasteride 2\plaque 1/@05 EE2 114/A5_03.tif </t>
  </si>
  <si>
    <t xml:space="preserve"> 37809.0558 </t>
  </si>
  <si>
    <t xml:space="preserve"> 68.4777 </t>
  </si>
  <si>
    <t xml:space="preserve">F:\images\2021-CHG-ACH-Dutasteride 2\plaque 1/@05 EE2 114/B5_01.tif </t>
  </si>
  <si>
    <t xml:space="preserve"> 7570.4631 </t>
  </si>
  <si>
    <t xml:space="preserve"> 63.9943 </t>
  </si>
  <si>
    <t xml:space="preserve">F:\images\2021-CHG-ACH-Dutasteride 2\plaque 1/@05 EE2 114/B5_02.tif </t>
  </si>
  <si>
    <t xml:space="preserve"> 6921.5663 </t>
  </si>
  <si>
    <t xml:space="preserve"> 64.3219 </t>
  </si>
  <si>
    <t xml:space="preserve">F:\images\2021-CHG-ACH-Dutasteride 2\plaque 1/@05 EE2 114/B5_03.tif </t>
  </si>
  <si>
    <t xml:space="preserve"> 63.7234 </t>
  </si>
  <si>
    <t xml:space="preserve">F:\images\2021-CHG-ACH-Dutasteride 2\plaque 1/@05 EE2 114/C5_01.tif </t>
  </si>
  <si>
    <t xml:space="preserve"> 6553.8581 </t>
  </si>
  <si>
    <t xml:space="preserve"> 65.5347 </t>
  </si>
  <si>
    <t xml:space="preserve">F:\images\2021-CHG-ACH-Dutasteride 2\plaque 1/@05 EE2 114/C5_02.tif </t>
  </si>
  <si>
    <t xml:space="preserve"> 62.1064 </t>
  </si>
  <si>
    <t xml:space="preserve">F:\images\2021-CHG-ACH-Dutasteride 2\plaque 1/@05 EE2 114/C5_03.tif </t>
  </si>
  <si>
    <t xml:space="preserve"> 62.9848 </t>
  </si>
  <si>
    <t xml:space="preserve">F:\images\2021-CHG-ACH-Dutasteride 2\plaque 1/@05 EE2 114/D5_01.tif </t>
  </si>
  <si>
    <t xml:space="preserve"> 39279.8886 </t>
  </si>
  <si>
    <t xml:space="preserve"> 81.8976 </t>
  </si>
  <si>
    <t xml:space="preserve">F:\images\2021-CHG-ACH-Dutasteride 2\plaque 1/@05 EE2 114/D5_02.tif </t>
  </si>
  <si>
    <t xml:space="preserve"> 41399.6183 </t>
  </si>
  <si>
    <t xml:space="preserve"> 80.687 </t>
  </si>
  <si>
    <t xml:space="preserve">F:\images\2021-CHG-ACH-Dutasteride 2\plaque 1/@05 EE2 114/D5_03.tif </t>
  </si>
  <si>
    <t xml:space="preserve"> 47910.2166 </t>
  </si>
  <si>
    <t xml:space="preserve"> 78.7264 </t>
  </si>
  <si>
    <t xml:space="preserve">F:\images\2021-CHG-ACH-Dutasteride 2\plaque 1/@05 EE2 114/E5_01.tif </t>
  </si>
  <si>
    <t xml:space="preserve"> 64.2188 </t>
  </si>
  <si>
    <t xml:space="preserve">F:\images\2021-CHG-ACH-Dutasteride 2\plaque 1/@05 EE2 114/E5_02.tif </t>
  </si>
  <si>
    <t xml:space="preserve"> 64.5946 </t>
  </si>
  <si>
    <t xml:space="preserve">F:\images\2021-CHG-ACH-Dutasteride 2\plaque 1/@05 EE2 114/E5_03.tif </t>
  </si>
  <si>
    <t xml:space="preserve"> 62.35 </t>
  </si>
  <si>
    <t xml:space="preserve">F:\images\2021-CHG-ACH-Dutasteride 2\plaque 1/@05 EE2 114/F5_01.tif </t>
  </si>
  <si>
    <t xml:space="preserve"> 14383.8799 </t>
  </si>
  <si>
    <t xml:space="preserve"> 65.8842 </t>
  </si>
  <si>
    <t xml:space="preserve">F:\images\2021-CHG-ACH-Dutasteride 2\plaque 1/@05 EE2 114/F5_02.tif </t>
  </si>
  <si>
    <t xml:space="preserve"> 66.6162 </t>
  </si>
  <si>
    <t xml:space="preserve">F:\images\2021-CHG-ACH-Dutasteride 2\plaque 1/@05 EE2 114/F5_03.tif </t>
  </si>
  <si>
    <t xml:space="preserve"> 15227.4458 </t>
  </si>
  <si>
    <t xml:space="preserve"> 67.2827 </t>
  </si>
  <si>
    <t xml:space="preserve">F:\images\2021-CHG-ACH-Dutasteride 2\plaque 1/@05 EE2 114/G5_01.tif </t>
  </si>
  <si>
    <t xml:space="preserve"> 9625.3031 </t>
  </si>
  <si>
    <t xml:space="preserve"> 65.2022 </t>
  </si>
  <si>
    <t xml:space="preserve">F:\images\2021-CHG-ACH-Dutasteride 2\plaque 1/@05 EE2 114/G5_02.tif </t>
  </si>
  <si>
    <t xml:space="preserve"> 13518.6841 </t>
  </si>
  <si>
    <t xml:space="preserve"> 66.0992 </t>
  </si>
  <si>
    <t xml:space="preserve">F:\images\2021-CHG-ACH-Dutasteride 2\plaque 1/@05 EE2 114/G5_03.tif </t>
  </si>
  <si>
    <t xml:space="preserve"> 6337.5591 </t>
  </si>
  <si>
    <t xml:space="preserve"> 64.4505 </t>
  </si>
  <si>
    <t xml:space="preserve">F:\images\2021-CHG-ACH-Dutasteride 2\plaque 1/@05 EE2 114/H5_01.tif </t>
  </si>
  <si>
    <t xml:space="preserve"> 9041.296 </t>
  </si>
  <si>
    <t xml:space="preserve"> 64.5742 </t>
  </si>
  <si>
    <t xml:space="preserve">F:\images\2021-CHG-ACH-Dutasteride 2\plaque 1/@05 EE2 114/H5_02.tif </t>
  </si>
  <si>
    <t xml:space="preserve"> 64.5993 </t>
  </si>
  <si>
    <t xml:space="preserve">F:\images\2021-CHG-ACH-Dutasteride 2\plaque 1/@05 EE2 114/H5_03.tif </t>
  </si>
  <si>
    <t xml:space="preserve"> 9279.2248 </t>
  </si>
  <si>
    <t xml:space="preserve"> 65.028 </t>
  </si>
  <si>
    <t xml:space="preserve">F:\images\2021-CHG-ACH-Dutasteride 2\plaque 1/@05 EE2 114/ </t>
  </si>
  <si>
    <t xml:space="preserve"> 67.2016 </t>
  </si>
  <si>
    <t xml:space="preserve"> 5.497 </t>
  </si>
  <si>
    <t xml:space="preserve"> 1104607.08 </t>
  </si>
  <si>
    <t xml:space="preserve"> 1172100.88 </t>
  </si>
  <si>
    <t xml:space="preserve">F:\images\2021-CHG-ACH-Dutasteride 2\plaque 1/@06 EE2 170.9/A6_01.tif </t>
  </si>
  <si>
    <t xml:space="preserve"> 76.5075 </t>
  </si>
  <si>
    <t xml:space="preserve">F:\images\2021-CHG-ACH-Dutasteride 2\plaque 1/@06 EE2 170.9/A6_02.tif </t>
  </si>
  <si>
    <t xml:space="preserve"> 10403.9793 </t>
  </si>
  <si>
    <t xml:space="preserve"> 74.896 </t>
  </si>
  <si>
    <t xml:space="preserve">F:\images\2021-CHG-ACH-Dutasteride 2\plaque 1/@06 EE2 170.9/A6_03.tif </t>
  </si>
  <si>
    <t xml:space="preserve"> 9127.8155 </t>
  </si>
  <si>
    <t xml:space="preserve"> 73.827 </t>
  </si>
  <si>
    <t xml:space="preserve">F:\images\2021-CHG-ACH-Dutasteride 2\plaque 1/@06 EE2 170.9/B6_01.tif </t>
  </si>
  <si>
    <t xml:space="preserve"> 51760.3378 </t>
  </si>
  <si>
    <t xml:space="preserve"> 77.2691 </t>
  </si>
  <si>
    <t xml:space="preserve">F:\images\2021-CHG-ACH-Dutasteride 2\plaque 1/@06 EE2 170.9/B6_02.tif </t>
  </si>
  <si>
    <t xml:space="preserve"> 50657.2132 </t>
  </si>
  <si>
    <t xml:space="preserve"> 75.6319 </t>
  </si>
  <si>
    <t xml:space="preserve">F:\images\2021-CHG-ACH-Dutasteride 2\plaque 1/@06 EE2 170.9/B6_03.tif </t>
  </si>
  <si>
    <t xml:space="preserve"> 50830.2524 </t>
  </si>
  <si>
    <t xml:space="preserve"> 76.7511 </t>
  </si>
  <si>
    <t xml:space="preserve">F:\images\2021-CHG-ACH-Dutasteride 2\plaque 1/@06 EE2 170.9/C6_01.tif </t>
  </si>
  <si>
    <t xml:space="preserve"> 23533.3254 </t>
  </si>
  <si>
    <t xml:space="preserve"> 71.6535 </t>
  </si>
  <si>
    <t xml:space="preserve">F:\images\2021-CHG-ACH-Dutasteride 2\plaque 1/@06 EE2 170.9/C6_02.tif </t>
  </si>
  <si>
    <t xml:space="preserve"> 23857.7738 </t>
  </si>
  <si>
    <t xml:space="preserve"> 70.2194 </t>
  </si>
  <si>
    <t xml:space="preserve">F:\images\2021-CHG-ACH-Dutasteride 2\plaque 1/@06 EE2 170.9/C6_03.tif </t>
  </si>
  <si>
    <t xml:space="preserve"> 22084.1224 </t>
  </si>
  <si>
    <t xml:space="preserve"> 71.3222 </t>
  </si>
  <si>
    <t xml:space="preserve">F:\images\2021-CHG-ACH-Dutasteride 2\plaque 1/@06 EE2 170.9/D6_01.tif </t>
  </si>
  <si>
    <t xml:space="preserve"> 2314.3987 </t>
  </si>
  <si>
    <t xml:space="preserve"> 67.6729 </t>
  </si>
  <si>
    <t xml:space="preserve">F:\images\2021-CHG-ACH-Dutasteride 2\plaque 1/@06 EE2 170.9/D6_02.tif </t>
  </si>
  <si>
    <t xml:space="preserve"> 69.6776 </t>
  </si>
  <si>
    <t xml:space="preserve">F:\images\2021-CHG-ACH-Dutasteride 2\plaque 1/@06 EE2 170.9/D6_03.tif </t>
  </si>
  <si>
    <t xml:space="preserve"> 22581.61 </t>
  </si>
  <si>
    <t xml:space="preserve"> 73.0402 </t>
  </si>
  <si>
    <t xml:space="preserve">F:\images\2021-CHG-ACH-Dutasteride 2\plaque 1/@06 EE2 170.9/E6_01.tif </t>
  </si>
  <si>
    <t xml:space="preserve"> 51068.1812 </t>
  </si>
  <si>
    <t xml:space="preserve"> 71.1923 </t>
  </si>
  <si>
    <t xml:space="preserve">F:\images\2021-CHG-ACH-Dutasteride 2\plaque 1/@06 EE2 170.9/E6_02.tif </t>
  </si>
  <si>
    <t xml:space="preserve"> 45898.6364 </t>
  </si>
  <si>
    <t xml:space="preserve"> 71.1013 </t>
  </si>
  <si>
    <t xml:space="preserve">F:\images\2021-CHG-ACH-Dutasteride 2\plaque 1/@06 EE2 170.9/E6_03.tif </t>
  </si>
  <si>
    <t xml:space="preserve"> 42524.3728 </t>
  </si>
  <si>
    <t xml:space="preserve"> 70.4715 </t>
  </si>
  <si>
    <t xml:space="preserve">F:\images\2021-CHG-ACH-Dutasteride 2\plaque 1/@06 EE2 170.9/F6_01.tif </t>
  </si>
  <si>
    <t xml:space="preserve"> 28875.9093 </t>
  </si>
  <si>
    <t xml:space="preserve"> 83.4172 </t>
  </si>
  <si>
    <t xml:space="preserve">F:\images\2021-CHG-ACH-Dutasteride 2\plaque 1/@06 EE2 170.9/F6_02.tif </t>
  </si>
  <si>
    <t xml:space="preserve"> 32185.2832 </t>
  </si>
  <si>
    <t xml:space="preserve"> 81.3192 </t>
  </si>
  <si>
    <t xml:space="preserve">F:\images\2021-CHG-ACH-Dutasteride 2\plaque 1/@06 EE2 170.9/F6_03.tif </t>
  </si>
  <si>
    <t xml:space="preserve"> 28335.162 </t>
  </si>
  <si>
    <t xml:space="preserve"> 83.8427 </t>
  </si>
  <si>
    <t xml:space="preserve">F:\images\2021-CHG-ACH-Dutasteride 2\plaque 1/@06 EE2 170.9/G6_01.tif </t>
  </si>
  <si>
    <t xml:space="preserve"> 27102.258 </t>
  </si>
  <si>
    <t xml:space="preserve"> 74.1006 </t>
  </si>
  <si>
    <t xml:space="preserve">F:\images\2021-CHG-ACH-Dutasteride 2\plaque 1/@06 EE2 170.9/G6_02.tif </t>
  </si>
  <si>
    <t xml:space="preserve"> 24939.2685 </t>
  </si>
  <si>
    <t xml:space="preserve"> 73.6843 </t>
  </si>
  <si>
    <t xml:space="preserve">F:\images\2021-CHG-ACH-Dutasteride 2\plaque 1/@06 EE2 170.9/G6_03.tif </t>
  </si>
  <si>
    <t xml:space="preserve"> 25804.4643 </t>
  </si>
  <si>
    <t xml:space="preserve"> 73.2196 </t>
  </si>
  <si>
    <t xml:space="preserve">F:\images\2021-CHG-ACH-Dutasteride 2\plaque 1/@06 EE2 170.9/H6_01.tif </t>
  </si>
  <si>
    <t xml:space="preserve"> 37311.5682 </t>
  </si>
  <si>
    <t xml:space="preserve"> 67.8365 </t>
  </si>
  <si>
    <t xml:space="preserve">F:\images\2021-CHG-ACH-Dutasteride 2\plaque 1/@06 EE2 170.9/H6_02.tif </t>
  </si>
  <si>
    <t xml:space="preserve"> 37744.1661 </t>
  </si>
  <si>
    <t xml:space="preserve"> 68.1559 </t>
  </si>
  <si>
    <t xml:space="preserve">F:\images\2021-CHG-ACH-Dutasteride 2\plaque 1/@06 EE2 170.9/H6_03.tif </t>
  </si>
  <si>
    <t xml:space="preserve"> 33677.7459 </t>
  </si>
  <si>
    <t xml:space="preserve"> 68.1015 </t>
  </si>
  <si>
    <t xml:space="preserve">F:\images\2021-CHG-ACH-Dutasteride 2\plaque 1/@06 EE2 170.9/ </t>
  </si>
  <si>
    <t xml:space="preserve"> 73.538 </t>
  </si>
  <si>
    <t xml:space="preserve"> 4.5923 </t>
  </si>
  <si>
    <t xml:space="preserve"> 2172375.96 </t>
  </si>
  <si>
    <t xml:space="preserve"> 1075243.13 </t>
  </si>
  <si>
    <t xml:space="preserve">F:\images\2021-CHG-ACH-Dutasteride 2\plaque 1/@07 EE2 488/A7_01.tif </t>
  </si>
  <si>
    <t xml:space="preserve"> 48126.5155 </t>
  </si>
  <si>
    <t xml:space="preserve"> 88.9838 </t>
  </si>
  <si>
    <t xml:space="preserve">F:\images\2021-CHG-ACH-Dutasteride 2\plaque 1/@07 EE2 488/A7_02.tif </t>
  </si>
  <si>
    <t xml:space="preserve"> 51327.74 </t>
  </si>
  <si>
    <t xml:space="preserve"> 89.6882 </t>
  </si>
  <si>
    <t xml:space="preserve">F:\images\2021-CHG-ACH-Dutasteride 2\plaque 1/@07 EE2 488/A7_03.tif </t>
  </si>
  <si>
    <t xml:space="preserve"> 51176.3307 </t>
  </si>
  <si>
    <t xml:space="preserve"> 90.5123 </t>
  </si>
  <si>
    <t xml:space="preserve">F:\images\2021-CHG-ACH-Dutasteride 2\plaque 1/@07 EE2 488/B7_01.tif </t>
  </si>
  <si>
    <t xml:space="preserve"> 76.1279 </t>
  </si>
  <si>
    <t xml:space="preserve">F:\images\2021-CHG-ACH-Dutasteride 2\plaque 1/@07 EE2 488/B7_02.tif </t>
  </si>
  <si>
    <t xml:space="preserve"> 12913.0471 </t>
  </si>
  <si>
    <t xml:space="preserve"> 75.1457 </t>
  </si>
  <si>
    <t xml:space="preserve">F:\images\2021-CHG-ACH-Dutasteride 2\plaque 1/@07 EE2 488/B7_03.tif </t>
  </si>
  <si>
    <t xml:space="preserve"> 11312.4349 </t>
  </si>
  <si>
    <t xml:space="preserve"> 72.2275 </t>
  </si>
  <si>
    <t xml:space="preserve">F:\images\2021-CHG-ACH-Dutasteride 2\plaque 1/@07 EE2 488/C7_01.tif </t>
  </si>
  <si>
    <t xml:space="preserve"> 51392.6296 </t>
  </si>
  <si>
    <t xml:space="preserve"> 95.9217 </t>
  </si>
  <si>
    <t xml:space="preserve">F:\images\2021-CHG-ACH-Dutasteride 2\plaque 1/@07 EE2 488/C7_02.tif </t>
  </si>
  <si>
    <t xml:space="preserve"> 54875.0427 </t>
  </si>
  <si>
    <t xml:space="preserve"> 86.0378 </t>
  </si>
  <si>
    <t xml:space="preserve">F:\images\2021-CHG-ACH-Dutasteride 2\plaque 1/@07 EE2 488/C7_03.tif </t>
  </si>
  <si>
    <t xml:space="preserve"> 54117.9964 </t>
  </si>
  <si>
    <t xml:space="preserve"> 90.9281 </t>
  </si>
  <si>
    <t xml:space="preserve">F:\images\2021-CHG-ACH-Dutasteride 2\plaque 1/@07 EE2 488/D7_01.tif </t>
  </si>
  <si>
    <t xml:space="preserve"> 38760.7712 </t>
  </si>
  <si>
    <t xml:space="preserve"> 91.8756 </t>
  </si>
  <si>
    <t xml:space="preserve">F:\images\2021-CHG-ACH-Dutasteride 2\plaque 1/@07 EE2 488/D7_02.tif </t>
  </si>
  <si>
    <t xml:space="preserve"> 42610.8924 </t>
  </si>
  <si>
    <t xml:space="preserve"> 87.5015 </t>
  </si>
  <si>
    <t>F:\images\2021-CHG-ACH-Dutasteride 2\plaque 1/@07 EE2 488/D7_03- exclu.tif</t>
  </si>
  <si>
    <t xml:space="preserve">F:\images\2021-CHG-ACH-Dutasteride 2\plaque 1/@07 EE2 488/E7_01.tif </t>
  </si>
  <si>
    <t xml:space="preserve"> 33894.0449 </t>
  </si>
  <si>
    <t xml:space="preserve"> 82.1819 </t>
  </si>
  <si>
    <t xml:space="preserve">F:\images\2021-CHG-ACH-Dutasteride 2\plaque 1/@07 EE2 488/E7_02.tif </t>
  </si>
  <si>
    <t xml:space="preserve"> 34910.6499 </t>
  </si>
  <si>
    <t xml:space="preserve"> 83.6035 </t>
  </si>
  <si>
    <t xml:space="preserve">F:\images\2021-CHG-ACH-Dutasteride 2\plaque 1/@07 EE2 488/E7_03.tif </t>
  </si>
  <si>
    <t xml:space="preserve"> 35213.4685 </t>
  </si>
  <si>
    <t xml:space="preserve"> 82.5952 </t>
  </si>
  <si>
    <t xml:space="preserve">F:\images\2021-CHG-ACH-Dutasteride 2\plaque 1/@07 EE2 488/F7_01.tif </t>
  </si>
  <si>
    <t xml:space="preserve"> 31017.2689 </t>
  </si>
  <si>
    <t xml:space="preserve"> 86.9596 </t>
  </si>
  <si>
    <t xml:space="preserve">F:\images\2021-CHG-ACH-Dutasteride 2\plaque 1/@07 EE2 488/F7_02.tif </t>
  </si>
  <si>
    <t xml:space="preserve"> 28681.2403 </t>
  </si>
  <si>
    <t xml:space="preserve"> 83.7172 </t>
  </si>
  <si>
    <t xml:space="preserve">F:\images\2021-CHG-ACH-Dutasteride 2\plaque 1/@07 EE2 488/F7_03.tif </t>
  </si>
  <si>
    <t xml:space="preserve"> 28400.0516 </t>
  </si>
  <si>
    <t xml:space="preserve"> 92.0937 </t>
  </si>
  <si>
    <t xml:space="preserve">F:\images\2021-CHG-ACH-Dutasteride 2\plaque 1/@07 EE2 488/G7_01.tif </t>
  </si>
  <si>
    <t xml:space="preserve"> 13021.1966 </t>
  </si>
  <si>
    <t xml:space="preserve"> 72.9867 </t>
  </si>
  <si>
    <t xml:space="preserve">F:\images\2021-CHG-ACH-Dutasteride 2\plaque 1/@07 EE2 488/G7_02.tif </t>
  </si>
  <si>
    <t xml:space="preserve"> 12631.8585 </t>
  </si>
  <si>
    <t xml:space="preserve"> 72.6473 </t>
  </si>
  <si>
    <t xml:space="preserve">F:\images\2021-CHG-ACH-Dutasteride 2\plaque 1/@07 EE2 488/G7_03.tif </t>
  </si>
  <si>
    <t xml:space="preserve"> 16438.7199 </t>
  </si>
  <si>
    <t xml:space="preserve"> 75.5066 </t>
  </si>
  <si>
    <t xml:space="preserve">F:\images\2021-CHG-ACH-Dutasteride 2\plaque 1/@07 EE2 488/H7_01.tif </t>
  </si>
  <si>
    <t xml:space="preserve"> 33288.4078 </t>
  </si>
  <si>
    <t xml:space="preserve"> 85.3392 </t>
  </si>
  <si>
    <t xml:space="preserve">F:\images\2021-CHG-ACH-Dutasteride 2\plaque 1/@07 EE2 488/H7_02.tif </t>
  </si>
  <si>
    <t xml:space="preserve"> 34780.8706 </t>
  </si>
  <si>
    <t xml:space="preserve"> 87.5796 </t>
  </si>
  <si>
    <t xml:space="preserve">F:\images\2021-CHG-ACH-Dutasteride 2\plaque 1/@07 EE2 488/H7_03.tif </t>
  </si>
  <si>
    <t xml:space="preserve"> 33353.2975 </t>
  </si>
  <si>
    <t xml:space="preserve"> 86.7996 </t>
  </si>
  <si>
    <t xml:space="preserve">F:\images\2021-CHG-ACH-Dutasteride 2\plaque 1/@07 EE2 488/ </t>
  </si>
  <si>
    <t xml:space="preserve"> 84.4878 </t>
  </si>
  <si>
    <t xml:space="preserve"> 6.9516 </t>
  </si>
  <si>
    <t xml:space="preserve"> 2917352.62 </t>
  </si>
  <si>
    <t xml:space="preserve"> 1375658.54 </t>
  </si>
  <si>
    <t xml:space="preserve">F:\images\2021-CHG-ACH-Dutasteride 2\plaque 1/@08 Dutastéride 0.01mg_L/A8_01.tif </t>
  </si>
  <si>
    <t xml:space="preserve"> 6402.4488 </t>
  </si>
  <si>
    <t xml:space="preserve"> 70.8007 </t>
  </si>
  <si>
    <t xml:space="preserve">F:\images\2021-CHG-ACH-Dutasteride 2\plaque 1/@08 Dutastéride 0.01mg_L/A8_02.tif </t>
  </si>
  <si>
    <t xml:space="preserve"> 3266.1141 </t>
  </si>
  <si>
    <t xml:space="preserve"> 66.3775 </t>
  </si>
  <si>
    <t xml:space="preserve">F:\images\2021-CHG-ACH-Dutasteride 2\plaque 1/@08 Dutastéride 0.01mg_L/A8_03.tif </t>
  </si>
  <si>
    <t xml:space="preserve"> 66.1143 </t>
  </si>
  <si>
    <t xml:space="preserve">F:\images\2021-CHG-ACH-Dutasteride 2\plaque 1/@08 Dutastéride 0.01mg_L/B8_01.tif </t>
  </si>
  <si>
    <t xml:space="preserve"> 68.3483 </t>
  </si>
  <si>
    <t xml:space="preserve">F:\images\2021-CHG-ACH-Dutasteride 2\plaque 1/@08 Dutastéride 0.01mg_L/B8_02.tif </t>
  </si>
  <si>
    <t xml:space="preserve"> 62.8636 </t>
  </si>
  <si>
    <t xml:space="preserve">F:\images\2021-CHG-ACH-Dutasteride 2\plaque 1/@08 Dutastéride 0.01mg_L/B8_03.tif </t>
  </si>
  <si>
    <t xml:space="preserve"> 64.8205 </t>
  </si>
  <si>
    <t xml:space="preserve">F:\images\2021-CHG-ACH-Dutasteride 2\plaque 1/@08 Dutastéride 0.01mg_L/C8_01.tif </t>
  </si>
  <si>
    <t xml:space="preserve">F:\images\2021-CHG-ACH-Dutasteride 2\plaque 1/@08 Dutastéride 0.01mg_L/C8_02.tif </t>
  </si>
  <si>
    <t xml:space="preserve">F:\images\2021-CHG-ACH-Dutasteride 2\plaque 1/@08 Dutastéride 0.01mg_L/C8_03.tif </t>
  </si>
  <si>
    <t xml:space="preserve"> 64.1 </t>
  </si>
  <si>
    <t xml:space="preserve">F:\images\2021-CHG-ACH-Dutasteride 2\plaque 1/@08 Dutastéride 0.01mg_L/D8_01.tif </t>
  </si>
  <si>
    <t xml:space="preserve"> 64.5 </t>
  </si>
  <si>
    <t xml:space="preserve">F:\images\2021-CHG-ACH-Dutasteride 2\plaque 1/@08 Dutastéride 0.01mg_L/D8_02.tif </t>
  </si>
  <si>
    <t xml:space="preserve"> 63.3137 </t>
  </si>
  <si>
    <t xml:space="preserve">F:\images\2021-CHG-ACH-Dutasteride 2\plaque 1/@08 Dutastéride 0.01mg_L/D8_03.tif </t>
  </si>
  <si>
    <t xml:space="preserve"> 64.1884 </t>
  </si>
  <si>
    <t xml:space="preserve">F:\images\2021-CHG-ACH-Dutasteride 2\plaque 1/@08 Dutastéride 0.01mg_L/E8_01.tif </t>
  </si>
  <si>
    <t xml:space="preserve"> 3028.1852 </t>
  </si>
  <si>
    <t xml:space="preserve"> 64.8643 </t>
  </si>
  <si>
    <t xml:space="preserve">F:\images\2021-CHG-ACH-Dutasteride 2\plaque 1/@08 Dutastéride 0.01mg_L/E8_02.tif </t>
  </si>
  <si>
    <t xml:space="preserve"> 64.0926 </t>
  </si>
  <si>
    <t xml:space="preserve">F:\images\2021-CHG-ACH-Dutasteride 2\plaque 1/@08 Dutastéride 0.01mg_L/E8_03.tif </t>
  </si>
  <si>
    <t xml:space="preserve">F:\images\2021-CHG-ACH-Dutasteride 2\plaque 1/@08 Dutastéride 0.01mg_L/F8_01.tif </t>
  </si>
  <si>
    <t xml:space="preserve"> 65.234 </t>
  </si>
  <si>
    <t xml:space="preserve">F:\images\2021-CHG-ACH-Dutasteride 2\plaque 1/@08 Dutastéride 0.01mg_L/F8_02.tif </t>
  </si>
  <si>
    <t xml:space="preserve"> 65.0909 </t>
  </si>
  <si>
    <t xml:space="preserve">F:\images\2021-CHG-ACH-Dutasteride 2\plaque 1/@08 Dutastéride 0.01mg_L/F8_03.tif </t>
  </si>
  <si>
    <t xml:space="preserve">F:\images\2021-CHG-ACH-Dutasteride 2\plaque 1/@08 Dutastéride 0.01mg_L/G8_01.tif </t>
  </si>
  <si>
    <t xml:space="preserve"> 66.75 </t>
  </si>
  <si>
    <t xml:space="preserve">F:\images\2021-CHG-ACH-Dutasteride 2\plaque 1/@08 Dutastéride 0.01mg_L/G8_02.tif </t>
  </si>
  <si>
    <t xml:space="preserve"> 66.0303 </t>
  </si>
  <si>
    <t xml:space="preserve">F:\images\2021-CHG-ACH-Dutasteride 2\plaque 1/@08 Dutastéride 0.01mg_L/G8_03.tif </t>
  </si>
  <si>
    <t xml:space="preserve"> 63.1333 </t>
  </si>
  <si>
    <t xml:space="preserve">F:\images\2021-CHG-ACH-Dutasteride 2\plaque 1/@08 Dutastéride 0.01mg_L/H8_01.tif </t>
  </si>
  <si>
    <t xml:space="preserve"> 69.9781 </t>
  </si>
  <si>
    <t xml:space="preserve">F:\images\2021-CHG-ACH-Dutasteride 2\plaque 1/@08 Dutastéride 0.01mg_L/H8_02.tif </t>
  </si>
  <si>
    <t xml:space="preserve"> 66.9754 </t>
  </si>
  <si>
    <t xml:space="preserve">F:\images\2021-CHG-ACH-Dutasteride 2\plaque 1/@08 Dutastéride 0.01mg_L/H8_03.tif </t>
  </si>
  <si>
    <t xml:space="preserve">F:\images\2021-CHG-ACH-Dutasteride 2\plaque 1/@08 Dutastéride 0.01mg_L/ </t>
  </si>
  <si>
    <t xml:space="preserve"> 65.21 </t>
  </si>
  <si>
    <t xml:space="preserve"> 2.1648 </t>
  </si>
  <si>
    <t xml:space="preserve"> 116584.177 </t>
  </si>
  <si>
    <t xml:space="preserve">F:\images\2021-CHG-ACH-Dutasteride 2\plaque 1/@09 Dutastéride 0.1mg_L/A9_01.tif </t>
  </si>
  <si>
    <t xml:space="preserve"> 65.0732 </t>
  </si>
  <si>
    <t xml:space="preserve">F:\images\2021-CHG-ACH-Dutasteride 2\plaque 1/@09 Dutastéride 0.1mg_L/A9_02.tif </t>
  </si>
  <si>
    <t xml:space="preserve"> 63.3778 </t>
  </si>
  <si>
    <t xml:space="preserve">F:\images\2021-CHG-ACH-Dutasteride 2\plaque 1/@09 Dutastéride 0.1mg_L/A9_03.tif </t>
  </si>
  <si>
    <t xml:space="preserve">F:\images\2021-CHG-ACH-Dutasteride 2\plaque 1/@09 Dutastéride 0.1mg_L/B9_01.tif </t>
  </si>
  <si>
    <t xml:space="preserve"> 64.4828 </t>
  </si>
  <si>
    <t xml:space="preserve">F:\images\2021-CHG-ACH-Dutasteride 2\plaque 1/@09 Dutastéride 0.1mg_L/B9_02.tif </t>
  </si>
  <si>
    <t xml:space="preserve"> 65.6538 </t>
  </si>
  <si>
    <t xml:space="preserve">F:\images\2021-CHG-ACH-Dutasteride 2\plaque 1/@09 Dutastéride 0.1mg_L/B9_03.tif </t>
  </si>
  <si>
    <t xml:space="preserve"> 63.9048 </t>
  </si>
  <si>
    <t xml:space="preserve">F:\images\2021-CHG-ACH-Dutasteride 2\plaque 1/@09 Dutastéride 0.1mg_L/C9_01.tif </t>
  </si>
  <si>
    <t xml:space="preserve"> 7072.9755 </t>
  </si>
  <si>
    <t xml:space="preserve"> 70.9174 </t>
  </si>
  <si>
    <t xml:space="preserve">F:\images\2021-CHG-ACH-Dutasteride 2\plaque 1/@09 Dutastéride 0.1mg_L/C9_02.tif </t>
  </si>
  <si>
    <t xml:space="preserve"> 70.7209 </t>
  </si>
  <si>
    <t xml:space="preserve">F:\images\2021-CHG-ACH-Dutasteride 2\plaque 1/@09 Dutastéride 0.1mg_L/C9_03.tif </t>
  </si>
  <si>
    <t xml:space="preserve"> 63.7619 </t>
  </si>
  <si>
    <t xml:space="preserve">F:\images\2021-CHG-ACH-Dutasteride 2\plaque 1/@09 Dutastéride 0.1mg_L/D9_01.tif </t>
  </si>
  <si>
    <t xml:space="preserve"> 62.5789 </t>
  </si>
  <si>
    <t xml:space="preserve">F:\images\2021-CHG-ACH-Dutasteride 2\plaque 1/@09 Dutastéride 0.1mg_L/D9_02.tif </t>
  </si>
  <si>
    <t xml:space="preserve"> 62.6 </t>
  </si>
  <si>
    <t xml:space="preserve">F:\images\2021-CHG-ACH-Dutasteride 2\plaque 1/@09 Dutastéride 0.1mg_L/D9_03.tif </t>
  </si>
  <si>
    <t xml:space="preserve">F:\images\2021-CHG-ACH-Dutasteride 2\plaque 1/@09 Dutastéride 0.1mg_L/E9_01.tif </t>
  </si>
  <si>
    <t xml:space="preserve">F:\images\2021-CHG-ACH-Dutasteride 2\plaque 1/@09 Dutastéride 0.1mg_L/E9_02.tif </t>
  </si>
  <si>
    <t xml:space="preserve"> 64.4545 </t>
  </si>
  <si>
    <t xml:space="preserve">F:\images\2021-CHG-ACH-Dutasteride 2\plaque 1/@09 Dutastéride 0.1mg_L/E9_03.tif </t>
  </si>
  <si>
    <t xml:space="preserve"> 61.7778 </t>
  </si>
  <si>
    <t xml:space="preserve">F:\images\2021-CHG-ACH-Dutasteride 2\plaque 1/@09 Dutastéride 0.1mg_L/F9_01.tif </t>
  </si>
  <si>
    <t xml:space="preserve"> 3720.3419 </t>
  </si>
  <si>
    <t xml:space="preserve"> 68.5872 </t>
  </si>
  <si>
    <t xml:space="preserve">F:\images\2021-CHG-ACH-Dutasteride 2\plaque 1/@09 Dutastéride 0.1mg_L/F9_02.tif </t>
  </si>
  <si>
    <t xml:space="preserve">F:\images\2021-CHG-ACH-Dutasteride 2\plaque 1/@09 Dutastéride 0.1mg_L/F9_03.tif </t>
  </si>
  <si>
    <t xml:space="preserve"> 63.303 </t>
  </si>
  <si>
    <t xml:space="preserve">F:\images\2021-CHG-ACH-Dutasteride 2\plaque 1/@09 Dutastéride 0.1mg_L/G9_01.tif </t>
  </si>
  <si>
    <t xml:space="preserve"> 10166.0505 </t>
  </si>
  <si>
    <t xml:space="preserve"> 83.4702 </t>
  </si>
  <si>
    <t xml:space="preserve">F:\images\2021-CHG-ACH-Dutasteride 2\plaque 1/@09 Dutastéride 0.1mg_L/G9_02.tif </t>
  </si>
  <si>
    <t xml:space="preserve"> 6683.6374 </t>
  </si>
  <si>
    <t xml:space="preserve"> 67.9968 </t>
  </si>
  <si>
    <t xml:space="preserve">F:\images\2021-CHG-ACH-Dutasteride 2\plaque 1/@09 Dutastéride 0.1mg_L/G9_03.tif </t>
  </si>
  <si>
    <t xml:space="preserve"> 65.6564 </t>
  </si>
  <si>
    <t xml:space="preserve">F:\images\2021-CHG-ACH-Dutasteride 2\plaque 1/@09 Dutastéride 0.1mg_L/H9_01.tif </t>
  </si>
  <si>
    <t xml:space="preserve"> 67.7644 </t>
  </si>
  <si>
    <t xml:space="preserve">F:\images\2021-CHG-ACH-Dutasteride 2\plaque 1/@09 Dutastéride 0.1mg_L/H9_02.tif </t>
  </si>
  <si>
    <t xml:space="preserve"> 3331.0038 </t>
  </si>
  <si>
    <t xml:space="preserve"> 66.9935 </t>
  </si>
  <si>
    <t xml:space="preserve">F:\images\2021-CHG-ACH-Dutasteride 2\plaque 1/@09 Dutastéride 0.1mg_L/H9_03.tif </t>
  </si>
  <si>
    <t xml:space="preserve"> 63.12 </t>
  </si>
  <si>
    <t xml:space="preserve">F:\images\2021-CHG-ACH-Dutasteride 2\plaque 1/@09 Dutastéride 0.1mg_L/ </t>
  </si>
  <si>
    <t xml:space="preserve"> 65.8874 </t>
  </si>
  <si>
    <t xml:space="preserve"> 4.5225 </t>
  </si>
  <si>
    <t xml:space="preserve"> 162068.333 </t>
  </si>
  <si>
    <t xml:space="preserve"> 206029.944 </t>
  </si>
  <si>
    <t xml:space="preserve">F:\images\2021-CHG-ACH-Dutasteride 2\plaque 1/@10 Dutastéride 0.25mg_L/A10_01.tif </t>
  </si>
  <si>
    <t xml:space="preserve">F:\images\2021-CHG-ACH-Dutasteride 2\plaque 1/@10 Dutastéride 0.25mg_L/A10_02.tif </t>
  </si>
  <si>
    <t xml:space="preserve"> 64.8 </t>
  </si>
  <si>
    <t xml:space="preserve">F:\images\2021-CHG-ACH-Dutasteride 2\plaque 1/@10 Dutastéride 0.25mg_L/A10_03.tif </t>
  </si>
  <si>
    <t xml:space="preserve"> 62.5455 </t>
  </si>
  <si>
    <t xml:space="preserve">F:\images\2021-CHG-ACH-Dutasteride 2\plaque 1/@10 Dutastéride 0.25mg_L/B10_01.tif </t>
  </si>
  <si>
    <t xml:space="preserve"> 2119.7297 </t>
  </si>
  <si>
    <t xml:space="preserve"> 64.6122 </t>
  </si>
  <si>
    <t>F:\images\2021-CHG-ACH-Dutasteride 2\plaque 1/@10 Dutastéride 0.25mg_L/B10_02- exclu.tif</t>
  </si>
  <si>
    <t xml:space="preserve">F:\images\2021-CHG-ACH-Dutasteride 2\plaque 1/@10 Dutastéride 0.25mg_L/B10_03.tif </t>
  </si>
  <si>
    <t xml:space="preserve"> 3287.744 </t>
  </si>
  <si>
    <t xml:space="preserve"> 68.2237 </t>
  </si>
  <si>
    <t xml:space="preserve">F:\images\2021-CHG-ACH-Dutasteride 2\plaque 1/@10 Dutastéride 0.25mg_L/C10_01.tif </t>
  </si>
  <si>
    <t xml:space="preserve"> 64.037 </t>
  </si>
  <si>
    <t xml:space="preserve">F:\images\2021-CHG-ACH-Dutasteride 2\plaque 1/@10 Dutastéride 0.25mg_L/C10_02.tif </t>
  </si>
  <si>
    <t xml:space="preserve">F:\images\2021-CHG-ACH-Dutasteride 2\plaque 1/@10 Dutastéride 0.25mg_L/C10_03.tif </t>
  </si>
  <si>
    <t xml:space="preserve"> 63.7778 </t>
  </si>
  <si>
    <t xml:space="preserve">F:\images\2021-CHG-ACH-Dutasteride 2\plaque 1/@10 Dutastéride 0.25mg_L/D10_01.tif </t>
  </si>
  <si>
    <t xml:space="preserve"> 66.4211 </t>
  </si>
  <si>
    <t xml:space="preserve">F:\images\2021-CHG-ACH-Dutasteride 2\plaque 1/@10 Dutastéride 0.25mg_L/D10_02.tif </t>
  </si>
  <si>
    <t xml:space="preserve"> 63.0476 </t>
  </si>
  <si>
    <t xml:space="preserve">F:\images\2021-CHG-ACH-Dutasteride 2\plaque 1/@10 Dutastéride 0.25mg_L/D10_03.tif </t>
  </si>
  <si>
    <t xml:space="preserve"> 2725.3667 </t>
  </si>
  <si>
    <t xml:space="preserve"> 64.4762 </t>
  </si>
  <si>
    <t xml:space="preserve">F:\images\2021-CHG-ACH-Dutasteride 2\plaque 1/@10 Dutastéride 0.25mg_L/E10_01.tif </t>
  </si>
  <si>
    <t xml:space="preserve"> 4909.9861 </t>
  </si>
  <si>
    <t xml:space="preserve"> 67.9471 </t>
  </si>
  <si>
    <t xml:space="preserve">F:\images\2021-CHG-ACH-Dutasteride 2\plaque 1/@10 Dutastéride 0.25mg_L/E10_02.tif </t>
  </si>
  <si>
    <t xml:space="preserve"> 2703.7368 </t>
  </si>
  <si>
    <t xml:space="preserve"> 65.4 </t>
  </si>
  <si>
    <t xml:space="preserve">F:\images\2021-CHG-ACH-Dutasteride 2\plaque 1/@10 Dutastéride 0.25mg_L/E10_03.tif </t>
  </si>
  <si>
    <t xml:space="preserve">F:\images\2021-CHG-ACH-Dutasteride 2\plaque 1/@10 Dutastéride 0.25mg_L/F10_01.tif </t>
  </si>
  <si>
    <t xml:space="preserve"> 71.8405 </t>
  </si>
  <si>
    <t xml:space="preserve">F:\images\2021-CHG-ACH-Dutasteride 2\plaque 1/@10 Dutastéride 0.25mg_L/F10_02.tif </t>
  </si>
  <si>
    <t xml:space="preserve"> 68.6204 </t>
  </si>
  <si>
    <t xml:space="preserve">F:\images\2021-CHG-ACH-Dutasteride 2\plaque 1/@10 Dutastéride 0.25mg_L/F10_03.tif </t>
  </si>
  <si>
    <t xml:space="preserve"> 11161.0256 </t>
  </si>
  <si>
    <t xml:space="preserve"> 79.1957 </t>
  </si>
  <si>
    <t xml:space="preserve">F:\images\2021-CHG-ACH-Dutasteride 2\plaque 1/@10 Dutastéride 0.25mg_L/G10_01.tif </t>
  </si>
  <si>
    <t xml:space="preserve"> 64.4231 </t>
  </si>
  <si>
    <t xml:space="preserve">F:\images\2021-CHG-ACH-Dutasteride 2\plaque 1/@10 Dutastéride 0.25mg_L/G10_02.tif </t>
  </si>
  <si>
    <t xml:space="preserve"> 63.2857 </t>
  </si>
  <si>
    <t xml:space="preserve">F:\images\2021-CHG-ACH-Dutasteride 2\plaque 1/@10 Dutastéride 0.25mg_L/G10_03.tif </t>
  </si>
  <si>
    <t xml:space="preserve"> 62.1538 </t>
  </si>
  <si>
    <t xml:space="preserve">F:\images\2021-CHG-ACH-Dutasteride 2\plaque 1/@10 Dutastéride 0.25mg_L/H10_01.tif </t>
  </si>
  <si>
    <t xml:space="preserve"> 65.2542 </t>
  </si>
  <si>
    <t xml:space="preserve">F:\images\2021-CHG-ACH-Dutasteride 2\plaque 1/@10 Dutastéride 0.25mg_L/H10_02.tif </t>
  </si>
  <si>
    <t xml:space="preserve"> 1622.2421 </t>
  </si>
  <si>
    <t xml:space="preserve"> 63.2667 </t>
  </si>
  <si>
    <t xml:space="preserve">F:\images\2021-CHG-ACH-Dutasteride 2\plaque 1/@10 Dutastéride 0.25mg_L/H10_03.tif </t>
  </si>
  <si>
    <t xml:space="preserve"> 63.7115 </t>
  </si>
  <si>
    <t xml:space="preserve">F:\images\2021-CHG-ACH-Dutasteride 2\plaque 1/@10 Dutastéride 0.25mg_L/ </t>
  </si>
  <si>
    <t xml:space="preserve"> 65.5263 </t>
  </si>
  <si>
    <t xml:space="preserve"> 3.68 </t>
  </si>
  <si>
    <t xml:space="preserve"> 152584.417 </t>
  </si>
  <si>
    <t xml:space="preserve"> 207918.865 </t>
  </si>
  <si>
    <t xml:space="preserve">F:\images\2021-CHG-ACH-Dutasteride 2\plaque 1/@11 Dutastéride 0.5mg_L/A11_01.tif </t>
  </si>
  <si>
    <t xml:space="preserve"> 64.76 </t>
  </si>
  <si>
    <t xml:space="preserve">F:\images\2021-CHG-ACH-Dutasteride 2\plaque 1/@11 Dutastéride 0.5mg_L/A11_02.tif </t>
  </si>
  <si>
    <t xml:space="preserve">F:\images\2021-CHG-ACH-Dutasteride 2\plaque 1/@11 Dutastéride 0.5mg_L/A11_03.tif </t>
  </si>
  <si>
    <t xml:space="preserve"> 65.6818 </t>
  </si>
  <si>
    <t xml:space="preserve">F:\images\2021-CHG-ACH-Dutasteride 2\plaque 1/@11 Dutastéride 0.5mg_L/B11_01.tif </t>
  </si>
  <si>
    <t xml:space="preserve"> 63.1471 </t>
  </si>
  <si>
    <t xml:space="preserve">F:\images\2021-CHG-ACH-Dutasteride 2\plaque 1/@11 Dutastéride 0.5mg_L/B11_02.tif </t>
  </si>
  <si>
    <t xml:space="preserve">F:\images\2021-CHG-ACH-Dutasteride 2\plaque 1/@11 Dutastéride 0.5mg_L/B11_03.tif </t>
  </si>
  <si>
    <t xml:space="preserve"> 62.8667 </t>
  </si>
  <si>
    <t xml:space="preserve">F:\images\2021-CHG-ACH-Dutasteride 2\plaque 1/@11 Dutastéride 0.5mg_L/C11_01.tif </t>
  </si>
  <si>
    <t xml:space="preserve"> 63.2308 </t>
  </si>
  <si>
    <t xml:space="preserve">F:\images\2021-CHG-ACH-Dutasteride 2\plaque 1/@11 Dutastéride 0.5mg_L/C11_02.tif </t>
  </si>
  <si>
    <t xml:space="preserve"> 1535.7225 </t>
  </si>
  <si>
    <t xml:space="preserve"> 63.6197 </t>
  </si>
  <si>
    <t xml:space="preserve">F:\images\2021-CHG-ACH-Dutasteride 2\plaque 1/@11 Dutastéride 0.5mg_L/C11_03.tif </t>
  </si>
  <si>
    <t xml:space="preserve"> 64.1579 </t>
  </si>
  <si>
    <t xml:space="preserve">F:\images\2021-CHG-ACH-Dutasteride 2\plaque 1/@11 Dutastéride 0.5mg_L/D11_01.tif </t>
  </si>
  <si>
    <t xml:space="preserve"> 63.1935 </t>
  </si>
  <si>
    <t xml:space="preserve">F:\images\2021-CHG-ACH-Dutasteride 2\plaque 1/@11 Dutastéride 0.5mg_L/D11_02.tif </t>
  </si>
  <si>
    <t xml:space="preserve"> 63.4074 </t>
  </si>
  <si>
    <t xml:space="preserve">F:\images\2021-CHG-ACH-Dutasteride 2\plaque 1/@11 Dutastéride 0.5mg_L/D11_03.tif </t>
  </si>
  <si>
    <t xml:space="preserve"> 62.6875 </t>
  </si>
  <si>
    <t xml:space="preserve">F:\images\2021-CHG-ACH-Dutasteride 2\plaque 1/@11 Dutastéride 0.5mg_L/E11_01.tif </t>
  </si>
  <si>
    <t xml:space="preserve">F:\images\2021-CHG-ACH-Dutasteride 2\plaque 1/@11 Dutastéride 0.5mg_L/E11_02.tif </t>
  </si>
  <si>
    <t xml:space="preserve">F:\images\2021-CHG-ACH-Dutasteride 2\plaque 1/@11 Dutastéride 0.5mg_L/E11_03.tif </t>
  </si>
  <si>
    <t xml:space="preserve"> 64.6667 </t>
  </si>
  <si>
    <t xml:space="preserve">F:\images\2021-CHG-ACH-Dutasteride 2\plaque 1/@11 Dutastéride 0.5mg_L/F11_01.tif </t>
  </si>
  <si>
    <t xml:space="preserve"> 67.8824 </t>
  </si>
  <si>
    <t xml:space="preserve">F:\images\2021-CHG-ACH-Dutasteride 2\plaque 1/@11 Dutastéride 0.5mg_L/F11_02.tif </t>
  </si>
  <si>
    <t xml:space="preserve"> 65.1918 </t>
  </si>
  <si>
    <t xml:space="preserve">F:\images\2021-CHG-ACH-Dutasteride 2\plaque 1/@11 Dutastéride 0.5mg_L/F11_03.tif </t>
  </si>
  <si>
    <t xml:space="preserve"> 65.7867 </t>
  </si>
  <si>
    <t>F:\images\2021-CHG-ACH-Dutasteride 2\plaque 1/@11 Dutastéride 0.5mg_L/G11_01- exclu.tif</t>
  </si>
  <si>
    <t xml:space="preserve">F:\images\2021-CHG-ACH-Dutasteride 2\plaque 1/@11 Dutastéride 0.5mg_L/G11_02.tif </t>
  </si>
  <si>
    <t xml:space="preserve">F:\images\2021-CHG-ACH-Dutasteride 2\plaque 1/@11 Dutastéride 0.5mg_L/G11_03.tif </t>
  </si>
  <si>
    <t xml:space="preserve"> 62.5333 </t>
  </si>
  <si>
    <t xml:space="preserve">F:\images\2021-CHG-ACH-Dutasteride 2\plaque 1/@11 Dutastéride 0.5mg_L/H11_01.tif </t>
  </si>
  <si>
    <t xml:space="preserve"> 72.6213 </t>
  </si>
  <si>
    <t xml:space="preserve">F:\images\2021-CHG-ACH-Dutasteride 2\plaque 1/@11 Dutastéride 0.5mg_L/H11_02.tif </t>
  </si>
  <si>
    <t xml:space="preserve"> 6251.0395 </t>
  </si>
  <si>
    <t xml:space="preserve"> 72.5571 </t>
  </si>
  <si>
    <t xml:space="preserve">F:\images\2021-CHG-ACH-Dutasteride 2\plaque 1/@11 Dutastéride 0.5mg_L/H11_03.tif </t>
  </si>
  <si>
    <t xml:space="preserve"> 8067.9507 </t>
  </si>
  <si>
    <t xml:space="preserve"> 72.0724 </t>
  </si>
  <si>
    <t xml:space="preserve">F:\images\2021-CHG-ACH-Dutasteride 2\plaque 1/@11 Dutastéride 0.5mg_L/ </t>
  </si>
  <si>
    <t xml:space="preserve"> 65.1025 </t>
  </si>
  <si>
    <t xml:space="preserve"> 3.1054 </t>
  </si>
  <si>
    <t xml:space="preserve"> 100817.833 </t>
  </si>
  <si>
    <t xml:space="preserve"> 159690.72 </t>
  </si>
  <si>
    <t xml:space="preserve">F:\images\2021-CHG-ACH-Dutasteride 2\plaque 1/@12 Dutastéride 1mg_L/A12_01.tif </t>
  </si>
  <si>
    <t xml:space="preserve"> 68.7488 </t>
  </si>
  <si>
    <t xml:space="preserve">F:\images\2021-CHG-ACH-Dutasteride 2\plaque 1/@12 Dutastéride 1mg_L/A12_02.tif </t>
  </si>
  <si>
    <t xml:space="preserve"> 3093.0749 </t>
  </si>
  <si>
    <t xml:space="preserve"> 67.5664 </t>
  </si>
  <si>
    <t xml:space="preserve">F:\images\2021-CHG-ACH-Dutasteride 2\plaque 1/@12 Dutastéride 1mg_L/A12_03.tif </t>
  </si>
  <si>
    <t xml:space="preserve"> 5537.253 </t>
  </si>
  <si>
    <t xml:space="preserve"> 69.9141 </t>
  </si>
  <si>
    <t xml:space="preserve">F:\images\2021-CHG-ACH-Dutasteride 2\plaque 1/@12 Dutastéride 1mg_L/B12_01.tif </t>
  </si>
  <si>
    <t xml:space="preserve">F:\images\2021-CHG-ACH-Dutasteride 2\plaque 1/@12 Dutastéride 1mg_L/B12_02.tif </t>
  </si>
  <si>
    <t xml:space="preserve"> 63.9667 </t>
  </si>
  <si>
    <t xml:space="preserve">F:\images\2021-CHG-ACH-Dutasteride 2\plaque 1/@12 Dutastéride 1mg_L/B12_03.tif </t>
  </si>
  <si>
    <t xml:space="preserve">F:\images\2021-CHG-ACH-Dutasteride 2\plaque 1/@12 Dutastéride 1mg_L/C12_01.tif </t>
  </si>
  <si>
    <t xml:space="preserve">F:\images\2021-CHG-ACH-Dutasteride 2\plaque 1/@12 Dutastéride 1mg_L/C12_02.tif </t>
  </si>
  <si>
    <t xml:space="preserve"> 63.5556 </t>
  </si>
  <si>
    <t xml:space="preserve">F:\images\2021-CHG-ACH-Dutasteride 2\plaque 1/@12 Dutastéride 1mg_L/C12_03.tif </t>
  </si>
  <si>
    <t xml:space="preserve">F:\images\2021-CHG-ACH-Dutasteride 2\plaque 1/@12 Dutastéride 1mg_L/D12_01.tif </t>
  </si>
  <si>
    <t xml:space="preserve"> 3590.5625 </t>
  </si>
  <si>
    <t xml:space="preserve"> 65.1024 </t>
  </si>
  <si>
    <t xml:space="preserve">F:\images\2021-CHG-ACH-Dutasteride 2\plaque 1/@12 Dutastéride 1mg_L/D12_02.tif </t>
  </si>
  <si>
    <t xml:space="preserve"> 3006.5554 </t>
  </si>
  <si>
    <t xml:space="preserve"> 63.9137 </t>
  </si>
  <si>
    <t xml:space="preserve">F:\images\2021-CHG-ACH-Dutasteride 2\plaque 1/@12 Dutastéride 1mg_L/D12_03.tif </t>
  </si>
  <si>
    <t xml:space="preserve"> 63.1389 </t>
  </si>
  <si>
    <t xml:space="preserve">F:\images\2021-CHG-ACH-Dutasteride 2\plaque 1/@12 Dutastéride 1mg_L/E12_01.tif </t>
  </si>
  <si>
    <t xml:space="preserve">F:\images\2021-CHG-ACH-Dutasteride 2\plaque 1/@12 Dutastéride 1mg_L/E12_02.tif </t>
  </si>
  <si>
    <t xml:space="preserve"> 64.1333 </t>
  </si>
  <si>
    <t xml:space="preserve">F:\images\2021-CHG-ACH-Dutasteride 2\plaque 1/@12 Dutastéride 1mg_L/E12_03.tif </t>
  </si>
  <si>
    <t xml:space="preserve"> 64.1758 </t>
  </si>
  <si>
    <t xml:space="preserve">F:\images\2021-CHG-ACH-Dutasteride 2\plaque 1/@12 Dutastéride 1mg_L/F12_01.tif </t>
  </si>
  <si>
    <t xml:space="preserve"> 64.3846 </t>
  </si>
  <si>
    <t xml:space="preserve">F:\images\2021-CHG-ACH-Dutasteride 2\plaque 1/@12 Dutastéride 1mg_L/F12_02.tif </t>
  </si>
  <si>
    <t xml:space="preserve"> 62.8571 </t>
  </si>
  <si>
    <t xml:space="preserve">F:\images\2021-CHG-ACH-Dutasteride 2\plaque 1/@12 Dutastéride 1mg_L/F12_03.tif </t>
  </si>
  <si>
    <t xml:space="preserve"> 64.4783 </t>
  </si>
  <si>
    <t xml:space="preserve">F:\images\2021-CHG-ACH-Dutasteride 2\plaque 1/@12 Dutastéride 1mg_L/G12_01.tif </t>
  </si>
  <si>
    <t xml:space="preserve"> 65.64 </t>
  </si>
  <si>
    <t xml:space="preserve">F:\images\2021-CHG-ACH-Dutasteride 2\plaque 1/@12 Dutastéride 1mg_L/G12_02.tif </t>
  </si>
  <si>
    <t xml:space="preserve"> 61.5 </t>
  </si>
  <si>
    <t xml:space="preserve">F:\images\2021-CHG-ACH-Dutasteride 2\plaque 1/@12 Dutastéride 1mg_L/G12_03.tif </t>
  </si>
  <si>
    <t xml:space="preserve"> 65.15 </t>
  </si>
  <si>
    <t>F:\images\2021-CHG-ACH-Dutasteride 2\plaque 1/@12 Dutastéride 1mg_L/H12_01- exclu.tif</t>
  </si>
  <si>
    <t>F:\images\2021-CHG-ACH-Dutasteride 2\plaque 1/@12 Dutastéride 1mg_L/H12_02- exclu.tif</t>
  </si>
  <si>
    <t>F:\images\2021-CHG-ACH-Dutasteride 2\plaque 1/@12 Dutastéride 1mg_L/H12_03- exclu.tif</t>
  </si>
  <si>
    <t xml:space="preserve">F:\images\2021-CHG-ACH-Dutasteride 2\plaque 1/@12 Dutastéride 1mg_L/ </t>
  </si>
  <si>
    <t xml:space="preserve"> 64.6229 </t>
  </si>
  <si>
    <t xml:space="preserve"> 2.3139 </t>
  </si>
  <si>
    <t xml:space="preserve"> 89559.5417 </t>
  </si>
  <si>
    <t xml:space="preserve"> 105285.699 </t>
  </si>
  <si>
    <t xml:space="preserve">F:\images\2021-CHG-ACH-Dutasteride 2\plaque 2/@01 Testo 30/A1_01.tif </t>
  </si>
  <si>
    <t xml:space="preserve"> 48688.8928 </t>
  </si>
  <si>
    <t xml:space="preserve"> 69.1817 </t>
  </si>
  <si>
    <t xml:space="preserve">F:\images\2021-CHG-ACH-Dutasteride 2\plaque 2/@01 Testo 30/A1_02.tif </t>
  </si>
  <si>
    <t xml:space="preserve"> 43735.6469 </t>
  </si>
  <si>
    <t xml:space="preserve"> 68.8239 </t>
  </si>
  <si>
    <t xml:space="preserve">F:\images\2021-CHG-ACH-Dutasteride 2\plaque 2/@01 Testo 30/A1_03.tif </t>
  </si>
  <si>
    <t xml:space="preserve"> 40101.8246 </t>
  </si>
  <si>
    <t xml:space="preserve"> 68.2665 </t>
  </si>
  <si>
    <t xml:space="preserve">F:\images\2021-CHG-ACH-Dutasteride 2\plaque 2/@01 Testo 30/B1_01.tif </t>
  </si>
  <si>
    <t xml:space="preserve"> 36186.8137 </t>
  </si>
  <si>
    <t xml:space="preserve"> 70.2098 </t>
  </si>
  <si>
    <t xml:space="preserve">F:\images\2021-CHG-ACH-Dutasteride 2\plaque 2/@01 Testo 30/B1_02.tif </t>
  </si>
  <si>
    <t xml:space="preserve"> 35343.2478 </t>
  </si>
  <si>
    <t xml:space="preserve"> 70.2375 </t>
  </si>
  <si>
    <t xml:space="preserve">F:\images\2021-CHG-ACH-Dutasteride 2\plaque 2/@01 Testo 30/B1_03.tif </t>
  </si>
  <si>
    <t xml:space="preserve"> 69.8908 </t>
  </si>
  <si>
    <t xml:space="preserve">F:\images\2021-CHG-ACH-Dutasteride 2\plaque 2/@01 Testo 30/C1_01.tif </t>
  </si>
  <si>
    <t xml:space="preserve"> 39431.2979 </t>
  </si>
  <si>
    <t xml:space="preserve"> 74.0708 </t>
  </si>
  <si>
    <t xml:space="preserve">F:\images\2021-CHG-ACH-Dutasteride 2\plaque 2/@01 Testo 30/C1_02.tif </t>
  </si>
  <si>
    <t xml:space="preserve"> 35386.5076 </t>
  </si>
  <si>
    <t xml:space="preserve"> 72.5104 </t>
  </si>
  <si>
    <t xml:space="preserve">F:\images\2021-CHG-ACH-Dutasteride 2\plaque 2/@01 Testo 30/C1_03.tif </t>
  </si>
  <si>
    <t xml:space="preserve"> 29459.9165 </t>
  </si>
  <si>
    <t xml:space="preserve"> 74.9185 </t>
  </si>
  <si>
    <t xml:space="preserve">F:\images\2021-CHG-ACH-Dutasteride 2\plaque 2/@01 Testo 30/D1_01.tif </t>
  </si>
  <si>
    <t xml:space="preserve"> 70.3079 </t>
  </si>
  <si>
    <t xml:space="preserve">F:\images\2021-CHG-ACH-Dutasteride 2\plaque 2/@01 Testo 30/D1_02.tif </t>
  </si>
  <si>
    <t xml:space="preserve"> 2487.4379 </t>
  </si>
  <si>
    <t>F:\images\2021-CHG-ACH-Dutasteride 2\plaque 2/@01 Testo 30/D1_03- exclu.tif</t>
  </si>
  <si>
    <t xml:space="preserve">F:\images\2021-CHG-ACH-Dutasteride 2\plaque 2/@01 Testo 30/E1_01.tif </t>
  </si>
  <si>
    <t xml:space="preserve"> 37246.6786 </t>
  </si>
  <si>
    <t xml:space="preserve"> 73.4791 </t>
  </si>
  <si>
    <t xml:space="preserve">F:\images\2021-CHG-ACH-Dutasteride 2\plaque 2/@01 Testo 30/E1_02.tif </t>
  </si>
  <si>
    <t xml:space="preserve"> 41140.0596 </t>
  </si>
  <si>
    <t xml:space="preserve"> 72.2681 </t>
  </si>
  <si>
    <t xml:space="preserve">F:\images\2021-CHG-ACH-Dutasteride 2\plaque 2/@01 Testo 30/E1_03.tif </t>
  </si>
  <si>
    <t xml:space="preserve"> 41464.508 </t>
  </si>
  <si>
    <t xml:space="preserve"> 73.4731 </t>
  </si>
  <si>
    <t xml:space="preserve">F:\images\2021-CHG-ACH-Dutasteride 2\plaque 2/@01 Testo 30/F1_01.tif </t>
  </si>
  <si>
    <t xml:space="preserve"> 59265.9113 </t>
  </si>
  <si>
    <t xml:space="preserve"> 74.112 </t>
  </si>
  <si>
    <t xml:space="preserve">F:\images\2021-CHG-ACH-Dutasteride 2\plaque 2/@01 Testo 30/F1_02.tif </t>
  </si>
  <si>
    <t xml:space="preserve"> 53079.7614 </t>
  </si>
  <si>
    <t xml:space="preserve"> 74.5652 </t>
  </si>
  <si>
    <t xml:space="preserve">F:\images\2021-CHG-ACH-Dutasteride 2\plaque 2/@01 Testo 30/F1_03.tif </t>
  </si>
  <si>
    <t xml:space="preserve"> 50700.473 </t>
  </si>
  <si>
    <t xml:space="preserve"> 72.1237 </t>
  </si>
  <si>
    <t xml:space="preserve">F:\images\2021-CHG-ACH-Dutasteride 2\plaque 2/@01 Testo 30/G1_01.tif </t>
  </si>
  <si>
    <t xml:space="preserve"> 11139.3957 </t>
  </si>
  <si>
    <t xml:space="preserve"> 65.8544 </t>
  </si>
  <si>
    <t xml:space="preserve">F:\images\2021-CHG-ACH-Dutasteride 2\plaque 2/@01 Testo 30/G1_02.tif </t>
  </si>
  <si>
    <t xml:space="preserve"> 8976.4063 </t>
  </si>
  <si>
    <t xml:space="preserve"> 65.4145 </t>
  </si>
  <si>
    <t>F:\images\2021-CHG-ACH-Dutasteride 2\plaque 2/@01 Testo 30/G1_03- exclu.tif</t>
  </si>
  <si>
    <t xml:space="preserve">F:\images\2021-CHG-ACH-Dutasteride 2\plaque 2/@01 Testo 30/H1_01.tif </t>
  </si>
  <si>
    <t>F:\images\2021-CHG-ACH-Dutasteride 2\plaque 2/@01 Testo 30/H1_02- exclu.tif</t>
  </si>
  <si>
    <t xml:space="preserve">F:\images\2021-CHG-ACH-Dutasteride 2\plaque 2/@01 Testo 30/H1_03.tif </t>
  </si>
  <si>
    <t xml:space="preserve"> 63.1304 </t>
  </si>
  <si>
    <t xml:space="preserve">F:\images\2021-CHG-ACH-Dutasteride 2\plaque 2/@01 Testo 30/ </t>
  </si>
  <si>
    <t xml:space="preserve"> 69.2729 </t>
  </si>
  <si>
    <t xml:space="preserve"> 4.1024 </t>
  </si>
  <si>
    <t xml:space="preserve"> 1996826.83 </t>
  </si>
  <si>
    <t xml:space="preserve"> 1406358.18 </t>
  </si>
  <si>
    <t xml:space="preserve">F:\images\2021-CHG-ACH-Dutasteride 2\plaque 2/@02 Testo 30/A2_01.tif </t>
  </si>
  <si>
    <t xml:space="preserve"> 64.3668 </t>
  </si>
  <si>
    <t xml:space="preserve">F:\images\2021-CHG-ACH-Dutasteride 2\plaque 2/@02 Testo 30/A2_02.tif </t>
  </si>
  <si>
    <t xml:space="preserve"> 3698.712 </t>
  </si>
  <si>
    <t xml:space="preserve"> 65.1988 </t>
  </si>
  <si>
    <t xml:space="preserve">F:\images\2021-CHG-ACH-Dutasteride 2\plaque 2/@02 Testo 30/A2_03.tif </t>
  </si>
  <si>
    <t xml:space="preserve"> 2227.8791 </t>
  </si>
  <si>
    <t xml:space="preserve"> 65.8447 </t>
  </si>
  <si>
    <t xml:space="preserve">F:\images\2021-CHG-ACH-Dutasteride 2\plaque 2/@02 Testo 30/B2_01.tif </t>
  </si>
  <si>
    <t xml:space="preserve"> 41615.9173 </t>
  </si>
  <si>
    <t xml:space="preserve"> 70.8857 </t>
  </si>
  <si>
    <t xml:space="preserve">F:\images\2021-CHG-ACH-Dutasteride 2\plaque 2/@02 Testo 30/B2_02.tif </t>
  </si>
  <si>
    <t xml:space="preserve"> 40404.6432 </t>
  </si>
  <si>
    <t xml:space="preserve"> 68.7752 </t>
  </si>
  <si>
    <t xml:space="preserve">F:\images\2021-CHG-ACH-Dutasteride 2\plaque 2/@02 Testo 30/B2_03.tif </t>
  </si>
  <si>
    <t xml:space="preserve"> 39496.1876 </t>
  </si>
  <si>
    <t xml:space="preserve"> 69.6851 </t>
  </si>
  <si>
    <t xml:space="preserve">F:\images\2021-CHG-ACH-Dutasteride 2\plaque 2/@02 Testo 30/C2_01.tif </t>
  </si>
  <si>
    <t xml:space="preserve"> 41832.2162 </t>
  </si>
  <si>
    <t xml:space="preserve"> 73.6929 </t>
  </si>
  <si>
    <t xml:space="preserve">F:\images\2021-CHG-ACH-Dutasteride 2\plaque 2/@02 Testo 30/C2_02.tif </t>
  </si>
  <si>
    <t xml:space="preserve"> 41486.1379 </t>
  </si>
  <si>
    <t xml:space="preserve"> 73.1856 </t>
  </si>
  <si>
    <t xml:space="preserve">F:\images\2021-CHG-ACH-Dutasteride 2\plaque 2/@02 Testo 30/C2_03.tif </t>
  </si>
  <si>
    <t xml:space="preserve"> 42005.2554 </t>
  </si>
  <si>
    <t xml:space="preserve"> 72.6056 </t>
  </si>
  <si>
    <t xml:space="preserve">F:\images\2021-CHG-ACH-Dutasteride 2\plaque 2/@02 Testo 30/D2_01.tif </t>
  </si>
  <si>
    <t xml:space="preserve"> 45487.6684 </t>
  </si>
  <si>
    <t xml:space="preserve"> 72.9572 </t>
  </si>
  <si>
    <t xml:space="preserve">F:\images\2021-CHG-ACH-Dutasteride 2\plaque 2/@02 Testo 30/D2_02.tif </t>
  </si>
  <si>
    <t xml:space="preserve"> 49251.2701 </t>
  </si>
  <si>
    <t xml:space="preserve"> 73.1489 </t>
  </si>
  <si>
    <t xml:space="preserve">F:\images\2021-CHG-ACH-Dutasteride 2\plaque 2/@02 Testo 30/D2_03.tif </t>
  </si>
  <si>
    <t xml:space="preserve"> 43173.2697 </t>
  </si>
  <si>
    <t xml:space="preserve"> 74.7059 </t>
  </si>
  <si>
    <t xml:space="preserve">F:\images\2021-CHG-ACH-Dutasteride 2\plaque 2/@02 Testo 30/E2_01.tif </t>
  </si>
  <si>
    <t xml:space="preserve"> 22149.0121 </t>
  </si>
  <si>
    <t xml:space="preserve"> 68.1924 </t>
  </si>
  <si>
    <t xml:space="preserve">F:\images\2021-CHG-ACH-Dutasteride 2\plaque 2/@02 Testo 30/E2_02.tif </t>
  </si>
  <si>
    <t xml:space="preserve"> 16763.1683 </t>
  </si>
  <si>
    <t xml:space="preserve"> 65.6594 </t>
  </si>
  <si>
    <t xml:space="preserve">F:\images\2021-CHG-ACH-Dutasteride 2\plaque 2/@02 Testo 30/E2_03.tif </t>
  </si>
  <si>
    <t xml:space="preserve"> 19986.0226 </t>
  </si>
  <si>
    <t xml:space="preserve"> 67.6266 </t>
  </si>
  <si>
    <t xml:space="preserve">F:\images\2021-CHG-ACH-Dutasteride 2\plaque 2/@02 Testo 30/F2_01.tif </t>
  </si>
  <si>
    <t xml:space="preserve"> 63.7419 </t>
  </si>
  <si>
    <t xml:space="preserve">F:\images\2021-CHG-ACH-Dutasteride 2\plaque 2/@02 Testo 30/F2_02.tif </t>
  </si>
  <si>
    <t xml:space="preserve"> 63.9 </t>
  </si>
  <si>
    <t xml:space="preserve">F:\images\2021-CHG-ACH-Dutasteride 2\plaque 2/@02 Testo 30/F2_03.tif </t>
  </si>
  <si>
    <t xml:space="preserve">F:\images\2021-CHG-ACH-Dutasteride 2\plaque 2/@02 Testo 30/G2_01.tif </t>
  </si>
  <si>
    <t xml:space="preserve"> 41529.3977 </t>
  </si>
  <si>
    <t xml:space="preserve"> 74.1755 </t>
  </si>
  <si>
    <t xml:space="preserve">F:\images\2021-CHG-ACH-Dutasteride 2\plaque 2/@02 Testo 30/G2_02.tif </t>
  </si>
  <si>
    <t xml:space="preserve"> 76.2833 </t>
  </si>
  <si>
    <t xml:space="preserve">F:\images\2021-CHG-ACH-Dutasteride 2\plaque 2/@02 Testo 30/G2_03.tif </t>
  </si>
  <si>
    <t xml:space="preserve"> 74.2368 </t>
  </si>
  <si>
    <t xml:space="preserve">F:\images\2021-CHG-ACH-Dutasteride 2\plaque 2/@02 Testo 30/H2_01.tif </t>
  </si>
  <si>
    <t xml:space="preserve"> 37398.0878 </t>
  </si>
  <si>
    <t xml:space="preserve"> 70.1307 </t>
  </si>
  <si>
    <t xml:space="preserve">F:\images\2021-CHG-ACH-Dutasteride 2\plaque 2/@02 Testo 30/H2_02.tif </t>
  </si>
  <si>
    <t xml:space="preserve"> 41269.839 </t>
  </si>
  <si>
    <t xml:space="preserve"> 71.0183 </t>
  </si>
  <si>
    <t xml:space="preserve">F:\images\2021-CHG-ACH-Dutasteride 2\plaque 2/@02 Testo 30/H2_03.tif </t>
  </si>
  <si>
    <t xml:space="preserve"> 30152.0731 </t>
  </si>
  <si>
    <t xml:space="preserve"> 70.2166 </t>
  </si>
  <si>
    <t xml:space="preserve">F:\images\2021-CHG-ACH-Dutasteride 2\plaque 2/@02 Testo 30/ </t>
  </si>
  <si>
    <t xml:space="preserve"> 69.7597 </t>
  </si>
  <si>
    <t xml:space="preserve"> 3.9591 </t>
  </si>
  <si>
    <t xml:space="preserve"> 2070153.04 </t>
  </si>
  <si>
    <t xml:space="preserve">F:\images\2021-CHG-ACH-Dutasteride 2\plaque 2/@03 Testo+ EE2 64/A3_01.tif </t>
  </si>
  <si>
    <t xml:space="preserve"> 65.3782 </t>
  </si>
  <si>
    <t xml:space="preserve">F:\images\2021-CHG-ACH-Dutasteride 2\plaque 2/@03 Testo+ EE2 64/A3_02.tif </t>
  </si>
  <si>
    <t xml:space="preserve"> 7029.7158 </t>
  </si>
  <si>
    <t xml:space="preserve"> 80.0277 </t>
  </si>
  <si>
    <t xml:space="preserve">F:\images\2021-CHG-ACH-Dutasteride 2\plaque 2/@03 Testo+ EE2 64/A3_03.tif </t>
  </si>
  <si>
    <t xml:space="preserve"> 9733.4526 </t>
  </si>
  <si>
    <t xml:space="preserve"> 83.7822 </t>
  </si>
  <si>
    <t xml:space="preserve">F:\images\2021-CHG-ACH-Dutasteride 2\plaque 2/@03 Testo+ EE2 64/B3_01.tif </t>
  </si>
  <si>
    <t xml:space="preserve"> 32963.9594 </t>
  </si>
  <si>
    <t xml:space="preserve"> 73.7067 </t>
  </si>
  <si>
    <t xml:space="preserve">F:\images\2021-CHG-ACH-Dutasteride 2\plaque 2/@03 Testo+ EE2 64/B3_02.tif </t>
  </si>
  <si>
    <t xml:space="preserve"> 31731.0554 </t>
  </si>
  <si>
    <t xml:space="preserve"> 73.5235 </t>
  </si>
  <si>
    <t xml:space="preserve">F:\images\2021-CHG-ACH-Dutasteride 2\plaque 2/@03 Testo+ EE2 64/B3_03.tif </t>
  </si>
  <si>
    <t xml:space="preserve"> 30822.5998 </t>
  </si>
  <si>
    <t xml:space="preserve"> 72.0484 </t>
  </si>
  <si>
    <t xml:space="preserve">F:\images\2021-CHG-ACH-Dutasteride 2\plaque 2/@03 Testo+ EE2 64/C3_01.tif </t>
  </si>
  <si>
    <t xml:space="preserve"> 18601.7094 </t>
  </si>
  <si>
    <t xml:space="preserve"> 74.7093 </t>
  </si>
  <si>
    <t xml:space="preserve">F:\images\2021-CHG-ACH-Dutasteride 2\plaque 2/@03 Testo+ EE2 64/C3_02.tif </t>
  </si>
  <si>
    <t xml:space="preserve"> 72.5053 </t>
  </si>
  <si>
    <t xml:space="preserve">F:\images\2021-CHG-ACH-Dutasteride 2\plaque 2/@03 Testo+ EE2 64/C3_03.tif </t>
  </si>
  <si>
    <t xml:space="preserve"> 17801.4033 </t>
  </si>
  <si>
    <t xml:space="preserve"> 69.4083 </t>
  </si>
  <si>
    <t xml:space="preserve">F:\images\2021-CHG-ACH-Dutasteride 2\plaque 2/@03 Testo+ EE2 64/D3_01.tif </t>
  </si>
  <si>
    <t xml:space="preserve"> 19012.6774 </t>
  </si>
  <si>
    <t xml:space="preserve"> 69.653 </t>
  </si>
  <si>
    <t xml:space="preserve">F:\images\2021-CHG-ACH-Dutasteride 2\plaque 2/@03 Testo+ EE2 64/D3_02.tif </t>
  </si>
  <si>
    <t xml:space="preserve"> 14989.517 </t>
  </si>
  <si>
    <t xml:space="preserve"> 72.6147 </t>
  </si>
  <si>
    <t xml:space="preserve">F:\images\2021-CHG-ACH-Dutasteride 2\plaque 2/@03 Testo+ EE2 64/D3_03.tif </t>
  </si>
  <si>
    <t xml:space="preserve"> 20050.9123 </t>
  </si>
  <si>
    <t xml:space="preserve"> 68.6688 </t>
  </si>
  <si>
    <t xml:space="preserve">F:\images\2021-CHG-ACH-Dutasteride 2\plaque 2/@03 Testo+ EE2 64/E3_01.tif </t>
  </si>
  <si>
    <t xml:space="preserve"> 31363.3472 </t>
  </si>
  <si>
    <t xml:space="preserve"> 80.8924 </t>
  </si>
  <si>
    <t xml:space="preserve">F:\images\2021-CHG-ACH-Dutasteride 2\plaque 2/@03 Testo+ EE2 64/E3_02.tif </t>
  </si>
  <si>
    <t xml:space="preserve"> 38868.9206 </t>
  </si>
  <si>
    <t xml:space="preserve"> 70.054 </t>
  </si>
  <si>
    <t xml:space="preserve">F:\images\2021-CHG-ACH-Dutasteride 2\plaque 2/@03 Testo+ EE2 64/E3_03.tif </t>
  </si>
  <si>
    <t xml:space="preserve"> 68.9398 </t>
  </si>
  <si>
    <t xml:space="preserve">F:\images\2021-CHG-ACH-Dutasteride 2\plaque 2/@03 Testo+ EE2 64/F3_01.tif </t>
  </si>
  <si>
    <t xml:space="preserve"> 46396.124 </t>
  </si>
  <si>
    <t xml:space="preserve"> 77.3818 </t>
  </si>
  <si>
    <t xml:space="preserve">F:\images\2021-CHG-ACH-Dutasteride 2\plaque 2/@03 Testo+ EE2 64/F3_02.tif </t>
  </si>
  <si>
    <t xml:space="preserve"> 35429.7674 </t>
  </si>
  <si>
    <t xml:space="preserve"> 79.4219 </t>
  </si>
  <si>
    <t xml:space="preserve">F:\images\2021-CHG-ACH-Dutasteride 2\plaque 2/@03 Testo+ EE2 64/F3_03.tif </t>
  </si>
  <si>
    <t xml:space="preserve"> 30736.0803 </t>
  </si>
  <si>
    <t xml:space="preserve"> 72.9374 </t>
  </si>
  <si>
    <t xml:space="preserve">F:\images\2021-CHG-ACH-Dutasteride 2\plaque 2/@03 Testo+ EE2 64/G3_01.tif </t>
  </si>
  <si>
    <t xml:space="preserve"> 76483.3074 </t>
  </si>
  <si>
    <t xml:space="preserve"> 78.1883 </t>
  </si>
  <si>
    <t xml:space="preserve">F:\images\2021-CHG-ACH-Dutasteride 2\plaque 2/@03 Testo+ EE2 64/G3_02.tif </t>
  </si>
  <si>
    <t xml:space="preserve"> 61061.1925 </t>
  </si>
  <si>
    <t xml:space="preserve"> 79.5112 </t>
  </si>
  <si>
    <t xml:space="preserve">F:\images\2021-CHG-ACH-Dutasteride 2\plaque 2/@03 Testo+ EE2 64/G3_03.tif </t>
  </si>
  <si>
    <t xml:space="preserve"> 66966.1538 </t>
  </si>
  <si>
    <t xml:space="preserve"> 79.0946 </t>
  </si>
  <si>
    <t xml:space="preserve">F:\images\2021-CHG-ACH-Dutasteride 2\plaque 2/@03 Testo+ EE2 64/H3_01.tif </t>
  </si>
  <si>
    <t xml:space="preserve"> 12134.3709 </t>
  </si>
  <si>
    <t xml:space="preserve"> 72.3244 </t>
  </si>
  <si>
    <t xml:space="preserve">F:\images\2021-CHG-ACH-Dutasteride 2\plaque 2/@03 Testo+ EE2 64/H3_02.tif </t>
  </si>
  <si>
    <t xml:space="preserve"> 71.7079 </t>
  </si>
  <si>
    <t xml:space="preserve">F:\images\2021-CHG-ACH-Dutasteride 2\plaque 2/@03 Testo+ EE2 64/H3_03.tif </t>
  </si>
  <si>
    <t xml:space="preserve"> 12329.0399 </t>
  </si>
  <si>
    <t xml:space="preserve"> 71.6035 </t>
  </si>
  <si>
    <t xml:space="preserve">F:\images\2021-CHG-ACH-Dutasteride 2\plaque 2/@03 Testo+ EE2 64/ </t>
  </si>
  <si>
    <t xml:space="preserve"> 74.0868 </t>
  </si>
  <si>
    <t xml:space="preserve"> 4.6704 </t>
  </si>
  <si>
    <t xml:space="preserve"> 2128674.58 </t>
  </si>
  <si>
    <t xml:space="preserve"> 1522112.74 </t>
  </si>
  <si>
    <t xml:space="preserve">F:\images\2021-CHG-ACH-Dutasteride 2\plaque 2/@04 Testo+ FAD/A4_01.tif </t>
  </si>
  <si>
    <t xml:space="preserve"> 64.8571 </t>
  </si>
  <si>
    <t xml:space="preserve">F:\images\2021-CHG-ACH-Dutasteride 2\plaque 2/@04 Testo+ FAD/A4_02.tif </t>
  </si>
  <si>
    <t xml:space="preserve">F:\images\2021-CHG-ACH-Dutasteride 2\plaque 2/@04 Testo+ FAD/A4_03.tif </t>
  </si>
  <si>
    <t xml:space="preserve"> 65.7692 </t>
  </si>
  <si>
    <t xml:space="preserve">F:\images\2021-CHG-ACH-Dutasteride 2\plaque 2/@04 Testo+ FAD/B4_01.tif </t>
  </si>
  <si>
    <t xml:space="preserve"> 66.4643 </t>
  </si>
  <si>
    <t xml:space="preserve">F:\images\2021-CHG-ACH-Dutasteride 2\plaque 2/@04 Testo+ FAD/B4_02.tif </t>
  </si>
  <si>
    <t xml:space="preserve"> 65.3 </t>
  </si>
  <si>
    <t>F:\images\2021-CHG-ACH-Dutasteride 2\plaque 2/@04 Testo+ FAD/B4_03- exclu.tif</t>
  </si>
  <si>
    <t xml:space="preserve">F:\images\2021-CHG-ACH-Dutasteride 2\plaque 2/@04 Testo+ FAD/C4_01.tif </t>
  </si>
  <si>
    <t xml:space="preserve"> 65.48 </t>
  </si>
  <si>
    <t xml:space="preserve">F:\images\2021-CHG-ACH-Dutasteride 2\plaque 2/@04 Testo+ FAD/C4_02.tif </t>
  </si>
  <si>
    <t xml:space="preserve"> 67.2444 </t>
  </si>
  <si>
    <t xml:space="preserve">F:\images\2021-CHG-ACH-Dutasteride 2\plaque 2/@04 Testo+ FAD/C4_03.tif </t>
  </si>
  <si>
    <t xml:space="preserve"> 64.7442 </t>
  </si>
  <si>
    <t xml:space="preserve">F:\images\2021-CHG-ACH-Dutasteride 2\plaque 2/@04 Testo+ FAD/D4_01.tif </t>
  </si>
  <si>
    <t xml:space="preserve"> 3850.1212 </t>
  </si>
  <si>
    <t xml:space="preserve"> 67.3146 </t>
  </si>
  <si>
    <t xml:space="preserve">F:\images\2021-CHG-ACH-Dutasteride 2\plaque 2/@04 Testo+ FAD/D4_02.tif </t>
  </si>
  <si>
    <t xml:space="preserve"> 67.6934 </t>
  </si>
  <si>
    <t xml:space="preserve">F:\images\2021-CHG-ACH-Dutasteride 2\plaque 2/@04 Testo+ FAD/D4_03.tif </t>
  </si>
  <si>
    <t xml:space="preserve"> 65.55 </t>
  </si>
  <si>
    <t xml:space="preserve">F:\images\2021-CHG-ACH-Dutasteride 2\plaque 2/@04 Testo+ FAD/E4_01.tif </t>
  </si>
  <si>
    <t xml:space="preserve"> 67.3452 </t>
  </si>
  <si>
    <t xml:space="preserve">F:\images\2021-CHG-ACH-Dutasteride 2\plaque 2/@04 Testo+ FAD/E4_02.tif </t>
  </si>
  <si>
    <t xml:space="preserve"> 65.8156 </t>
  </si>
  <si>
    <t xml:space="preserve">F:\images\2021-CHG-ACH-Dutasteride 2\plaque 2/@04 Testo+ FAD/E4_03.tif </t>
  </si>
  <si>
    <t xml:space="preserve"> 67.2756 </t>
  </si>
  <si>
    <t xml:space="preserve">F:\images\2021-CHG-ACH-Dutasteride 2\plaque 2/@04 Testo+ FAD/F4_01.tif </t>
  </si>
  <si>
    <t xml:space="preserve"> 69.1678 </t>
  </si>
  <si>
    <t xml:space="preserve">F:\images\2021-CHG-ACH-Dutasteride 2\plaque 2/@04 Testo+ FAD/F4_02.tif </t>
  </si>
  <si>
    <t xml:space="preserve"> 72.3609 </t>
  </si>
  <si>
    <t xml:space="preserve">F:\images\2021-CHG-ACH-Dutasteride 2\plaque 2/@04 Testo+ FAD/F4_03.tif </t>
  </si>
  <si>
    <t xml:space="preserve"> 70.8547 </t>
  </si>
  <si>
    <t xml:space="preserve">F:\images\2021-CHG-ACH-Dutasteride 2\plaque 2/@04 Testo+ FAD/G4_01.tif </t>
  </si>
  <si>
    <t xml:space="preserve"> 68.5395 </t>
  </si>
  <si>
    <t xml:space="preserve">F:\images\2021-CHG-ACH-Dutasteride 2\plaque 2/@04 Testo+ FAD/G4_02.tif </t>
  </si>
  <si>
    <t xml:space="preserve"> 67.5494 </t>
  </si>
  <si>
    <t xml:space="preserve">F:\images\2021-CHG-ACH-Dutasteride 2\plaque 2/@04 Testo+ FAD/G4_03.tif </t>
  </si>
  <si>
    <t xml:space="preserve"> 66.3438 </t>
  </si>
  <si>
    <t xml:space="preserve">F:\images\2021-CHG-ACH-Dutasteride 2\plaque 2/@04 Testo+ FAD/H4_01.tif </t>
  </si>
  <si>
    <t xml:space="preserve"> 64.7949 </t>
  </si>
  <si>
    <t xml:space="preserve">F:\images\2021-CHG-ACH-Dutasteride 2\plaque 2/@04 Testo+ FAD/H4_02.tif </t>
  </si>
  <si>
    <t xml:space="preserve"> 62.3429 </t>
  </si>
  <si>
    <t xml:space="preserve">F:\images\2021-CHG-ACH-Dutasteride 2\plaque 2/@04 Testo+ FAD/H4_03.tif </t>
  </si>
  <si>
    <t xml:space="preserve"> 2400.9183 </t>
  </si>
  <si>
    <t xml:space="preserve"> 66.2432 </t>
  </si>
  <si>
    <t xml:space="preserve">F:\images\2021-CHG-ACH-Dutasteride 2\plaque 2/@04 Testo+ FAD/ </t>
  </si>
  <si>
    <t xml:space="preserve"> 66.5874 </t>
  </si>
  <si>
    <t xml:space="preserve"> 2.1697 </t>
  </si>
  <si>
    <t xml:space="preserve"> 144609.333 </t>
  </si>
  <si>
    <t xml:space="preserve"> 97053.1223 </t>
  </si>
  <si>
    <t xml:space="preserve">F:\images\2021-CHG-ACH-Dutasteride 2\plaque 2/@05 Dutastéride 0.01mg_L Dopé/A5_01.tif </t>
  </si>
  <si>
    <t xml:space="preserve"> 19877.8732 </t>
  </si>
  <si>
    <t xml:space="preserve"> 66.0435 </t>
  </si>
  <si>
    <t xml:space="preserve">F:\images\2021-CHG-ACH-Dutasteride 2\plaque 2/@05 Dutastéride 0.01mg_L Dopé/A5_02.tif </t>
  </si>
  <si>
    <t xml:space="preserve"> 19531.7948 </t>
  </si>
  <si>
    <t xml:space="preserve"> 65.6833 </t>
  </si>
  <si>
    <t xml:space="preserve">F:\images\2021-CHG-ACH-Dutasteride 2\plaque 2/@05 Dutastéride 0.01mg_L Dopé/A5_03.tif </t>
  </si>
  <si>
    <t xml:space="preserve"> 65.4817 </t>
  </si>
  <si>
    <t>F:\images\2021-CHG-ACH-Dutasteride 2\plaque 2/@05 Dutastéride 0.01mg_L Dopé/B5_01- exclu.tif</t>
  </si>
  <si>
    <t xml:space="preserve">F:\images\2021-CHG-ACH-Dutasteride 2\plaque 2/@05 Dutastéride 0.01mg_L Dopé/B5_02.tif </t>
  </si>
  <si>
    <t xml:space="preserve"> 66.3083 </t>
  </si>
  <si>
    <t xml:space="preserve">F:\images\2021-CHG-ACH-Dutasteride 2\plaque 2/@05 Dutastéride 0.01mg_L Dopé/B5_03.tif </t>
  </si>
  <si>
    <t xml:space="preserve"> 62.6098 </t>
  </si>
  <si>
    <t xml:space="preserve">F:\images\2021-CHG-ACH-Dutasteride 2\plaque 2/@05 Dutastéride 0.01mg_L Dopé/C5_01.tif </t>
  </si>
  <si>
    <t xml:space="preserve"> 67.3725 </t>
  </si>
  <si>
    <t xml:space="preserve">F:\images\2021-CHG-ACH-Dutasteride 2\plaque 2/@05 Dutastéride 0.01mg_L Dopé/C5_02.tif </t>
  </si>
  <si>
    <t xml:space="preserve"> 64.85 </t>
  </si>
  <si>
    <t xml:space="preserve">F:\images\2021-CHG-ACH-Dutasteride 2\plaque 2/@05 Dutastéride 0.01mg_L Dopé/C5_03.tif </t>
  </si>
  <si>
    <t xml:space="preserve"> 66.4725 </t>
  </si>
  <si>
    <t xml:space="preserve">F:\images\2021-CHG-ACH-Dutasteride 2\plaque 2/@05 Dutastéride 0.01mg_L Dopé/D5_01.tif </t>
  </si>
  <si>
    <t xml:space="preserve"> 15746.5633 </t>
  </si>
  <si>
    <t xml:space="preserve"> 69.8723 </t>
  </si>
  <si>
    <t xml:space="preserve">F:\images\2021-CHG-ACH-Dutasteride 2\plaque 2/@05 Dutastéride 0.01mg_L Dopé/D5_02.tif </t>
  </si>
  <si>
    <t xml:space="preserve"> 64.8713 </t>
  </si>
  <si>
    <t xml:space="preserve">F:\images\2021-CHG-ACH-Dutasteride 2\plaque 2/@05 Dutastéride 0.01mg_L Dopé/D5_03.tif </t>
  </si>
  <si>
    <t xml:space="preserve"> 14189.2109 </t>
  </si>
  <si>
    <t xml:space="preserve"> 69.3841 </t>
  </si>
  <si>
    <t xml:space="preserve">F:\images\2021-CHG-ACH-Dutasteride 2\plaque 2/@05 Dutastéride 0.01mg_L Dopé/E5_01.tif </t>
  </si>
  <si>
    <t xml:space="preserve"> 42199.9244 </t>
  </si>
  <si>
    <t xml:space="preserve"> 74.9554 </t>
  </si>
  <si>
    <t xml:space="preserve">F:\images\2021-CHG-ACH-Dutasteride 2\plaque 2/@05 Dutastéride 0.01mg_L Dopé/E5_02.tif </t>
  </si>
  <si>
    <t xml:space="preserve"> 40750.7215 </t>
  </si>
  <si>
    <t xml:space="preserve"> 74.3885 </t>
  </si>
  <si>
    <t xml:space="preserve">F:\images\2021-CHG-ACH-Dutasteride 2\plaque 2/@05 Dutastéride 0.01mg_L Dopé/E5_03.tif </t>
  </si>
  <si>
    <t xml:space="preserve"> 38349.8032 </t>
  </si>
  <si>
    <t xml:space="preserve"> 73.7986 </t>
  </si>
  <si>
    <t xml:space="preserve">F:\images\2021-CHG-ACH-Dutasteride 2\plaque 2/@05 Dutastéride 0.01mg_L Dopé/F5_01.tif </t>
  </si>
  <si>
    <t xml:space="preserve"> 51414.2595 </t>
  </si>
  <si>
    <t xml:space="preserve"> 73.7577 </t>
  </si>
  <si>
    <t xml:space="preserve">F:\images\2021-CHG-ACH-Dutasteride 2\plaque 2/@05 Dutastéride 0.01mg_L Dopé/F5_02.tif </t>
  </si>
  <si>
    <t xml:space="preserve"> 44146.6149 </t>
  </si>
  <si>
    <t xml:space="preserve"> 72.3444 </t>
  </si>
  <si>
    <t xml:space="preserve">F:\images\2021-CHG-ACH-Dutasteride 2\plaque 2/@05 Dutastéride 0.01mg_L Dopé/F5_03.tif </t>
  </si>
  <si>
    <t xml:space="preserve"> 73.0384 </t>
  </si>
  <si>
    <t xml:space="preserve">F:\images\2021-CHG-ACH-Dutasteride 2\plaque 2/@05 Dutastéride 0.01mg_L Dopé/G5_01.tif </t>
  </si>
  <si>
    <t xml:space="preserve"> 23771.2542 </t>
  </si>
  <si>
    <t xml:space="preserve"> 67.9554 </t>
  </si>
  <si>
    <t xml:space="preserve">F:\images\2021-CHG-ACH-Dutasteride 2\plaque 2/@05 Dutastéride 0.01mg_L Dopé/G5_02.tif </t>
  </si>
  <si>
    <t xml:space="preserve"> 29070.5784 </t>
  </si>
  <si>
    <t xml:space="preserve"> 75.1466 </t>
  </si>
  <si>
    <t xml:space="preserve">F:\images\2021-CHG-ACH-Dutasteride 2\plaque 2/@05 Dutastéride 0.01mg_L Dopé/G5_03.tif </t>
  </si>
  <si>
    <t xml:space="preserve"> 26929.2188 </t>
  </si>
  <si>
    <t xml:space="preserve"> 71.9743 </t>
  </si>
  <si>
    <t xml:space="preserve">F:\images\2021-CHG-ACH-Dutasteride 2\plaque 2/@05 Dutastéride 0.01mg_L Dopé/H5_01.tif </t>
  </si>
  <si>
    <t xml:space="preserve"> 63.7432 </t>
  </si>
  <si>
    <t xml:space="preserve">F:\images\2021-CHG-ACH-Dutasteride 2\plaque 2/@05 Dutastéride 0.01mg_L Dopé/H5_02.tif </t>
  </si>
  <si>
    <t xml:space="preserve"> 63.6207 </t>
  </si>
  <si>
    <t xml:space="preserve">F:\images\2021-CHG-ACH-Dutasteride 2\plaque 2/@05 Dutastéride 0.01mg_L Dopé/H5_03.tif </t>
  </si>
  <si>
    <t xml:space="preserve"> 63.8718 </t>
  </si>
  <si>
    <t xml:space="preserve">F:\images\2021-CHG-ACH-Dutasteride 2\plaque 2/@05 Dutastéride 0.01mg_L Dopé/ </t>
  </si>
  <si>
    <t xml:space="preserve"> 68.3873 </t>
  </si>
  <si>
    <t xml:space="preserve"> 4.2283 </t>
  </si>
  <si>
    <t xml:space="preserve"> 1352135.96 </t>
  </si>
  <si>
    <t xml:space="preserve"> 1273183.39 </t>
  </si>
  <si>
    <t xml:space="preserve">F:\images\2021-CHG-ACH-Dutasteride 2\plaque 2/@06 Dutastéride 0.1mg_L Dopé/A6_01.tif </t>
  </si>
  <si>
    <t xml:space="preserve"> 63.675 </t>
  </si>
  <si>
    <t xml:space="preserve">F:\images\2021-CHG-ACH-Dutasteride 2\plaque 2/@06 Dutastéride 0.1mg_L Dopé/A6_02.tif </t>
  </si>
  <si>
    <t xml:space="preserve"> 65.5854 </t>
  </si>
  <si>
    <t xml:space="preserve">F:\images\2021-CHG-ACH-Dutasteride 2\plaque 2/@06 Dutastéride 0.1mg_L Dopé/A6_03.tif </t>
  </si>
  <si>
    <t xml:space="preserve"> 64.02 </t>
  </si>
  <si>
    <t xml:space="preserve">F:\images\2021-CHG-ACH-Dutasteride 2\plaque 2/@06 Dutastéride 0.1mg_L Dopé/B6_01.tif </t>
  </si>
  <si>
    <t xml:space="preserve"> 65.6383 </t>
  </si>
  <si>
    <t xml:space="preserve">F:\images\2021-CHG-ACH-Dutasteride 2\plaque 2/@06 Dutastéride 0.1mg_L Dopé/B6_02.tif </t>
  </si>
  <si>
    <t xml:space="preserve"> 65.8913 </t>
  </si>
  <si>
    <t xml:space="preserve">F:\images\2021-CHG-ACH-Dutasteride 2\plaque 2/@06 Dutastéride 0.1mg_L Dopé/B6_03.tif </t>
  </si>
  <si>
    <t xml:space="preserve"> 65.3485 </t>
  </si>
  <si>
    <t xml:space="preserve">F:\images\2021-CHG-ACH-Dutasteride 2\plaque 2/@06 Dutastéride 0.1mg_L Dopé/C6_01.tif </t>
  </si>
  <si>
    <t xml:space="preserve"> 40577.6823 </t>
  </si>
  <si>
    <t xml:space="preserve"> 72.3204 </t>
  </si>
  <si>
    <t xml:space="preserve">F:\images\2021-CHG-ACH-Dutasteride 2\plaque 2/@06 Dutastéride 0.1mg_L Dopé/C6_02.tif </t>
  </si>
  <si>
    <t xml:space="preserve"> 28551.4609 </t>
  </si>
  <si>
    <t xml:space="preserve"> 71.8083 </t>
  </si>
  <si>
    <t xml:space="preserve">F:\images\2021-CHG-ACH-Dutasteride 2\plaque 2/@06 Dutastéride 0.1mg_L Dopé/C6_03.tif </t>
  </si>
  <si>
    <t xml:space="preserve"> 37354.828 </t>
  </si>
  <si>
    <t xml:space="preserve"> 71.4615 </t>
  </si>
  <si>
    <t xml:space="preserve">F:\images\2021-CHG-ACH-Dutasteride 2\plaque 2/@06 Dutastéride 0.1mg_L Dopé/D6_01.tif </t>
  </si>
  <si>
    <t xml:space="preserve"> 5493.9932 </t>
  </si>
  <si>
    <t xml:space="preserve"> 66.9882 </t>
  </si>
  <si>
    <t xml:space="preserve">F:\images\2021-CHG-ACH-Dutasteride 2\plaque 2/@06 Dutastéride 0.1mg_L Dopé/D6_02.tif </t>
  </si>
  <si>
    <t xml:space="preserve"> 7181.125 </t>
  </si>
  <si>
    <t xml:space="preserve"> 65.7952 </t>
  </si>
  <si>
    <t xml:space="preserve">F:\images\2021-CHG-ACH-Dutasteride 2\plaque 2/@06 Dutastéride 0.1mg_L Dopé/D6_03.tif </t>
  </si>
  <si>
    <t xml:space="preserve"> 66.0278 </t>
  </si>
  <si>
    <t xml:space="preserve">F:\images\2021-CHG-ACH-Dutasteride 2\plaque 2/@06 Dutastéride 0.1mg_L Dopé/E6_01.tif </t>
  </si>
  <si>
    <t xml:space="preserve"> 64.2136 </t>
  </si>
  <si>
    <t xml:space="preserve">F:\images\2021-CHG-ACH-Dutasteride 2\plaque 2/@06 Dutastéride 0.1mg_L Dopé/E6_02.tif </t>
  </si>
  <si>
    <t xml:space="preserve"> 63.8613 </t>
  </si>
  <si>
    <t xml:space="preserve">F:\images\2021-CHG-ACH-Dutasteride 2\plaque 2/@06 Dutastéride 0.1mg_L Dopé/E6_03.tif </t>
  </si>
  <si>
    <t xml:space="preserve"> 63.7871 </t>
  </si>
  <si>
    <t xml:space="preserve">F:\images\2021-CHG-ACH-Dutasteride 2\plaque 2/@06 Dutastéride 0.1mg_L Dopé/F6_01.tif </t>
  </si>
  <si>
    <t xml:space="preserve"> 36381.4828 </t>
  </si>
  <si>
    <t xml:space="preserve"> 71.6546 </t>
  </si>
  <si>
    <t xml:space="preserve">F:\images\2021-CHG-ACH-Dutasteride 2\plaque 2/@06 Dutastéride 0.1mg_L Dopé/F6_02.tif </t>
  </si>
  <si>
    <t xml:space="preserve"> 34499.6819 </t>
  </si>
  <si>
    <t xml:space="preserve"> 71.0376 </t>
  </si>
  <si>
    <t xml:space="preserve">F:\images\2021-CHG-ACH-Dutasteride 2\plaque 2/@06 Dutastéride 0.1mg_L Dopé/F6_03.tif </t>
  </si>
  <si>
    <t xml:space="preserve"> 39020.3299 </t>
  </si>
  <si>
    <t xml:space="preserve"> 72.418 </t>
  </si>
  <si>
    <t xml:space="preserve">F:\images\2021-CHG-ACH-Dutasteride 2\plaque 2/@06 Dutastéride 0.1mg_L Dopé/G6_01.tif </t>
  </si>
  <si>
    <t xml:space="preserve"> 16114.2715 </t>
  </si>
  <si>
    <t xml:space="preserve"> 69.6832 </t>
  </si>
  <si>
    <t xml:space="preserve">F:\images\2021-CHG-ACH-Dutasteride 2\plaque 2/@06 Dutastéride 0.1mg_L Dopé/G6_02.tif </t>
  </si>
  <si>
    <t xml:space="preserve"> 68.8009 </t>
  </si>
  <si>
    <t xml:space="preserve">F:\images\2021-CHG-ACH-Dutasteride 2\plaque 2/@06 Dutastéride 0.1mg_L Dopé/G6_03.tif </t>
  </si>
  <si>
    <t xml:space="preserve"> 16027.7519 </t>
  </si>
  <si>
    <t xml:space="preserve"> 67.691 </t>
  </si>
  <si>
    <t xml:space="preserve">F:\images\2021-CHG-ACH-Dutasteride 2\plaque 2/@06 Dutastéride 0.1mg_L Dopé/H6_01.tif </t>
  </si>
  <si>
    <t xml:space="preserve"> 63.6329 </t>
  </si>
  <si>
    <t xml:space="preserve">F:\images\2021-CHG-ACH-Dutasteride 2\plaque 2/@06 Dutastéride 0.1mg_L Dopé/H6_02.tif </t>
  </si>
  <si>
    <t xml:space="preserve"> 64.0806 </t>
  </si>
  <si>
    <t xml:space="preserve">F:\images\2021-CHG-ACH-Dutasteride 2\plaque 2/@06 Dutastéride 0.1mg_L Dopé/H6_03.tif </t>
  </si>
  <si>
    <t xml:space="preserve"> 2379.2884 </t>
  </si>
  <si>
    <t xml:space="preserve"> 65.7455 </t>
  </si>
  <si>
    <t xml:space="preserve">F:\images\2021-CHG-ACH-Dutasteride 2\plaque 2/@06 Dutastéride 0.1mg_L Dopé/ </t>
  </si>
  <si>
    <t xml:space="preserve"> 67.1319 </t>
  </si>
  <si>
    <t xml:space="preserve"> 3.1531 </t>
  </si>
  <si>
    <t xml:space="preserve"> 900824.708 </t>
  </si>
  <si>
    <t xml:space="preserve"> 1056089.29 </t>
  </si>
  <si>
    <t xml:space="preserve">F:\images\2021-CHG-ACH-Dutasteride 2\plaque 2/@07  Dutastéride 0.25mg_L Dopé/A7_01.tif </t>
  </si>
  <si>
    <t xml:space="preserve"> 63.5455 </t>
  </si>
  <si>
    <t xml:space="preserve">F:\images\2021-CHG-ACH-Dutasteride 2\plaque 2/@07  Dutastéride 0.25mg_L Dopé/A7_02.tif </t>
  </si>
  <si>
    <t xml:space="preserve"> 63.0606 </t>
  </si>
  <si>
    <t xml:space="preserve">F:\images\2021-CHG-ACH-Dutasteride 2\plaque 2/@07  Dutastéride 0.25mg_L Dopé/A7_03.tif </t>
  </si>
  <si>
    <t xml:space="preserve"> 62.4583 </t>
  </si>
  <si>
    <t>F:\images\2021-CHG-ACH-Dutasteride 2\plaque 2/@07  Dutastéride 0.25mg_L Dopé/B7_01- exclu.tif</t>
  </si>
  <si>
    <t xml:space="preserve">F:\images\2021-CHG-ACH-Dutasteride 2\plaque 2/@07  Dutastéride 0.25mg_L Dopé/B7_02.tif </t>
  </si>
  <si>
    <t xml:space="preserve"> 6662.0075 </t>
  </si>
  <si>
    <t xml:space="preserve"> 69.263 </t>
  </si>
  <si>
    <t xml:space="preserve">F:\images\2021-CHG-ACH-Dutasteride 2\plaque 2/@07  Dutastéride 0.25mg_L Dopé/B7_03.tif </t>
  </si>
  <si>
    <t xml:space="preserve"> 65.1429 </t>
  </si>
  <si>
    <t xml:space="preserve">F:\images\2021-CHG-ACH-Dutasteride 2\plaque 2/@07  Dutastéride 0.25mg_L Dopé/C7_01.tif </t>
  </si>
  <si>
    <t xml:space="preserve"> 26626.4003 </t>
  </si>
  <si>
    <t xml:space="preserve"> 70.4509 </t>
  </si>
  <si>
    <t xml:space="preserve">F:\images\2021-CHG-ACH-Dutasteride 2\plaque 2/@07  Dutastéride 0.25mg_L Dopé/C7_02.tif </t>
  </si>
  <si>
    <t xml:space="preserve"> 22062.4925 </t>
  </si>
  <si>
    <t xml:space="preserve"> 68.2716 </t>
  </si>
  <si>
    <t xml:space="preserve">F:\images\2021-CHG-ACH-Dutasteride 2\plaque 2/@07  Dutastéride 0.25mg_L Dopé/C7_03.tif </t>
  </si>
  <si>
    <t xml:space="preserve"> 23576.5851 </t>
  </si>
  <si>
    <t xml:space="preserve"> 67.433 </t>
  </si>
  <si>
    <t xml:space="preserve">F:\images\2021-CHG-ACH-Dutasteride 2\plaque 2/@07  Dutastéride 0.25mg_L Dopé/D7_01.tif </t>
  </si>
  <si>
    <t xml:space="preserve"> 48061.6259 </t>
  </si>
  <si>
    <t xml:space="preserve"> 78.2111 </t>
  </si>
  <si>
    <t xml:space="preserve">F:\images\2021-CHG-ACH-Dutasteride 2\plaque 2/@07  Dutastéride 0.25mg_L Dopé/D7_02.tif </t>
  </si>
  <si>
    <t xml:space="preserve"> 44319.6541 </t>
  </si>
  <si>
    <t xml:space="preserve"> 75.6408 </t>
  </si>
  <si>
    <t xml:space="preserve">F:\images\2021-CHG-ACH-Dutasteride 2\plaque 2/@07  Dutastéride 0.25mg_L Dopé/D7_03.tif </t>
  </si>
  <si>
    <t xml:space="preserve"> 45466.0385 </t>
  </si>
  <si>
    <t xml:space="preserve"> 77.784 </t>
  </si>
  <si>
    <t xml:space="preserve">F:\images\2021-CHG-ACH-Dutasteride 2\plaque 2/@07  Dutastéride 0.25mg_L Dopé/E7_01.tif </t>
  </si>
  <si>
    <t xml:space="preserve"> 34932.2798 </t>
  </si>
  <si>
    <t xml:space="preserve"> 81.2446 </t>
  </si>
  <si>
    <t xml:space="preserve">F:\images\2021-CHG-ACH-Dutasteride 2\plaque 2/@07  Dutastéride 0.25mg_L Dopé/E7_02.tif </t>
  </si>
  <si>
    <t xml:space="preserve"> 29784.3649 </t>
  </si>
  <si>
    <t xml:space="preserve"> 85.9005 </t>
  </si>
  <si>
    <t xml:space="preserve">F:\images\2021-CHG-ACH-Dutasteride 2\plaque 2/@07  Dutastéride 0.25mg_L Dopé/E7_03.tif </t>
  </si>
  <si>
    <t xml:space="preserve"> 44406.1737 </t>
  </si>
  <si>
    <t xml:space="preserve"> 87.0706 </t>
  </si>
  <si>
    <t xml:space="preserve">F:\images\2021-CHG-ACH-Dutasteride 2\plaque 2/@07  Dutastéride 0.25mg_L Dopé/F7_01.tif </t>
  </si>
  <si>
    <t xml:space="preserve"> 67.7393 </t>
  </si>
  <si>
    <t xml:space="preserve">F:\images\2021-CHG-ACH-Dutasteride 2\plaque 2/@07  Dutastéride 0.25mg_L Dopé/F7_02.tif </t>
  </si>
  <si>
    <t xml:space="preserve"> 28919.1691 </t>
  </si>
  <si>
    <t xml:space="preserve"> 67.6111 </t>
  </si>
  <si>
    <t xml:space="preserve">F:\images\2021-CHG-ACH-Dutasteride 2\plaque 2/@07  Dutastéride 0.25mg_L Dopé/F7_03.tif </t>
  </si>
  <si>
    <t xml:space="preserve"> 27924.194 </t>
  </si>
  <si>
    <t xml:space="preserve"> 67.426 </t>
  </si>
  <si>
    <t xml:space="preserve">F:\images\2021-CHG-ACH-Dutasteride 2\plaque 2/@07  Dutastéride 0.25mg_L Dopé/G7_01.tif </t>
  </si>
  <si>
    <t xml:space="preserve"> 56929.8827 </t>
  </si>
  <si>
    <t xml:space="preserve"> 81.3351 </t>
  </si>
  <si>
    <t xml:space="preserve">F:\images\2021-CHG-ACH-Dutasteride 2\plaque 2/@07  Dutastéride 0.25mg_L Dopé/G7_02.tif </t>
  </si>
  <si>
    <t xml:space="preserve"> 57578.7795 </t>
  </si>
  <si>
    <t xml:space="preserve"> 79.3403 </t>
  </si>
  <si>
    <t xml:space="preserve">F:\images\2021-CHG-ACH-Dutasteride 2\plaque 2/@07  Dutastéride 0.25mg_L Dopé/G7_03.tif </t>
  </si>
  <si>
    <t xml:space="preserve"> 53339.3202 </t>
  </si>
  <si>
    <t xml:space="preserve"> 78.6127 </t>
  </si>
  <si>
    <t xml:space="preserve">F:\images\2021-CHG-ACH-Dutasteride 2\plaque 2/@07  Dutastéride 0.25mg_L Dopé/H7_01.tif </t>
  </si>
  <si>
    <t xml:space="preserve"> 48256.2949 </t>
  </si>
  <si>
    <t xml:space="preserve"> 74.6741 </t>
  </si>
  <si>
    <t xml:space="preserve">F:\images\2021-CHG-ACH-Dutasteride 2\plaque 2/@07  Dutastéride 0.25mg_L Dopé/H7_02.tif </t>
  </si>
  <si>
    <t xml:space="preserve"> 47282.9497 </t>
  </si>
  <si>
    <t xml:space="preserve"> 73.9666 </t>
  </si>
  <si>
    <t xml:space="preserve">F:\images\2021-CHG-ACH-Dutasteride 2\plaque 2/@07  Dutastéride 0.25mg_L Dopé/H7_03.tif </t>
  </si>
  <si>
    <t xml:space="preserve"> 40383.0133 </t>
  </si>
  <si>
    <t xml:space="preserve"> 72.647 </t>
  </si>
  <si>
    <t xml:space="preserve">F:\images\2021-CHG-ACH-Dutasteride 2\plaque 2/@07  Dutastéride 0.25mg_L Dopé/ </t>
  </si>
  <si>
    <t xml:space="preserve"> 72.6846 </t>
  </si>
  <si>
    <t xml:space="preserve"> 7.2515 </t>
  </si>
  <si>
    <t xml:space="preserve"> 2286671.88 </t>
  </si>
  <si>
    <t xml:space="preserve"> 1561264.56 </t>
  </si>
  <si>
    <t xml:space="preserve">F:\images\2021-CHG-ACH-Dutasteride 2\plaque 2/@08 Dutastéride 0.5 mg_L Dopé/A8_01.tif </t>
  </si>
  <si>
    <t xml:space="preserve"> 63.4423 </t>
  </si>
  <si>
    <t xml:space="preserve">F:\images\2021-CHG-ACH-Dutasteride 2\plaque 2/@08 Dutastéride 0.5 mg_L Dopé/A8_02.tif </t>
  </si>
  <si>
    <t xml:space="preserve"> 2617.2173 </t>
  </si>
  <si>
    <t xml:space="preserve"> 65.4132 </t>
  </si>
  <si>
    <t xml:space="preserve">F:\images\2021-CHG-ACH-Dutasteride 2\plaque 2/@08 Dutastéride 0.5 mg_L Dopé/A8_03.tif </t>
  </si>
  <si>
    <t xml:space="preserve"> 61.5333 </t>
  </si>
  <si>
    <t xml:space="preserve">F:\images\2021-CHG-ACH-Dutasteride 2\plaque 2/@08 Dutastéride 0.5 mg_L Dopé/B8_01.tif </t>
  </si>
  <si>
    <t xml:space="preserve"> 71.06 </t>
  </si>
  <si>
    <t xml:space="preserve">F:\images\2021-CHG-ACH-Dutasteride 2\plaque 2/@08 Dutastéride 0.5 mg_L Dopé/B8_02.tif </t>
  </si>
  <si>
    <t xml:space="preserve"> 4088.0501 </t>
  </si>
  <si>
    <t xml:space="preserve"> 63.4497 </t>
  </si>
  <si>
    <t xml:space="preserve">F:\images\2021-CHG-ACH-Dutasteride 2\plaque 2/@08 Dutastéride 0.5 mg_L Dopé/B8_03.tif </t>
  </si>
  <si>
    <t xml:space="preserve"> 11377.3246 </t>
  </si>
  <si>
    <t xml:space="preserve"> 71.8156 </t>
  </si>
  <si>
    <t xml:space="preserve">F:\images\2021-CHG-ACH-Dutasteride 2\plaque 2/@08 Dutastéride 0.5 mg_L Dopé/C8_01.tif </t>
  </si>
  <si>
    <t xml:space="preserve"> 3114.7048 </t>
  </si>
  <si>
    <t xml:space="preserve"> 65.1528 </t>
  </si>
  <si>
    <t xml:space="preserve">F:\images\2021-CHG-ACH-Dutasteride 2\plaque 2/@08 Dutastéride 0.5 mg_L Dopé/C8_02.tif </t>
  </si>
  <si>
    <t xml:space="preserve"> 64.6596 </t>
  </si>
  <si>
    <t xml:space="preserve">F:\images\2021-CHG-ACH-Dutasteride 2\plaque 2/@08 Dutastéride 0.5 mg_L Dopé/C8_03.tif </t>
  </si>
  <si>
    <t xml:space="preserve"> 66.451 </t>
  </si>
  <si>
    <t xml:space="preserve">F:\images\2021-CHG-ACH-Dutasteride 2\plaque 2/@08 Dutastéride 0.5 mg_L Dopé/D8_01.tif </t>
  </si>
  <si>
    <t xml:space="preserve"> 86.5451 </t>
  </si>
  <si>
    <t xml:space="preserve">F:\images\2021-CHG-ACH-Dutasteride 2\plaque 2/@08 Dutastéride 0.5 mg_L Dopé/D8_02.tif </t>
  </si>
  <si>
    <t xml:space="preserve"> 11874.8122 </t>
  </si>
  <si>
    <t xml:space="preserve"> 95.0893 </t>
  </si>
  <si>
    <t>F:\images\2021-CHG-ACH-Dutasteride 2\plaque 2/@08 Dutastéride 0.5 mg_L Dopé/D8_03- exclu.tif</t>
  </si>
  <si>
    <t xml:space="preserve">F:\images\2021-CHG-ACH-Dutasteride 2\plaque 2/@08 Dutastéride 0.5 mg_L Dopé/E8_01.tif </t>
  </si>
  <si>
    <t xml:space="preserve"> 12891.4172 </t>
  </si>
  <si>
    <t xml:space="preserve"> 66.3943 </t>
  </si>
  <si>
    <t xml:space="preserve">F:\images\2021-CHG-ACH-Dutasteride 2\plaque 2/@08 Dutastéride 0.5 mg_L Dopé/E8_02.tif </t>
  </si>
  <si>
    <t xml:space="preserve"> 64.6652 </t>
  </si>
  <si>
    <t xml:space="preserve">F:\images\2021-CHG-ACH-Dutasteride 2\plaque 2/@08 Dutastéride 0.5 mg_L Dopé/E8_03.tif </t>
  </si>
  <si>
    <t xml:space="preserve"> 10923.0968 </t>
  </si>
  <si>
    <t xml:space="preserve"> 64.9228 </t>
  </si>
  <si>
    <t xml:space="preserve">F:\images\2021-CHG-ACH-Dutasteride 2\plaque 2/@08 Dutastéride 0.5 mg_L Dopé/F8_01.tif </t>
  </si>
  <si>
    <t xml:space="preserve"> 63.3684 </t>
  </si>
  <si>
    <t xml:space="preserve">F:\images\2021-CHG-ACH-Dutasteride 2\plaque 2/@08 Dutastéride 0.5 mg_L Dopé/F8_02.tif </t>
  </si>
  <si>
    <t xml:space="preserve"> 62.8158 </t>
  </si>
  <si>
    <t xml:space="preserve">F:\images\2021-CHG-ACH-Dutasteride 2\plaque 2/@08 Dutastéride 0.5 mg_L Dopé/F8_03.tif </t>
  </si>
  <si>
    <t xml:space="preserve">F:\images\2021-CHG-ACH-Dutasteride 2\plaque 2/@08 Dutastéride 0.5 mg_L Dopé/G8_01.tif </t>
  </si>
  <si>
    <t xml:space="preserve">F:\images\2021-CHG-ACH-Dutasteride 2\plaque 2/@08 Dutastéride 0.5 mg_L Dopé/G8_02.tif </t>
  </si>
  <si>
    <t xml:space="preserve"> 63.8477 </t>
  </si>
  <si>
    <t xml:space="preserve">F:\images\2021-CHG-ACH-Dutasteride 2\plaque 2/@08 Dutastéride 0.5 mg_L Dopé/G8_03.tif </t>
  </si>
  <si>
    <t xml:space="preserve"> 62.625 </t>
  </si>
  <si>
    <t xml:space="preserve">F:\images\2021-CHG-ACH-Dutasteride 2\plaque 2/@08 Dutastéride 0.5 mg_L Dopé/H8_01.tif </t>
  </si>
  <si>
    <t xml:space="preserve"> 73.5361 </t>
  </si>
  <si>
    <t xml:space="preserve">F:\images\2021-CHG-ACH-Dutasteride 2\plaque 2/@08 Dutastéride 0.5 mg_L Dopé/H8_02.tif </t>
  </si>
  <si>
    <t xml:space="preserve"> 28767.7599 </t>
  </si>
  <si>
    <t xml:space="preserve"> 73.8323 </t>
  </si>
  <si>
    <t xml:space="preserve">F:\images\2021-CHG-ACH-Dutasteride 2\plaque 2/@08 Dutastéride 0.5 mg_L Dopé/H8_03.tif </t>
  </si>
  <si>
    <t xml:space="preserve"> 27513.226 </t>
  </si>
  <si>
    <t xml:space="preserve"> 73.5794 </t>
  </si>
  <si>
    <t xml:space="preserve">F:\images\2021-CHG-ACH-Dutasteride 2\plaque 2/@08 Dutastéride 0.5 mg_L Dopé/ </t>
  </si>
  <si>
    <t xml:space="preserve"> 68.2192 </t>
  </si>
  <si>
    <t xml:space="preserve"> 7.9974 </t>
  </si>
  <si>
    <t xml:space="preserve"> 574775.792 </t>
  </si>
  <si>
    <t xml:space="preserve"> 664247.077 </t>
  </si>
  <si>
    <t xml:space="preserve">F:\images\2021-CHG-ACH-Dutasteride 2\plaque 2/@09 Dutastéride 1mg_L Dopé/A9_01.tif </t>
  </si>
  <si>
    <t xml:space="preserve"> 65.344 </t>
  </si>
  <si>
    <t xml:space="preserve">F:\images\2021-CHG-ACH-Dutasteride 2\plaque 2/@09 Dutastéride 1mg_L Dopé/A9_02.tif </t>
  </si>
  <si>
    <t xml:space="preserve"> 1405.9432 </t>
  </si>
  <si>
    <t xml:space="preserve"> 63.1077 </t>
  </si>
  <si>
    <t xml:space="preserve">F:\images\2021-CHG-ACH-Dutasteride 2\plaque 2/@09 Dutastéride 1mg_L Dopé/A9_03.tif </t>
  </si>
  <si>
    <t xml:space="preserve"> 2941.6657 </t>
  </si>
  <si>
    <t xml:space="preserve"> 68.9632 </t>
  </si>
  <si>
    <t xml:space="preserve">F:\images\2021-CHG-ACH-Dutasteride 2\plaque 2/@09 Dutastéride 1mg_L Dopé/B9_01.tif </t>
  </si>
  <si>
    <t xml:space="preserve"> 43497.7181 </t>
  </si>
  <si>
    <t xml:space="preserve"> 73.812 </t>
  </si>
  <si>
    <t xml:space="preserve">F:\images\2021-CHG-ACH-Dutasteride 2\plaque 2/@09 Dutastéride 1mg_L Dopé/B9_02.tif </t>
  </si>
  <si>
    <t xml:space="preserve"> 44427.8036 </t>
  </si>
  <si>
    <t xml:space="preserve"> 71.3257 </t>
  </si>
  <si>
    <t xml:space="preserve">F:\images\2021-CHG-ACH-Dutasteride 2\plaque 2/@09 Dutastéride 1mg_L Dopé/B9_03.tif </t>
  </si>
  <si>
    <t xml:space="preserve"> 44471.0634 </t>
  </si>
  <si>
    <t xml:space="preserve"> 69.4134 </t>
  </si>
  <si>
    <t xml:space="preserve">F:\images\2021-CHG-ACH-Dutasteride 2\plaque 2/@09 Dutastéride 1mg_L Dopé/C9_01.tif </t>
  </si>
  <si>
    <t xml:space="preserve"> 40967.0204 </t>
  </si>
  <si>
    <t xml:space="preserve"> 71.8105 </t>
  </si>
  <si>
    <t xml:space="preserve">F:\images\2021-CHG-ACH-Dutasteride 2\plaque 2/@09 Dutastéride 1mg_L Dopé/C9_02.tif </t>
  </si>
  <si>
    <t xml:space="preserve"> 42827.1914 </t>
  </si>
  <si>
    <t xml:space="preserve"> 71.7677 </t>
  </si>
  <si>
    <t xml:space="preserve">F:\images\2021-CHG-ACH-Dutasteride 2\plaque 2/@09 Dutastéride 1mg_L Dopé/C9_03.tif </t>
  </si>
  <si>
    <t xml:space="preserve"> 38630.9918 </t>
  </si>
  <si>
    <t xml:space="preserve"> 70.9754 </t>
  </si>
  <si>
    <t xml:space="preserve">F:\images\2021-CHG-ACH-Dutasteride 2\plaque 2/@09 Dutastéride 1mg_L Dopé/D9_01.tif </t>
  </si>
  <si>
    <t xml:space="preserve"> 66.3738 </t>
  </si>
  <si>
    <t xml:space="preserve">F:\images\2021-CHG-ACH-Dutasteride 2\plaque 2/@09 Dutastéride 1mg_L Dopé/D9_02.tif </t>
  </si>
  <si>
    <t xml:space="preserve"> 65.8013 </t>
  </si>
  <si>
    <t xml:space="preserve">F:\images\2021-CHG-ACH-Dutasteride 2\plaque 2/@09 Dutastéride 1mg_L Dopé/D9_03.tif </t>
  </si>
  <si>
    <t xml:space="preserve"> 5147.9149 </t>
  </si>
  <si>
    <t xml:space="preserve"> 67.458 </t>
  </si>
  <si>
    <t xml:space="preserve">F:\images\2021-CHG-ACH-Dutasteride 2\plaque 2/@09 Dutastéride 1mg_L Dopé/E9_01.tif </t>
  </si>
  <si>
    <t xml:space="preserve"> 40318.1236 </t>
  </si>
  <si>
    <t xml:space="preserve"> 74.8927 </t>
  </si>
  <si>
    <t xml:space="preserve">F:\images\2021-CHG-ACH-Dutasteride 2\plaque 2/@09 Dutastéride 1mg_L Dopé/E9_02.tif </t>
  </si>
  <si>
    <t xml:space="preserve"> 36619.4116 </t>
  </si>
  <si>
    <t xml:space="preserve"> 73.3656 </t>
  </si>
  <si>
    <t xml:space="preserve">F:\images\2021-CHG-ACH-Dutasteride 2\plaque 2/@09 Dutastéride 1mg_L Dopé/E9_03.tif </t>
  </si>
  <si>
    <t xml:space="preserve"> 33591.2264 </t>
  </si>
  <si>
    <t xml:space="preserve"> 74.915 </t>
  </si>
  <si>
    <t xml:space="preserve">F:\images\2021-CHG-ACH-Dutasteride 2\plaque 2/@09 Dutastéride 1mg_L Dopé/F9_01.tif </t>
  </si>
  <si>
    <t xml:space="preserve"> 35105.319 </t>
  </si>
  <si>
    <t xml:space="preserve"> 70.6839 </t>
  </si>
  <si>
    <t xml:space="preserve">F:\images\2021-CHG-ACH-Dutasteride 2\plaque 2/@09 Dutastéride 1mg_L Dopé/F9_02.tif </t>
  </si>
  <si>
    <t xml:space="preserve"> 39799.0061 </t>
  </si>
  <si>
    <t xml:space="preserve"> 71.006 </t>
  </si>
  <si>
    <t xml:space="preserve">F:\images\2021-CHG-ACH-Dutasteride 2\plaque 2/@09 Dutastéride 1mg_L Dopé/F9_03.tif </t>
  </si>
  <si>
    <t xml:space="preserve"> 28616.3506 </t>
  </si>
  <si>
    <t xml:space="preserve"> 66.2003 </t>
  </si>
  <si>
    <t xml:space="preserve">F:\images\2021-CHG-ACH-Dutasteride 2\plaque 2/@09 Dutastéride 1mg_L Dopé/G9_01.tif </t>
  </si>
  <si>
    <t xml:space="preserve"> 47564.1383 </t>
  </si>
  <si>
    <t xml:space="preserve"> 71.6653 </t>
  </si>
  <si>
    <t xml:space="preserve">F:\images\2021-CHG-ACH-Dutasteride 2\plaque 2/@09 Dutastéride 1mg_L Dopé/G9_02.tif </t>
  </si>
  <si>
    <t xml:space="preserve"> 46266.3446 </t>
  </si>
  <si>
    <t xml:space="preserve"> 72.619 </t>
  </si>
  <si>
    <t xml:space="preserve">F:\images\2021-CHG-ACH-Dutasteride 2\plaque 2/@09 Dutastéride 1mg_L Dopé/G9_03.tif </t>
  </si>
  <si>
    <t xml:space="preserve"> 40599.3122 </t>
  </si>
  <si>
    <t xml:space="preserve"> 71.8348 </t>
  </si>
  <si>
    <t xml:space="preserve">F:\images\2021-CHG-ACH-Dutasteride 2\plaque 2/@09 Dutastéride 1mg_L Dopé/H9_01.tif </t>
  </si>
  <si>
    <t xml:space="preserve"> 19337.1258 </t>
  </si>
  <si>
    <t xml:space="preserve"> 68.7506 </t>
  </si>
  <si>
    <t xml:space="preserve">F:\images\2021-CHG-ACH-Dutasteride 2\plaque 2/@09 Dutastéride 1mg_L Dopé/H9_02.tif </t>
  </si>
  <si>
    <t xml:space="preserve"> 17368.8054 </t>
  </si>
  <si>
    <t xml:space="preserve"> 67.5031 </t>
  </si>
  <si>
    <t xml:space="preserve">F:\images\2021-CHG-ACH-Dutasteride 2\plaque 2/@09 Dutastéride 1mg_L Dopé/H9_03.tif </t>
  </si>
  <si>
    <t xml:space="preserve"> 65.8597 </t>
  </si>
  <si>
    <t xml:space="preserve">F:\images\2021-CHG-ACH-Dutasteride 2\plaque 2/@09 Dutastéride 1mg_L Dopé/ </t>
  </si>
  <si>
    <t xml:space="preserve"> 69.8104 </t>
  </si>
  <si>
    <t xml:space="preserve"> 3.2564 </t>
  </si>
  <si>
    <t xml:space="preserve"> 1998760.88 </t>
  </si>
  <si>
    <t xml:space="preserve"> 1243302.01 </t>
  </si>
  <si>
    <t xml:space="preserve">F:\images\2021-CHG-ACH-Dutasteride 3\plaque 1/@01 Evian + 0.2% DMSO/A1_01.tif </t>
  </si>
  <si>
    <t xml:space="preserve"> 4499.0181 </t>
  </si>
  <si>
    <t xml:space="preserve"> 70.5673 </t>
  </si>
  <si>
    <t xml:space="preserve">F:\images\2021-CHG-ACH-Dutasteride 3\plaque 1/@01 Evian + 0.2% DMSO/A1_02.tif </t>
  </si>
  <si>
    <t xml:space="preserve"> 74.0314 </t>
  </si>
  <si>
    <t xml:space="preserve">F:\images\2021-CHG-ACH-Dutasteride 3\plaque 1/@01 Evian + 0.2% DMSO/A1_03.tif </t>
  </si>
  <si>
    <t xml:space="preserve"> 74.6488 </t>
  </si>
  <si>
    <t xml:space="preserve">F:\images\2021-CHG-ACH-Dutasteride 3\plaque 1/@01 Evian + 0.2% DMSO/B1_01.tif </t>
  </si>
  <si>
    <t xml:space="preserve"> 66.2115 </t>
  </si>
  <si>
    <t xml:space="preserve">F:\images\2021-CHG-ACH-Dutasteride 3\plaque 1/@01 Evian + 0.2% DMSO/B1_02.tif </t>
  </si>
  <si>
    <t xml:space="preserve"> 67.5417 </t>
  </si>
  <si>
    <t xml:space="preserve">F:\images\2021-CHG-ACH-Dutasteride 3\plaque 1/@01 Evian + 0.2% DMSO/B1_03.tif </t>
  </si>
  <si>
    <t xml:space="preserve"> 66.3413 </t>
  </si>
  <si>
    <t xml:space="preserve">F:\images\2021-CHG-ACH-Dutasteride 3\plaque 1/@01 Evian + 0.2% DMSO/C1_01.tif </t>
  </si>
  <si>
    <t xml:space="preserve"> 66.3433 </t>
  </si>
  <si>
    <t xml:space="preserve">F:\images\2021-CHG-ACH-Dutasteride 3\plaque 1/@01 Evian + 0.2% DMSO/C1_02.tif </t>
  </si>
  <si>
    <t xml:space="preserve"> 64.0851 </t>
  </si>
  <si>
    <t xml:space="preserve">F:\images\2021-CHG-ACH-Dutasteride 3\plaque 1/@01 Evian + 0.2% DMSO/C1_03.tif </t>
  </si>
  <si>
    <t xml:space="preserve"> 67.0787 </t>
  </si>
  <si>
    <t xml:space="preserve">F:\images\2021-CHG-ACH-Dutasteride 3\plaque 1/@01 Evian + 0.2% DMSO/D1_01.tif </t>
  </si>
  <si>
    <t xml:space="preserve"> 69.1389 </t>
  </si>
  <si>
    <t xml:space="preserve">F:\images\2021-CHG-ACH-Dutasteride 3\plaque 1/@01 Evian + 0.2% DMSO/D1_02.tif </t>
  </si>
  <si>
    <t xml:space="preserve"> 65.3582 </t>
  </si>
  <si>
    <t xml:space="preserve">F:\images\2021-CHG-ACH-Dutasteride 3\plaque 1/@01 Evian + 0.2% DMSO/D1_03.tif </t>
  </si>
  <si>
    <t xml:space="preserve"> 62.6111 </t>
  </si>
  <si>
    <t xml:space="preserve">F:\images\2021-CHG-ACH-Dutasteride 3\plaque 1/@01 Evian + 0.2% DMSO/E1_01.tif </t>
  </si>
  <si>
    <t xml:space="preserve">F:\images\2021-CHG-ACH-Dutasteride 3\plaque 1/@01 Evian + 0.2% DMSO/E1_02.tif </t>
  </si>
  <si>
    <t xml:space="preserve">F:\images\2021-CHG-ACH-Dutasteride 3\plaque 1/@01 Evian + 0.2% DMSO/E1_03.tif </t>
  </si>
  <si>
    <t xml:space="preserve"> 67.8113 </t>
  </si>
  <si>
    <t xml:space="preserve">F:\images\2021-CHG-ACH-Dutasteride 3\plaque 1/@01 Evian + 0.2% DMSO/F1_01.tif </t>
  </si>
  <si>
    <t xml:space="preserve"> 61.9091 </t>
  </si>
  <si>
    <t xml:space="preserve">F:\images\2021-CHG-ACH-Dutasteride 3\plaque 1/@01 Evian + 0.2% DMSO/F1_02.tif </t>
  </si>
  <si>
    <t xml:space="preserve"> 66.12 </t>
  </si>
  <si>
    <t xml:space="preserve">F:\images\2021-CHG-ACH-Dutasteride 3\plaque 1/@01 Evian + 0.2% DMSO/F1_03.tif </t>
  </si>
  <si>
    <t xml:space="preserve"> 66.0909 </t>
  </si>
  <si>
    <t xml:space="preserve">F:\images\2021-CHG-ACH-Dutasteride 3\plaque 1/@01 Evian + 0.2% DMSO/G1_01.tif </t>
  </si>
  <si>
    <t xml:space="preserve"> 63.8246 </t>
  </si>
  <si>
    <t xml:space="preserve">F:\images\2021-CHG-ACH-Dutasteride 3\plaque 1/@01 Evian + 0.2% DMSO/G1_02.tif </t>
  </si>
  <si>
    <t xml:space="preserve"> 61.7273 </t>
  </si>
  <si>
    <t xml:space="preserve">F:\images\2021-CHG-ACH-Dutasteride 3\plaque 1/@01 Evian + 0.2% DMSO/G1_03.tif </t>
  </si>
  <si>
    <t xml:space="preserve"> 62.8519 </t>
  </si>
  <si>
    <t xml:space="preserve">F:\images\2021-CHG-ACH-Dutasteride 3\plaque 1/@01 Evian + 0.2% DMSO/H1_01.tif </t>
  </si>
  <si>
    <t xml:space="preserve"> 65.16 </t>
  </si>
  <si>
    <t xml:space="preserve">F:\images\2021-CHG-ACH-Dutasteride 3\plaque 1/@01 Evian + 0.2% DMSO/H1_02.tif </t>
  </si>
  <si>
    <t xml:space="preserve"> 67.7917 </t>
  </si>
  <si>
    <t xml:space="preserve">F:\images\2021-CHG-ACH-Dutasteride 3\plaque 1/@01 Evian + 0.2% DMSO/H1_03.tif </t>
  </si>
  <si>
    <t xml:space="preserve">F:\images\2021-CHG-ACH-Dutasteride 3\plaque 1/@01 Evian + 0.2% DMSO/ </t>
  </si>
  <si>
    <t xml:space="preserve"> 66.28 </t>
  </si>
  <si>
    <t xml:space="preserve"> 3.3268 </t>
  </si>
  <si>
    <t xml:space="preserve"> 135926.792 </t>
  </si>
  <si>
    <t xml:space="preserve"> 170988.741 </t>
  </si>
  <si>
    <t xml:space="preserve">F:\images\2021-CHG-ACH-Dutasteride 3\plaque 1/@02 EE2 33.8/A2_01.tif </t>
  </si>
  <si>
    <t xml:space="preserve"> 64.717 </t>
  </si>
  <si>
    <t xml:space="preserve">F:\images\2021-CHG-ACH-Dutasteride 3\plaque 1/@02 EE2 33.8/A2_02.tif </t>
  </si>
  <si>
    <t xml:space="preserve"> 63.5714 </t>
  </si>
  <si>
    <t xml:space="preserve">F:\images\2021-CHG-ACH-Dutasteride 3\plaque 1/@02 EE2 33.8/A2_03.tif </t>
  </si>
  <si>
    <t xml:space="preserve"> 70.3464 </t>
  </si>
  <si>
    <t xml:space="preserve">F:\images\2021-CHG-ACH-Dutasteride 3\plaque 1/@02 EE2 33.8/B2_01.tif </t>
  </si>
  <si>
    <t xml:space="preserve"> 69.1053 </t>
  </si>
  <si>
    <t xml:space="preserve">F:\images\2021-CHG-ACH-Dutasteride 3\plaque 1/@02 EE2 33.8/B2_02.tif </t>
  </si>
  <si>
    <t xml:space="preserve"> 71.1474 </t>
  </si>
  <si>
    <t xml:space="preserve">F:\images\2021-CHG-ACH-Dutasteride 3\plaque 1/@02 EE2 33.8/B2_03.tif </t>
  </si>
  <si>
    <t xml:space="preserve"> 71.5655 </t>
  </si>
  <si>
    <t xml:space="preserve">F:\images\2021-CHG-ACH-Dutasteride 3\plaque 1/@02 EE2 33.8/C2_01.tif </t>
  </si>
  <si>
    <t xml:space="preserve"> 65.1736 </t>
  </si>
  <si>
    <t xml:space="preserve">F:\images\2021-CHG-ACH-Dutasteride 3\plaque 1/@02 EE2 33.8/C2_02.tif </t>
  </si>
  <si>
    <t xml:space="preserve"> 73.0469 </t>
  </si>
  <si>
    <t xml:space="preserve">F:\images\2021-CHG-ACH-Dutasteride 3\plaque 1/@02 EE2 33.8/C2_03.tif </t>
  </si>
  <si>
    <t xml:space="preserve"> 4261.0892 </t>
  </si>
  <si>
    <t xml:space="preserve">F:\images\2021-CHG-ACH-Dutasteride 3\plaque 1/@02 EE2 33.8/D2_01.tif </t>
  </si>
  <si>
    <t xml:space="preserve"> 64.0577 </t>
  </si>
  <si>
    <t xml:space="preserve">F:\images\2021-CHG-ACH-Dutasteride 3\plaque 1/@02 EE2 33.8/D2_02.tif </t>
  </si>
  <si>
    <t xml:space="preserve"> 64.8611 </t>
  </si>
  <si>
    <t xml:space="preserve">F:\images\2021-CHG-ACH-Dutasteride 3\plaque 1/@02 EE2 33.8/D2_03.tif </t>
  </si>
  <si>
    <t xml:space="preserve"> 63.6023 </t>
  </si>
  <si>
    <t xml:space="preserve">F:\images\2021-CHG-ACH-Dutasteride 3\plaque 1/@02 EE2 33.8/E2_01.tif </t>
  </si>
  <si>
    <t xml:space="preserve">F:\images\2021-CHG-ACH-Dutasteride 3\plaque 1/@02 EE2 33.8/E2_02.tif </t>
  </si>
  <si>
    <t xml:space="preserve"> 65.25 </t>
  </si>
  <si>
    <t xml:space="preserve">F:\images\2021-CHG-ACH-Dutasteride 3\plaque 1/@02 EE2 33.8/E2_03.tif </t>
  </si>
  <si>
    <t xml:space="preserve"> 63.1667 </t>
  </si>
  <si>
    <t xml:space="preserve">F:\images\2021-CHG-ACH-Dutasteride 3\plaque 1/@02 EE2 33.8/F2_01.tif </t>
  </si>
  <si>
    <t xml:space="preserve"> 5796.8118 </t>
  </si>
  <si>
    <t xml:space="preserve"> 77.6679 </t>
  </si>
  <si>
    <t xml:space="preserve">F:\images\2021-CHG-ACH-Dutasteride 3\plaque 1/@02 EE2 33.8/F2_02.tif </t>
  </si>
  <si>
    <t xml:space="preserve"> 69.4043 </t>
  </si>
  <si>
    <t xml:space="preserve">F:\images\2021-CHG-ACH-Dutasteride 3\plaque 1/@02 EE2 33.8/F2_03.tif </t>
  </si>
  <si>
    <t xml:space="preserve"> 71.9396 </t>
  </si>
  <si>
    <t>F:\images\2021-CHG-ACH-Dutasteride 3\plaque 1/@02 EE2 33.8/G2_01- exclu.tif</t>
  </si>
  <si>
    <t>F:\images\2021-CHG-ACH-Dutasteride 3\plaque 1/@02 EE2 33.8/G2_02- exclu.tif</t>
  </si>
  <si>
    <t xml:space="preserve">F:\images\2021-CHG-ACH-Dutasteride 3\plaque 1/@02 EE2 33.8/G2_03.tif </t>
  </si>
  <si>
    <t xml:space="preserve">F:\images\2021-CHG-ACH-Dutasteride 3\plaque 1/@02 EE2 33.8/H2_01.tif </t>
  </si>
  <si>
    <t xml:space="preserve">F:\images\2021-CHG-ACH-Dutasteride 3\plaque 1/@02 EE2 33.8/H2_02.tif </t>
  </si>
  <si>
    <t xml:space="preserve">F:\images\2021-CHG-ACH-Dutasteride 3\plaque 1/@02 EE2 33.8/H2_03.tif </t>
  </si>
  <si>
    <t xml:space="preserve"> 63.2727 </t>
  </si>
  <si>
    <t xml:space="preserve">F:\images\2021-CHG-ACH-Dutasteride 3\plaque 1/@02 EE2 33.8/ </t>
  </si>
  <si>
    <t xml:space="preserve"> 66.6974 </t>
  </si>
  <si>
    <t xml:space="preserve"> 4.1651 </t>
  </si>
  <si>
    <t xml:space="preserve"> 163104.833 </t>
  </si>
  <si>
    <t xml:space="preserve"> 175541.187 </t>
  </si>
  <si>
    <t xml:space="preserve">F:\images\2021-CHG-ACH-Dutasteride 3\plaque 1/@03 EE2 50.6/A3_01.tif </t>
  </si>
  <si>
    <t xml:space="preserve"> 65.0244 </t>
  </si>
  <si>
    <t xml:space="preserve">F:\images\2021-CHG-ACH-Dutasteride 3\plaque 1/@03 EE2 50.6/A3_02.tif </t>
  </si>
  <si>
    <t xml:space="preserve"> 64.3871 </t>
  </si>
  <si>
    <t xml:space="preserve">F:\images\2021-CHG-ACH-Dutasteride 3\plaque 1/@03 EE2 50.6/A3_03.tif </t>
  </si>
  <si>
    <t xml:space="preserve"> 64.2553 </t>
  </si>
  <si>
    <t xml:space="preserve">F:\images\2021-CHG-ACH-Dutasteride 3\plaque 1/@03 EE2 50.6/B3_01.tif </t>
  </si>
  <si>
    <t xml:space="preserve"> 36035.4045 </t>
  </si>
  <si>
    <t xml:space="preserve"> 105.4424 </t>
  </si>
  <si>
    <t xml:space="preserve">F:\images\2021-CHG-ACH-Dutasteride 3\plaque 1/@03 EE2 50.6/B3_02.tif </t>
  </si>
  <si>
    <t xml:space="preserve"> 52885.0924 </t>
  </si>
  <si>
    <t xml:space="preserve"> 109.7121 </t>
  </si>
  <si>
    <t xml:space="preserve">F:\images\2021-CHG-ACH-Dutasteride 3\plaque 1/@03 EE2 50.6/B3_03.tif </t>
  </si>
  <si>
    <t xml:space="preserve"> 64.3077 </t>
  </si>
  <si>
    <t xml:space="preserve">F:\images\2021-CHG-ACH-Dutasteride 3\plaque 1/@03 EE2 50.6/C3_01.tif </t>
  </si>
  <si>
    <t xml:space="preserve">F:\images\2021-CHG-ACH-Dutasteride 3\plaque 1/@03 EE2 50.6/C3_02.tif </t>
  </si>
  <si>
    <t xml:space="preserve">F:\images\2021-CHG-ACH-Dutasteride 3\plaque 1/@03 EE2 50.6/C3_03.tif </t>
  </si>
  <si>
    <t xml:space="preserve"> 65.493 </t>
  </si>
  <si>
    <t xml:space="preserve">F:\images\2021-CHG-ACH-Dutasteride 3\plaque 1/@03 EE2 50.6/D3_01.tif </t>
  </si>
  <si>
    <t xml:space="preserve"> 5299.3242 </t>
  </si>
  <si>
    <t xml:space="preserve"> 79.3469 </t>
  </si>
  <si>
    <t xml:space="preserve">F:\images\2021-CHG-ACH-Dutasteride 3\plaque 1/@03 EE2 50.6/D3_02.tif </t>
  </si>
  <si>
    <t xml:space="preserve">F:\images\2021-CHG-ACH-Dutasteride 3\plaque 1/@03 EE2 50.6/D3_03.tif </t>
  </si>
  <si>
    <t xml:space="preserve"> 64.0476 </t>
  </si>
  <si>
    <t xml:space="preserve">F:\images\2021-CHG-ACH-Dutasteride 3\plaque 1/@03 EE2 50.6/E3_01.tif </t>
  </si>
  <si>
    <t xml:space="preserve">F:\images\2021-CHG-ACH-Dutasteride 3\plaque 1/@03 EE2 50.6/E3_02.tif </t>
  </si>
  <si>
    <t xml:space="preserve">F:\images\2021-CHG-ACH-Dutasteride 3\plaque 1/@03 EE2 50.6/E3_03.tif </t>
  </si>
  <si>
    <t xml:space="preserve"> 62.2857 </t>
  </si>
  <si>
    <t xml:space="preserve">F:\images\2021-CHG-ACH-Dutasteride 3\plaque 1/@03 EE2 50.6/F3_01.tif </t>
  </si>
  <si>
    <t xml:space="preserve"> 66.8049 </t>
  </si>
  <si>
    <t xml:space="preserve">F:\images\2021-CHG-ACH-Dutasteride 3\plaque 1/@03 EE2 50.6/F3_02.tif </t>
  </si>
  <si>
    <t xml:space="preserve"> 67.4607 </t>
  </si>
  <si>
    <t xml:space="preserve">F:\images\2021-CHG-ACH-Dutasteride 3\plaque 1/@03 EE2 50.6/F3_03.tif </t>
  </si>
  <si>
    <t xml:space="preserve"> 64.0714 </t>
  </si>
  <si>
    <t xml:space="preserve">F:\images\2021-CHG-ACH-Dutasteride 3\plaque 1/@03 EE2 50.6/G3_01.tif </t>
  </si>
  <si>
    <t xml:space="preserve"> 10295.8298 </t>
  </si>
  <si>
    <t xml:space="preserve"> 77.687 </t>
  </si>
  <si>
    <t xml:space="preserve">F:\images\2021-CHG-ACH-Dutasteride 3\plaque 1/@03 EE2 50.6/G3_02.tif </t>
  </si>
  <si>
    <t xml:space="preserve"> 9776.7124 </t>
  </si>
  <si>
    <t xml:space="preserve"> 68.6571 </t>
  </si>
  <si>
    <t xml:space="preserve">F:\images\2021-CHG-ACH-Dutasteride 3\plaque 1/@03 EE2 50.6/G3_03.tif </t>
  </si>
  <si>
    <t xml:space="preserve"> 67.4821 </t>
  </si>
  <si>
    <t xml:space="preserve">F:\images\2021-CHG-ACH-Dutasteride 3\plaque 1/@03 EE2 50.6/H3_01.tif </t>
  </si>
  <si>
    <t xml:space="preserve"> 65.0455 </t>
  </si>
  <si>
    <t xml:space="preserve">F:\images\2021-CHG-ACH-Dutasteride 3\plaque 1/@03 EE2 50.6/H3_02.tif </t>
  </si>
  <si>
    <t xml:space="preserve"> 68.1792 </t>
  </si>
  <si>
    <t xml:space="preserve">F:\images\2021-CHG-ACH-Dutasteride 3\plaque 1/@03 EE2 50.6/H3_03.tif </t>
  </si>
  <si>
    <t xml:space="preserve"> 64.5652 </t>
  </si>
  <si>
    <t xml:space="preserve">F:\images\2021-CHG-ACH-Dutasteride 3\plaque 1/@03 EE2 50.6/ </t>
  </si>
  <si>
    <t xml:space="preserve"> 69.7461 </t>
  </si>
  <si>
    <t xml:space="preserve"> 12.375 </t>
  </si>
  <si>
    <t xml:space="preserve"> 548812.667 </t>
  </si>
  <si>
    <t xml:space="preserve"> 1357413.63 </t>
  </si>
  <si>
    <t xml:space="preserve">F:\images\2021-CHG-ACH-Dutasteride 3\plaque 1/@04 EE2 76/A4_01.tif </t>
  </si>
  <si>
    <t xml:space="preserve"> 65.4186 </t>
  </si>
  <si>
    <t xml:space="preserve">F:\images\2021-CHG-ACH-Dutasteride 3\plaque 1/@04 EE2 76/A4_02.tif </t>
  </si>
  <si>
    <t xml:space="preserve"> 63.0769 </t>
  </si>
  <si>
    <t xml:space="preserve">F:\images\2021-CHG-ACH-Dutasteride 3\plaque 1/@04 EE2 76/A4_03.tif </t>
  </si>
  <si>
    <t xml:space="preserve"> 65.9007 </t>
  </si>
  <si>
    <t xml:space="preserve">F:\images\2021-CHG-ACH-Dutasteride 3\plaque 1/@04 EE2 76/B4_01.tif </t>
  </si>
  <si>
    <t xml:space="preserve"> 64.8824 </t>
  </si>
  <si>
    <t xml:space="preserve">F:\images\2021-CHG-ACH-Dutasteride 3\plaque 1/@04 EE2 76/B4_02.tif </t>
  </si>
  <si>
    <t xml:space="preserve"> 2054.84 </t>
  </si>
  <si>
    <t xml:space="preserve"> 64.7368 </t>
  </si>
  <si>
    <t xml:space="preserve">F:\images\2021-CHG-ACH-Dutasteride 3\plaque 1/@04 EE2 76/B4_03.tif </t>
  </si>
  <si>
    <t xml:space="preserve"> 3352.6337 </t>
  </si>
  <si>
    <t xml:space="preserve"> 66.0645 </t>
  </si>
  <si>
    <t xml:space="preserve">F:\images\2021-CHG-ACH-Dutasteride 3\plaque 1/@04 EE2 76/C4_01.tif </t>
  </si>
  <si>
    <t xml:space="preserve"> 63.6038 </t>
  </si>
  <si>
    <t xml:space="preserve">F:\images\2021-CHG-ACH-Dutasteride 3\plaque 1/@04 EE2 76/C4_02.tif </t>
  </si>
  <si>
    <t xml:space="preserve"> 63.5066 </t>
  </si>
  <si>
    <t xml:space="preserve">F:\images\2021-CHG-ACH-Dutasteride 3\plaque 1/@04 EE2 76/C4_03.tif </t>
  </si>
  <si>
    <t xml:space="preserve"> 69.1844 </t>
  </si>
  <si>
    <t xml:space="preserve">F:\images\2021-CHG-ACH-Dutasteride 3\plaque 1/@04 EE2 76/D4_01.tif </t>
  </si>
  <si>
    <t xml:space="preserve"> 9560.4134 </t>
  </si>
  <si>
    <t xml:space="preserve"> 64.2624 </t>
  </si>
  <si>
    <t xml:space="preserve">F:\images\2021-CHG-ACH-Dutasteride 3\plaque 1/@04 EE2 76/D4_02.tif </t>
  </si>
  <si>
    <t xml:space="preserve"> 66.8213 </t>
  </si>
  <si>
    <t xml:space="preserve">F:\images\2021-CHG-ACH-Dutasteride 3\plaque 1/@04 EE2 76/D4_03.tif </t>
  </si>
  <si>
    <t xml:space="preserve"> 9149.4454 </t>
  </si>
  <si>
    <t xml:space="preserve"> 64.7139 </t>
  </si>
  <si>
    <t xml:space="preserve">F:\images\2021-CHG-ACH-Dutasteride 3\plaque 1/@04 EE2 76/E4_01.tif </t>
  </si>
  <si>
    <t xml:space="preserve"> 73.1601 </t>
  </si>
  <si>
    <t xml:space="preserve">F:\images\2021-CHG-ACH-Dutasteride 3\plaque 1/@04 EE2 76/E4_02.tif </t>
  </si>
  <si>
    <t xml:space="preserve"> 10706.7978 </t>
  </si>
  <si>
    <t xml:space="preserve"> 70.3778 </t>
  </si>
  <si>
    <t xml:space="preserve">F:\images\2021-CHG-ACH-Dutasteride 3\plaque 1/@04 EE2 76/E4_03.tif </t>
  </si>
  <si>
    <t xml:space="preserve"> 73.0983 </t>
  </si>
  <si>
    <t xml:space="preserve">F:\images\2021-CHG-ACH-Dutasteride 3\plaque 1/@04 EE2 76/F4_01.tif </t>
  </si>
  <si>
    <t xml:space="preserve"> 7851.6518 </t>
  </si>
  <si>
    <t xml:space="preserve"> 72.8264 </t>
  </si>
  <si>
    <t xml:space="preserve">F:\images\2021-CHG-ACH-Dutasteride 3\plaque 1/@04 EE2 76/F4_02.tif </t>
  </si>
  <si>
    <t xml:space="preserve"> 71.7508 </t>
  </si>
  <si>
    <t xml:space="preserve">F:\images\2021-CHG-ACH-Dutasteride 3\plaque 1/@04 EE2 76/F4_03.tif </t>
  </si>
  <si>
    <t xml:space="preserve"> 6597.1179 </t>
  </si>
  <si>
    <t xml:space="preserve"> 68.0492 </t>
  </si>
  <si>
    <t xml:space="preserve">F:\images\2021-CHG-ACH-Dutasteride 3\plaque 1/@04 EE2 76/G4_01.tif </t>
  </si>
  <si>
    <t xml:space="preserve"> 8630.328 </t>
  </si>
  <si>
    <t xml:space="preserve"> 66.4887 </t>
  </si>
  <si>
    <t xml:space="preserve">F:\images\2021-CHG-ACH-Dutasteride 3\plaque 1/@04 EE2 76/G4_02.tif </t>
  </si>
  <si>
    <t xml:space="preserve"> 6013.1107 </t>
  </si>
  <si>
    <t xml:space="preserve"> 64.7014 </t>
  </si>
  <si>
    <t xml:space="preserve">F:\images\2021-CHG-ACH-Dutasteride 3\plaque 1/@04 EE2 76/G4_03.tif </t>
  </si>
  <si>
    <t xml:space="preserve"> 63.9736 </t>
  </si>
  <si>
    <t xml:space="preserve">F:\images\2021-CHG-ACH-Dutasteride 3\plaque 1/@04 EE2 76/H4_01.tif </t>
  </si>
  <si>
    <t xml:space="preserve"> 5385.8438 </t>
  </si>
  <si>
    <t xml:space="preserve"> 63.6827 </t>
  </si>
  <si>
    <t xml:space="preserve">F:\images\2021-CHG-ACH-Dutasteride 3\plaque 1/@04 EE2 76/H4_02.tif </t>
  </si>
  <si>
    <t xml:space="preserve"> 5731.9221 </t>
  </si>
  <si>
    <t xml:space="preserve"> 64.117 </t>
  </si>
  <si>
    <t xml:space="preserve">F:\images\2021-CHG-ACH-Dutasteride 3\plaque 1/@04 EE2 76/H4_03.tif </t>
  </si>
  <si>
    <t xml:space="preserve"> 64.3931 </t>
  </si>
  <si>
    <t xml:space="preserve">F:\images\2021-CHG-ACH-Dutasteride 3\plaque 1/@04 EE2 76/ </t>
  </si>
  <si>
    <t xml:space="preserve"> 66.6163 </t>
  </si>
  <si>
    <t xml:space="preserve"> 3.312 </t>
  </si>
  <si>
    <t xml:space="preserve"> 403452.458 </t>
  </si>
  <si>
    <t xml:space="preserve"> 235262.071 </t>
  </si>
  <si>
    <t xml:space="preserve">F:\images\2021-CHG-ACH-Dutasteride 3\plaque 1/@05 EE2 114/A5_01.tif </t>
  </si>
  <si>
    <t xml:space="preserve"> 67.4357 </t>
  </si>
  <si>
    <t xml:space="preserve">F:\images\2021-CHG-ACH-Dutasteride 3\plaque 1/@05 EE2 114/A5_02.tif </t>
  </si>
  <si>
    <t xml:space="preserve"> 23922.6635 </t>
  </si>
  <si>
    <t xml:space="preserve"> 67.6157 </t>
  </si>
  <si>
    <t xml:space="preserve">F:\images\2021-CHG-ACH-Dutasteride 3\plaque 1/@05 EE2 114/A5_03.tif </t>
  </si>
  <si>
    <t xml:space="preserve"> 17866.293 </t>
  </si>
  <si>
    <t xml:space="preserve"> 66.5182 </t>
  </si>
  <si>
    <t xml:space="preserve">F:\images\2021-CHG-ACH-Dutasteride 3\plaque 1/@05 EE2 114/B5_01.tif </t>
  </si>
  <si>
    <t xml:space="preserve"> 15768.1932 </t>
  </si>
  <si>
    <t xml:space="preserve"> 81.7503 </t>
  </si>
  <si>
    <t xml:space="preserve">F:\images\2021-CHG-ACH-Dutasteride 3\plaque 1/@05 EE2 114/B5_02.tif </t>
  </si>
  <si>
    <t xml:space="preserve"> 10360.7195 </t>
  </si>
  <si>
    <t xml:space="preserve"> 65.5929 </t>
  </si>
  <si>
    <t xml:space="preserve">F:\images\2021-CHG-ACH-Dutasteride 3\plaque 1/@05 EE2 114/B5_03.tif </t>
  </si>
  <si>
    <t xml:space="preserve"> 13691.7233 </t>
  </si>
  <si>
    <t xml:space="preserve"> 67.782 </t>
  </si>
  <si>
    <t xml:space="preserve">F:\images\2021-CHG-ACH-Dutasteride 3\plaque 1/@05 EE2 114/C5_01.tif </t>
  </si>
  <si>
    <t xml:space="preserve"> 65.3253 </t>
  </si>
  <si>
    <t xml:space="preserve">F:\images\2021-CHG-ACH-Dutasteride 3\plaque 1/@05 EE2 114/C5_02.tif </t>
  </si>
  <si>
    <t xml:space="preserve"> 18493.5599 </t>
  </si>
  <si>
    <t xml:space="preserve"> 65.5848 </t>
  </si>
  <si>
    <t xml:space="preserve">F:\images\2021-CHG-ACH-Dutasteride 3\plaque 1/@05 EE2 114/C5_03.tif </t>
  </si>
  <si>
    <t xml:space="preserve"> 24333.6315 </t>
  </si>
  <si>
    <t xml:space="preserve"> 65.6018 </t>
  </si>
  <si>
    <t xml:space="preserve">F:\images\2021-CHG-ACH-Dutasteride 3\plaque 1/@05 EE2 114/D5_01.tif </t>
  </si>
  <si>
    <t xml:space="preserve"> 72.3852 </t>
  </si>
  <si>
    <t xml:space="preserve">F:\images\2021-CHG-ACH-Dutasteride 3\plaque 1/@05 EE2 114/D5_02.tif </t>
  </si>
  <si>
    <t xml:space="preserve"> 22192.2719 </t>
  </si>
  <si>
    <t xml:space="preserve"> 70.8899 </t>
  </si>
  <si>
    <t xml:space="preserve">F:\images\2021-CHG-ACH-Dutasteride 3\plaque 1/@05 EE2 114/D5_03.tif </t>
  </si>
  <si>
    <t xml:space="preserve"> 17649.994 </t>
  </si>
  <si>
    <t xml:space="preserve"> 72.6532 </t>
  </si>
  <si>
    <t xml:space="preserve">F:\images\2021-CHG-ACH-Dutasteride 3\plaque 1/@05 EE2 114/E5_01.tif </t>
  </si>
  <si>
    <t xml:space="preserve"> 2098.0998 </t>
  </si>
  <si>
    <t xml:space="preserve"> 63.5876 </t>
  </si>
  <si>
    <t xml:space="preserve">F:\images\2021-CHG-ACH-Dutasteride 3\plaque 1/@05 EE2 114/E5_02.tif </t>
  </si>
  <si>
    <t xml:space="preserve"> 62.5631 </t>
  </si>
  <si>
    <t xml:space="preserve">F:\images\2021-CHG-ACH-Dutasteride 3\plaque 1/@05 EE2 114/E5_03.tif </t>
  </si>
  <si>
    <t xml:space="preserve"> 67.361 </t>
  </si>
  <si>
    <t xml:space="preserve">F:\images\2021-CHG-ACH-Dutasteride 3\plaque 1/@05 EE2 114/F5_01.tif </t>
  </si>
  <si>
    <t xml:space="preserve"> 71.1725 </t>
  </si>
  <si>
    <t>F:\images\2021-CHG-ACH-Dutasteride 3\plaque 1/@05 EE2 114/F5_02- exclu.tif</t>
  </si>
  <si>
    <t>F:\images\2021-CHG-ACH-Dutasteride 3\plaque 1/@05 EE2 114/F5_03- exclu.tif</t>
  </si>
  <si>
    <t xml:space="preserve">F:\images\2021-CHG-ACH-Dutasteride 3\plaque 1/@05 EE2 114/G5_01.tif </t>
  </si>
  <si>
    <t xml:space="preserve"> 23836.1439 </t>
  </si>
  <si>
    <t xml:space="preserve"> 65.7314 </t>
  </si>
  <si>
    <t xml:space="preserve">F:\images\2021-CHG-ACH-Dutasteride 3\plaque 1/@05 EE2 114/G5_02.tif </t>
  </si>
  <si>
    <t xml:space="preserve"> 66.5581 </t>
  </si>
  <si>
    <t xml:space="preserve">F:\images\2021-CHG-ACH-Dutasteride 3\plaque 1/@05 EE2 114/G5_03.tif </t>
  </si>
  <si>
    <t xml:space="preserve"> 22711.3894 </t>
  </si>
  <si>
    <t xml:space="preserve"> 65.2486 </t>
  </si>
  <si>
    <t xml:space="preserve">F:\images\2021-CHG-ACH-Dutasteride 3\plaque 1/@05 EE2 114/H5_01.tif </t>
  </si>
  <si>
    <t xml:space="preserve"> 32855.8099 </t>
  </si>
  <si>
    <t xml:space="preserve"> 72.0783 </t>
  </si>
  <si>
    <t xml:space="preserve">F:\images\2021-CHG-ACH-Dutasteride 3\plaque 1/@05 EE2 114/H5_02.tif </t>
  </si>
  <si>
    <t xml:space="preserve"> 38522.8423 </t>
  </si>
  <si>
    <t xml:space="preserve"> 72.8321 </t>
  </si>
  <si>
    <t xml:space="preserve">F:\images\2021-CHG-ACH-Dutasteride 3\plaque 1/@05 EE2 114/H5_03.tif </t>
  </si>
  <si>
    <t xml:space="preserve"> 33872.415 </t>
  </si>
  <si>
    <t xml:space="preserve"> 69.9464 </t>
  </si>
  <si>
    <t xml:space="preserve">F:\images\2021-CHG-ACH-Dutasteride 3\plaque 1/@05 EE2 114/ </t>
  </si>
  <si>
    <t xml:space="preserve"> 68.7183 </t>
  </si>
  <si>
    <t xml:space="preserve"> 4.7061 </t>
  </si>
  <si>
    <t xml:space="preserve"> 1405626.71 </t>
  </si>
  <si>
    <t xml:space="preserve"> 795577.607 </t>
  </si>
  <si>
    <t xml:space="preserve">F:\images\2021-CHG-ACH-Dutasteride 3\plaque 1/@06 EE2 170.9/A6_01.tif </t>
  </si>
  <si>
    <t xml:space="preserve"> 37873.9455 </t>
  </si>
  <si>
    <t xml:space="preserve"> 68.835 </t>
  </si>
  <si>
    <t xml:space="preserve">F:\images\2021-CHG-ACH-Dutasteride 3\plaque 1/@06 EE2 170.9/A6_02.tif </t>
  </si>
  <si>
    <t xml:space="preserve"> 36316.5931 </t>
  </si>
  <si>
    <t xml:space="preserve"> 68.3776 </t>
  </si>
  <si>
    <t xml:space="preserve">F:\images\2021-CHG-ACH-Dutasteride 3\plaque 1/@06 EE2 170.9/A6_03.tif </t>
  </si>
  <si>
    <t xml:space="preserve"> 34196.8634 </t>
  </si>
  <si>
    <t xml:space="preserve"> 68.1784 </t>
  </si>
  <si>
    <t xml:space="preserve">F:\images\2021-CHG-ACH-Dutasteride 3\plaque 1/@06 EE2 170.9/B6_01.tif </t>
  </si>
  <si>
    <t xml:space="preserve"> 25890.9839 </t>
  </si>
  <si>
    <t xml:space="preserve"> 77.2013 </t>
  </si>
  <si>
    <t>F:\images\2021-CHG-ACH-Dutasteride 3\plaque 1/@06 EE2 170.9/B6_02- exclu.tif</t>
  </si>
  <si>
    <t>F:\images\2021-CHG-ACH-Dutasteride 3\plaque 1/@06 EE2 170.9/B6_03- exclu.tif</t>
  </si>
  <si>
    <t xml:space="preserve">F:\images\2021-CHG-ACH-Dutasteride 3\plaque 1/@06 EE2 170.9/C6_01.tif </t>
  </si>
  <si>
    <t xml:space="preserve"> 62813.214 </t>
  </si>
  <si>
    <t xml:space="preserve"> 74.6942 </t>
  </si>
  <si>
    <t xml:space="preserve">F:\images\2021-CHG-ACH-Dutasteride 3\plaque 1/@06 EE2 170.9/C6_02.tif </t>
  </si>
  <si>
    <t xml:space="preserve"> 60390.6658 </t>
  </si>
  <si>
    <t xml:space="preserve"> 75.4402 </t>
  </si>
  <si>
    <t xml:space="preserve">F:\images\2021-CHG-ACH-Dutasteride 3\plaque 1/@06 EE2 170.9/C6_03.tif </t>
  </si>
  <si>
    <t xml:space="preserve"> 59936.438 </t>
  </si>
  <si>
    <t xml:space="preserve"> 73.7001 </t>
  </si>
  <si>
    <t xml:space="preserve">F:\images\2021-CHG-ACH-Dutasteride 3\plaque 1/@06 EE2 170.9/D6_01.tif </t>
  </si>
  <si>
    <t xml:space="preserve"> 17779.7734 </t>
  </si>
  <si>
    <t xml:space="preserve"> 69.5973 </t>
  </si>
  <si>
    <t xml:space="preserve">F:\images\2021-CHG-ACH-Dutasteride 3\plaque 1/@06 EE2 170.9/D6_02.tif </t>
  </si>
  <si>
    <t xml:space="preserve"> 14362.25 </t>
  </si>
  <si>
    <t xml:space="preserve"> 69.5587 </t>
  </si>
  <si>
    <t xml:space="preserve">F:\images\2021-CHG-ACH-Dutasteride 3\plaque 1/@06 EE2 170.9/D6_03.tif </t>
  </si>
  <si>
    <t xml:space="preserve"> 11961.3317 </t>
  </si>
  <si>
    <t xml:space="preserve"> 71.2351 </t>
  </si>
  <si>
    <t xml:space="preserve">F:\images\2021-CHG-ACH-Dutasteride 3\plaque 1/@06 EE2 170.9/E6_01.tif </t>
  </si>
  <si>
    <t xml:space="preserve"> 72.7118 </t>
  </si>
  <si>
    <t>F:\images\2021-CHG-ACH-Dutasteride 3\plaque 1/@06 EE2 170.9/E6_02- exclu.tif</t>
  </si>
  <si>
    <t xml:space="preserve">F:\images\2021-CHG-ACH-Dutasteride 3\plaque 1/@06 EE2 170.9/E6_03.tif </t>
  </si>
  <si>
    <t xml:space="preserve"> 12415.5595 </t>
  </si>
  <si>
    <t xml:space="preserve"> 71.3589 </t>
  </si>
  <si>
    <t xml:space="preserve">F:\images\2021-CHG-ACH-Dutasteride 3\plaque 1/@06 EE2 170.9/F6_01.tif </t>
  </si>
  <si>
    <t xml:space="preserve"> 14556.9191 </t>
  </si>
  <si>
    <t xml:space="preserve"> 69.2585 </t>
  </si>
  <si>
    <t xml:space="preserve">F:\images\2021-CHG-ACH-Dutasteride 3\plaque 1/@06 EE2 170.9/F6_02.tif </t>
  </si>
  <si>
    <t xml:space="preserve"> 13648.4635 </t>
  </si>
  <si>
    <t xml:space="preserve"> 70.2345 </t>
  </si>
  <si>
    <t xml:space="preserve">F:\images\2021-CHG-ACH-Dutasteride 3\plaque 1/@06 EE2 170.9/F6_03.tif </t>
  </si>
  <si>
    <t xml:space="preserve"> 12588.5987 </t>
  </si>
  <si>
    <t xml:space="preserve"> 69.5086 </t>
  </si>
  <si>
    <t xml:space="preserve">F:\images\2021-CHG-ACH-Dutasteride 3\plaque 1/@06 EE2 170.9/G6_01.tif </t>
  </si>
  <si>
    <t xml:space="preserve"> 35732.5859 </t>
  </si>
  <si>
    <t xml:space="preserve"> 67.684 </t>
  </si>
  <si>
    <t xml:space="preserve">F:\images\2021-CHG-ACH-Dutasteride 3\plaque 1/@06 EE2 170.9/G6_02.tif </t>
  </si>
  <si>
    <t xml:space="preserve"> 34045.4541 </t>
  </si>
  <si>
    <t xml:space="preserve"> 69.054 </t>
  </si>
  <si>
    <t xml:space="preserve">F:\images\2021-CHG-ACH-Dutasteride 3\plaque 1/@06 EE2 170.9/G6_03.tif </t>
  </si>
  <si>
    <t xml:space="preserve"> 36143.5539 </t>
  </si>
  <si>
    <t xml:space="preserve">F:\images\2021-CHG-ACH-Dutasteride 3\plaque 1/@06 EE2 170.9/H6_01.tif </t>
  </si>
  <si>
    <t xml:space="preserve"> 73.5807 </t>
  </si>
  <si>
    <t xml:space="preserve">F:\images\2021-CHG-ACH-Dutasteride 3\plaque 1/@06 EE2 170.9/H6_02.tif </t>
  </si>
  <si>
    <t xml:space="preserve"> 32682.7708 </t>
  </si>
  <si>
    <t xml:space="preserve">F:\images\2021-CHG-ACH-Dutasteride 3\plaque 1/@06 EE2 170.9/H6_03.tif </t>
  </si>
  <si>
    <t xml:space="preserve"> 29762.735 </t>
  </si>
  <si>
    <t xml:space="preserve"> 72.657 </t>
  </si>
  <si>
    <t xml:space="preserve">F:\images\2021-CHG-ACH-Dutasteride 3\plaque 1/@06 EE2 170.9/ </t>
  </si>
  <si>
    <t xml:space="preserve"> 71.4081 </t>
  </si>
  <si>
    <t xml:space="preserve"> 3.0326 </t>
  </si>
  <si>
    <t xml:space="preserve"> 1999932.54 </t>
  </si>
  <si>
    <t xml:space="preserve"> 1191732.19 </t>
  </si>
  <si>
    <t xml:space="preserve">F:\images\2021-CHG-ACH-Dutasteride 3\plaque 1/@07 EE2 488/A7_01.tif </t>
  </si>
  <si>
    <t xml:space="preserve"> 19921.133 </t>
  </si>
  <si>
    <t xml:space="preserve"> 72.7329 </t>
  </si>
  <si>
    <t xml:space="preserve">F:\images\2021-CHG-ACH-Dutasteride 3\plaque 1/@07 EE2 488/A7_02.tif </t>
  </si>
  <si>
    <t xml:space="preserve"> 17693.2538 </t>
  </si>
  <si>
    <t xml:space="preserve"> 70.7738 </t>
  </si>
  <si>
    <t xml:space="preserve">F:\images\2021-CHG-ACH-Dutasteride 3\plaque 1/@07 EE2 488/A7_03.tif </t>
  </si>
  <si>
    <t xml:space="preserve"> 73.016 </t>
  </si>
  <si>
    <t xml:space="preserve">F:\images\2021-CHG-ACH-Dutasteride 3\plaque 1/@07 EE2 488/B7_01.tif </t>
  </si>
  <si>
    <t xml:space="preserve"> 14686.6985 </t>
  </si>
  <si>
    <t xml:space="preserve"> 67.3623 </t>
  </si>
  <si>
    <t xml:space="preserve">F:\images\2021-CHG-ACH-Dutasteride 3\plaque 1/@07 EE2 488/B7_02.tif </t>
  </si>
  <si>
    <t xml:space="preserve"> 18255.6311 </t>
  </si>
  <si>
    <t xml:space="preserve"> 68.3661 </t>
  </si>
  <si>
    <t xml:space="preserve">F:\images\2021-CHG-ACH-Dutasteride 3\plaque 1/@07 EE2 488/B7_03.tif </t>
  </si>
  <si>
    <t xml:space="preserve"> 20310.4711 </t>
  </si>
  <si>
    <t xml:space="preserve"> 80.6145 </t>
  </si>
  <si>
    <t xml:space="preserve">F:\images\2021-CHG-ACH-Dutasteride 3\plaque 1/@07 EE2 488/C7_01.tif </t>
  </si>
  <si>
    <t xml:space="preserve"> 39561.0773 </t>
  </si>
  <si>
    <t xml:space="preserve"> 83.965 </t>
  </si>
  <si>
    <t>F:\images\2021-CHG-ACH-Dutasteride 3\plaque 1/@07 EE2 488/C7_02- exclu.tif</t>
  </si>
  <si>
    <t xml:space="preserve">F:\images\2021-CHG-ACH-Dutasteride 3\plaque 1/@07 EE2 488/C7_03.tif </t>
  </si>
  <si>
    <t xml:space="preserve"> 38328.1733 </t>
  </si>
  <si>
    <t xml:space="preserve"> 84.4058 </t>
  </si>
  <si>
    <t xml:space="preserve">F:\images\2021-CHG-ACH-Dutasteride 3\plaque 1/@07 EE2 488/D7_01.tif </t>
  </si>
  <si>
    <t xml:space="preserve"> 54723.6334 </t>
  </si>
  <si>
    <t xml:space="preserve"> 93.2672 </t>
  </si>
  <si>
    <t xml:space="preserve">F:\images\2021-CHG-ACH-Dutasteride 3\plaque 1/@07 EE2 488/D7_02.tif </t>
  </si>
  <si>
    <t xml:space="preserve"> 52495.7543 </t>
  </si>
  <si>
    <t xml:space="preserve"> 95.9345 </t>
  </si>
  <si>
    <t xml:space="preserve">F:\images\2021-CHG-ACH-Dutasteride 3\plaque 1/@07 EE2 488/D7_03.tif </t>
  </si>
  <si>
    <t xml:space="preserve"> 91.4501 </t>
  </si>
  <si>
    <t xml:space="preserve">F:\images\2021-CHG-ACH-Dutasteride 3\plaque 1/@07 EE2 488/E7_01.tif </t>
  </si>
  <si>
    <t xml:space="preserve"> 59547.0999 </t>
  </si>
  <si>
    <t xml:space="preserve"> 83.6121 </t>
  </si>
  <si>
    <t xml:space="preserve">F:\images\2021-CHG-ACH-Dutasteride 3\plaque 1/@07 EE2 488/E7_02.tif </t>
  </si>
  <si>
    <t xml:space="preserve"> 88.734 </t>
  </si>
  <si>
    <t xml:space="preserve">F:\images\2021-CHG-ACH-Dutasteride 3\plaque 1/@07 EE2 488/E7_03.tif </t>
  </si>
  <si>
    <t xml:space="preserve"> 60412.2957 </t>
  </si>
  <si>
    <t xml:space="preserve"> 81.8622 </t>
  </si>
  <si>
    <t xml:space="preserve">F:\images\2021-CHG-ACH-Dutasteride 3\plaque 1/@07 EE2 488/F7_01.tif </t>
  </si>
  <si>
    <t xml:space="preserve"> 65084.3529 </t>
  </si>
  <si>
    <t xml:space="preserve"> 86.7434 </t>
  </si>
  <si>
    <t xml:space="preserve">F:\images\2021-CHG-ACH-Dutasteride 3\plaque 1/@07 EE2 488/F7_02.tif </t>
  </si>
  <si>
    <t xml:space="preserve"> 60953.0431 </t>
  </si>
  <si>
    <t xml:space="preserve"> 84.1856 </t>
  </si>
  <si>
    <t xml:space="preserve">F:\images\2021-CHG-ACH-Dutasteride 3\plaque 1/@07 EE2 488/F7_03.tif </t>
  </si>
  <si>
    <t xml:space="preserve"> 58941.4629 </t>
  </si>
  <si>
    <t xml:space="preserve"> 85.5105 </t>
  </si>
  <si>
    <t xml:space="preserve">F:\images\2021-CHG-ACH-Dutasteride 3\plaque 1/@07 EE2 488/G7_01.tif </t>
  </si>
  <si>
    <t xml:space="preserve"> 42113.4048 </t>
  </si>
  <si>
    <t xml:space="preserve"> 81.9733 </t>
  </si>
  <si>
    <t xml:space="preserve">F:\images\2021-CHG-ACH-Dutasteride 3\plaque 1/@07 EE2 488/G7_02.tif </t>
  </si>
  <si>
    <t xml:space="preserve"> 78.723 </t>
  </si>
  <si>
    <t xml:space="preserve">F:\images\2021-CHG-ACH-Dutasteride 3\plaque 1/@07 EE2 488/G7_03.tif </t>
  </si>
  <si>
    <t xml:space="preserve"> 42935.3408 </t>
  </si>
  <si>
    <t xml:space="preserve"> 81.7169 </t>
  </si>
  <si>
    <t xml:space="preserve">F:\images\2021-CHG-ACH-Dutasteride 3\plaque 1/@07 EE2 488/H7_01.tif </t>
  </si>
  <si>
    <t xml:space="preserve"> 39366.4082 </t>
  </si>
  <si>
    <t xml:space="preserve"> 75.4264 </t>
  </si>
  <si>
    <t xml:space="preserve">F:\images\2021-CHG-ACH-Dutasteride 3\plaque 1/@07 EE2 488/H7_02.tif </t>
  </si>
  <si>
    <t xml:space="preserve"> 35364.8777 </t>
  </si>
  <si>
    <t xml:space="preserve"> 76.6593 </t>
  </si>
  <si>
    <t xml:space="preserve">F:\images\2021-CHG-ACH-Dutasteride 3\plaque 1/@07 EE2 488/H7_03.tif </t>
  </si>
  <si>
    <t xml:space="preserve"> 33699.3758 </t>
  </si>
  <si>
    <t xml:space="preserve"> 74.6502 </t>
  </si>
  <si>
    <t xml:space="preserve">F:\images\2021-CHG-ACH-Dutasteride 3\plaque 1/@07 EE2 488/ </t>
  </si>
  <si>
    <t xml:space="preserve"> 81.0129 </t>
  </si>
  <si>
    <t xml:space="preserve"> 7.5639 </t>
  </si>
  <si>
    <t xml:space="preserve"> 3361300.04 </t>
  </si>
  <si>
    <t xml:space="preserve"> 1519643.91 </t>
  </si>
  <si>
    <t xml:space="preserve">F:\images\2021-CHG-ACH-Dutasteride 3\plaque 1/@08 Dutastéride 0.01mg_L/A8_01.tif </t>
  </si>
  <si>
    <t xml:space="preserve">F:\images\2021-CHG-ACH-Dutasteride 3\plaque 1/@08 Dutastéride 0.01mg_L/A8_02.tif </t>
  </si>
  <si>
    <t xml:space="preserve"> 65.4872 </t>
  </si>
  <si>
    <t xml:space="preserve">F:\images\2021-CHG-ACH-Dutasteride 3\plaque 1/@08 Dutastéride 0.01mg_L/A8_03.tif </t>
  </si>
  <si>
    <t xml:space="preserve">F:\images\2021-CHG-ACH-Dutasteride 3\plaque 1/@08 Dutastéride 0.01mg_L/B8_01.tif </t>
  </si>
  <si>
    <t xml:space="preserve">F:\images\2021-CHG-ACH-Dutasteride 3\plaque 1/@08 Dutastéride 0.01mg_L/B8_02.tif </t>
  </si>
  <si>
    <t xml:space="preserve"> 62.7027 </t>
  </si>
  <si>
    <t>F:\images\2021-CHG-ACH-Dutasteride 3\plaque 1/@08 Dutastéride 0.01mg_L/B8_03- exclu.tif</t>
  </si>
  <si>
    <t xml:space="preserve">F:\images\2021-CHG-ACH-Dutasteride 3\plaque 1/@08 Dutastéride 0.01mg_L/C8_01.tif </t>
  </si>
  <si>
    <t xml:space="preserve"> 7808.392 </t>
  </si>
  <si>
    <t xml:space="preserve"> 74.6066 </t>
  </si>
  <si>
    <t xml:space="preserve">F:\images\2021-CHG-ACH-Dutasteride 3\plaque 1/@08 Dutastéride 0.01mg_L/C8_02.tif </t>
  </si>
  <si>
    <t xml:space="preserve"> 6835.0467 </t>
  </si>
  <si>
    <t xml:space="preserve"> 76.8323 </t>
  </si>
  <si>
    <t xml:space="preserve">F:\images\2021-CHG-ACH-Dutasteride 3\plaque 1/@08 Dutastéride 0.01mg_L/C8_03.tif </t>
  </si>
  <si>
    <t xml:space="preserve"> 6121.2602 </t>
  </si>
  <si>
    <t xml:space="preserve"> 76.6219 </t>
  </si>
  <si>
    <t xml:space="preserve">F:\images\2021-CHG-ACH-Dutasteride 3\plaque 1/@08 Dutastéride 0.01mg_L/D8_01.tif </t>
  </si>
  <si>
    <t xml:space="preserve"> 1989.9503 </t>
  </si>
  <si>
    <t xml:space="preserve"> 63.1522 </t>
  </si>
  <si>
    <t xml:space="preserve">F:\images\2021-CHG-ACH-Dutasteride 3\plaque 1/@08 Dutastéride 0.01mg_L/D8_02.tif </t>
  </si>
  <si>
    <t xml:space="preserve"> 65.9278 </t>
  </si>
  <si>
    <t xml:space="preserve">F:\images\2021-CHG-ACH-Dutasteride 3\plaque 1/@08 Dutastéride 0.01mg_L/D8_03.tif </t>
  </si>
  <si>
    <t xml:space="preserve"> 1752.0215 </t>
  </si>
  <si>
    <t xml:space="preserve"> 67.2099 </t>
  </si>
  <si>
    <t xml:space="preserve">F:\images\2021-CHG-ACH-Dutasteride 3\plaque 1/@08 Dutastéride 0.01mg_L/E8_01.tif </t>
  </si>
  <si>
    <t xml:space="preserve"> 2011.5802 </t>
  </si>
  <si>
    <t xml:space="preserve"> 65.4301 </t>
  </si>
  <si>
    <t xml:space="preserve">F:\images\2021-CHG-ACH-Dutasteride 3\plaque 1/@08 Dutastéride 0.01mg_L/E8_02.tif </t>
  </si>
  <si>
    <t xml:space="preserve"> 66.2026 </t>
  </si>
  <si>
    <t xml:space="preserve">F:\images\2021-CHG-ACH-Dutasteride 3\plaque 1/@08 Dutastéride 0.01mg_L/E8_03.tif </t>
  </si>
  <si>
    <t xml:space="preserve"> 65.1111 </t>
  </si>
  <si>
    <t xml:space="preserve">F:\images\2021-CHG-ACH-Dutasteride 3\plaque 1/@08 Dutastéride 0.01mg_L/F8_01.tif </t>
  </si>
  <si>
    <t xml:space="preserve"> 5580.5128 </t>
  </si>
  <si>
    <t xml:space="preserve"> 65.2984 </t>
  </si>
  <si>
    <t xml:space="preserve">F:\images\2021-CHG-ACH-Dutasteride 3\plaque 1/@08 Dutastéride 0.01mg_L/F8_02.tif </t>
  </si>
  <si>
    <t xml:space="preserve"> 5039.7654 </t>
  </si>
  <si>
    <t xml:space="preserve"> 66.3176 </t>
  </si>
  <si>
    <t xml:space="preserve">F:\images\2021-CHG-ACH-Dutasteride 3\plaque 1/@08 Dutastéride 0.01mg_L/F8_03.tif </t>
  </si>
  <si>
    <t xml:space="preserve"> 65.6482 </t>
  </si>
  <si>
    <t xml:space="preserve">F:\images\2021-CHG-ACH-Dutasteride 3\plaque 1/@08 Dutastéride 0.01mg_L/G8_01.tif </t>
  </si>
  <si>
    <t xml:space="preserve"> 71.5159 </t>
  </si>
  <si>
    <t xml:space="preserve">F:\images\2021-CHG-ACH-Dutasteride 3\plaque 1/@08 Dutastéride 0.01mg_L/G8_02.tif </t>
  </si>
  <si>
    <t xml:space="preserve"> 71.8 </t>
  </si>
  <si>
    <t xml:space="preserve">F:\images\2021-CHG-ACH-Dutasteride 3\plaque 1/@08 Dutastéride 0.01mg_L/G8_03.tif </t>
  </si>
  <si>
    <t xml:space="preserve"> 64.7279 </t>
  </si>
  <si>
    <t>F:\images\2021-CHG-ACH-Dutasteride 3\plaque 1/@08 Dutastéride 0.01mg_L/H8_01- exclu.tif</t>
  </si>
  <si>
    <t>F:\images\2021-CHG-ACH-Dutasteride 3\plaque 1/@08 Dutastéride 0.01mg_L/H8_02- exclu.tif</t>
  </si>
  <si>
    <t>F:\images\2021-CHG-ACH-Dutasteride 3\plaque 1/@08 Dutastéride 0.01mg_L/H8_03- exclu.tif</t>
  </si>
  <si>
    <t xml:space="preserve">F:\images\2021-CHG-ACH-Dutasteride 3\plaque 1/@08 Dutastéride 0.01mg_L/ </t>
  </si>
  <si>
    <t xml:space="preserve"> 66.6258 </t>
  </si>
  <si>
    <t xml:space="preserve"> 4.3955 </t>
  </si>
  <si>
    <t xml:space="preserve"> 203137.042 </t>
  </si>
  <si>
    <t xml:space="preserve"> 186119.162 </t>
  </si>
  <si>
    <t xml:space="preserve">F:\images\2021-CHG-ACH-Dutasteride 3\plaque 1/@09 Dutastéride 0.1mg_L/A9_01.tif </t>
  </si>
  <si>
    <t xml:space="preserve"> 11463.8442 </t>
  </si>
  <si>
    <t xml:space="preserve"> 66.0057 </t>
  </si>
  <si>
    <t xml:space="preserve">F:\images\2021-CHG-ACH-Dutasteride 3\plaque 1/@09 Dutastéride 0.1mg_L/A9_02.tif </t>
  </si>
  <si>
    <t xml:space="preserve"> 65.6908 </t>
  </si>
  <si>
    <t xml:space="preserve">F:\images\2021-CHG-ACH-Dutasteride 3\plaque 1/@09 Dutastéride 0.1mg_L/A9_03.tif </t>
  </si>
  <si>
    <t xml:space="preserve"> 4996.5057 </t>
  </si>
  <si>
    <t xml:space="preserve"> 65.8485 </t>
  </si>
  <si>
    <t xml:space="preserve">F:\images\2021-CHG-ACH-Dutasteride 3\plaque 1/@09 Dutastéride 0.1mg_L/B9_01.tif </t>
  </si>
  <si>
    <t xml:space="preserve"> 65.7609 </t>
  </si>
  <si>
    <t xml:space="preserve">F:\images\2021-CHG-ACH-Dutasteride 3\plaque 1/@09 Dutastéride 0.1mg_L/B9_02.tif </t>
  </si>
  <si>
    <t xml:space="preserve"> 98.3446 </t>
  </si>
  <si>
    <t xml:space="preserve">F:\images\2021-CHG-ACH-Dutasteride 3\plaque 1/@09 Dutastéride 0.1mg_L/B9_03.tif </t>
  </si>
  <si>
    <t xml:space="preserve"> 75.6889 </t>
  </si>
  <si>
    <t xml:space="preserve">F:\images\2021-CHG-ACH-Dutasteride 3\plaque 1/@09 Dutastéride 0.1mg_L/C9_01.tif </t>
  </si>
  <si>
    <t xml:space="preserve"> 63.9286 </t>
  </si>
  <si>
    <t xml:space="preserve">F:\images\2021-CHG-ACH-Dutasteride 3\plaque 1/@09 Dutastéride 0.1mg_L/C9_02.tif </t>
  </si>
  <si>
    <t xml:space="preserve"> 13583.5738 </t>
  </si>
  <si>
    <t xml:space="preserve"> 93.2213 </t>
  </si>
  <si>
    <t xml:space="preserve">F:\images\2021-CHG-ACH-Dutasteride 3\plaque 1/@09 Dutastéride 0.1mg_L/C9_03.tif </t>
  </si>
  <si>
    <t xml:space="preserve"> 91.606 </t>
  </si>
  <si>
    <t xml:space="preserve">F:\images\2021-CHG-ACH-Dutasteride 3\plaque 1/@09 Dutastéride 0.1mg_L/D9_01.tif </t>
  </si>
  <si>
    <t xml:space="preserve"> 6488.9684 </t>
  </si>
  <si>
    <t xml:space="preserve"> 75.3333 </t>
  </si>
  <si>
    <t xml:space="preserve">F:\images\2021-CHG-ACH-Dutasteride 3\plaque 1/@09 Dutastéride 0.1mg_L/D9_02.tif </t>
  </si>
  <si>
    <t xml:space="preserve"> 2292.7688 </t>
  </si>
  <si>
    <t xml:space="preserve"> 65.3585 </t>
  </si>
  <si>
    <t xml:space="preserve">F:\images\2021-CHG-ACH-Dutasteride 3\plaque 1/@09 Dutastéride 0.1mg_L/D9_03.tif </t>
  </si>
  <si>
    <t xml:space="preserve"> 65.5385 </t>
  </si>
  <si>
    <t xml:space="preserve">F:\images\2021-CHG-ACH-Dutasteride 3\plaque 1/@09 Dutastéride 0.1mg_L/E9_01.tif </t>
  </si>
  <si>
    <t xml:space="preserve"> 70.0529 </t>
  </si>
  <si>
    <t xml:space="preserve">F:\images\2021-CHG-ACH-Dutasteride 3\plaque 1/@09 Dutastéride 0.1mg_L/E9_02.tif </t>
  </si>
  <si>
    <t xml:space="preserve"> 3157.9646 </t>
  </si>
  <si>
    <t xml:space="preserve"> 67.4863 </t>
  </si>
  <si>
    <t xml:space="preserve">F:\images\2021-CHG-ACH-Dutasteride 3\plaque 1/@09 Dutastéride 0.1mg_L/E9_03.tif </t>
  </si>
  <si>
    <t xml:space="preserve"> 67.125 </t>
  </si>
  <si>
    <t xml:space="preserve">F:\images\2021-CHG-ACH-Dutasteride 3\plaque 1/@09 Dutastéride 0.1mg_L/F9_01.tif </t>
  </si>
  <si>
    <t xml:space="preserve"> 65.506 </t>
  </si>
  <si>
    <t xml:space="preserve">F:\images\2021-CHG-ACH-Dutasteride 3\plaque 1/@09 Dutastéride 0.1mg_L/F9_02.tif </t>
  </si>
  <si>
    <t xml:space="preserve"> 62.3846 </t>
  </si>
  <si>
    <t xml:space="preserve">F:\images\2021-CHG-ACH-Dutasteride 3\plaque 1/@09 Dutastéride 0.1mg_L/F9_03.tif </t>
  </si>
  <si>
    <t xml:space="preserve"> 5602.1427 </t>
  </si>
  <si>
    <t xml:space="preserve"> 66.4479 </t>
  </si>
  <si>
    <t xml:space="preserve">F:\images\2021-CHG-ACH-Dutasteride 3\plaque 1/@09 Dutastéride 0.1mg_L/G9_01.tif </t>
  </si>
  <si>
    <t xml:space="preserve"> 69.0846 </t>
  </si>
  <si>
    <t xml:space="preserve">F:\images\2021-CHG-ACH-Dutasteride 3\plaque 1/@09 Dutastéride 0.1mg_L/G9_02.tif </t>
  </si>
  <si>
    <t xml:space="preserve"> 63.1148 </t>
  </si>
  <si>
    <t xml:space="preserve">F:\images\2021-CHG-ACH-Dutasteride 3\plaque 1/@09 Dutastéride 0.1mg_L/G9_03.tif </t>
  </si>
  <si>
    <t xml:space="preserve">F:\images\2021-CHG-ACH-Dutasteride 3\plaque 1/@09 Dutastéride 0.1mg_L/H9_01.tif </t>
  </si>
  <si>
    <t xml:space="preserve"> 63.087 </t>
  </si>
  <si>
    <t xml:space="preserve">F:\images\2021-CHG-ACH-Dutasteride 3\plaque 1/@09 Dutastéride 0.1mg_L/H9_02.tif </t>
  </si>
  <si>
    <t xml:space="preserve"> 64.36 </t>
  </si>
  <si>
    <t xml:space="preserve">F:\images\2021-CHG-ACH-Dutasteride 3\plaque 1/@09 Dutastéride 0.1mg_L/H9_03.tif </t>
  </si>
  <si>
    <t xml:space="preserve"> 63.3929 </t>
  </si>
  <si>
    <t xml:space="preserve">F:\images\2021-CHG-ACH-Dutasteride 3\plaque 1/@09 Dutastéride 0.1mg_L/ </t>
  </si>
  <si>
    <t xml:space="preserve"> 70.0174 </t>
  </si>
  <si>
    <t xml:space="preserve"> 10.0235 </t>
  </si>
  <si>
    <t xml:space="preserve"> 359341.917 </t>
  </si>
  <si>
    <t xml:space="preserve"> 415988.785 </t>
  </si>
  <si>
    <t xml:space="preserve">F:\images\2021-CHG-ACH-Dutasteride 3\plaque 1/@10 Dutastéride 0.25mg_L/A10_01.tif </t>
  </si>
  <si>
    <t xml:space="preserve"> 65.0588 </t>
  </si>
  <si>
    <t xml:space="preserve">F:\images\2021-CHG-ACH-Dutasteride 3\plaque 1/@10 Dutastéride 0.25mg_L/A10_02.tif </t>
  </si>
  <si>
    <t xml:space="preserve">F:\images\2021-CHG-ACH-Dutasteride 3\plaque 1/@10 Dutastéride 0.25mg_L/A10_03.tif </t>
  </si>
  <si>
    <t xml:space="preserve"> 62.7 </t>
  </si>
  <si>
    <t xml:space="preserve">F:\images\2021-CHG-ACH-Dutasteride 3\plaque 1/@10 Dutastéride 0.25mg_L/B10_01.tif </t>
  </si>
  <si>
    <t xml:space="preserve">F:\images\2021-CHG-ACH-Dutasteride 3\plaque 1/@10 Dutastéride 0.25mg_L/B10_02.tif </t>
  </si>
  <si>
    <t xml:space="preserve"> 63.7083 </t>
  </si>
  <si>
    <t xml:space="preserve">F:\images\2021-CHG-ACH-Dutasteride 3\plaque 1/@10 Dutastéride 0.25mg_L/B10_03.tif </t>
  </si>
  <si>
    <t xml:space="preserve"> 65.314 </t>
  </si>
  <si>
    <t xml:space="preserve">F:\images\2021-CHG-ACH-Dutasteride 3\plaque 1/@10 Dutastéride 0.25mg_L/C10_01.tif </t>
  </si>
  <si>
    <t xml:space="preserve"> 66.4826 </t>
  </si>
  <si>
    <t xml:space="preserve">F:\images\2021-CHG-ACH-Dutasteride 3\plaque 1/@10 Dutastéride 0.25mg_L/C10_02.tif </t>
  </si>
  <si>
    <t xml:space="preserve"> 66.7619 </t>
  </si>
  <si>
    <t xml:space="preserve">F:\images\2021-CHG-ACH-Dutasteride 3\plaque 1/@10 Dutastéride 0.25mg_L/C10_03.tif </t>
  </si>
  <si>
    <t xml:space="preserve"> 63.8947 </t>
  </si>
  <si>
    <t xml:space="preserve">F:\images\2021-CHG-ACH-Dutasteride 3\plaque 1/@10 Dutastéride 0.25mg_L/D10_01.tif </t>
  </si>
  <si>
    <t xml:space="preserve"> 9344.1145 </t>
  </si>
  <si>
    <t xml:space="preserve"> 74.3843 </t>
  </si>
  <si>
    <t xml:space="preserve">F:\images\2021-CHG-ACH-Dutasteride 3\plaque 1/@10 Dutastéride 0.25mg_L/D10_02.tif </t>
  </si>
  <si>
    <t xml:space="preserve"> 6791.7869 </t>
  </si>
  <si>
    <t xml:space="preserve"> 68.535 </t>
  </si>
  <si>
    <t xml:space="preserve">F:\images\2021-CHG-ACH-Dutasteride 3\plaque 1/@10 Dutastéride 0.25mg_L/D10_03.tif </t>
  </si>
  <si>
    <t xml:space="preserve"> 3222.8543 </t>
  </si>
  <si>
    <t xml:space="preserve"> 66.302 </t>
  </si>
  <si>
    <t xml:space="preserve">F:\images\2021-CHG-ACH-Dutasteride 3\plaque 1/@10 Dutastéride 0.25mg_L/E10_01.tif </t>
  </si>
  <si>
    <t xml:space="preserve">F:\images\2021-CHG-ACH-Dutasteride 3\plaque 1/@10 Dutastéride 0.25mg_L/E10_02.tif </t>
  </si>
  <si>
    <t xml:space="preserve"> 67.7778 </t>
  </si>
  <si>
    <t xml:space="preserve">F:\images\2021-CHG-ACH-Dutasteride 3\plaque 1/@10 Dutastéride 0.25mg_L/E10_03.tif </t>
  </si>
  <si>
    <t xml:space="preserve"> 68.2812 </t>
  </si>
  <si>
    <t xml:space="preserve">F:\images\2021-CHG-ACH-Dutasteride 3\plaque 1/@10 Dutastéride 0.25mg_L/F10_01.tif </t>
  </si>
  <si>
    <t xml:space="preserve"> 62.8 </t>
  </si>
  <si>
    <t xml:space="preserve">F:\images\2021-CHG-ACH-Dutasteride 3\plaque 1/@10 Dutastéride 0.25mg_L/F10_02.tif </t>
  </si>
  <si>
    <t xml:space="preserve"> 64.7333 </t>
  </si>
  <si>
    <t xml:space="preserve">F:\images\2021-CHG-ACH-Dutasteride 3\plaque 1/@10 Dutastéride 0.25mg_L/F10_03.tif </t>
  </si>
  <si>
    <t xml:space="preserve">F:\images\2021-CHG-ACH-Dutasteride 3\plaque 1/@10 Dutastéride 0.25mg_L/G10_01.tif </t>
  </si>
  <si>
    <t xml:space="preserve"> 2509.0678 </t>
  </si>
  <si>
    <t xml:space="preserve"> 71.2241 </t>
  </si>
  <si>
    <t xml:space="preserve">F:\images\2021-CHG-ACH-Dutasteride 3\plaque 1/@10 Dutastéride 0.25mg_L/G10_02.tif </t>
  </si>
  <si>
    <t xml:space="preserve">F:\images\2021-CHG-ACH-Dutasteride 3\plaque 1/@10 Dutastéride 0.25mg_L/G10_03.tif </t>
  </si>
  <si>
    <t xml:space="preserve">F:\images\2021-CHG-ACH-Dutasteride 3\plaque 1/@10 Dutastéride 0.25mg_L/H10_01.tif </t>
  </si>
  <si>
    <t xml:space="preserve"> 66.1714 </t>
  </si>
  <si>
    <t xml:space="preserve">F:\images\2021-CHG-ACH-Dutasteride 3\plaque 1/@10 Dutastéride 0.25mg_L/H10_02.tif </t>
  </si>
  <si>
    <t xml:space="preserve"> 64.7263 </t>
  </si>
  <si>
    <t xml:space="preserve">F:\images\2021-CHG-ACH-Dutasteride 3\plaque 1/@10 Dutastéride 0.25mg_L/H10_03.tif </t>
  </si>
  <si>
    <t xml:space="preserve"> 4888.3562 </t>
  </si>
  <si>
    <t xml:space="preserve"> 65.9646 </t>
  </si>
  <si>
    <t xml:space="preserve">F:\images\2021-CHG-ACH-Dutasteride 3\plaque 1/@10 Dutastéride 0.25mg_L/ </t>
  </si>
  <si>
    <t xml:space="preserve"> 65.7496 </t>
  </si>
  <si>
    <t xml:space="preserve"> 2.8318 </t>
  </si>
  <si>
    <t xml:space="preserve"> 137726.5 </t>
  </si>
  <si>
    <t xml:space="preserve"> 184887.695 </t>
  </si>
  <si>
    <t xml:space="preserve">F:\images\2021-CHG-ACH-Dutasteride 3\plaque 1/@11 Dutastéride 0.5mg_L/A11_01.tif </t>
  </si>
  <si>
    <t xml:space="preserve"> 6640.3777 </t>
  </si>
  <si>
    <t xml:space="preserve"> 68.6678 </t>
  </si>
  <si>
    <t xml:space="preserve">F:\images\2021-CHG-ACH-Dutasteride 3\plaque 1/@11 Dutastéride 0.5mg_L/A11_02.tif </t>
  </si>
  <si>
    <t xml:space="preserve"> 69.0881 </t>
  </si>
  <si>
    <t xml:space="preserve">F:\images\2021-CHG-ACH-Dutasteride 3\plaque 1/@11 Dutastéride 0.5mg_L/A11_03.tif </t>
  </si>
  <si>
    <t xml:space="preserve"> 67.4665 </t>
  </si>
  <si>
    <t xml:space="preserve">F:\images\2021-CHG-ACH-Dutasteride 3\plaque 1/@11 Dutastéride 0.5mg_L/B11_01.tif </t>
  </si>
  <si>
    <t xml:space="preserve"> 65.0345 </t>
  </si>
  <si>
    <t xml:space="preserve">F:\images\2021-CHG-ACH-Dutasteride 3\plaque 1/@11 Dutastéride 0.5mg_L/B11_02.tif </t>
  </si>
  <si>
    <t xml:space="preserve"> 64.6364 </t>
  </si>
  <si>
    <t xml:space="preserve">F:\images\2021-CHG-ACH-Dutasteride 3\plaque 1/@11 Dutastéride 0.5mg_L/B11_03.tif </t>
  </si>
  <si>
    <t xml:space="preserve"> 2855.1461 </t>
  </si>
  <si>
    <t xml:space="preserve"> 66.2652 </t>
  </si>
  <si>
    <t xml:space="preserve">F:\images\2021-CHG-ACH-Dutasteride 3\plaque 1/@11 Dutastéride 0.5mg_L/C11_01.tif </t>
  </si>
  <si>
    <t xml:space="preserve"> 66.939 </t>
  </si>
  <si>
    <t xml:space="preserve">F:\images\2021-CHG-ACH-Dutasteride 3\plaque 1/@11 Dutastéride 0.5mg_L/C11_02.tif </t>
  </si>
  <si>
    <t xml:space="preserve"> 66.5145 </t>
  </si>
  <si>
    <t xml:space="preserve">F:\images\2021-CHG-ACH-Dutasteride 3\plaque 1/@11 Dutastéride 0.5mg_L/C11_03.tif </t>
  </si>
  <si>
    <t xml:space="preserve"> 64.9574 </t>
  </si>
  <si>
    <t xml:space="preserve">F:\images\2021-CHG-ACH-Dutasteride 3\plaque 1/@11 Dutastéride 0.5mg_L/D11_01.tif </t>
  </si>
  <si>
    <t xml:space="preserve"> 65.4643 </t>
  </si>
  <si>
    <t xml:space="preserve">F:\images\2021-CHG-ACH-Dutasteride 3\plaque 1/@11 Dutastéride 0.5mg_L/D11_02.tif </t>
  </si>
  <si>
    <t xml:space="preserve"> 63.7714 </t>
  </si>
  <si>
    <t xml:space="preserve">F:\images\2021-CHG-ACH-Dutasteride 3\plaque 1/@11 Dutastéride 0.5mg_L/D11_03.tif </t>
  </si>
  <si>
    <t xml:space="preserve"> 66.2283 </t>
  </si>
  <si>
    <t xml:space="preserve">F:\images\2021-CHG-ACH-Dutasteride 3\plaque 1/@11 Dutastéride 0.5mg_L/E11_01.tif </t>
  </si>
  <si>
    <t xml:space="preserve"> 3179.5945 </t>
  </si>
  <si>
    <t xml:space="preserve"> 67.8095 </t>
  </si>
  <si>
    <t xml:space="preserve">F:\images\2021-CHG-ACH-Dutasteride 3\plaque 1/@11 Dutastéride 0.5mg_L/E11_02.tif </t>
  </si>
  <si>
    <t xml:space="preserve"> 72.551 </t>
  </si>
  <si>
    <t xml:space="preserve">F:\images\2021-CHG-ACH-Dutasteride 3\plaque 1/@11 Dutastéride 0.5mg_L/E11_03.tif </t>
  </si>
  <si>
    <t xml:space="preserve"> 65.7959 </t>
  </si>
  <si>
    <t xml:space="preserve">F:\images\2021-CHG-ACH-Dutasteride 3\plaque 1/@11 Dutastéride 0.5mg_L/F11_01.tif </t>
  </si>
  <si>
    <t xml:space="preserve"> 68.0985 </t>
  </si>
  <si>
    <t xml:space="preserve">F:\images\2021-CHG-ACH-Dutasteride 3\plaque 1/@11 Dutastéride 0.5mg_L/F11_02.tif </t>
  </si>
  <si>
    <t xml:space="preserve"> 68.505 </t>
  </si>
  <si>
    <t xml:space="preserve">F:\images\2021-CHG-ACH-Dutasteride 3\plaque 1/@11 Dutastéride 0.5mg_L/F11_03.tif </t>
  </si>
  <si>
    <t xml:space="preserve"> 3071.445 </t>
  </si>
  <si>
    <t xml:space="preserve"> 67.6831 </t>
  </si>
  <si>
    <t xml:space="preserve">F:\images\2021-CHG-ACH-Dutasteride 3\plaque 1/@11 Dutastéride 0.5mg_L/G11_01.tif </t>
  </si>
  <si>
    <t xml:space="preserve">F:\images\2021-CHG-ACH-Dutasteride 3\plaque 1/@11 Dutastéride 0.5mg_L/G11_02.tif </t>
  </si>
  <si>
    <t xml:space="preserve">F:\images\2021-CHG-ACH-Dutasteride 3\plaque 1/@11 Dutastéride 0.5mg_L/G11_03.tif </t>
  </si>
  <si>
    <t xml:space="preserve">F:\images\2021-CHG-ACH-Dutasteride 3\plaque 1/@11 Dutastéride 0.5mg_L/H11_01.tif </t>
  </si>
  <si>
    <t xml:space="preserve"> 66.1731 </t>
  </si>
  <si>
    <t xml:space="preserve">F:\images\2021-CHG-ACH-Dutasteride 3\plaque 1/@11 Dutastéride 0.5mg_L/H11_02.tif </t>
  </si>
  <si>
    <t xml:space="preserve">F:\images\2021-CHG-ACH-Dutasteride 3\plaque 1/@11 Dutastéride 0.5mg_L/H11_03.tif </t>
  </si>
  <si>
    <t xml:space="preserve"> 64.2281 </t>
  </si>
  <si>
    <t xml:space="preserve">F:\images\2021-CHG-ACH-Dutasteride 3\plaque 1/@11 Dutastéride 0.5mg_L/ </t>
  </si>
  <si>
    <t xml:space="preserve"> 66.3884 </t>
  </si>
  <si>
    <t xml:space="preserve"> 2.0798 </t>
  </si>
  <si>
    <t xml:space="preserve"> 166823.292 </t>
  </si>
  <si>
    <t xml:space="preserve"> 141330.599 </t>
  </si>
  <si>
    <t xml:space="preserve">F:\images\2021-CHG-ACH-Dutasteride 3\plaque 1/@12 Dutastéride 1mg_L/A12_01.tif </t>
  </si>
  <si>
    <t xml:space="preserve"> 5688.6623 </t>
  </si>
  <si>
    <t xml:space="preserve"> 67.7947 </t>
  </si>
  <si>
    <t xml:space="preserve">F:\images\2021-CHG-ACH-Dutasteride 3\plaque 1/@12 Dutastéride 1mg_L/A12_02.tif </t>
  </si>
  <si>
    <t xml:space="preserve"> 5710.2922 </t>
  </si>
  <si>
    <t xml:space="preserve"> 68.7576 </t>
  </si>
  <si>
    <t xml:space="preserve">F:\images\2021-CHG-ACH-Dutasteride 3\plaque 1/@12 Dutastéride 1mg_L/A12_03.tif </t>
  </si>
  <si>
    <t xml:space="preserve"> 6099.6303 </t>
  </si>
  <si>
    <t xml:space="preserve"> 69.883 </t>
  </si>
  <si>
    <t xml:space="preserve">F:\images\2021-CHG-ACH-Dutasteride 3\plaque 1/@12 Dutastéride 1mg_L/B12_01.tif </t>
  </si>
  <si>
    <t xml:space="preserve"> 8305.8795 </t>
  </si>
  <si>
    <t xml:space="preserve"> 72.6458 </t>
  </si>
  <si>
    <t xml:space="preserve">F:\images\2021-CHG-ACH-Dutasteride 3\plaque 1/@12 Dutastéride 1mg_L/B12_02.tif </t>
  </si>
  <si>
    <t xml:space="preserve"> 5320.9541 </t>
  </si>
  <si>
    <t xml:space="preserve"> 67.813 </t>
  </si>
  <si>
    <t xml:space="preserve">F:\images\2021-CHG-ACH-Dutasteride 3\plaque 1/@12 Dutastéride 1mg_L/B12_03.tif </t>
  </si>
  <si>
    <t xml:space="preserve"> 67.1968 </t>
  </si>
  <si>
    <t xml:space="preserve">F:\images\2021-CHG-ACH-Dutasteride 3\plaque 1/@12 Dutastéride 1mg_L/C12_01.tif </t>
  </si>
  <si>
    <t xml:space="preserve"> 67.0068 </t>
  </si>
  <si>
    <t xml:space="preserve">F:\images\2021-CHG-ACH-Dutasteride 3\plaque 1/@12 Dutastéride 1mg_L/C12_02.tif </t>
  </si>
  <si>
    <t xml:space="preserve"> 65.8507 </t>
  </si>
  <si>
    <t xml:space="preserve">F:\images\2021-CHG-ACH-Dutasteride 3\plaque 1/@12 Dutastéride 1mg_L/C12_03.tif </t>
  </si>
  <si>
    <t xml:space="preserve">F:\images\2021-CHG-ACH-Dutasteride 3\plaque 1/@12 Dutastéride 1mg_L/D12_01.tif </t>
  </si>
  <si>
    <t xml:space="preserve"> 64.88 </t>
  </si>
  <si>
    <t xml:space="preserve">F:\images\2021-CHG-ACH-Dutasteride 3\plaque 1/@12 Dutastéride 1mg_L/D12_02.tif </t>
  </si>
  <si>
    <t xml:space="preserve"> 64.4574 </t>
  </si>
  <si>
    <t xml:space="preserve">F:\images\2021-CHG-ACH-Dutasteride 3\plaque 1/@12 Dutastéride 1mg_L/D12_03.tif </t>
  </si>
  <si>
    <t xml:space="preserve"> 69.007 </t>
  </si>
  <si>
    <t>F:\images\2021-CHG-ACH-Dutasteride 3\plaque 1/@12 Dutastéride 1mg_L/E12_01- exclu.tif</t>
  </si>
  <si>
    <t xml:space="preserve">F:\images\2021-CHG-ACH-Dutasteride 3\plaque 1/@12 Dutastéride 1mg_L/E12_02.tif </t>
  </si>
  <si>
    <t xml:space="preserve"> 68.6905 </t>
  </si>
  <si>
    <t xml:space="preserve">F:\images\2021-CHG-ACH-Dutasteride 3\plaque 1/@12 Dutastéride 1mg_L/E12_03.tif </t>
  </si>
  <si>
    <t xml:space="preserve"> 8024.6909 </t>
  </si>
  <si>
    <t xml:space="preserve"> 72.4097 </t>
  </si>
  <si>
    <t xml:space="preserve">F:\images\2021-CHG-ACH-Dutasteride 3\plaque 1/@12 Dutastéride 1mg_L/F12_01.tif </t>
  </si>
  <si>
    <t xml:space="preserve">F:\images\2021-CHG-ACH-Dutasteride 3\plaque 1/@12 Dutastéride 1mg_L/F12_02.tif </t>
  </si>
  <si>
    <t xml:space="preserve"> 63.1 </t>
  </si>
  <si>
    <t xml:space="preserve">F:\images\2021-CHG-ACH-Dutasteride 3\plaque 1/@12 Dutastéride 1mg_L/F12_03.tif </t>
  </si>
  <si>
    <t xml:space="preserve">F:\images\2021-CHG-ACH-Dutasteride 3\plaque 1/@12 Dutastéride 1mg_L/G12_01.tif </t>
  </si>
  <si>
    <t xml:space="preserve"> 68.6642 </t>
  </si>
  <si>
    <t>F:\images\2021-CHG-ACH-Dutasteride 3\plaque 1/@12 Dutastéride 1mg_L/G12_02- exclu.tif</t>
  </si>
  <si>
    <t xml:space="preserve">F:\images\2021-CHG-ACH-Dutasteride 3\plaque 1/@12 Dutastéride 1mg_L/G12_03.tif </t>
  </si>
  <si>
    <t xml:space="preserve"> 65.0516 </t>
  </si>
  <si>
    <t xml:space="preserve">F:\images\2021-CHG-ACH-Dutasteride 3\plaque 1/@12 Dutastéride 1mg_L/H12_01.tif </t>
  </si>
  <si>
    <t xml:space="preserve"> 63.875 </t>
  </si>
  <si>
    <t xml:space="preserve">F:\images\2021-CHG-ACH-Dutasteride 3\plaque 1/@12 Dutastéride 1mg_L/H12_02.tif </t>
  </si>
  <si>
    <t xml:space="preserve"> 64.625 </t>
  </si>
  <si>
    <t xml:space="preserve">F:\images\2021-CHG-ACH-Dutasteride 3\plaque 1/@12 Dutastéride 1mg_L/H12_03.tif </t>
  </si>
  <si>
    <t xml:space="preserve"> 62.2 </t>
  </si>
  <si>
    <t xml:space="preserve">F:\images\2021-CHG-ACH-Dutasteride 3\plaque 1/@12 Dutastéride 1mg_L/ </t>
  </si>
  <si>
    <t xml:space="preserve"> 66.5162 </t>
  </si>
  <si>
    <t xml:space="preserve"> 2.8903 </t>
  </si>
  <si>
    <t xml:space="preserve"> 216917.167 </t>
  </si>
  <si>
    <t xml:space="preserve"> 191498.169 </t>
  </si>
  <si>
    <t xml:space="preserve">F:\images\2021-CHG-ACH-Dutasteride 3\plaque 2/@01 Testo 30/A1_01.tif </t>
  </si>
  <si>
    <t xml:space="preserve">F:\images\2021-CHG-ACH-Dutasteride 3\plaque 2/@01 Testo 30/A1_02.tif </t>
  </si>
  <si>
    <t xml:space="preserve">F:\images\2021-CHG-ACH-Dutasteride 3\plaque 2/@01 Testo 30/A1_03.tif </t>
  </si>
  <si>
    <t xml:space="preserve">F:\images\2021-CHG-ACH-Dutasteride 3\plaque 2/@01 Testo 30/B1_01.tif </t>
  </si>
  <si>
    <t xml:space="preserve"> 67.6863 </t>
  </si>
  <si>
    <t xml:space="preserve">F:\images\2021-CHG-ACH-Dutasteride 3\plaque 2/@01 Testo 30/B1_02.tif </t>
  </si>
  <si>
    <t xml:space="preserve"> 27902.5641 </t>
  </si>
  <si>
    <t xml:space="preserve"> 68.1279 </t>
  </si>
  <si>
    <t xml:space="preserve">F:\images\2021-CHG-ACH-Dutasteride 3\plaque 2/@01 Testo 30/B1_03.tif </t>
  </si>
  <si>
    <t xml:space="preserve"> 27707.895 </t>
  </si>
  <si>
    <t xml:space="preserve"> 68.1397 </t>
  </si>
  <si>
    <t xml:space="preserve">F:\images\2021-CHG-ACH-Dutasteride 3\plaque 2/@01 Testo 30/C1_01.tif </t>
  </si>
  <si>
    <t xml:space="preserve"> 25696.3148 </t>
  </si>
  <si>
    <t xml:space="preserve"> 67.3451 </t>
  </si>
  <si>
    <t xml:space="preserve">F:\images\2021-CHG-ACH-Dutasteride 3\plaque 2/@01 Testo 30/C1_02.tif </t>
  </si>
  <si>
    <t xml:space="preserve"> 13302.3852 </t>
  </si>
  <si>
    <t xml:space="preserve"> 65.6894 </t>
  </si>
  <si>
    <t xml:space="preserve">F:\images\2021-CHG-ACH-Dutasteride 3\plaque 2/@01 Testo 30/C1_03.tif </t>
  </si>
  <si>
    <t xml:space="preserve"> 23706.3645 </t>
  </si>
  <si>
    <t xml:space="preserve"> 67.0675 </t>
  </si>
  <si>
    <t xml:space="preserve">F:\images\2021-CHG-ACH-Dutasteride 3\plaque 2/@01 Testo 30/D1_01.tif </t>
  </si>
  <si>
    <t xml:space="preserve"> 44016.8356 </t>
  </si>
  <si>
    <t xml:space="preserve"> 74.9292 </t>
  </si>
  <si>
    <t xml:space="preserve">F:\images\2021-CHG-ACH-Dutasteride 3\plaque 2/@01 Testo 30/D1_02.tif </t>
  </si>
  <si>
    <t xml:space="preserve"> 45725.5972 </t>
  </si>
  <si>
    <t xml:space="preserve"> 72.7517 </t>
  </si>
  <si>
    <t xml:space="preserve">F:\images\2021-CHG-ACH-Dutasteride 3\plaque 2/@01 Testo 30/D1_03.tif </t>
  </si>
  <si>
    <t xml:space="preserve"> 41421.2482 </t>
  </si>
  <si>
    <t xml:space="preserve"> 73.2178 </t>
  </si>
  <si>
    <t xml:space="preserve">F:\images\2021-CHG-ACH-Dutasteride 3\plaque 2/@01 Testo 30/E1_01.tif </t>
  </si>
  <si>
    <t xml:space="preserve"> 19488.5351 </t>
  </si>
  <si>
    <t xml:space="preserve"> 68.9179 </t>
  </si>
  <si>
    <t xml:space="preserve">F:\images\2021-CHG-ACH-Dutasteride 3\plaque 2/@01 Testo 30/E1_02.tif </t>
  </si>
  <si>
    <t xml:space="preserve"> 21478.4854 </t>
  </si>
  <si>
    <t xml:space="preserve"> 67.2618 </t>
  </si>
  <si>
    <t xml:space="preserve">F:\images\2021-CHG-ACH-Dutasteride 3\plaque 2/@01 Testo 30/E1_03.tif </t>
  </si>
  <si>
    <t xml:space="preserve"> 23230.5068 </t>
  </si>
  <si>
    <t xml:space="preserve"> 68.6443 </t>
  </si>
  <si>
    <t xml:space="preserve">F:\images\2021-CHG-ACH-Dutasteride 3\plaque 2/@01 Testo 30/F1_01.tif </t>
  </si>
  <si>
    <t xml:space="preserve"> 12004.5915 </t>
  </si>
  <si>
    <t xml:space="preserve"> 65.8973 </t>
  </si>
  <si>
    <t xml:space="preserve">F:\images\2021-CHG-ACH-Dutasteride 3\plaque 2/@01 Testo 30/F1_02.tif </t>
  </si>
  <si>
    <t xml:space="preserve"> 15724.9334 </t>
  </si>
  <si>
    <t xml:space="preserve"> 66.4773 </t>
  </si>
  <si>
    <t xml:space="preserve">F:\images\2021-CHG-ACH-Dutasteride 3\plaque 2/@01 Testo 30/F1_03.tif </t>
  </si>
  <si>
    <t xml:space="preserve"> 16741.5384 </t>
  </si>
  <si>
    <t xml:space="preserve"> 66.8669 </t>
  </si>
  <si>
    <t xml:space="preserve">F:\images\2021-CHG-ACH-Dutasteride 3\plaque 2/@01 Testo 30/G1_01.tif </t>
  </si>
  <si>
    <t xml:space="preserve"> 55307.6406 </t>
  </si>
  <si>
    <t xml:space="preserve"> 73.4935 </t>
  </si>
  <si>
    <t xml:space="preserve">F:\images\2021-CHG-ACH-Dutasteride 3\plaque 2/@01 Testo 30/G1_02.tif </t>
  </si>
  <si>
    <t xml:space="preserve"> 49727.1278 </t>
  </si>
  <si>
    <t xml:space="preserve"> 69.8447 </t>
  </si>
  <si>
    <t xml:space="preserve">F:\images\2021-CHG-ACH-Dutasteride 3\plaque 2/@01 Testo 30/G1_03.tif </t>
  </si>
  <si>
    <t xml:space="preserve"> 31925.7245 </t>
  </si>
  <si>
    <t xml:space="preserve"> 66.5562 </t>
  </si>
  <si>
    <t xml:space="preserve">F:\images\2021-CHG-ACH-Dutasteride 3\plaque 2/@01 Testo 30/H1_01.tif </t>
  </si>
  <si>
    <t xml:space="preserve"> 67.7362 </t>
  </si>
  <si>
    <t xml:space="preserve">F:\images\2021-CHG-ACH-Dutasteride 3\plaque 2/@01 Testo 30/H1_02.tif </t>
  </si>
  <si>
    <t xml:space="preserve"> 13908.0222 </t>
  </si>
  <si>
    <t xml:space="preserve"> 66.1493 </t>
  </si>
  <si>
    <t xml:space="preserve">F:\images\2021-CHG-ACH-Dutasteride 3\plaque 2/@01 Testo 30/H1_03.tif </t>
  </si>
  <si>
    <t xml:space="preserve"> 67.2361 </t>
  </si>
  <si>
    <t xml:space="preserve">F:\images\2021-CHG-ACH-Dutasteride 3\plaque 2/@01 Testo 30/ </t>
  </si>
  <si>
    <t xml:space="preserve"> 67.9382 </t>
  </si>
  <si>
    <t xml:space="preserve"> 3.0681 </t>
  </si>
  <si>
    <t xml:space="preserve"> 1659106.62 </t>
  </si>
  <si>
    <t xml:space="preserve"> 1112246.34 </t>
  </si>
  <si>
    <t xml:space="preserve">F:\images\2021-CHG-ACH-Dutasteride 3\plaque 2/@02 Testo 30/A2_01.tif </t>
  </si>
  <si>
    <t xml:space="preserve"> 74.6254 </t>
  </si>
  <si>
    <t xml:space="preserve">F:\images\2021-CHG-ACH-Dutasteride 3\plaque 2/@02 Testo 30/A2_02.tif </t>
  </si>
  <si>
    <t xml:space="preserve"> 34997.1695 </t>
  </si>
  <si>
    <t xml:space="preserve"> 72.8418 </t>
  </si>
  <si>
    <t xml:space="preserve">F:\images\2021-CHG-ACH-Dutasteride 3\plaque 2/@02 Testo 30/A2_03.tif </t>
  </si>
  <si>
    <t xml:space="preserve"> 38371.4331 </t>
  </si>
  <si>
    <t xml:space="preserve"> 75.1454 </t>
  </si>
  <si>
    <t xml:space="preserve">F:\images\2021-CHG-ACH-Dutasteride 3\plaque 2/@02 Testo 30/B2_01.tif </t>
  </si>
  <si>
    <t xml:space="preserve"> 11420.5844 </t>
  </si>
  <si>
    <t xml:space="preserve"> 68.892 </t>
  </si>
  <si>
    <t xml:space="preserve">F:\images\2021-CHG-ACH-Dutasteride 3\plaque 2/@02 Testo 30/B2_02.tif </t>
  </si>
  <si>
    <t xml:space="preserve"> 66.3694 </t>
  </si>
  <si>
    <t xml:space="preserve">F:\images\2021-CHG-ACH-Dutasteride 3\plaque 2/@02 Testo 30/B2_03.tif </t>
  </si>
  <si>
    <t xml:space="preserve"> 9603.6732 </t>
  </si>
  <si>
    <t xml:space="preserve"> 64.9752 </t>
  </si>
  <si>
    <t xml:space="preserve">F:\images\2021-CHG-ACH-Dutasteride 3\plaque 2/@02 Testo 30/C2_01.tif </t>
  </si>
  <si>
    <t xml:space="preserve"> 64.374 </t>
  </si>
  <si>
    <t xml:space="preserve">F:\images\2021-CHG-ACH-Dutasteride 3\plaque 2/@02 Testo 30/C2_02.tif </t>
  </si>
  <si>
    <t xml:space="preserve"> 65.0847 </t>
  </si>
  <si>
    <t xml:space="preserve">F:\images\2021-CHG-ACH-Dutasteride 3\plaque 2/@02 Testo 30/C2_03.tif </t>
  </si>
  <si>
    <t xml:space="preserve">F:\images\2021-CHG-ACH-Dutasteride 3\plaque 2/@02 Testo 30/D2_01.tif </t>
  </si>
  <si>
    <t xml:space="preserve"> 2336.0286 </t>
  </si>
  <si>
    <t xml:space="preserve"> 63.3981 </t>
  </si>
  <si>
    <t xml:space="preserve">F:\images\2021-CHG-ACH-Dutasteride 3\plaque 2/@02 Testo 30/D2_02.tif </t>
  </si>
  <si>
    <t xml:space="preserve"> 64.051 </t>
  </si>
  <si>
    <t xml:space="preserve">F:\images\2021-CHG-ACH-Dutasteride 3\plaque 2/@02 Testo 30/D2_03.tif </t>
  </si>
  <si>
    <t xml:space="preserve"> 64.1503 </t>
  </si>
  <si>
    <t xml:space="preserve">F:\images\2021-CHG-ACH-Dutasteride 3\plaque 2/@02 Testo 30/E2_01.tif </t>
  </si>
  <si>
    <t xml:space="preserve"> 44925.2911 </t>
  </si>
  <si>
    <t xml:space="preserve"> 75.337 </t>
  </si>
  <si>
    <t xml:space="preserve">F:\images\2021-CHG-ACH-Dutasteride 3\plaque 2/@02 Testo 30/E2_02.tif </t>
  </si>
  <si>
    <t xml:space="preserve"> 41918.7358 </t>
  </si>
  <si>
    <t xml:space="preserve"> 73.743 </t>
  </si>
  <si>
    <t xml:space="preserve">F:\images\2021-CHG-ACH-Dutasteride 3\plaque 2/@02 Testo 30/E2_03.tif </t>
  </si>
  <si>
    <t xml:space="preserve"> 40880.5008 </t>
  </si>
  <si>
    <t xml:space="preserve"> 73.2132 </t>
  </si>
  <si>
    <t xml:space="preserve">F:\images\2021-CHG-ACH-Dutasteride 3\plaque 2/@02 Testo 30/F2_01.tif </t>
  </si>
  <si>
    <t xml:space="preserve">F:\images\2021-CHG-ACH-Dutasteride 3\plaque 2/@02 Testo 30/F2_02.tif </t>
  </si>
  <si>
    <t xml:space="preserve"> 65.4886 </t>
  </si>
  <si>
    <t xml:space="preserve">F:\images\2021-CHG-ACH-Dutasteride 3\plaque 2/@02 Testo 30/F2_03.tif </t>
  </si>
  <si>
    <t xml:space="preserve"> 64.5972 </t>
  </si>
  <si>
    <t xml:space="preserve">F:\images\2021-CHG-ACH-Dutasteride 3\plaque 2/@02 Testo 30/G2_01.tif </t>
  </si>
  <si>
    <t xml:space="preserve"> 17520.2146 </t>
  </si>
  <si>
    <t xml:space="preserve"> 67.921 </t>
  </si>
  <si>
    <t xml:space="preserve">F:\images\2021-CHG-ACH-Dutasteride 3\plaque 2/@02 Testo 30/G2_02.tif </t>
  </si>
  <si>
    <t xml:space="preserve"> 10858.2071 </t>
  </si>
  <si>
    <t xml:space="preserve"> 66.0916 </t>
  </si>
  <si>
    <t xml:space="preserve">F:\images\2021-CHG-ACH-Dutasteride 3\plaque 2/@02 Testo 30/G2_03.tif </t>
  </si>
  <si>
    <t xml:space="preserve"> 9863.232 </t>
  </si>
  <si>
    <t xml:space="preserve"> 66.114 </t>
  </si>
  <si>
    <t>F:\images\2021-CHG-ACH-Dutasteride 3\plaque 2/@02 Testo 30/H2_01- exclu.tif</t>
  </si>
  <si>
    <t>F:\images\2021-CHG-ACH-Dutasteride 3\plaque 2/@02 Testo 30/H2_02- exclu.tif</t>
  </si>
  <si>
    <t xml:space="preserve">F:\images\2021-CHG-ACH-Dutasteride 3\plaque 2/@02 Testo 30/H2_03.tif </t>
  </si>
  <si>
    <t xml:space="preserve"> 63.288 </t>
  </si>
  <si>
    <t xml:space="preserve">F:\images\2021-CHG-ACH-Dutasteride 3\plaque 2/@02 Testo 30/ </t>
  </si>
  <si>
    <t xml:space="preserve"> 67.2654 </t>
  </si>
  <si>
    <t xml:space="preserve"> 4.3474 </t>
  </si>
  <si>
    <t xml:space="preserve"> 980452.583 </t>
  </si>
  <si>
    <t xml:space="preserve"> 1180483.53 </t>
  </si>
  <si>
    <t xml:space="preserve">F:\images\2021-CHG-ACH-Dutasteride 3\plaque 2/@03 Testo+ EE2 64/A3_01.tif </t>
  </si>
  <si>
    <t xml:space="preserve"> 67052.6733 </t>
  </si>
  <si>
    <t xml:space="preserve"> 79.6935 </t>
  </si>
  <si>
    <t xml:space="preserve">F:\images\2021-CHG-ACH-Dutasteride 3\plaque 2/@03 Testo+ EE2 64/A3_02.tif </t>
  </si>
  <si>
    <t xml:space="preserve"> 66209.1075 </t>
  </si>
  <si>
    <t xml:space="preserve"> 78.116 </t>
  </si>
  <si>
    <t xml:space="preserve">F:\images\2021-CHG-ACH-Dutasteride 3\plaque 2/@03 Testo+ EE2 64/A3_03.tif </t>
  </si>
  <si>
    <t xml:space="preserve"> 63245.8119 </t>
  </si>
  <si>
    <t xml:space="preserve"> 69.8177 </t>
  </si>
  <si>
    <t xml:space="preserve">F:\images\2021-CHG-ACH-Dutasteride 3\plaque 2/@03 Testo+ EE2 64/B3_01.tif </t>
  </si>
  <si>
    <t xml:space="preserve"> 36900.6002 </t>
  </si>
  <si>
    <t xml:space="preserve"> 73.422 </t>
  </si>
  <si>
    <t xml:space="preserve">F:\images\2021-CHG-ACH-Dutasteride 3\plaque 2/@03 Testo+ EE2 64/B3_02.tif </t>
  </si>
  <si>
    <t xml:space="preserve"> 33136.9986 </t>
  </si>
  <si>
    <t xml:space="preserve"> 73.6717 </t>
  </si>
  <si>
    <t xml:space="preserve">F:\images\2021-CHG-ACH-Dutasteride 3\plaque 2/@03 Testo+ EE2 64/B3_03.tif </t>
  </si>
  <si>
    <t xml:space="preserve"> 33807.5253 </t>
  </si>
  <si>
    <t xml:space="preserve"> 74.1772 </t>
  </si>
  <si>
    <t xml:space="preserve">F:\images\2021-CHG-ACH-Dutasteride 3\plaque 2/@03 Testo+ EE2 64/C3_01.tif </t>
  </si>
  <si>
    <t xml:space="preserve"> 70.9243 </t>
  </si>
  <si>
    <t xml:space="preserve">F:\images\2021-CHG-ACH-Dutasteride 3\plaque 2/@03 Testo+ EE2 64/C3_02.tif </t>
  </si>
  <si>
    <t xml:space="preserve"> 70.9935 </t>
  </si>
  <si>
    <t xml:space="preserve">F:\images\2021-CHG-ACH-Dutasteride 3\plaque 2/@03 Testo+ EE2 64/C3_03.tif </t>
  </si>
  <si>
    <t xml:space="preserve"> 69.8918 </t>
  </si>
  <si>
    <t xml:space="preserve">F:\images\2021-CHG-ACH-Dutasteride 3\plaque 2/@03 Testo+ EE2 64/D3_01.tif </t>
  </si>
  <si>
    <t xml:space="preserve"> 46720.5724 </t>
  </si>
  <si>
    <t xml:space="preserve"> 77.4514 </t>
  </si>
  <si>
    <t xml:space="preserve">F:\images\2021-CHG-ACH-Dutasteride 3\plaque 2/@03 Testo+ EE2 64/D3_02.tif </t>
  </si>
  <si>
    <t xml:space="preserve"> 42394.5935 </t>
  </si>
  <si>
    <t xml:space="preserve"> 76.6189 </t>
  </si>
  <si>
    <t xml:space="preserve">F:\images\2021-CHG-ACH-Dutasteride 3\plaque 2/@03 Testo+ EE2 64/D3_03.tif </t>
  </si>
  <si>
    <t xml:space="preserve"> 42329.7038 </t>
  </si>
  <si>
    <t xml:space="preserve"> 75.9867 </t>
  </si>
  <si>
    <t xml:space="preserve">F:\images\2021-CHG-ACH-Dutasteride 3\plaque 2/@03 Testo+ EE2 64/E3_01.tif </t>
  </si>
  <si>
    <t xml:space="preserve"> 63.8944 </t>
  </si>
  <si>
    <t xml:space="preserve">F:\images\2021-CHG-ACH-Dutasteride 3\plaque 2/@03 Testo+ EE2 64/E3_02.tif </t>
  </si>
  <si>
    <t xml:space="preserve"> 4845.0964 </t>
  </si>
  <si>
    <t xml:space="preserve"> 64.4375 </t>
  </si>
  <si>
    <t xml:space="preserve">F:\images\2021-CHG-ACH-Dutasteride 3\plaque 2/@03 Testo+ EE2 64/E3_03.tif </t>
  </si>
  <si>
    <t xml:space="preserve"> 63.2793 </t>
  </si>
  <si>
    <t xml:space="preserve">F:\images\2021-CHG-ACH-Dutasteride 3\plaque 2/@03 Testo+ EE2 64/F3_01.tif </t>
  </si>
  <si>
    <t xml:space="preserve"> 48732.1526 </t>
  </si>
  <si>
    <t xml:space="preserve"> 81.976 </t>
  </si>
  <si>
    <t xml:space="preserve">F:\images\2021-CHG-ACH-Dutasteride 3\plaque 2/@03 Testo+ EE2 64/F3_02.tif </t>
  </si>
  <si>
    <t xml:space="preserve"> 51435.8894 </t>
  </si>
  <si>
    <t xml:space="preserve"> 77.05 </t>
  </si>
  <si>
    <t xml:space="preserve">F:\images\2021-CHG-ACH-Dutasteride 3\plaque 2/@03 Testo+ EE2 64/F3_03.tif </t>
  </si>
  <si>
    <t xml:space="preserve"> 49792.0174 </t>
  </si>
  <si>
    <t xml:space="preserve"> 79.6842 </t>
  </si>
  <si>
    <t xml:space="preserve">F:\images\2021-CHG-ACH-Dutasteride 3\plaque 2/@03 Testo+ EE2 64/G3_01.tif </t>
  </si>
  <si>
    <t xml:space="preserve"> 57773.4486 </t>
  </si>
  <si>
    <t xml:space="preserve"> 77.3111 </t>
  </si>
  <si>
    <t xml:space="preserve">F:\images\2021-CHG-ACH-Dutasteride 3\plaque 2/@03 Testo+ EE2 64/G3_02.tif </t>
  </si>
  <si>
    <t xml:space="preserve"> 58422.3454 </t>
  </si>
  <si>
    <t xml:space="preserve"> 75.8441 </t>
  </si>
  <si>
    <t xml:space="preserve">F:\images\2021-CHG-ACH-Dutasteride 3\plaque 2/@03 Testo+ EE2 64/G3_03.tif </t>
  </si>
  <si>
    <t xml:space="preserve"> 55610.4591 </t>
  </si>
  <si>
    <t xml:space="preserve"> 78.3975 </t>
  </si>
  <si>
    <t xml:space="preserve">F:\images\2021-CHG-ACH-Dutasteride 3\plaque 2/@03 Testo+ EE2 64/H3_01.tif </t>
  </si>
  <si>
    <t xml:space="preserve"> 8543.8084 </t>
  </si>
  <si>
    <t xml:space="preserve"> 65.4734 </t>
  </si>
  <si>
    <t xml:space="preserve">F:\images\2021-CHG-ACH-Dutasteride 3\plaque 2/@03 Testo+ EE2 64/H3_02.tif </t>
  </si>
  <si>
    <t xml:space="preserve"> 8738.4774 </t>
  </si>
  <si>
    <t xml:space="preserve"> 67.9901 </t>
  </si>
  <si>
    <t xml:space="preserve">F:\images\2021-CHG-ACH-Dutasteride 3\plaque 2/@03 Testo+ EE2 64/H3_03.tif </t>
  </si>
  <si>
    <t xml:space="preserve"> 65.2346 </t>
  </si>
  <si>
    <t xml:space="preserve">F:\images\2021-CHG-ACH-Dutasteride 3\plaque 2/@03 Testo+ EE2 64/ </t>
  </si>
  <si>
    <t xml:space="preserve"> 72.9724 </t>
  </si>
  <si>
    <t xml:space="preserve"> 5.6459 </t>
  </si>
  <si>
    <t xml:space="preserve"> 2703586.21 </t>
  </si>
  <si>
    <t xml:space="preserve"> 1703135.88 </t>
  </si>
  <si>
    <t xml:space="preserve">F:\images\2021-CHG-ACH-Dutasteride 3\plaque 2/@04 Testo+ FAD/A4_01.tif </t>
  </si>
  <si>
    <t xml:space="preserve"> 65.3051 </t>
  </si>
  <si>
    <t xml:space="preserve">F:\images\2021-CHG-ACH-Dutasteride 3\plaque 2/@04 Testo+ FAD/A4_02.tif </t>
  </si>
  <si>
    <t xml:space="preserve"> 62.1481 </t>
  </si>
  <si>
    <t>F:\images\2021-CHG-ACH-Dutasteride 3\plaque 2/@04 Testo+ FAD/A4_03- exclu.tif</t>
  </si>
  <si>
    <t xml:space="preserve">F:\images\2021-CHG-ACH-Dutasteride 3\plaque 2/@04 Testo+ FAD/B4_01.tif </t>
  </si>
  <si>
    <t xml:space="preserve"> 7765.1322 </t>
  </si>
  <si>
    <t xml:space="preserve"> 68.9721 </t>
  </si>
  <si>
    <t xml:space="preserve">F:\images\2021-CHG-ACH-Dutasteride 3\plaque 2/@04 Testo+ FAD/B4_02.tif </t>
  </si>
  <si>
    <t xml:space="preserve"> 7483.9435 </t>
  </si>
  <si>
    <t xml:space="preserve"> 67.8902 </t>
  </si>
  <si>
    <t xml:space="preserve">F:\images\2021-CHG-ACH-Dutasteride 3\plaque 2/@04 Testo+ FAD/B4_03.tif </t>
  </si>
  <si>
    <t xml:space="preserve"> 65.7949 </t>
  </si>
  <si>
    <t xml:space="preserve">F:\images\2021-CHG-ACH-Dutasteride 3\plaque 2/@04 Testo+ FAD/C4_01.tif </t>
  </si>
  <si>
    <t>F:\images\2021-CHG-ACH-Dutasteride 3\plaque 2/@04 Testo+ FAD/C4_02- exclu.tif</t>
  </si>
  <si>
    <t xml:space="preserve">F:\images\2021-CHG-ACH-Dutasteride 3\plaque 2/@04 Testo+ FAD/C4_03.tif </t>
  </si>
  <si>
    <t xml:space="preserve">F:\images\2021-CHG-ACH-Dutasteride 3\plaque 2/@04 Testo+ FAD/D4_01.tif </t>
  </si>
  <si>
    <t xml:space="preserve"> 63.5172 </t>
  </si>
  <si>
    <t xml:space="preserve">F:\images\2021-CHG-ACH-Dutasteride 3\plaque 2/@04 Testo+ FAD/D4_02.tif </t>
  </si>
  <si>
    <t xml:space="preserve"> 63.0957 </t>
  </si>
  <si>
    <t xml:space="preserve">F:\images\2021-CHG-ACH-Dutasteride 3\plaque 2/@04 Testo+ FAD/D4_03.tif </t>
  </si>
  <si>
    <t xml:space="preserve"> 63.1412 </t>
  </si>
  <si>
    <t xml:space="preserve">F:\images\2021-CHG-ACH-Dutasteride 3\plaque 2/@04 Testo+ FAD/E4_01.tif </t>
  </si>
  <si>
    <t xml:space="preserve"> 66.2455 </t>
  </si>
  <si>
    <t xml:space="preserve">F:\images\2021-CHG-ACH-Dutasteride 3\plaque 2/@04 Testo+ FAD/E4_02.tif </t>
  </si>
  <si>
    <t xml:space="preserve"> 70.4202 </t>
  </si>
  <si>
    <t xml:space="preserve">F:\images\2021-CHG-ACH-Dutasteride 3\plaque 2/@04 Testo+ FAD/E4_03.tif </t>
  </si>
  <si>
    <t xml:space="preserve"> 67.2712 </t>
  </si>
  <si>
    <t xml:space="preserve">F:\images\2021-CHG-ACH-Dutasteride 3\plaque 2/@04 Testo+ FAD/F4_01.tif </t>
  </si>
  <si>
    <t xml:space="preserve">F:\images\2021-CHG-ACH-Dutasteride 3\plaque 2/@04 Testo+ FAD/F4_02.tif </t>
  </si>
  <si>
    <t xml:space="preserve">F:\images\2021-CHG-ACH-Dutasteride 3\plaque 2/@04 Testo+ FAD/F4_03.tif </t>
  </si>
  <si>
    <t>F:\images\2021-CHG-ACH-Dutasteride 3\plaque 2/@04 Testo+ FAD/G4_01- exclu.tif</t>
  </si>
  <si>
    <t xml:space="preserve">F:\images\2021-CHG-ACH-Dutasteride 3\plaque 2/@04 Testo+ FAD/G4_02.tif </t>
  </si>
  <si>
    <t xml:space="preserve"> 62.84 </t>
  </si>
  <si>
    <t xml:space="preserve">F:\images\2021-CHG-ACH-Dutasteride 3\plaque 2/@04 Testo+ FAD/G4_03.tif </t>
  </si>
  <si>
    <t xml:space="preserve"> 62.6774 </t>
  </si>
  <si>
    <t xml:space="preserve">F:\images\2021-CHG-ACH-Dutasteride 3\plaque 2/@04 Testo+ FAD/H4_01.tif </t>
  </si>
  <si>
    <t xml:space="preserve"> 66.5595 </t>
  </si>
  <si>
    <t xml:space="preserve">F:\images\2021-CHG-ACH-Dutasteride 3\plaque 2/@04 Testo+ FAD/H4_02.tif </t>
  </si>
  <si>
    <t xml:space="preserve"> 66.9123 </t>
  </si>
  <si>
    <t xml:space="preserve">F:\images\2021-CHG-ACH-Dutasteride 3\plaque 2/@04 Testo+ FAD/H4_03.tif </t>
  </si>
  <si>
    <t xml:space="preserve"> 64.7576 </t>
  </si>
  <si>
    <t xml:space="preserve">F:\images\2021-CHG-ACH-Dutasteride 3\plaque 2/@04 Testo+ FAD/ </t>
  </si>
  <si>
    <t xml:space="preserve"> 64.9485 </t>
  </si>
  <si>
    <t xml:space="preserve"> 2.27 </t>
  </si>
  <si>
    <t xml:space="preserve"> 122591.875 </t>
  </si>
  <si>
    <t xml:space="preserve"> 146216.225 </t>
  </si>
  <si>
    <t xml:space="preserve">F:\images\2021-CHG-ACH-Dutasteride 3\plaque 2/@05 Dutastéride 0.01mg_L Dopé/A5_01.tif </t>
  </si>
  <si>
    <t xml:space="preserve"> 51306.1101 </t>
  </si>
  <si>
    <t xml:space="preserve"> 73.2095 </t>
  </si>
  <si>
    <t xml:space="preserve">F:\images\2021-CHG-ACH-Dutasteride 3\plaque 2/@05 Dutastéride 0.01mg_L Dopé/A5_02.tif </t>
  </si>
  <si>
    <t xml:space="preserve"> 55199.4911 </t>
  </si>
  <si>
    <t xml:space="preserve"> 72.5537 </t>
  </si>
  <si>
    <t xml:space="preserve">F:\images\2021-CHG-ACH-Dutasteride 3\plaque 2/@05 Dutastéride 0.01mg_L Dopé/A5_03.tif </t>
  </si>
  <si>
    <t xml:space="preserve"> 57449.0001 </t>
  </si>
  <si>
    <t xml:space="preserve"> 72.6032 </t>
  </si>
  <si>
    <t xml:space="preserve">F:\images\2021-CHG-ACH-Dutasteride 3\plaque 2/@05 Dutastéride 0.01mg_L Dopé/B5_01.tif </t>
  </si>
  <si>
    <t xml:space="preserve"> 68.4193 </t>
  </si>
  <si>
    <t xml:space="preserve">F:\images\2021-CHG-ACH-Dutasteride 3\plaque 2/@05 Dutastéride 0.01mg_L Dopé/B5_02.tif </t>
  </si>
  <si>
    <t xml:space="preserve"> 66.0585 </t>
  </si>
  <si>
    <t xml:space="preserve">F:\images\2021-CHG-ACH-Dutasteride 3\plaque 2/@05 Dutastéride 0.01mg_L Dopé/B5_03.tif </t>
  </si>
  <si>
    <t xml:space="preserve"> 32942.3295 </t>
  </si>
  <si>
    <t xml:space="preserve"> 68.0519 </t>
  </si>
  <si>
    <t xml:space="preserve">F:\images\2021-CHG-ACH-Dutasteride 3\plaque 2/@05 Dutastéride 0.01mg_L Dopé/C5_01.tif </t>
  </si>
  <si>
    <t xml:space="preserve"> 19164.0866 </t>
  </si>
  <si>
    <t xml:space="preserve"> 69.3883 </t>
  </si>
  <si>
    <t xml:space="preserve">F:\images\2021-CHG-ACH-Dutasteride 3\plaque 2/@05 Dutastéride 0.01mg_L Dopé/C5_02.tif </t>
  </si>
  <si>
    <t xml:space="preserve"> 67.4409 </t>
  </si>
  <si>
    <t xml:space="preserve">F:\images\2021-CHG-ACH-Dutasteride 3\plaque 2/@05 Dutastéride 0.01mg_L Dopé/C5_03.tif </t>
  </si>
  <si>
    <t xml:space="preserve"> 17130.8765 </t>
  </si>
  <si>
    <t xml:space="preserve"> 69.8346 </t>
  </si>
  <si>
    <t xml:space="preserve">F:\images\2021-CHG-ACH-Dutasteride 3\plaque 2/@05 Dutastéride 0.01mg_L Dopé/D5_01.tif </t>
  </si>
  <si>
    <t xml:space="preserve"> 63.8889 </t>
  </si>
  <si>
    <t xml:space="preserve">F:\images\2021-CHG-ACH-Dutasteride 3\plaque 2/@05 Dutastéride 0.01mg_L Dopé/D5_02.tif </t>
  </si>
  <si>
    <t xml:space="preserve"> 64.7857 </t>
  </si>
  <si>
    <t xml:space="preserve">F:\images\2021-CHG-ACH-Dutasteride 3\plaque 2/@05 Dutastéride 0.01mg_L Dopé/D5_03.tif </t>
  </si>
  <si>
    <t xml:space="preserve"> 64.0556 </t>
  </si>
  <si>
    <t xml:space="preserve">F:\images\2021-CHG-ACH-Dutasteride 3\plaque 2/@05 Dutastéride 0.01mg_L Dopé/E5_01.tif </t>
  </si>
  <si>
    <t xml:space="preserve"> 70.7893 </t>
  </si>
  <si>
    <t xml:space="preserve">F:\images\2021-CHG-ACH-Dutasteride 3\plaque 2/@05 Dutastéride 0.01mg_L Dopé/E5_02.tif </t>
  </si>
  <si>
    <t xml:space="preserve"> 41659.1771 </t>
  </si>
  <si>
    <t xml:space="preserve"> 72.7155 </t>
  </si>
  <si>
    <t xml:space="preserve">F:\images\2021-CHG-ACH-Dutasteride 3\plaque 2/@05 Dutastéride 0.01mg_L Dopé/E5_03.tif </t>
  </si>
  <si>
    <t xml:space="preserve"> 43649.1274 </t>
  </si>
  <si>
    <t xml:space="preserve"> 72.7042 </t>
  </si>
  <si>
    <t xml:space="preserve">F:\images\2021-CHG-ACH-Dutasteride 3\plaque 2/@05 Dutastéride 0.01mg_L Dopé/F5_01.tif </t>
  </si>
  <si>
    <t xml:space="preserve"> 58227.6763 </t>
  </si>
  <si>
    <t xml:space="preserve"> 75.0111 </t>
  </si>
  <si>
    <t xml:space="preserve">F:\images\2021-CHG-ACH-Dutasteride 3\plaque 2/@05 Dutastéride 0.01mg_L Dopé/F5_02.tif </t>
  </si>
  <si>
    <t xml:space="preserve"> 53555.6191 </t>
  </si>
  <si>
    <t xml:space="preserve"> 75.0679 </t>
  </si>
  <si>
    <t xml:space="preserve">F:\images\2021-CHG-ACH-Dutasteride 3\plaque 2/@05 Dutastéride 0.01mg_L Dopé/F5_03.tif </t>
  </si>
  <si>
    <t xml:space="preserve"> 51262.8503 </t>
  </si>
  <si>
    <t xml:space="preserve"> 72.0321 </t>
  </si>
  <si>
    <t>F:\images\2021-CHG-ACH-Dutasteride 3\plaque 2/@05 Dutastéride 0.01mg_L Dopé/G5_01- exclu.tif</t>
  </si>
  <si>
    <t>F:\images\2021-CHG-ACH-Dutasteride 3\plaque 2/@05 Dutastéride 0.01mg_L Dopé/G5_02- exclu.tif</t>
  </si>
  <si>
    <t>F:\images\2021-CHG-ACH-Dutasteride 3\plaque 2/@05 Dutastéride 0.01mg_L Dopé/G5_03- exclu.tif</t>
  </si>
  <si>
    <t xml:space="preserve">F:\images\2021-CHG-ACH-Dutasteride 3\plaque 2/@05 Dutastéride 0.01mg_L Dopé/H5_01.tif </t>
  </si>
  <si>
    <t xml:space="preserve"> 65.0757 </t>
  </si>
  <si>
    <t xml:space="preserve">F:\images\2021-CHG-ACH-Dutasteride 3\plaque 2/@05 Dutastéride 0.01mg_L Dopé/H5_02.tif </t>
  </si>
  <si>
    <t xml:space="preserve"> 66.4131 </t>
  </si>
  <si>
    <t xml:space="preserve">F:\images\2021-CHG-ACH-Dutasteride 3\plaque 2/@05 Dutastéride 0.01mg_L Dopé/H5_03.tif </t>
  </si>
  <si>
    <t xml:space="preserve"> 65.4379 </t>
  </si>
  <si>
    <t xml:space="preserve">F:\images\2021-CHG-ACH-Dutasteride 3\plaque 2/@05 Dutastéride 0.01mg_L Dopé/ </t>
  </si>
  <si>
    <t xml:space="preserve"> 68.9363 </t>
  </si>
  <si>
    <t xml:space="preserve"> 3.7066 </t>
  </si>
  <si>
    <t xml:space="preserve"> 1827450.29 </t>
  </si>
  <si>
    <t xml:space="preserve"> 1630799.17 </t>
  </si>
  <si>
    <t xml:space="preserve">F:\images\2021-CHG-ACH-Dutasteride 3\plaque 2/@06 Dutastéride 0.1mg_L Dopé/A6_01.tif </t>
  </si>
  <si>
    <t xml:space="preserve">F:\images\2021-CHG-ACH-Dutasteride 3\plaque 2/@06 Dutastéride 0.1mg_L Dopé/A6_02.tif </t>
  </si>
  <si>
    <t xml:space="preserve"> 63.6875 </t>
  </si>
  <si>
    <t xml:space="preserve">F:\images\2021-CHG-ACH-Dutasteride 3\plaque 2/@06 Dutastéride 0.1mg_L Dopé/A6_03.tif </t>
  </si>
  <si>
    <t>F:\images\2021-CHG-ACH-Dutasteride 3\plaque 2/@06 Dutastéride 0.1mg_L Dopé/B6_01- exclu.tif</t>
  </si>
  <si>
    <t xml:space="preserve">F:\images\2021-CHG-ACH-Dutasteride 3\plaque 2/@06 Dutastéride 0.1mg_L Dopé/B6_02.tif </t>
  </si>
  <si>
    <t xml:space="preserve"> 16936.2075 </t>
  </si>
  <si>
    <t xml:space="preserve"> 66.4789 </t>
  </si>
  <si>
    <t xml:space="preserve">F:\images\2021-CHG-ACH-Dutasteride 3\plaque 2/@06 Dutastéride 0.1mg_L Dopé/B6_03.tif </t>
  </si>
  <si>
    <t xml:space="preserve"> 14751.5881 </t>
  </si>
  <si>
    <t xml:space="preserve"> 64.9897 </t>
  </si>
  <si>
    <t xml:space="preserve">F:\images\2021-CHG-ACH-Dutasteride 3\plaque 2/@06 Dutastéride 0.1mg_L Dopé/C6_01.tif </t>
  </si>
  <si>
    <t xml:space="preserve"> 63.6471 </t>
  </si>
  <si>
    <t xml:space="preserve">F:\images\2021-CHG-ACH-Dutasteride 3\plaque 2/@06 Dutastéride 0.1mg_L Dopé/C6_02.tif </t>
  </si>
  <si>
    <t xml:space="preserve"> 62.3125 </t>
  </si>
  <si>
    <t xml:space="preserve">F:\images\2021-CHG-ACH-Dutasteride 3\plaque 2/@06 Dutastéride 0.1mg_L Dopé/C6_03.tif </t>
  </si>
  <si>
    <t xml:space="preserve"> 63.0588 </t>
  </si>
  <si>
    <t xml:space="preserve">F:\images\2021-CHG-ACH-Dutasteride 3\plaque 2/@06 Dutastéride 0.1mg_L Dopé/D6_01.tif </t>
  </si>
  <si>
    <t xml:space="preserve"> 27578.1157 </t>
  </si>
  <si>
    <t xml:space="preserve"> 69.5702 </t>
  </si>
  <si>
    <t xml:space="preserve">F:\images\2021-CHG-ACH-Dutasteride 3\plaque 2/@06 Dutastéride 0.1mg_L Dopé/D6_02.tif </t>
  </si>
  <si>
    <t xml:space="preserve"> 68.928 </t>
  </si>
  <si>
    <t xml:space="preserve">F:\images\2021-CHG-ACH-Dutasteride 3\plaque 2/@06 Dutastéride 0.1mg_L Dopé/D6_03.tif </t>
  </si>
  <si>
    <t xml:space="preserve"> 68.8635 </t>
  </si>
  <si>
    <t>F:\images\2021-CHG-ACH-Dutasteride 3\plaque 2/@06 Dutastéride 0.1mg_L Dopé/E6_01- exclu.tif</t>
  </si>
  <si>
    <t xml:space="preserve">F:\images\2021-CHG-ACH-Dutasteride 3\plaque 2/@06 Dutastéride 0.1mg_L Dopé/E6_02.tif </t>
  </si>
  <si>
    <t xml:space="preserve"> 8003.061 </t>
  </si>
  <si>
    <t xml:space="preserve"> 68.2459 </t>
  </si>
  <si>
    <t xml:space="preserve">F:\images\2021-CHG-ACH-Dutasteride 3\plaque 2/@06 Dutastéride 0.1mg_L Dopé/E6_03.tif </t>
  </si>
  <si>
    <t xml:space="preserve"> 66.8635 </t>
  </si>
  <si>
    <t xml:space="preserve">F:\images\2021-CHG-ACH-Dutasteride 3\plaque 2/@06 Dutastéride 0.1mg_L Dopé/F6_01.tif </t>
  </si>
  <si>
    <t xml:space="preserve"> 39214.999 </t>
  </si>
  <si>
    <t xml:space="preserve"> 71.2328 </t>
  </si>
  <si>
    <t xml:space="preserve">F:\images\2021-CHG-ACH-Dutasteride 3\plaque 2/@06 Dutastéride 0.1mg_L Dopé/F6_02.tif </t>
  </si>
  <si>
    <t xml:space="preserve"> 37917.2053 </t>
  </si>
  <si>
    <t xml:space="preserve"> 70.3155 </t>
  </si>
  <si>
    <t xml:space="preserve">F:\images\2021-CHG-ACH-Dutasteride 3\plaque 2/@06 Dutastéride 0.1mg_L Dopé/F6_03.tif </t>
  </si>
  <si>
    <t xml:space="preserve"> 34240.1232 </t>
  </si>
  <si>
    <t xml:space="preserve"> 70.1282 </t>
  </si>
  <si>
    <t xml:space="preserve">F:\images\2021-CHG-ACH-Dutasteride 3\plaque 2/@06 Dutastéride 0.1mg_L Dopé/G6_01.tif </t>
  </si>
  <si>
    <t xml:space="preserve"> 18385.4104 </t>
  </si>
  <si>
    <t xml:space="preserve"> 92.6694 </t>
  </si>
  <si>
    <t xml:space="preserve">F:\images\2021-CHG-ACH-Dutasteride 3\plaque 2/@06 Dutastéride 0.1mg_L Dopé/G6_02.tif </t>
  </si>
  <si>
    <t xml:space="preserve"> 14794.8479 </t>
  </si>
  <si>
    <t xml:space="preserve"> 115.0263 </t>
  </si>
  <si>
    <t xml:space="preserve">F:\images\2021-CHG-ACH-Dutasteride 3\plaque 2/@06 Dutastéride 0.1mg_L Dopé/G6_03.tif </t>
  </si>
  <si>
    <t xml:space="preserve"> 114.5163 </t>
  </si>
  <si>
    <t xml:space="preserve">F:\images\2021-CHG-ACH-Dutasteride 3\plaque 2/@06 Dutastéride 0.1mg_L Dopé/H6_01.tif </t>
  </si>
  <si>
    <t xml:space="preserve"> 62.4886 </t>
  </si>
  <si>
    <t xml:space="preserve">F:\images\2021-CHG-ACH-Dutasteride 3\plaque 2/@06 Dutastéride 0.1mg_L Dopé/H6_02.tif </t>
  </si>
  <si>
    <t xml:space="preserve"> 62.6429 </t>
  </si>
  <si>
    <t xml:space="preserve">F:\images\2021-CHG-ACH-Dutasteride 3\plaque 2/@06 Dutastéride 0.1mg_L Dopé/H6_03.tif </t>
  </si>
  <si>
    <t xml:space="preserve">F:\images\2021-CHG-ACH-Dutasteride 3\plaque 2/@06 Dutastéride 0.1mg_L Dopé/ </t>
  </si>
  <si>
    <t xml:space="preserve"> 71.2356 </t>
  </si>
  <si>
    <t xml:space="preserve"> 14.7289 </t>
  </si>
  <si>
    <t xml:space="preserve"> 974447.5 </t>
  </si>
  <si>
    <t xml:space="preserve"> 959062.365 </t>
  </si>
  <si>
    <t xml:space="preserve">F:\images\2021-CHG-ACH-Dutasteride 3\plaque 2/@07  Dutastéride 0.25mg_L Dopé/A7_01.tif </t>
  </si>
  <si>
    <t xml:space="preserve"> 64.703 </t>
  </si>
  <si>
    <t xml:space="preserve">F:\images\2021-CHG-ACH-Dutasteride 3\plaque 2/@07  Dutastéride 0.25mg_L Dopé/A7_02.tif </t>
  </si>
  <si>
    <t xml:space="preserve"> 65.2429 </t>
  </si>
  <si>
    <t xml:space="preserve">F:\images\2021-CHG-ACH-Dutasteride 3\plaque 2/@07  Dutastéride 0.25mg_L Dopé/A7_03.tif </t>
  </si>
  <si>
    <t xml:space="preserve"> 64.5645 </t>
  </si>
  <si>
    <t xml:space="preserve">F:\images\2021-CHG-ACH-Dutasteride 3\plaque 2/@07  Dutastéride 0.25mg_L Dopé/B7_01.tif </t>
  </si>
  <si>
    <t xml:space="preserve"> 18017.7022 </t>
  </si>
  <si>
    <t xml:space="preserve"> 66.6747 </t>
  </si>
  <si>
    <t xml:space="preserve">F:\images\2021-CHG-ACH-Dutasteride 3\plaque 2/@07  Dutastéride 0.25mg_L Dopé/B7_02.tif </t>
  </si>
  <si>
    <t xml:space="preserve"> 12350.6698 </t>
  </si>
  <si>
    <t xml:space="preserve"> 66.3783 </t>
  </si>
  <si>
    <t xml:space="preserve">F:\images\2021-CHG-ACH-Dutasteride 3\plaque 2/@07  Dutastéride 0.25mg_L Dopé/B7_03.tif </t>
  </si>
  <si>
    <t xml:space="preserve"> 16265.6808 </t>
  </si>
  <si>
    <t xml:space="preserve"> 67.016 </t>
  </si>
  <si>
    <t xml:space="preserve">F:\images\2021-CHG-ACH-Dutasteride 3\plaque 2/@07  Dutastéride 0.25mg_L Dopé/C7_01.tif </t>
  </si>
  <si>
    <t xml:space="preserve">F:\images\2021-CHG-ACH-Dutasteride 3\plaque 2/@07  Dutastéride 0.25mg_L Dopé/C7_02.tif </t>
  </si>
  <si>
    <t xml:space="preserve">F:\images\2021-CHG-ACH-Dutasteride 3\plaque 2/@07  Dutastéride 0.25mg_L Dopé/C7_03.tif </t>
  </si>
  <si>
    <t xml:space="preserve"> 65.3429 </t>
  </si>
  <si>
    <t xml:space="preserve">F:\images\2021-CHG-ACH-Dutasteride 3\plaque 2/@07  Dutastéride 0.25mg_L Dopé/D7_01.tif </t>
  </si>
  <si>
    <t xml:space="preserve"> 15530.2643 </t>
  </si>
  <si>
    <t xml:space="preserve"> 67.4345 </t>
  </si>
  <si>
    <t xml:space="preserve">F:\images\2021-CHG-ACH-Dutasteride 3\plaque 2/@07  Dutastéride 0.25mg_L Dopé/D7_02.tif </t>
  </si>
  <si>
    <t xml:space="preserve"> 14448.7696 </t>
  </si>
  <si>
    <t xml:space="preserve"> 66.6737 </t>
  </si>
  <si>
    <t xml:space="preserve">F:\images\2021-CHG-ACH-Dutasteride 3\plaque 2/@07  Dutastéride 0.25mg_L Dopé/D7_03.tif </t>
  </si>
  <si>
    <t xml:space="preserve"> 14124.3212 </t>
  </si>
  <si>
    <t xml:space="preserve"> 67.1991 </t>
  </si>
  <si>
    <t>F:\images\2021-CHG-ACH-Dutasteride 3\plaque 2/@07  Dutastéride 0.25mg_L Dopé/E7_01- exclu.tif</t>
  </si>
  <si>
    <t xml:space="preserve">F:\images\2021-CHG-ACH-Dutasteride 3\plaque 2/@07  Dutastéride 0.25mg_L Dopé/E7_02.tif </t>
  </si>
  <si>
    <t xml:space="preserve"> 65.9431 </t>
  </si>
  <si>
    <t xml:space="preserve">F:\images\2021-CHG-ACH-Dutasteride 3\plaque 2/@07  Dutastéride 0.25mg_L Dopé/E7_03.tif </t>
  </si>
  <si>
    <t xml:space="preserve"> 5018.1356 </t>
  </si>
  <si>
    <t xml:space="preserve"> 65.0517 </t>
  </si>
  <si>
    <t xml:space="preserve">F:\images\2021-CHG-ACH-Dutasteride 3\plaque 2/@07  Dutastéride 0.25mg_L Dopé/F7_01.tif </t>
  </si>
  <si>
    <t xml:space="preserve"> 64.9545 </t>
  </si>
  <si>
    <t xml:space="preserve">F:\images\2021-CHG-ACH-Dutasteride 3\plaque 2/@07  Dutastéride 0.25mg_L Dopé/F7_02.tif </t>
  </si>
  <si>
    <t xml:space="preserve"> 67.2667 </t>
  </si>
  <si>
    <t xml:space="preserve">F:\images\2021-CHG-ACH-Dutasteride 3\plaque 2/@07  Dutastéride 0.25mg_L Dopé/F7_03.tif </t>
  </si>
  <si>
    <t xml:space="preserve">F:\images\2021-CHG-ACH-Dutasteride 3\plaque 2/@07  Dutastéride 0.25mg_L Dopé/G7_01.tif </t>
  </si>
  <si>
    <t xml:space="preserve"> 8998.0362 </t>
  </si>
  <si>
    <t xml:space="preserve"> 69.0986 </t>
  </si>
  <si>
    <t xml:space="preserve">F:\images\2021-CHG-ACH-Dutasteride 3\plaque 2/@07  Dutastéride 0.25mg_L Dopé/G7_02.tif </t>
  </si>
  <si>
    <t xml:space="preserve"> 7419.0539 </t>
  </si>
  <si>
    <t xml:space="preserve"> 65.1195 </t>
  </si>
  <si>
    <t xml:space="preserve">F:\images\2021-CHG-ACH-Dutasteride 3\plaque 2/@07  Dutastéride 0.25mg_L Dopé/G7_03.tif </t>
  </si>
  <si>
    <t xml:space="preserve"> 64.2634 </t>
  </si>
  <si>
    <t xml:space="preserve">F:\images\2021-CHG-ACH-Dutasteride 3\plaque 2/@07  Dutastéride 0.25mg_L Dopé/H7_01.tif </t>
  </si>
  <si>
    <t xml:space="preserve"> 26756.1797 </t>
  </si>
  <si>
    <t xml:space="preserve"> 69.9757 </t>
  </si>
  <si>
    <t xml:space="preserve">F:\images\2021-CHG-ACH-Dutasteride 3\plaque 2/@07  Dutastéride 0.25mg_L Dopé/H7_02.tif </t>
  </si>
  <si>
    <t xml:space="preserve"> 29524.8062 </t>
  </si>
  <si>
    <t xml:space="preserve"> 69.5604 </t>
  </si>
  <si>
    <t xml:space="preserve">F:\images\2021-CHG-ACH-Dutasteride 3\plaque 2/@07  Dutastéride 0.25mg_L Dopé/H7_03.tif </t>
  </si>
  <si>
    <t xml:space="preserve"> 32401.5822 </t>
  </si>
  <si>
    <t xml:space="preserve"> 69.253 </t>
  </si>
  <si>
    <t xml:space="preserve">F:\images\2021-CHG-ACH-Dutasteride 3\plaque 2/@07  Dutastéride 0.25mg_L Dopé/ </t>
  </si>
  <si>
    <t xml:space="preserve"> 66.3659 </t>
  </si>
  <si>
    <t xml:space="preserve"> 2.0858 </t>
  </si>
  <si>
    <t xml:space="preserve"> 632459.833 </t>
  </si>
  <si>
    <t xml:space="preserve"> 675120.063 </t>
  </si>
  <si>
    <t xml:space="preserve">F:\images\2021-CHG-ACH-Dutasteride 3\plaque 2/@08 Dutastéride 0.5 mg_L Dopé/A8_01.tif </t>
  </si>
  <si>
    <t xml:space="preserve"> 65.7042 </t>
  </si>
  <si>
    <t xml:space="preserve">F:\images\2021-CHG-ACH-Dutasteride 3\plaque 2/@08 Dutastéride 0.5 mg_L Dopé/A8_02.tif </t>
  </si>
  <si>
    <t xml:space="preserve"> 67.4135 </t>
  </si>
  <si>
    <t xml:space="preserve">F:\images\2021-CHG-ACH-Dutasteride 3\plaque 2/@08 Dutastéride 0.5 mg_L Dopé/A8_03.tif </t>
  </si>
  <si>
    <t xml:space="preserve"> 64.7922 </t>
  </si>
  <si>
    <t xml:space="preserve">F:\images\2021-CHG-ACH-Dutasteride 3\plaque 2/@08 Dutastéride 0.5 mg_L Dopé/B8_01.tif </t>
  </si>
  <si>
    <t xml:space="preserve"> 29697.8453 </t>
  </si>
  <si>
    <t xml:space="preserve"> 72.6271 </t>
  </si>
  <si>
    <t xml:space="preserve">F:\images\2021-CHG-ACH-Dutasteride 3\plaque 2/@08 Dutastéride 0.5 mg_L Dopé/B8_02.tif </t>
  </si>
  <si>
    <t xml:space="preserve"> 28940.799 </t>
  </si>
  <si>
    <t xml:space="preserve"> 73.6988 </t>
  </si>
  <si>
    <t xml:space="preserve">F:\images\2021-CHG-ACH-Dutasteride 3\plaque 2/@08 Dutastéride 0.5 mg_L Dopé/B8_03.tif </t>
  </si>
  <si>
    <t xml:space="preserve"> 30130.4432 </t>
  </si>
  <si>
    <t xml:space="preserve"> 71.7617 </t>
  </si>
  <si>
    <t xml:space="preserve">F:\images\2021-CHG-ACH-Dutasteride 3\plaque 2/@08 Dutastéride 0.5 mg_L Dopé/C8_01.tif </t>
  </si>
  <si>
    <t xml:space="preserve"> 19380.3856 </t>
  </si>
  <si>
    <t xml:space="preserve"> 67.4732 </t>
  </si>
  <si>
    <t xml:space="preserve">F:\images\2021-CHG-ACH-Dutasteride 3\plaque 2/@08 Dutastéride 0.5 mg_L Dopé/C8_02.tif </t>
  </si>
  <si>
    <t xml:space="preserve"> 19964.3927 </t>
  </si>
  <si>
    <t xml:space="preserve"> 66.8104 </t>
  </si>
  <si>
    <t xml:space="preserve">F:\images\2021-CHG-ACH-Dutasteride 3\plaque 2/@08 Dutastéride 0.5 mg_L Dopé/C8_03.tif </t>
  </si>
  <si>
    <t xml:space="preserve"> 20223.9515 </t>
  </si>
  <si>
    <t xml:space="preserve"> 67.3305 </t>
  </si>
  <si>
    <t xml:space="preserve">F:\images\2021-CHG-ACH-Dutasteride 3\plaque 2/@08 Dutastéride 0.5 mg_L Dopé/D8_01.tif </t>
  </si>
  <si>
    <t xml:space="preserve"> 67.3235 </t>
  </si>
  <si>
    <t xml:space="preserve">F:\images\2021-CHG-ACH-Dutasteride 3\plaque 2/@08 Dutastéride 0.5 mg_L Dopé/D8_02.tif </t>
  </si>
  <si>
    <t xml:space="preserve"> 10512.1288 </t>
  </si>
  <si>
    <t xml:space="preserve"> 66.6975 </t>
  </si>
  <si>
    <t xml:space="preserve">F:\images\2021-CHG-ACH-Dutasteride 3\plaque 2/@08 Dutastéride 0.5 mg_L Dopé/D8_03.tif </t>
  </si>
  <si>
    <t xml:space="preserve"> 7051.3456 </t>
  </si>
  <si>
    <t xml:space="preserve"> 65.9693 </t>
  </si>
  <si>
    <t xml:space="preserve">F:\images\2021-CHG-ACH-Dutasteride 3\plaque 2/@08 Dutastéride 0.5 mg_L Dopé/E8_01.tif </t>
  </si>
  <si>
    <t xml:space="preserve"> 63.6308 </t>
  </si>
  <si>
    <t xml:space="preserve">F:\images\2021-CHG-ACH-Dutasteride 3\plaque 2/@08 Dutastéride 0.5 mg_L Dopé/E8_02.tif </t>
  </si>
  <si>
    <t xml:space="preserve">F:\images\2021-CHG-ACH-Dutasteride 3\plaque 2/@08 Dutastéride 0.5 mg_L Dopé/E8_03.tif </t>
  </si>
  <si>
    <t xml:space="preserve"> 64.2857 </t>
  </si>
  <si>
    <t xml:space="preserve">F:\images\2021-CHG-ACH-Dutasteride 3\plaque 2/@08 Dutastéride 0.5 mg_L Dopé/F8_01.tif </t>
  </si>
  <si>
    <t xml:space="preserve"> 36273.3333 </t>
  </si>
  <si>
    <t xml:space="preserve"> 73.2314 </t>
  </si>
  <si>
    <t xml:space="preserve">F:\images\2021-CHG-ACH-Dutasteride 3\plaque 2/@08 Dutastéride 0.5 mg_L Dopé/F8_02.tif </t>
  </si>
  <si>
    <t xml:space="preserve"> 35970.5148 </t>
  </si>
  <si>
    <t xml:space="preserve"> 71.8707 </t>
  </si>
  <si>
    <t xml:space="preserve">F:\images\2021-CHG-ACH-Dutasteride 3\plaque 2/@08 Dutastéride 0.5 mg_L Dopé/F8_03.tif </t>
  </si>
  <si>
    <t xml:space="preserve"> 31839.2049 </t>
  </si>
  <si>
    <t xml:space="preserve"> 73.7412 </t>
  </si>
  <si>
    <t xml:space="preserve">F:\images\2021-CHG-ACH-Dutasteride 3\plaque 2/@08 Dutastéride 0.5 mg_L Dopé/G8_01.tif </t>
  </si>
  <si>
    <t xml:space="preserve"> 28573.0908 </t>
  </si>
  <si>
    <t xml:space="preserve"> 70.0598 </t>
  </si>
  <si>
    <t xml:space="preserve">F:\images\2021-CHG-ACH-Dutasteride 3\plaque 2/@08 Dutastéride 0.5 mg_L Dopé/G8_02.tif </t>
  </si>
  <si>
    <t xml:space="preserve"> 31968.9843 </t>
  </si>
  <si>
    <t xml:space="preserve"> 70.2307 </t>
  </si>
  <si>
    <t xml:space="preserve">F:\images\2021-CHG-ACH-Dutasteride 3\plaque 2/@08 Dutastéride 0.5 mg_L Dopé/G8_03.tif </t>
  </si>
  <si>
    <t xml:space="preserve"> 29157.098 </t>
  </si>
  <si>
    <t xml:space="preserve"> 68.9681 </t>
  </si>
  <si>
    <t xml:space="preserve">F:\images\2021-CHG-ACH-Dutasteride 3\plaque 2/@08 Dutastéride 0.5 mg_L Dopé/H8_01.tif </t>
  </si>
  <si>
    <t xml:space="preserve"> 39171.7392 </t>
  </si>
  <si>
    <t xml:space="preserve"> 70.0028 </t>
  </si>
  <si>
    <t xml:space="preserve">F:\images\2021-CHG-ACH-Dutasteride 3\plaque 2/@08 Dutastéride 0.5 mg_L Dopé/H8_02.tif </t>
  </si>
  <si>
    <t xml:space="preserve"> 38436.3228 </t>
  </si>
  <si>
    <t xml:space="preserve"> 71.0777 </t>
  </si>
  <si>
    <t xml:space="preserve">F:\images\2021-CHG-ACH-Dutasteride 3\plaque 2/@08 Dutastéride 0.5 mg_L Dopé/H8_03.tif </t>
  </si>
  <si>
    <t xml:space="preserve"> 39236.6289 </t>
  </si>
  <si>
    <t xml:space="preserve"> 67.9173 </t>
  </si>
  <si>
    <t xml:space="preserve">F:\images\2021-CHG-ACH-Dutasteride 3\plaque 2/@08 Dutastéride 0.5 mg_L Dopé/ </t>
  </si>
  <si>
    <t xml:space="preserve"> 68.5758 </t>
  </si>
  <si>
    <t xml:space="preserve"> 3.2255 </t>
  </si>
  <si>
    <t xml:space="preserve"> 1455624.33 </t>
  </si>
  <si>
    <t xml:space="preserve"> 1021280.39 </t>
  </si>
  <si>
    <t xml:space="preserve">F:\images\2021-CHG-ACH-Dutasteride 3\plaque 2/@09 Dutastéride 1mg_L Dopé/A9_01.tif </t>
  </si>
  <si>
    <t xml:space="preserve"> 56475.6549 </t>
  </si>
  <si>
    <t xml:space="preserve"> 71.2907 </t>
  </si>
  <si>
    <t xml:space="preserve">F:\images\2021-CHG-ACH-Dutasteride 3\plaque 2/@09 Dutastéride 1mg_L Dopé/A9_02.tif </t>
  </si>
  <si>
    <t xml:space="preserve"> 49381.0494 </t>
  </si>
  <si>
    <t xml:space="preserve"> 70.8598 </t>
  </si>
  <si>
    <t xml:space="preserve">F:\images\2021-CHG-ACH-Dutasteride 3\plaque 2/@09 Dutastéride 1mg_L Dopé/A9_03.tif </t>
  </si>
  <si>
    <t xml:space="preserve"> 44233.1345 </t>
  </si>
  <si>
    <t xml:space="preserve"> 72.2059 </t>
  </si>
  <si>
    <t>F:\images\2021-CHG-ACH-Dutasteride 3\plaque 2/@09 Dutastéride 1mg_L Dopé/B9_01- exclu.tif</t>
  </si>
  <si>
    <t>F:\images\2021-CHG-ACH-Dutasteride 3\plaque 2/@09 Dutastéride 1mg_L Dopé/B9_02- exclu.tif</t>
  </si>
  <si>
    <t>F:\images\2021-CHG-ACH-Dutasteride 3\plaque 2/@09 Dutastéride 1mg_L Dopé/B9_03- exclu.tif</t>
  </si>
  <si>
    <t xml:space="preserve">F:\images\2021-CHG-ACH-Dutasteride 3\plaque 2/@09 Dutastéride 1mg_L Dopé/C9_01.tif </t>
  </si>
  <si>
    <t xml:space="preserve"> 67.182 </t>
  </si>
  <si>
    <t xml:space="preserve">F:\images\2021-CHG-ACH-Dutasteride 3\plaque 2/@09 Dutastéride 1mg_L Dopé/C9_02.tif </t>
  </si>
  <si>
    <t xml:space="preserve"> 24420.151 </t>
  </si>
  <si>
    <t xml:space="preserve"> 66.5421 </t>
  </si>
  <si>
    <t xml:space="preserve">F:\images\2021-CHG-ACH-Dutasteride 3\plaque 2/@09 Dutastéride 1mg_L Dopé/C9_03.tif </t>
  </si>
  <si>
    <t xml:space="preserve"> 24203.8521 </t>
  </si>
  <si>
    <t xml:space="preserve"> 66.1466 </t>
  </si>
  <si>
    <t>F:\images\2021-CHG-ACH-Dutasteride 3\plaque 2/@09 Dutastéride 1mg_L Dopé/D9_01- exclu.tif</t>
  </si>
  <si>
    <t xml:space="preserve">F:\images\2021-CHG-ACH-Dutasteride 3\plaque 2/@09 Dutastéride 1mg_L Dopé/D9_02.tif </t>
  </si>
  <si>
    <t xml:space="preserve"> 14081.0614 </t>
  </si>
  <si>
    <t xml:space="preserve">F:\images\2021-CHG-ACH-Dutasteride 3\plaque 2/@09 Dutastéride 1mg_L Dopé/D9_03.tif </t>
  </si>
  <si>
    <t xml:space="preserve"> 16914.5776 </t>
  </si>
  <si>
    <t xml:space="preserve"> 69.7481 </t>
  </si>
  <si>
    <t xml:space="preserve">F:\images\2021-CHG-ACH-Dutasteride 3\plaque 2/@09 Dutastéride 1mg_L Dopé/E9_01.tif </t>
  </si>
  <si>
    <t xml:space="preserve"> 4974.8758 </t>
  </si>
  <si>
    <t xml:space="preserve"> 67.5739 </t>
  </si>
  <si>
    <t xml:space="preserve">F:\images\2021-CHG-ACH-Dutasteride 3\plaque 2/@09 Dutastéride 1mg_L Dopé/E9_02.tif </t>
  </si>
  <si>
    <t xml:space="preserve"> 7873.2816 </t>
  </si>
  <si>
    <t xml:space="preserve"> 67.3104 </t>
  </si>
  <si>
    <t xml:space="preserve">F:\images\2021-CHG-ACH-Dutasteride 3\plaque 2/@09 Dutastéride 1mg_L Dopé/E9_03.tif </t>
  </si>
  <si>
    <t xml:space="preserve"> 66.5448 </t>
  </si>
  <si>
    <t>F:\images\2021-CHG-ACH-Dutasteride 3\plaque 2/@09 Dutastéride 1mg_L Dopé/F9_01- exclu.tif</t>
  </si>
  <si>
    <t xml:space="preserve">F:\images\2021-CHG-ACH-Dutasteride 3\plaque 2/@09 Dutastéride 1mg_L Dopé/F9_02.tif </t>
  </si>
  <si>
    <t xml:space="preserve"> 6056.3705 </t>
  </si>
  <si>
    <t xml:space="preserve"> 70.125 </t>
  </si>
  <si>
    <t xml:space="preserve">F:\images\2021-CHG-ACH-Dutasteride 3\plaque 2/@09 Dutastéride 1mg_L Dopé/F9_03.tif </t>
  </si>
  <si>
    <t xml:space="preserve"> 6445.7086 </t>
  </si>
  <si>
    <t xml:space="preserve"> 69.0872 </t>
  </si>
  <si>
    <t xml:space="preserve">F:\images\2021-CHG-ACH-Dutasteride 3\plaque 2/@09 Dutastéride 1mg_L Dopé/G9_01.tif </t>
  </si>
  <si>
    <t xml:space="preserve">F:\images\2021-CHG-ACH-Dutasteride 3\plaque 2/@09 Dutastéride 1mg_L Dopé/G9_02.tif </t>
  </si>
  <si>
    <t xml:space="preserve"> 64.1667 </t>
  </si>
  <si>
    <t xml:space="preserve">F:\images\2021-CHG-ACH-Dutasteride 3\plaque 2/@09 Dutastéride 1mg_L Dopé/G9_03.tif </t>
  </si>
  <si>
    <t xml:space="preserve">F:\images\2021-CHG-ACH-Dutasteride 3\plaque 2/@09 Dutastéride 1mg_L Dopé/H9_01.tif </t>
  </si>
  <si>
    <t xml:space="preserve"> 24182.2222 </t>
  </si>
  <si>
    <t xml:space="preserve"> 68.3193 </t>
  </si>
  <si>
    <t xml:space="preserve">F:\images\2021-CHG-ACH-Dutasteride 3\plaque 2/@09 Dutastéride 1mg_L Dopé/H9_02.tif </t>
  </si>
  <si>
    <t xml:space="preserve"> 26453.3611 </t>
  </si>
  <si>
    <t xml:space="preserve"> 72.1382 </t>
  </si>
  <si>
    <t xml:space="preserve">F:\images\2021-CHG-ACH-Dutasteride 3\plaque 2/@09 Dutastéride 1mg_L Dopé/H9_03.tif </t>
  </si>
  <si>
    <t xml:space="preserve"> 66.5372 </t>
  </si>
  <si>
    <t xml:space="preserve">F:\images\2021-CHG-ACH-Dutasteride 3\plaque 2/@09 Dutastéride 1mg_L Dopé/ </t>
  </si>
  <si>
    <t xml:space="preserve"> 66.9908 </t>
  </si>
  <si>
    <t xml:space="preserve"> 3.0493 </t>
  </si>
  <si>
    <t xml:space="preserve"> 1026900.92 </t>
  </si>
  <si>
    <t xml:space="preserve"> 1185104.91 </t>
  </si>
  <si>
    <t>ns</t>
  </si>
  <si>
    <t>&gt;0,9999</t>
  </si>
  <si>
    <t>***</t>
  </si>
  <si>
    <t>&lt;0,0001</t>
  </si>
  <si>
    <t>*</t>
  </si>
  <si>
    <t>Kruskal-Wallis</t>
  </si>
  <si>
    <t>Mann Withney</t>
  </si>
  <si>
    <t>**</t>
  </si>
  <si>
    <t>raw data</t>
  </si>
  <si>
    <t>Version 4.0, Macro for Choriogenin Analysis.  60-255,  auto blue selection TIF</t>
  </si>
  <si>
    <t>analysed:</t>
  </si>
  <si>
    <t>Date: Thu 29-Sep-2022</t>
  </si>
  <si>
    <t>Time: 16:04:31</t>
  </si>
  <si>
    <t xml:space="preserve">start date of exposure: </t>
  </si>
  <si>
    <t xml:space="preserve"> 28/09/2022</t>
  </si>
  <si>
    <t xml:space="preserve">date of read: </t>
  </si>
  <si>
    <t xml:space="preserve"> 29/09/2022</t>
  </si>
  <si>
    <t xml:space="preserve">line: </t>
  </si>
  <si>
    <t xml:space="preserve"> ChgH homozygous</t>
  </si>
  <si>
    <t xml:space="preserve">crossed with: </t>
  </si>
  <si>
    <t xml:space="preserve">generation of embryos: </t>
  </si>
  <si>
    <t xml:space="preserve">exposure length in hours: </t>
  </si>
  <si>
    <t xml:space="preserve"> 24h</t>
  </si>
  <si>
    <t xml:space="preserve">D:\images\2022-CHG-NLO-dutasteride\plaque 1/@01 TS/A1_01.tif </t>
  </si>
  <si>
    <t xml:space="preserve"> 22.0721 </t>
  </si>
  <si>
    <t xml:space="preserve"> 63.4231 </t>
  </si>
  <si>
    <t xml:space="preserve">D:\images\2022-CHG-NLO-dutasteride\plaque 1/@01 TS/A1_02.tif </t>
  </si>
  <si>
    <t xml:space="preserve"> 11.885 </t>
  </si>
  <si>
    <t xml:space="preserve"> 63.0714 </t>
  </si>
  <si>
    <t xml:space="preserve">D:\images\2022-CHG-NLO-dutasteride\plaque 1/@01 TS/A1_03.tif </t>
  </si>
  <si>
    <t xml:space="preserve"> 8.4893 </t>
  </si>
  <si>
    <t xml:space="preserve">D:\images\2022-CHG-NLO-dutasteride\plaque 1/@01 TS/B1_01.tif </t>
  </si>
  <si>
    <t xml:space="preserve"> 6.7914 </t>
  </si>
  <si>
    <t xml:space="preserve">D:\images\2022-CHG-NLO-dutasteride\plaque 1/@01 TS/B1_02.tif </t>
  </si>
  <si>
    <t xml:space="preserve"> 63.3571 </t>
  </si>
  <si>
    <t xml:space="preserve">D:\images\2022-CHG-NLO-dutasteride\plaque 1/@01 TS/B1_03.tif </t>
  </si>
  <si>
    <t xml:space="preserve"> 65.2143 </t>
  </si>
  <si>
    <t xml:space="preserve">D:\images\2022-CHG-NLO-dutasteride\plaque 1/@01 TS/C1_01.tif </t>
  </si>
  <si>
    <t xml:space="preserve"> 16.9786 </t>
  </si>
  <si>
    <t xml:space="preserve">D:\images\2022-CHG-NLO-dutasteride\plaque 1/@01 TS/C1_02.tif </t>
  </si>
  <si>
    <t xml:space="preserve"> 290.3333 </t>
  </si>
  <si>
    <t xml:space="preserve"> 68.6784 </t>
  </si>
  <si>
    <t xml:space="preserve">D:\images\2022-CHG-NLO-dutasteride\plaque 1/@01 TS/C1_03.tif </t>
  </si>
  <si>
    <t xml:space="preserve"> 44.1442 </t>
  </si>
  <si>
    <t xml:space="preserve"> 64.1731 </t>
  </si>
  <si>
    <t xml:space="preserve">D:\images\2022-CHG-NLO-dutasteride\plaque 1/@01 TS/D1_01.tif </t>
  </si>
  <si>
    <t xml:space="preserve"> 67.0653 </t>
  </si>
  <si>
    <t xml:space="preserve"> 65.3797 </t>
  </si>
  <si>
    <t xml:space="preserve">D:\images\2022-CHG-NLO-dutasteride\plaque 1/@01 TS/D1_02.tif </t>
  </si>
  <si>
    <t xml:space="preserve"> 17.8275 </t>
  </si>
  <si>
    <t xml:space="preserve"> 63.7143 </t>
  </si>
  <si>
    <t xml:space="preserve">D:\images\2022-CHG-NLO-dutasteride\plaque 1/@01 TS/D1_03.tif </t>
  </si>
  <si>
    <t xml:space="preserve"> 9.3382 </t>
  </si>
  <si>
    <t xml:space="preserve"> 63.7273 </t>
  </si>
  <si>
    <t xml:space="preserve">D:\images\2022-CHG-NLO-dutasteride\plaque 1/@01 TS/E1_01.tif </t>
  </si>
  <si>
    <t xml:space="preserve"> 78.9503 </t>
  </si>
  <si>
    <t xml:space="preserve"> 65.1398 </t>
  </si>
  <si>
    <t xml:space="preserve">D:\images\2022-CHG-NLO-dutasteride\plaque 1/@01 TS/E1_02.tif </t>
  </si>
  <si>
    <t xml:space="preserve"> 62.9286 </t>
  </si>
  <si>
    <t xml:space="preserve">D:\images\2022-CHG-NLO-dutasteride\plaque 1/@01 TS/E1_03.tif </t>
  </si>
  <si>
    <t xml:space="preserve"> 87.4396 </t>
  </si>
  <si>
    <t xml:space="preserve"> 63.9417 </t>
  </si>
  <si>
    <t xml:space="preserve">D:\images\2022-CHG-NLO-dutasteride\plaque 1/@01 TS/F1_01.tif </t>
  </si>
  <si>
    <t xml:space="preserve"> 211.383 </t>
  </si>
  <si>
    <t xml:space="preserve"> 65.992 </t>
  </si>
  <si>
    <t xml:space="preserve">D:\images\2022-CHG-NLO-dutasteride\plaque 1/@01 TS/F1_02.tif </t>
  </si>
  <si>
    <t xml:space="preserve"> 66.3077 </t>
  </si>
  <si>
    <t xml:space="preserve">D:\images\2022-CHG-NLO-dutasteride\plaque 1/@01 TS/F1_03.tif </t>
  </si>
  <si>
    <t xml:space="preserve"> 110.3606 </t>
  </si>
  <si>
    <t xml:space="preserve"> 65.5154 </t>
  </si>
  <si>
    <t xml:space="preserve">D:\images\2022-CHG-NLO-dutasteride\plaque 1/@01 TS/G1_01.tif </t>
  </si>
  <si>
    <t xml:space="preserve"> 185.0663 </t>
  </si>
  <si>
    <t xml:space="preserve"> 66.3028 </t>
  </si>
  <si>
    <t xml:space="preserve">D:\images\2022-CHG-NLO-dutasteride\plaque 1/@01 TS/G1_02.tif </t>
  </si>
  <si>
    <t xml:space="preserve"> 100.1735 </t>
  </si>
  <si>
    <t xml:space="preserve">D:\images\2022-CHG-NLO-dutasteride\plaque 1/@01 TS/G1_03.tif </t>
  </si>
  <si>
    <t xml:space="preserve"> 86.5906 </t>
  </si>
  <si>
    <t xml:space="preserve"> 64.1471 </t>
  </si>
  <si>
    <t xml:space="preserve">D:\images\2022-CHG-NLO-dutasteride\plaque 1/@01 TS/H1_01.tif </t>
  </si>
  <si>
    <t xml:space="preserve"> 5.0936 </t>
  </si>
  <si>
    <t xml:space="preserve">D:\images\2022-CHG-NLO-dutasteride\plaque 1/@01 TS/H1_02.tif </t>
  </si>
  <si>
    <t xml:space="preserve"> 10.1871 </t>
  </si>
  <si>
    <t xml:space="preserve">D:\images\2022-CHG-NLO-dutasteride\plaque 1/@01 TS/H1_03.tif </t>
  </si>
  <si>
    <t xml:space="preserve"> 14.4318 </t>
  </si>
  <si>
    <t xml:space="preserve">D:\images\2022-CHG-NLO-dutasteride\plaque 1/@01 TS/ </t>
  </si>
  <si>
    <t xml:space="preserve"> 64.8259 </t>
  </si>
  <si>
    <t xml:space="preserve"> 1.3243 </t>
  </si>
  <si>
    <t xml:space="preserve"> 3960.6667 </t>
  </si>
  <si>
    <t xml:space="preserve"> 5055.9931 </t>
  </si>
  <si>
    <t xml:space="preserve">D:\images\2022-CHG-NLO-dutasteride\plaque 1/@02 EE2 34/A2_01.tif </t>
  </si>
  <si>
    <t xml:space="preserve"> 12.7339 </t>
  </si>
  <si>
    <t xml:space="preserve">D:\images\2022-CHG-NLO-dutasteride\plaque 1/@02 EE2 34/A2_02.tif </t>
  </si>
  <si>
    <t xml:space="preserve"> 27.1657 </t>
  </si>
  <si>
    <t xml:space="preserve">D:\images\2022-CHG-NLO-dutasteride\plaque 1/@02 EE2 34/A2_03.tif </t>
  </si>
  <si>
    <t xml:space="preserve">D:\images\2022-CHG-NLO-dutasteride\plaque 1/@02 EE2 34/B2_01.tif </t>
  </si>
  <si>
    <t xml:space="preserve"> 66.1667 </t>
  </si>
  <si>
    <t xml:space="preserve">D:\images\2022-CHG-NLO-dutasteride\plaque 1/@02 EE2 34/B2_02.tif </t>
  </si>
  <si>
    <t xml:space="preserve"> 2.5468 </t>
  </si>
  <si>
    <t xml:space="preserve">D:\images\2022-CHG-NLO-dutasteride\plaque 1/@02 EE2 34/B2_03.tif </t>
  </si>
  <si>
    <t xml:space="preserve"> 5.9425 </t>
  </si>
  <si>
    <t xml:space="preserve"> 66.1429 </t>
  </si>
  <si>
    <t xml:space="preserve">D:\images\2022-CHG-NLO-dutasteride\plaque 1/@02 EE2 34/C2_01.tif </t>
  </si>
  <si>
    <t xml:space="preserve"> 139.2242 </t>
  </si>
  <si>
    <t xml:space="preserve"> 65.8659 </t>
  </si>
  <si>
    <t xml:space="preserve">D:\images\2022-CHG-NLO-dutasteride\plaque 1/@02 EE2 34/C2_02.tif </t>
  </si>
  <si>
    <t xml:space="preserve"> 26.3168 </t>
  </si>
  <si>
    <t xml:space="preserve"> 62.9355 </t>
  </si>
  <si>
    <t xml:space="preserve">D:\images\2022-CHG-NLO-dutasteride\plaque 1/@02 EE2 34/C2_03.tif </t>
  </si>
  <si>
    <t xml:space="preserve">D:\images\2022-CHG-NLO-dutasteride\plaque 1/@02 EE2 34/D2_01.tif </t>
  </si>
  <si>
    <t xml:space="preserve"> 63.4545 </t>
  </si>
  <si>
    <t xml:space="preserve">D:\images\2022-CHG-NLO-dutasteride\plaque 1/@02 EE2 34/D2_02.tif </t>
  </si>
  <si>
    <t xml:space="preserve">D:\images\2022-CHG-NLO-dutasteride\plaque 1/@02 EE2 34/D2_03.tif </t>
  </si>
  <si>
    <t xml:space="preserve"> 63.5833 </t>
  </si>
  <si>
    <t xml:space="preserve">D:\images\2022-CHG-NLO-dutasteride\plaque 1/@02 EE2 34/E2_01.tif </t>
  </si>
  <si>
    <t xml:space="preserve">D:\images\2022-CHG-NLO-dutasteride\plaque 1/@02 EE2 34/E2_02.tif </t>
  </si>
  <si>
    <t xml:space="preserve"> 15.2807 </t>
  </si>
  <si>
    <t xml:space="preserve">D:\images\2022-CHG-NLO-dutasteride\plaque 1/@02 EE2 34/E2_03.tif </t>
  </si>
  <si>
    <t xml:space="preserve"> 63.6364 </t>
  </si>
  <si>
    <t xml:space="preserve">D:\images\2022-CHG-NLO-dutasteride\plaque 1/@02 EE2 34/F2_01.tif </t>
  </si>
  <si>
    <t xml:space="preserve"> 30.5614 </t>
  </si>
  <si>
    <t xml:space="preserve">D:\images\2022-CHG-NLO-dutasteride\plaque 1/@02 EE2 34/F2_02.tif </t>
  </si>
  <si>
    <t xml:space="preserve"> 19.5253 </t>
  </si>
  <si>
    <t xml:space="preserve"> 64.0435 </t>
  </si>
  <si>
    <t xml:space="preserve">D:\images\2022-CHG-NLO-dutasteride\plaque 1/@02 EE2 34/F2_03.tif </t>
  </si>
  <si>
    <t xml:space="preserve"> 20.3743 </t>
  </si>
  <si>
    <t xml:space="preserve"> 63.2083 </t>
  </si>
  <si>
    <t xml:space="preserve">D:\images\2022-CHG-NLO-dutasteride\plaque 1/@02 EE2 34/G2_01.tif </t>
  </si>
  <si>
    <t xml:space="preserve"> 39.0507 </t>
  </si>
  <si>
    <t xml:space="preserve"> 63.1087 </t>
  </si>
  <si>
    <t xml:space="preserve">D:\images\2022-CHG-NLO-dutasteride\plaque 1/@02 EE2 34/G2_02.tif </t>
  </si>
  <si>
    <t xml:space="preserve"> 140.922 </t>
  </si>
  <si>
    <t xml:space="preserve"> 68.494 </t>
  </si>
  <si>
    <t xml:space="preserve">D:\images\2022-CHG-NLO-dutasteride\plaque 1/@02 EE2 34/G2_03.tif </t>
  </si>
  <si>
    <t xml:space="preserve"> 131.5838 </t>
  </si>
  <si>
    <t xml:space="preserve"> 65.5161 </t>
  </si>
  <si>
    <t xml:space="preserve">D:\images\2022-CHG-NLO-dutasteride\plaque 1/@02 EE2 34/H2_01.tif </t>
  </si>
  <si>
    <t xml:space="preserve"> 7.6404 </t>
  </si>
  <si>
    <t xml:space="preserve"> 64.8889 </t>
  </si>
  <si>
    <t xml:space="preserve">D:\images\2022-CHG-NLO-dutasteride\plaque 1/@02 EE2 34/H2_02.tif </t>
  </si>
  <si>
    <t xml:space="preserve"> 65.875 </t>
  </si>
  <si>
    <t xml:space="preserve">D:\images\2022-CHG-NLO-dutasteride\plaque 1/@02 EE2 34/H2_03.tif </t>
  </si>
  <si>
    <t xml:space="preserve"> 21.2232 </t>
  </si>
  <si>
    <t xml:space="preserve"> 63.84 </t>
  </si>
  <si>
    <t xml:space="preserve">D:\images\2022-CHG-NLO-dutasteride\plaque 1/@02 EE2 34/ </t>
  </si>
  <si>
    <t xml:space="preserve"> 64.3447 </t>
  </si>
  <si>
    <t xml:space="preserve"> 1.4831 </t>
  </si>
  <si>
    <t xml:space="preserve"> 2061.5417 </t>
  </si>
  <si>
    <t xml:space="preserve"> 2793.3334 </t>
  </si>
  <si>
    <t xml:space="preserve">D:\images\2022-CHG-NLO-dutasteride\plaque 1/@03 EE2 51/A3_01.tif </t>
  </si>
  <si>
    <t xml:space="preserve"> 64.2143 </t>
  </si>
  <si>
    <t xml:space="preserve">D:\images\2022-CHG-NLO-dutasteride\plaque 1/@03 EE2 51/A3_02.tif </t>
  </si>
  <si>
    <t xml:space="preserve"> 65.5652 </t>
  </si>
  <si>
    <t xml:space="preserve">D:\images\2022-CHG-NLO-dutasteride\plaque 1/@03 EE2 51/A3_03.tif </t>
  </si>
  <si>
    <t xml:space="preserve"> 62.7778 </t>
  </si>
  <si>
    <t xml:space="preserve">D:\images\2022-CHG-NLO-dutasteride\plaque 1/@03 EE2 51/B3_01.tif </t>
  </si>
  <si>
    <t xml:space="preserve"> 63.92 </t>
  </si>
  <si>
    <t xml:space="preserve">D:\images\2022-CHG-NLO-dutasteride\plaque 1/@03 EE2 51/B3_02.tif </t>
  </si>
  <si>
    <t xml:space="preserve"> 61.9524 </t>
  </si>
  <si>
    <t xml:space="preserve">D:\images\2022-CHG-NLO-dutasteride\plaque 1/@03 EE2 51/B3_03.tif </t>
  </si>
  <si>
    <t xml:space="preserve"> 13.5828 </t>
  </si>
  <si>
    <t xml:space="preserve"> 63.25 </t>
  </si>
  <si>
    <t xml:space="preserve">D:\images\2022-CHG-NLO-dutasteride\plaque 1/@03 EE2 51/C3_01.tif </t>
  </si>
  <si>
    <t xml:space="preserve">D:\images\2022-CHG-NLO-dutasteride\plaque 1/@03 EE2 51/C3_02.tif </t>
  </si>
  <si>
    <t xml:space="preserve"> 63.125 </t>
  </si>
  <si>
    <t xml:space="preserve">D:\images\2022-CHG-NLO-dutasteride\plaque 1/@03 EE2 51/C3_03.tif </t>
  </si>
  <si>
    <t xml:space="preserve">D:\images\2022-CHG-NLO-dutasteride\plaque 1/@03 EE2 51/D3_01.tif </t>
  </si>
  <si>
    <t xml:space="preserve"> 84.0439 </t>
  </si>
  <si>
    <t xml:space="preserve">D:\images\2022-CHG-NLO-dutasteride\plaque 1/@03 EE2 51/D3_02.tif </t>
  </si>
  <si>
    <t xml:space="preserve"> 62.7391 </t>
  </si>
  <si>
    <t>D:\images\2022-CHG-NLO-dutasteride\plaque 1/@03 EE2 51/D3_03- exclu.tif</t>
  </si>
  <si>
    <t xml:space="preserve">D:\images\2022-CHG-NLO-dutasteride\plaque 1/@03 EE2 51/E3_01.tif </t>
  </si>
  <si>
    <t xml:space="preserve"> 65.5305 </t>
  </si>
  <si>
    <t xml:space="preserve">D:\images\2022-CHG-NLO-dutasteride\plaque 1/@03 EE2 51/E3_02.tif </t>
  </si>
  <si>
    <t xml:space="preserve"> 66.5382 </t>
  </si>
  <si>
    <t xml:space="preserve">D:\images\2022-CHG-NLO-dutasteride\plaque 1/@03 EE2 51/E3_03.tif </t>
  </si>
  <si>
    <t xml:space="preserve"> 76.4035 </t>
  </si>
  <si>
    <t xml:space="preserve"> 64.8111 </t>
  </si>
  <si>
    <t xml:space="preserve">D:\images\2022-CHG-NLO-dutasteride\plaque 1/@03 EE2 51/F3_01.tif </t>
  </si>
  <si>
    <t xml:space="preserve">D:\images\2022-CHG-NLO-dutasteride\plaque 1/@03 EE2 51/F3_02.tif </t>
  </si>
  <si>
    <t xml:space="preserve">D:\images\2022-CHG-NLO-dutasteride\plaque 1/@03 EE2 51/F3_03.tif </t>
  </si>
  <si>
    <t xml:space="preserve">D:\images\2022-CHG-NLO-dutasteride\plaque 1/@03 EE2 51/G3_01.tif </t>
  </si>
  <si>
    <t xml:space="preserve"> 64.7742 </t>
  </si>
  <si>
    <t xml:space="preserve">D:\images\2022-CHG-NLO-dutasteride\plaque 1/@03 EE2 51/G3_02.tif </t>
  </si>
  <si>
    <t xml:space="preserve"> 16.1296 </t>
  </si>
  <si>
    <t xml:space="preserve"> 63.4211 </t>
  </si>
  <si>
    <t xml:space="preserve">D:\images\2022-CHG-NLO-dutasteride\plaque 1/@03 EE2 51/G3_03.tif </t>
  </si>
  <si>
    <t xml:space="preserve">D:\images\2022-CHG-NLO-dutasteride\plaque 1/@03 EE2 51/H3_01.tif </t>
  </si>
  <si>
    <t xml:space="preserve"> 230.0594 </t>
  </si>
  <si>
    <t xml:space="preserve"> 65.1144 </t>
  </si>
  <si>
    <t xml:space="preserve">D:\images\2022-CHG-NLO-dutasteride\plaque 1/@03 EE2 51/H3_02.tif </t>
  </si>
  <si>
    <t xml:space="preserve"> 207.9873 </t>
  </si>
  <si>
    <t xml:space="preserve"> 65.2653 </t>
  </si>
  <si>
    <t xml:space="preserve">D:\images\2022-CHG-NLO-dutasteride\plaque 1/@03 EE2 51/H3_03.tif </t>
  </si>
  <si>
    <t xml:space="preserve"> 151.9581 </t>
  </si>
  <si>
    <t xml:space="preserve">D:\images\2022-CHG-NLO-dutasteride\plaque 1/@03 EE2 51/ </t>
  </si>
  <si>
    <t xml:space="preserve"> 64.0753 </t>
  </si>
  <si>
    <t xml:space="preserve"> 1.2778 </t>
  </si>
  <si>
    <t xml:space="preserve"> 3615.4583 </t>
  </si>
  <si>
    <t xml:space="preserve"> 4854.1429 </t>
  </si>
  <si>
    <t xml:space="preserve">D:\images\2022-CHG-NLO-dutasteride\plaque 1/@04 EE2 76/A4_01.tif </t>
  </si>
  <si>
    <t xml:space="preserve"> 38.2018 </t>
  </si>
  <si>
    <t xml:space="preserve"> 64.5778 </t>
  </si>
  <si>
    <t xml:space="preserve">D:\images\2022-CHG-NLO-dutasteride\plaque 1/@04 EE2 76/A4_02.tif </t>
  </si>
  <si>
    <t xml:space="preserve"> 128.1881 </t>
  </si>
  <si>
    <t xml:space="preserve"> 66.9272 </t>
  </si>
  <si>
    <t xml:space="preserve">D:\images\2022-CHG-NLO-dutasteride\plaque 1/@04 EE2 76/A4_03.tif </t>
  </si>
  <si>
    <t xml:space="preserve"> 62.2174 </t>
  </si>
  <si>
    <t xml:space="preserve">D:\images\2022-CHG-NLO-dutasteride\plaque 1/@04 EE2 76/B4_01.tif </t>
  </si>
  <si>
    <t xml:space="preserve"> 586.6091 </t>
  </si>
  <si>
    <t xml:space="preserve"> 67.7207 </t>
  </si>
  <si>
    <t xml:space="preserve">D:\images\2022-CHG-NLO-dutasteride\plaque 1/@04 EE2 76/B4_02.tif </t>
  </si>
  <si>
    <t xml:space="preserve"> 423.615 </t>
  </si>
  <si>
    <t xml:space="preserve"> 65.8056 </t>
  </si>
  <si>
    <t xml:space="preserve">D:\images\2022-CHG-NLO-dutasteride\plaque 1/@04 EE2 76/B4_03.tif </t>
  </si>
  <si>
    <t xml:space="preserve"> 472.8528 </t>
  </si>
  <si>
    <t xml:space="preserve"> 65.3914 </t>
  </si>
  <si>
    <t xml:space="preserve">D:\images\2022-CHG-NLO-dutasteride\plaque 1/@04 EE2 76/C4_01.tif </t>
  </si>
  <si>
    <t>D:\images\2022-CHG-NLO-dutasteride\plaque 1/@04 EE2 76/C4_02- exclu.tif</t>
  </si>
  <si>
    <t xml:space="preserve">D:\images\2022-CHG-NLO-dutasteride\plaque 1/@04 EE2 76/C4_03.tif </t>
  </si>
  <si>
    <t xml:space="preserve"> 32.2593 </t>
  </si>
  <si>
    <t xml:space="preserve">D:\images\2022-CHG-NLO-dutasteride\plaque 1/@04 EE2 76/D4_01.tif </t>
  </si>
  <si>
    <t xml:space="preserve"> 62.6889 </t>
  </si>
  <si>
    <t xml:space="preserve">D:\images\2022-CHG-NLO-dutasteride\plaque 1/@04 EE2 76/D4_02.tif </t>
  </si>
  <si>
    <t xml:space="preserve">D:\images\2022-CHG-NLO-dutasteride\plaque 1/@04 EE2 76/D4_03.tif </t>
  </si>
  <si>
    <t xml:space="preserve"> 34.806 </t>
  </si>
  <si>
    <t xml:space="preserve"> 63.439 </t>
  </si>
  <si>
    <t xml:space="preserve">D:\images\2022-CHG-NLO-dutasteride\plaque 1/@04 EE2 76/E4_01.tif </t>
  </si>
  <si>
    <t xml:space="preserve"> 64.5185 </t>
  </si>
  <si>
    <t xml:space="preserve"> 62.9079 </t>
  </si>
  <si>
    <t xml:space="preserve">D:\images\2022-CHG-NLO-dutasteride\plaque 1/@04 EE2 76/E4_02.tif </t>
  </si>
  <si>
    <t xml:space="preserve"> 92.5331 </t>
  </si>
  <si>
    <t xml:space="preserve"> 63.6514 </t>
  </si>
  <si>
    <t xml:space="preserve">D:\images\2022-CHG-NLO-dutasteride\plaque 1/@04 EE2 76/E4_03.tif </t>
  </si>
  <si>
    <t xml:space="preserve"> 89.1374 </t>
  </si>
  <si>
    <t xml:space="preserve"> 63.781 </t>
  </si>
  <si>
    <t xml:space="preserve">D:\images\2022-CHG-NLO-dutasteride\plaque 1/@04 EE2 76/F4_01.tif </t>
  </si>
  <si>
    <t xml:space="preserve"> 31.4103 </t>
  </si>
  <si>
    <t xml:space="preserve"> 63.3514 </t>
  </si>
  <si>
    <t xml:space="preserve">D:\images\2022-CHG-NLO-dutasteride\plaque 1/@04 EE2 76/F4_02.tif </t>
  </si>
  <si>
    <t xml:space="preserve">D:\images\2022-CHG-NLO-dutasteride\plaque 1/@04 EE2 76/F4_03.tif </t>
  </si>
  <si>
    <t xml:space="preserve"> 63.1579 </t>
  </si>
  <si>
    <t xml:space="preserve">D:\images\2022-CHG-NLO-dutasteride\plaque 1/@04 EE2 76/G4_01.tif </t>
  </si>
  <si>
    <t xml:space="preserve"> 107.8138 </t>
  </si>
  <si>
    <t xml:space="preserve"> 64.1024 </t>
  </si>
  <si>
    <t xml:space="preserve">D:\images\2022-CHG-NLO-dutasteride\plaque 1/@04 EE2 76/G4_02.tif </t>
  </si>
  <si>
    <t xml:space="preserve"> 101.0224 </t>
  </si>
  <si>
    <t xml:space="preserve"> 63.7731 </t>
  </si>
  <si>
    <t xml:space="preserve">D:\images\2022-CHG-NLO-dutasteride\plaque 1/@04 EE2 76/G4_03.tif </t>
  </si>
  <si>
    <t xml:space="preserve"> 67.9142 </t>
  </si>
  <si>
    <t xml:space="preserve"> 63.5875 </t>
  </si>
  <si>
    <t xml:space="preserve">D:\images\2022-CHG-NLO-dutasteride\plaque 1/@04 EE2 76/H4_01.tif </t>
  </si>
  <si>
    <t xml:space="preserve"> 83.1949 </t>
  </si>
  <si>
    <t xml:space="preserve"> 63.3163 </t>
  </si>
  <si>
    <t xml:space="preserve">D:\images\2022-CHG-NLO-dutasteride\plaque 1/@04 EE2 76/H4_02.tif </t>
  </si>
  <si>
    <t xml:space="preserve"> 109.5117 </t>
  </si>
  <si>
    <t xml:space="preserve"> 64.062 </t>
  </si>
  <si>
    <t xml:space="preserve">D:\images\2022-CHG-NLO-dutasteride\plaque 1/@04 EE2 76/H4_03.tif </t>
  </si>
  <si>
    <t xml:space="preserve"> 140.0731 </t>
  </si>
  <si>
    <t xml:space="preserve"> 64.1576 </t>
  </si>
  <si>
    <t xml:space="preserve">D:\images\2022-CHG-NLO-dutasteride\plaque 1/@04 EE2 76/ </t>
  </si>
  <si>
    <t xml:space="preserve"> 63.9118 </t>
  </si>
  <si>
    <t xml:space="preserve"> 1.3361 </t>
  </si>
  <si>
    <t xml:space="preserve"> 7472.7917 </t>
  </si>
  <si>
    <t xml:space="preserve"> 10271.2404 </t>
  </si>
  <si>
    <t xml:space="preserve">D:\images\2022-CHG-NLO-dutasteride\plaque 1/@05 EE2 114/A5_01.tif </t>
  </si>
  <si>
    <t xml:space="preserve"> 578.1199 </t>
  </si>
  <si>
    <t xml:space="preserve"> 65.4596 </t>
  </si>
  <si>
    <t xml:space="preserve">D:\images\2022-CHG-NLO-dutasteride\plaque 1/@05 EE2 114/A5_02.tif </t>
  </si>
  <si>
    <t xml:space="preserve"> 309.8587 </t>
  </si>
  <si>
    <t xml:space="preserve"> 64.1151 </t>
  </si>
  <si>
    <t xml:space="preserve">D:\images\2022-CHG-NLO-dutasteride\plaque 1/@05 EE2 114/A5_03.tif </t>
  </si>
  <si>
    <t xml:space="preserve"> 189.3109 </t>
  </si>
  <si>
    <t xml:space="preserve"> 63.8565 </t>
  </si>
  <si>
    <t xml:space="preserve">D:\images\2022-CHG-NLO-dutasteride\plaque 1/@05 EE2 114/B5_01.tif </t>
  </si>
  <si>
    <t xml:space="preserve"> 494.9249 </t>
  </si>
  <si>
    <t xml:space="preserve"> 66.6587 </t>
  </si>
  <si>
    <t xml:space="preserve">D:\images\2022-CHG-NLO-dutasteride\plaque 1/@05 EE2 114/B5_02.tif </t>
  </si>
  <si>
    <t xml:space="preserve"> 220.7212 </t>
  </si>
  <si>
    <t xml:space="preserve"> 63.9962 </t>
  </si>
  <si>
    <t xml:space="preserve">D:\images\2022-CHG-NLO-dutasteride\plaque 1/@05 EE2 114/B5_03.tif </t>
  </si>
  <si>
    <t xml:space="preserve"> 252.1316 </t>
  </si>
  <si>
    <t xml:space="preserve"> 64.6465 </t>
  </si>
  <si>
    <t xml:space="preserve">D:\images\2022-CHG-NLO-dutasteride\plaque 1/@05 EE2 114/C5_01.tif </t>
  </si>
  <si>
    <t xml:space="preserve"> 64.8497 </t>
  </si>
  <si>
    <t xml:space="preserve">D:\images\2022-CHG-NLO-dutasteride\plaque 1/@05 EE2 114/C5_02.tif </t>
  </si>
  <si>
    <t xml:space="preserve"> 332.7797 </t>
  </si>
  <si>
    <t xml:space="preserve">D:\images\2022-CHG-NLO-dutasteride\plaque 1/@05 EE2 114/C5_03.tif </t>
  </si>
  <si>
    <t xml:space="preserve"> 388.809 </t>
  </si>
  <si>
    <t xml:space="preserve"> 64.7642 </t>
  </si>
  <si>
    <t xml:space="preserve">D:\images\2022-CHG-NLO-dutasteride\plaque 1/@05 EE2 114/D5_01.tif </t>
  </si>
  <si>
    <t xml:space="preserve"> 1006.8284 </t>
  </si>
  <si>
    <t xml:space="preserve"> 67.8103 </t>
  </si>
  <si>
    <t xml:space="preserve">D:\images\2022-CHG-NLO-dutasteride\plaque 1/@05 EE2 114/D5_02.tif </t>
  </si>
  <si>
    <t xml:space="preserve"> 1062.8577 </t>
  </si>
  <si>
    <t xml:space="preserve"> 68.9185 </t>
  </si>
  <si>
    <t xml:space="preserve">D:\images\2022-CHG-NLO-dutasteride\plaque 1/@05 EE2 114/D5_03.tif </t>
  </si>
  <si>
    <t xml:space="preserve"> 1042.4834 </t>
  </si>
  <si>
    <t xml:space="preserve"> 68.4064 </t>
  </si>
  <si>
    <t xml:space="preserve">D:\images\2022-CHG-NLO-dutasteride\plaque 1/@05 EE2 114/E5_01.tif </t>
  </si>
  <si>
    <t xml:space="preserve"> 449.0828 </t>
  </si>
  <si>
    <t xml:space="preserve"> 64.2439 </t>
  </si>
  <si>
    <t xml:space="preserve">D:\images\2022-CHG-NLO-dutasteride\plaque 1/@05 EE2 114/E5_02.tif </t>
  </si>
  <si>
    <t xml:space="preserve"> 543.3138 </t>
  </si>
  <si>
    <t xml:space="preserve"> 64.5062 </t>
  </si>
  <si>
    <t xml:space="preserve">D:\images\2022-CHG-NLO-dutasteride\plaque 1/@05 EE2 114/E5_03.tif </t>
  </si>
  <si>
    <t xml:space="preserve"> 459.27 </t>
  </si>
  <si>
    <t xml:space="preserve"> 65.0961 </t>
  </si>
  <si>
    <t xml:space="preserve">D:\images\2022-CHG-NLO-dutasteride\plaque 1/@05 EE2 114/F5_01.tif </t>
  </si>
  <si>
    <t xml:space="preserve"> 823.46 </t>
  </si>
  <si>
    <t xml:space="preserve"> 65.4103 </t>
  </si>
  <si>
    <t xml:space="preserve">D:\images\2022-CHG-NLO-dutasteride\plaque 1/@05 EE2 114/F5_02.tif </t>
  </si>
  <si>
    <t xml:space="preserve"> 797.9922 </t>
  </si>
  <si>
    <t xml:space="preserve"> 65.6936 </t>
  </si>
  <si>
    <t xml:space="preserve">D:\images\2022-CHG-NLO-dutasteride\plaque 1/@05 EE2 114/F5_03.tif </t>
  </si>
  <si>
    <t xml:space="preserve"> 790.3518 </t>
  </si>
  <si>
    <t xml:space="preserve"> 65.6037 </t>
  </si>
  <si>
    <t xml:space="preserve">D:\images\2022-CHG-NLO-dutasteride\plaque 1/@05 EE2 114/G5_01.tif </t>
  </si>
  <si>
    <t xml:space="preserve"> 955.8928 </t>
  </si>
  <si>
    <t xml:space="preserve"> 67.5107 </t>
  </si>
  <si>
    <t xml:space="preserve">D:\images\2022-CHG-NLO-dutasteride\plaque 1/@05 EE2 114/G5_02.tif </t>
  </si>
  <si>
    <t xml:space="preserve"> 854.8703 </t>
  </si>
  <si>
    <t xml:space="preserve"> 66.9881 </t>
  </si>
  <si>
    <t xml:space="preserve">D:\images\2022-CHG-NLO-dutasteride\plaque 1/@05 EE2 114/G5_03.tif </t>
  </si>
  <si>
    <t xml:space="preserve"> 996.6413 </t>
  </si>
  <si>
    <t xml:space="preserve"> 67.3859 </t>
  </si>
  <si>
    <t xml:space="preserve">D:\images\2022-CHG-NLO-dutasteride\plaque 1/@05 EE2 114/H5_01.tif </t>
  </si>
  <si>
    <t xml:space="preserve"> 855.7193 </t>
  </si>
  <si>
    <t xml:space="preserve"> 68.9137 </t>
  </si>
  <si>
    <t xml:space="preserve">D:\images\2022-CHG-NLO-dutasteride\plaque 1/@05 EE2 114/H5_02.tif </t>
  </si>
  <si>
    <t xml:space="preserve"> 937.2163 </t>
  </si>
  <si>
    <t xml:space="preserve"> 71.8759 </t>
  </si>
  <si>
    <t xml:space="preserve">D:\images\2022-CHG-NLO-dutasteride\plaque 1/@05 EE2 114/H5_03.tif </t>
  </si>
  <si>
    <t xml:space="preserve"> 960.9863 </t>
  </si>
  <si>
    <t xml:space="preserve"> 71.083 </t>
  </si>
  <si>
    <t xml:space="preserve">D:\images\2022-CHG-NLO-dutasteride\plaque 1/@05 EE2 114/ </t>
  </si>
  <si>
    <t xml:space="preserve"> 66.3336 </t>
  </si>
  <si>
    <t xml:space="preserve"> 2.25 </t>
  </si>
  <si>
    <t xml:space="preserve"> 43983.5833 </t>
  </si>
  <si>
    <t xml:space="preserve"> 20833.957 </t>
  </si>
  <si>
    <t xml:space="preserve">D:\images\2022-CHG-NLO-dutasteride\plaque 1/@06 EE2 171/A6_01.tif </t>
  </si>
  <si>
    <t xml:space="preserve"> 1088.3255 </t>
  </si>
  <si>
    <t xml:space="preserve"> 70.1451 </t>
  </si>
  <si>
    <t xml:space="preserve">D:\images\2022-CHG-NLO-dutasteride\plaque 1/@06 EE2 171/A6_02.tif </t>
  </si>
  <si>
    <t xml:space="preserve"> 1061.1598 </t>
  </si>
  <si>
    <t xml:space="preserve"> 69.1696 </t>
  </si>
  <si>
    <t xml:space="preserve">D:\images\2022-CHG-NLO-dutasteride\plaque 1/@06 EE2 171/A6_03.tif </t>
  </si>
  <si>
    <t xml:space="preserve"> 1144.3547 </t>
  </si>
  <si>
    <t xml:space="preserve"> 70.9748 </t>
  </si>
  <si>
    <t xml:space="preserve">D:\images\2022-CHG-NLO-dutasteride\plaque 1/@06 EE2 171/B6_01.tif </t>
  </si>
  <si>
    <t xml:space="preserve"> 2056.1033 </t>
  </si>
  <si>
    <t xml:space="preserve"> 73.1705 </t>
  </si>
  <si>
    <t xml:space="preserve">D:\images\2022-CHG-NLO-dutasteride\plaque 1/@06 EE2 171/B6_02.tif </t>
  </si>
  <si>
    <t xml:space="preserve"> 2326.0623 </t>
  </si>
  <si>
    <t xml:space="preserve"> 73.4566 </t>
  </si>
  <si>
    <t xml:space="preserve">D:\images\2022-CHG-NLO-dutasteride\plaque 1/@06 EE2 171/B6_03.tif </t>
  </si>
  <si>
    <t xml:space="preserve"> 2144.3918 </t>
  </si>
  <si>
    <t xml:space="preserve"> 74.7387 </t>
  </si>
  <si>
    <t xml:space="preserve">D:\images\2022-CHG-NLO-dutasteride\plaque 1/@06 EE2 171/C6_01.tif </t>
  </si>
  <si>
    <t xml:space="preserve"> 1645.2222 </t>
  </si>
  <si>
    <t xml:space="preserve"> 69.6404 </t>
  </si>
  <si>
    <t xml:space="preserve">D:\images\2022-CHG-NLO-dutasteride\plaque 1/@06 EE2 171/C6_02.tif </t>
  </si>
  <si>
    <t xml:space="preserve"> 1354.0399 </t>
  </si>
  <si>
    <t xml:space="preserve"> 68.8188 </t>
  </si>
  <si>
    <t xml:space="preserve">D:\images\2022-CHG-NLO-dutasteride\plaque 1/@06 EE2 171/C6_03.tif </t>
  </si>
  <si>
    <t xml:space="preserve"> 1373.5653 </t>
  </si>
  <si>
    <t xml:space="preserve"> 69.5111 </t>
  </si>
  <si>
    <t xml:space="preserve">D:\images\2022-CHG-NLO-dutasteride\plaque 1/@06 EE2 171/D6_01.tif </t>
  </si>
  <si>
    <t xml:space="preserve"> 101.8713 </t>
  </si>
  <si>
    <t xml:space="preserve">D:\images\2022-CHG-NLO-dutasteride\plaque 1/@06 EE2 171/D6_02.tif </t>
  </si>
  <si>
    <t xml:space="preserve"> 63.6456 </t>
  </si>
  <si>
    <t xml:space="preserve">D:\images\2022-CHG-NLO-dutasteride\plaque 1/@06 EE2 171/D6_03.tif </t>
  </si>
  <si>
    <t xml:space="preserve"> 56.0292 </t>
  </si>
  <si>
    <t xml:space="preserve"> 63.9697 </t>
  </si>
  <si>
    <t xml:space="preserve">D:\images\2022-CHG-NLO-dutasteride\plaque 1/@06 EE2 171/E6_01.tif </t>
  </si>
  <si>
    <t xml:space="preserve"> 1639.2797 </t>
  </si>
  <si>
    <t xml:space="preserve"> 72.8933 </t>
  </si>
  <si>
    <t xml:space="preserve">D:\images\2022-CHG-NLO-dutasteride\plaque 1/@06 EE2 171/E6_02.tif </t>
  </si>
  <si>
    <t xml:space="preserve"> 1786.9931 </t>
  </si>
  <si>
    <t xml:space="preserve"> 73.5325 </t>
  </si>
  <si>
    <t xml:space="preserve">D:\images\2022-CHG-NLO-dutasteride\plaque 1/@06 EE2 171/E6_03.tif </t>
  </si>
  <si>
    <t xml:space="preserve"> 1810.7631 </t>
  </si>
  <si>
    <t xml:space="preserve"> 73.8584 </t>
  </si>
  <si>
    <t xml:space="preserve">D:\images\2022-CHG-NLO-dutasteride\plaque 1/@06 EE2 171/F6_01.tif </t>
  </si>
  <si>
    <t xml:space="preserve"> 1606.1715 </t>
  </si>
  <si>
    <t xml:space="preserve"> 72.2627 </t>
  </si>
  <si>
    <t xml:space="preserve">D:\images\2022-CHG-NLO-dutasteride\plaque 1/@06 EE2 171/F6_02.tif </t>
  </si>
  <si>
    <t xml:space="preserve"> 1116.3401 </t>
  </si>
  <si>
    <t xml:space="preserve"> 73.5688 </t>
  </si>
  <si>
    <t xml:space="preserve">D:\images\2022-CHG-NLO-dutasteride\plaque 1/@06 EE2 171/F6_03.tif </t>
  </si>
  <si>
    <t xml:space="preserve"> 1152.844 </t>
  </si>
  <si>
    <t xml:space="preserve"> 77.0405 </t>
  </si>
  <si>
    <t xml:space="preserve">D:\images\2022-CHG-NLO-dutasteride\plaque 1/@06 EE2 171/G6_01.tif </t>
  </si>
  <si>
    <t xml:space="preserve"> 2143.5428 </t>
  </si>
  <si>
    <t xml:space="preserve"> 69.5774 </t>
  </si>
  <si>
    <t xml:space="preserve">D:\images\2022-CHG-NLO-dutasteride\plaque 1/@06 EE2 171/G6_02.tif </t>
  </si>
  <si>
    <t xml:space="preserve"> 1977.153 </t>
  </si>
  <si>
    <t xml:space="preserve"> 69.8433 </t>
  </si>
  <si>
    <t xml:space="preserve">D:\images\2022-CHG-NLO-dutasteride\plaque 1/@06 EE2 171/G6_03.tif </t>
  </si>
  <si>
    <t xml:space="preserve"> 2061.1968 </t>
  </si>
  <si>
    <t xml:space="preserve"> 69.4996 </t>
  </si>
  <si>
    <t xml:space="preserve">D:\images\2022-CHG-NLO-dutasteride\plaque 1/@06 EE2 171/H6_01.tif </t>
  </si>
  <si>
    <t xml:space="preserve"> 1971.2105 </t>
  </si>
  <si>
    <t xml:space="preserve"> 72.4673 </t>
  </si>
  <si>
    <t xml:space="preserve">D:\images\2022-CHG-NLO-dutasteride\plaque 1/@06 EE2 171/H6_02.tif </t>
  </si>
  <si>
    <t xml:space="preserve"> 1843.0224 </t>
  </si>
  <si>
    <t xml:space="preserve"> 70.2469 </t>
  </si>
  <si>
    <t xml:space="preserve">D:\images\2022-CHG-NLO-dutasteride\plaque 1/@06 EE2 171/H6_03.tif </t>
  </si>
  <si>
    <t xml:space="preserve"> 1968.6637 </t>
  </si>
  <si>
    <t xml:space="preserve"> 72.4808 </t>
  </si>
  <si>
    <t xml:space="preserve">D:\images\2022-CHG-NLO-dutasteride\plaque 1/@06 EE2 171/ </t>
  </si>
  <si>
    <t xml:space="preserve"> 70.7352 </t>
  </si>
  <si>
    <t xml:space="preserve"> 3.4561 </t>
  </si>
  <si>
    <t xml:space="preserve"> 106133.083 </t>
  </si>
  <si>
    <t xml:space="preserve"> 47950.0316 </t>
  </si>
  <si>
    <t xml:space="preserve">D:\images\2022-CHG-NLO-dutasteride\plaque 1/@07 EE2 488/A7_01.tif </t>
  </si>
  <si>
    <t xml:space="preserve"> 3351.5672 </t>
  </si>
  <si>
    <t xml:space="preserve"> 88.9549 </t>
  </si>
  <si>
    <t xml:space="preserve">D:\images\2022-CHG-NLO-dutasteride\plaque 1/@07 EE2 488/A7_02.tif </t>
  </si>
  <si>
    <t xml:space="preserve"> 3406.7475 </t>
  </si>
  <si>
    <t xml:space="preserve"> 82.3419 </t>
  </si>
  <si>
    <t xml:space="preserve">D:\images\2022-CHG-NLO-dutasteride\plaque 1/@07 EE2 488/A7_03.tif </t>
  </si>
  <si>
    <t xml:space="preserve"> 3420.3303 </t>
  </si>
  <si>
    <t xml:space="preserve"> 84.6528 </t>
  </si>
  <si>
    <t xml:space="preserve">D:\images\2022-CHG-NLO-dutasteride\plaque 1/@07 EE2 488/B7_01.tif </t>
  </si>
  <si>
    <t xml:space="preserve"> 2328.6091 </t>
  </si>
  <si>
    <t xml:space="preserve"> 95.7849 </t>
  </si>
  <si>
    <t xml:space="preserve">D:\images\2022-CHG-NLO-dutasteride\plaque 1/@07 EE2 488/B7_02.tif </t>
  </si>
  <si>
    <t xml:space="preserve"> 2336.2495 </t>
  </si>
  <si>
    <t xml:space="preserve"> 94.008 </t>
  </si>
  <si>
    <t xml:space="preserve">D:\images\2022-CHG-NLO-dutasteride\plaque 1/@07 EE2 488/B7_03.tif </t>
  </si>
  <si>
    <t xml:space="preserve"> 2397.3723 </t>
  </si>
  <si>
    <t xml:space="preserve"> 91.6604 </t>
  </si>
  <si>
    <t xml:space="preserve">D:\images\2022-CHG-NLO-dutasteride\plaque 1/@07 EE2 488/C7_01.tif </t>
  </si>
  <si>
    <t xml:space="preserve"> 1687.6686 </t>
  </si>
  <si>
    <t xml:space="preserve"> 90.3607 </t>
  </si>
  <si>
    <t xml:space="preserve">D:\images\2022-CHG-NLO-dutasteride\plaque 1/@07 EE2 488/C7_02.tif </t>
  </si>
  <si>
    <t xml:space="preserve"> 1701.2514 </t>
  </si>
  <si>
    <t xml:space="preserve"> 88.6138 </t>
  </si>
  <si>
    <t xml:space="preserve">D:\images\2022-CHG-NLO-dutasteride\plaque 1/@07 EE2 488/C7_03.tif </t>
  </si>
  <si>
    <t xml:space="preserve"> 1688.5175 </t>
  </si>
  <si>
    <t xml:space="preserve"> 87.3896 </t>
  </si>
  <si>
    <t>D:\images\2022-CHG-NLO-dutasteride\plaque 1/@07 EE2 488/D7_01- exclu.tif</t>
  </si>
  <si>
    <t xml:space="preserve">D:\images\2022-CHG-NLO-dutasteride\plaque 1/@07 EE2 488/D7_02.tif </t>
  </si>
  <si>
    <t xml:space="preserve"> 648.5809 </t>
  </si>
  <si>
    <t xml:space="preserve"> 65.4542 </t>
  </si>
  <si>
    <t xml:space="preserve">D:\images\2022-CHG-NLO-dutasteride\plaque 1/@07 EE2 488/D7_03.tif </t>
  </si>
  <si>
    <t xml:space="preserve"> 820.9132 </t>
  </si>
  <si>
    <t xml:space="preserve"> 66.424 </t>
  </si>
  <si>
    <t xml:space="preserve">D:\images\2022-CHG-NLO-dutasteride\plaque 1/@07 EE2 488/E7_01.tif </t>
  </si>
  <si>
    <t xml:space="preserve"> 2097.7007 </t>
  </si>
  <si>
    <t xml:space="preserve"> 88.1505 </t>
  </si>
  <si>
    <t xml:space="preserve">D:\images\2022-CHG-NLO-dutasteride\plaque 1/@07 EE2 488/E7_02.tif </t>
  </si>
  <si>
    <t xml:space="preserve"> 2117.2261 </t>
  </si>
  <si>
    <t xml:space="preserve"> 90.9266 </t>
  </si>
  <si>
    <t xml:space="preserve">D:\images\2022-CHG-NLO-dutasteride\plaque 1/@07 EE2 488/E7_03.tif </t>
  </si>
  <si>
    <t xml:space="preserve"> 1924.5194 </t>
  </si>
  <si>
    <t xml:space="preserve"> 91.9466 </t>
  </si>
  <si>
    <t xml:space="preserve">D:\images\2022-CHG-NLO-dutasteride\plaque 1/@07 EE2 488/F7_01.tif </t>
  </si>
  <si>
    <t xml:space="preserve"> 1215.6647 </t>
  </si>
  <si>
    <t xml:space="preserve"> 86.4497 </t>
  </si>
  <si>
    <t xml:space="preserve">D:\images\2022-CHG-NLO-dutasteride\plaque 1/@07 EE2 488/F7_02.tif </t>
  </si>
  <si>
    <t xml:space="preserve"> 1129.074 </t>
  </si>
  <si>
    <t xml:space="preserve"> 90.5624 </t>
  </si>
  <si>
    <t xml:space="preserve">D:\images\2022-CHG-NLO-dutasteride\plaque 1/@07 EE2 488/F7_03.tif </t>
  </si>
  <si>
    <t xml:space="preserve"> 1616.3586 </t>
  </si>
  <si>
    <t xml:space="preserve"> 89.49 </t>
  </si>
  <si>
    <t xml:space="preserve">D:\images\2022-CHG-NLO-dutasteride\plaque 1/@07 EE2 488/G7_01.tif </t>
  </si>
  <si>
    <t xml:space="preserve"> 2106.19 </t>
  </si>
  <si>
    <t xml:space="preserve"> 90.3587 </t>
  </si>
  <si>
    <t xml:space="preserve">D:\images\2022-CHG-NLO-dutasteride\plaque 1/@07 EE2 488/G7_02.tif </t>
  </si>
  <si>
    <t xml:space="preserve"> 2161.3703 </t>
  </si>
  <si>
    <t xml:space="preserve"> 92.0892 </t>
  </si>
  <si>
    <t xml:space="preserve">D:\images\2022-CHG-NLO-dutasteride\plaque 1/@07 EE2 488/G7_03.tif </t>
  </si>
  <si>
    <t xml:space="preserve"> 2360.0194 </t>
  </si>
  <si>
    <t xml:space="preserve"> 77.1428 </t>
  </si>
  <si>
    <t xml:space="preserve">D:\images\2022-CHG-NLO-dutasteride\plaque 1/@07 EE2 488/H7_01.tif </t>
  </si>
  <si>
    <t xml:space="preserve"> 1901.5984 </t>
  </si>
  <si>
    <t xml:space="preserve"> 86.4433 </t>
  </si>
  <si>
    <t xml:space="preserve">D:\images\2022-CHG-NLO-dutasteride\plaque 1/@07 EE2 488/H7_02.tif </t>
  </si>
  <si>
    <t xml:space="preserve"> 1900.7495 </t>
  </si>
  <si>
    <t xml:space="preserve"> 87.9942 </t>
  </si>
  <si>
    <t xml:space="preserve">D:\images\2022-CHG-NLO-dutasteride\plaque 1/@07 EE2 488/H7_03.tif </t>
  </si>
  <si>
    <t xml:space="preserve"> 1882.073 </t>
  </si>
  <si>
    <t xml:space="preserve"> 88.3888 </t>
  </si>
  <si>
    <t xml:space="preserve">D:\images\2022-CHG-NLO-dutasteride\plaque 1/@07 EE2 488/ </t>
  </si>
  <si>
    <t xml:space="preserve"> 85.8152 </t>
  </si>
  <si>
    <t xml:space="preserve"> 8.785 </t>
  </si>
  <si>
    <t xml:space="preserve"> 169399.208 </t>
  </si>
  <si>
    <t xml:space="preserve"> 71711.1654 </t>
  </si>
  <si>
    <t xml:space="preserve">D:\images\2022-CHG-NLO-dutasteride\plaque 1/@08 duta 0.01/A8_01.tif </t>
  </si>
  <si>
    <t xml:space="preserve"> 355.7008 </t>
  </si>
  <si>
    <t xml:space="preserve"> 69.9785 </t>
  </si>
  <si>
    <t xml:space="preserve">D:\images\2022-CHG-NLO-dutasteride\plaque 1/@08 duta 0.01/A8_02.tif </t>
  </si>
  <si>
    <t xml:space="preserve"> 450.7807 </t>
  </si>
  <si>
    <t xml:space="preserve"> 78.6968 </t>
  </si>
  <si>
    <t xml:space="preserve">D:\images\2022-CHG-NLO-dutasteride\plaque 1/@08 duta 0.01/A8_03.tif </t>
  </si>
  <si>
    <t xml:space="preserve"> 247.8869 </t>
  </si>
  <si>
    <t xml:space="preserve"> 67.0034 </t>
  </si>
  <si>
    <t xml:space="preserve">D:\images\2022-CHG-NLO-dutasteride\plaque 1/@08 duta 0.01/B8_01.tif </t>
  </si>
  <si>
    <t xml:space="preserve"> 22.9211 </t>
  </si>
  <si>
    <t xml:space="preserve"> 64.963 </t>
  </si>
  <si>
    <t xml:space="preserve">D:\images\2022-CHG-NLO-dutasteride\plaque 1/@08 duta 0.01/B8_02.tif </t>
  </si>
  <si>
    <t xml:space="preserve"> 62.7647 </t>
  </si>
  <si>
    <t xml:space="preserve">D:\images\2022-CHG-NLO-dutasteride\plaque 1/@08 duta 0.01/B8_03.tif </t>
  </si>
  <si>
    <t xml:space="preserve"> 4.2446 </t>
  </si>
  <si>
    <t xml:space="preserve">D:\images\2022-CHG-NLO-dutasteride\plaque 1/@08 duta 0.01/C8_01.tif </t>
  </si>
  <si>
    <t xml:space="preserve">D:\images\2022-CHG-NLO-dutasteride\plaque 1/@08 duta 0.01/C8_02.tif </t>
  </si>
  <si>
    <t xml:space="preserve">D:\images\2022-CHG-NLO-dutasteride\plaque 1/@08 duta 0.01/C8_03.tif </t>
  </si>
  <si>
    <t xml:space="preserve">D:\images\2022-CHG-NLO-dutasteride\plaque 1/@08 duta 0.01/D8_01.tif </t>
  </si>
  <si>
    <t xml:space="preserve"> 64.8333 </t>
  </si>
  <si>
    <t xml:space="preserve">D:\images\2022-CHG-NLO-dutasteride\plaque 1/@08 duta 0.01/D8_02.tif </t>
  </si>
  <si>
    <t xml:space="preserve"> 62.2667 </t>
  </si>
  <si>
    <t xml:space="preserve">D:\images\2022-CHG-NLO-dutasteride\plaque 1/@08 duta 0.01/D8_03.tif </t>
  </si>
  <si>
    <t xml:space="preserve">D:\images\2022-CHG-NLO-dutasteride\plaque 1/@08 duta 0.01/E8_01.tif </t>
  </si>
  <si>
    <t xml:space="preserve"> 64.75 </t>
  </si>
  <si>
    <t xml:space="preserve">D:\images\2022-CHG-NLO-dutasteride\plaque 1/@08 duta 0.01/E8_02.tif </t>
  </si>
  <si>
    <t xml:space="preserve"> 11.0361 </t>
  </si>
  <si>
    <t xml:space="preserve"> 64.2308 </t>
  </si>
  <si>
    <t xml:space="preserve">D:\images\2022-CHG-NLO-dutasteride\plaque 1/@08 duta 0.01/E8_03.tif </t>
  </si>
  <si>
    <t xml:space="preserve"> 23.77 </t>
  </si>
  <si>
    <t xml:space="preserve">D:\images\2022-CHG-NLO-dutasteride\plaque 1/@08 duta 0.01/F8_01.tif </t>
  </si>
  <si>
    <t xml:space="preserve"> 63.7368 </t>
  </si>
  <si>
    <t xml:space="preserve">D:\images\2022-CHG-NLO-dutasteride\plaque 1/@08 duta 0.01/F8_02.tif </t>
  </si>
  <si>
    <t xml:space="preserve"> 37.3528 </t>
  </si>
  <si>
    <t xml:space="preserve">D:\images\2022-CHG-NLO-dutasteride\plaque 1/@08 duta 0.01/F8_03.tif </t>
  </si>
  <si>
    <t xml:space="preserve"> 28.8635 </t>
  </si>
  <si>
    <t xml:space="preserve"> 66.4118 </t>
  </si>
  <si>
    <t xml:space="preserve">D:\images\2022-CHG-NLO-dutasteride\plaque 1/@08 duta 0.01/G8_01.tif </t>
  </si>
  <si>
    <t xml:space="preserve"> 63.9259 </t>
  </si>
  <si>
    <t xml:space="preserve">D:\images\2022-CHG-NLO-dutasteride\plaque 1/@08 duta 0.01/G8_02.tif </t>
  </si>
  <si>
    <t xml:space="preserve"> 43.2953 </t>
  </si>
  <si>
    <t xml:space="preserve"> 66.4902 </t>
  </si>
  <si>
    <t xml:space="preserve">D:\images\2022-CHG-NLO-dutasteride\plaque 1/@08 duta 0.01/G8_03.tif </t>
  </si>
  <si>
    <t xml:space="preserve"> 53.4825 </t>
  </si>
  <si>
    <t xml:space="preserve">D:\images\2022-CHG-NLO-dutasteride\plaque 1/@08 duta 0.01/H8_01.tif </t>
  </si>
  <si>
    <t xml:space="preserve"> 66.3913 </t>
  </si>
  <si>
    <t xml:space="preserve">D:\images\2022-CHG-NLO-dutasteride\plaque 1/@08 duta 0.01/H8_02.tif </t>
  </si>
  <si>
    <t xml:space="preserve">D:\images\2022-CHG-NLO-dutasteride\plaque 1/@08 duta 0.01/H8_03.tif </t>
  </si>
  <si>
    <t xml:space="preserve"> 67.8049 </t>
  </si>
  <si>
    <t xml:space="preserve">D:\images\2022-CHG-NLO-dutasteride\plaque 1/@08 duta 0.01/ </t>
  </si>
  <si>
    <t xml:space="preserve"> 65.3778 </t>
  </si>
  <si>
    <t xml:space="preserve"> 3.3637 </t>
  </si>
  <si>
    <t xml:space="preserve"> 8696.6496 </t>
  </si>
  <si>
    <t xml:space="preserve">D:\images\2022-CHG-NLO-dutasteride\plaque 1/@09 duta 0.1/A9_01.tif </t>
  </si>
  <si>
    <t xml:space="preserve"> 95.0799 </t>
  </si>
  <si>
    <t xml:space="preserve"> 66.0536 </t>
  </si>
  <si>
    <t xml:space="preserve">D:\images\2022-CHG-NLO-dutasteride\plaque 1/@09 duta 0.1/A9_02.tif </t>
  </si>
  <si>
    <t xml:space="preserve"> 72.1589 </t>
  </si>
  <si>
    <t xml:space="preserve"> 64.7176 </t>
  </si>
  <si>
    <t xml:space="preserve">D:\images\2022-CHG-NLO-dutasteride\plaque 1/@09 duta 0.1/A9_03.tif </t>
  </si>
  <si>
    <t xml:space="preserve"> 65.68 </t>
  </si>
  <si>
    <t xml:space="preserve">D:\images\2022-CHG-NLO-dutasteride\plaque 1/@09 duta 0.1/B9_01.tif </t>
  </si>
  <si>
    <t xml:space="preserve"> 64.5556 </t>
  </si>
  <si>
    <t xml:space="preserve">D:\images\2022-CHG-NLO-dutasteride\plaque 1/@09 duta 0.1/B9_02.tif </t>
  </si>
  <si>
    <t xml:space="preserve">D:\images\2022-CHG-NLO-dutasteride\plaque 1/@09 duta 0.1/B9_03.tif </t>
  </si>
  <si>
    <t xml:space="preserve"> 65.6 </t>
  </si>
  <si>
    <t xml:space="preserve">D:\images\2022-CHG-NLO-dutasteride\plaque 1/@09 duta 0.1/C9_01.tif </t>
  </si>
  <si>
    <t xml:space="preserve"> 62.1622 </t>
  </si>
  <si>
    <t xml:space="preserve">D:\images\2022-CHG-NLO-dutasteride\plaque 1/@09 duta 0.1/C9_02.tif </t>
  </si>
  <si>
    <t xml:space="preserve"> 60.8571 </t>
  </si>
  <si>
    <t xml:space="preserve">D:\images\2022-CHG-NLO-dutasteride\plaque 1/@09 duta 0.1/C9_03.tif </t>
  </si>
  <si>
    <t xml:space="preserve">D:\images\2022-CHG-NLO-dutasteride\plaque 1/@09 duta 0.1/D9_01.tif </t>
  </si>
  <si>
    <t xml:space="preserve">D:\images\2022-CHG-NLO-dutasteride\plaque 1/@09 duta 0.1/D9_02.tif </t>
  </si>
  <si>
    <t xml:space="preserve">D:\images\2022-CHG-NLO-dutasteride\plaque 1/@09 duta 0.1/D9_03.tif </t>
  </si>
  <si>
    <t xml:space="preserve"> 62.4167 </t>
  </si>
  <si>
    <t>D:\images\2022-CHG-NLO-dutasteride\plaque 1/@09 duta 0.1/E9_01- exclu.tif</t>
  </si>
  <si>
    <t xml:space="preserve">D:\images\2022-CHG-NLO-dutasteride\plaque 1/@09 duta 0.1/E9_02.tif </t>
  </si>
  <si>
    <t xml:space="preserve"> 305.614 </t>
  </si>
  <si>
    <t xml:space="preserve"> 70.0528 </t>
  </si>
  <si>
    <t xml:space="preserve">D:\images\2022-CHG-NLO-dutasteride\plaque 1/@09 duta 0.1/E9_03.tif </t>
  </si>
  <si>
    <t xml:space="preserve"> 65.2857 </t>
  </si>
  <si>
    <t xml:space="preserve">D:\images\2022-CHG-NLO-dutasteride\plaque 1/@09 duta 0.1/F9_01.tif </t>
  </si>
  <si>
    <t xml:space="preserve">D:\images\2022-CHG-NLO-dutasteride\plaque 1/@09 duta 0.1/F9_02.tif </t>
  </si>
  <si>
    <t xml:space="preserve"> 118.8499 </t>
  </si>
  <si>
    <t xml:space="preserve">D:\images\2022-CHG-NLO-dutasteride\plaque 1/@09 duta 0.1/F9_03.tif </t>
  </si>
  <si>
    <t xml:space="preserve"> 33.9571 </t>
  </si>
  <si>
    <t xml:space="preserve">D:\images\2022-CHG-NLO-dutasteride\plaque 1/@09 duta 0.1/G9_01.tif </t>
  </si>
  <si>
    <t xml:space="preserve"> 127.3392 </t>
  </si>
  <si>
    <t xml:space="preserve"> 65.42 </t>
  </si>
  <si>
    <t xml:space="preserve">D:\images\2022-CHG-NLO-dutasteride\plaque 1/@09 duta 0.1/G9_02.tif </t>
  </si>
  <si>
    <t xml:space="preserve"> 226.6637 </t>
  </si>
  <si>
    <t xml:space="preserve">D:\images\2022-CHG-NLO-dutasteride\plaque 1/@09 duta 0.1/G9_03.tif </t>
  </si>
  <si>
    <t xml:space="preserve">D:\images\2022-CHG-NLO-dutasteride\plaque 1/@09 duta 0.1/H9_01.tif </t>
  </si>
  <si>
    <t xml:space="preserve">D:\images\2022-CHG-NLO-dutasteride\plaque 1/@09 duta 0.1/H9_02.tif </t>
  </si>
  <si>
    <t xml:space="preserve">D:\images\2022-CHG-NLO-dutasteride\plaque 1/@09 duta 0.1/H9_03.tif </t>
  </si>
  <si>
    <t xml:space="preserve"> 67.9167 </t>
  </si>
  <si>
    <t xml:space="preserve">D:\images\2022-CHG-NLO-dutasteride\plaque 1/@09 duta 0.1/ </t>
  </si>
  <si>
    <t xml:space="preserve"> 65.1514 </t>
  </si>
  <si>
    <t xml:space="preserve"> 2.178 </t>
  </si>
  <si>
    <t xml:space="preserve"> 3707.7917 </t>
  </si>
  <si>
    <t xml:space="preserve"> 5498.8495 </t>
  </si>
  <si>
    <t xml:space="preserve">D:\images\2022-CHG-NLO-dutasteride\plaque 1/@10 duta 0.25/A10_01.tif </t>
  </si>
  <si>
    <t xml:space="preserve"> 52.6335 </t>
  </si>
  <si>
    <t xml:space="preserve"> 64.1452 </t>
  </si>
  <si>
    <t xml:space="preserve">D:\images\2022-CHG-NLO-dutasteride\plaque 1/@10 duta 0.25/A10_02.tif </t>
  </si>
  <si>
    <t xml:space="preserve"> 63.4667 </t>
  </si>
  <si>
    <t xml:space="preserve">D:\images\2022-CHG-NLO-dutasteride\plaque 1/@10 duta 0.25/A10_03.tif </t>
  </si>
  <si>
    <t xml:space="preserve"> 236.8509 </t>
  </si>
  <si>
    <t xml:space="preserve"> 67.3763 </t>
  </si>
  <si>
    <t xml:space="preserve">D:\images\2022-CHG-NLO-dutasteride\plaque 1/@10 duta 0.25/B10_01.tif </t>
  </si>
  <si>
    <t xml:space="preserve"> 25.4678 </t>
  </si>
  <si>
    <t xml:space="preserve">D:\images\2022-CHG-NLO-dutasteride\plaque 1/@10 duta 0.25/B10_02.tif </t>
  </si>
  <si>
    <t xml:space="preserve"> 65.0227 </t>
  </si>
  <si>
    <t xml:space="preserve">D:\images\2022-CHG-NLO-dutasteride\plaque 1/@10 duta 0.25/B10_03.tif </t>
  </si>
  <si>
    <t xml:space="preserve"> 63.5938 </t>
  </si>
  <si>
    <t xml:space="preserve">D:\images\2022-CHG-NLO-dutasteride\plaque 1/@10 duta 0.25/C10_01.tif </t>
  </si>
  <si>
    <t xml:space="preserve">D:\images\2022-CHG-NLO-dutasteride\plaque 1/@10 duta 0.25/C10_02.tif </t>
  </si>
  <si>
    <t xml:space="preserve"> 104.4181 </t>
  </si>
  <si>
    <t xml:space="preserve"> 65.3984 </t>
  </si>
  <si>
    <t xml:space="preserve">D:\images\2022-CHG-NLO-dutasteride\plaque 1/@10 duta 0.25/C10_03.tif </t>
  </si>
  <si>
    <t xml:space="preserve"> 81.4971 </t>
  </si>
  <si>
    <t xml:space="preserve"> 65.0417 </t>
  </si>
  <si>
    <t xml:space="preserve">D:\images\2022-CHG-NLO-dutasteride\plaque 1/@10 duta 0.25/D10_01.tif </t>
  </si>
  <si>
    <t xml:space="preserve">D:\images\2022-CHG-NLO-dutasteride\plaque 1/@10 duta 0.25/D10_02.tif </t>
  </si>
  <si>
    <t xml:space="preserve"> 66.4 </t>
  </si>
  <si>
    <t xml:space="preserve">D:\images\2022-CHG-NLO-dutasteride\plaque 1/@10 duta 0.25/D10_03.tif </t>
  </si>
  <si>
    <t xml:space="preserve">D:\images\2022-CHG-NLO-dutasteride\plaque 1/@10 duta 0.25/E10_01.tif </t>
  </si>
  <si>
    <t xml:space="preserve"> 62.6154 </t>
  </si>
  <si>
    <t xml:space="preserve">D:\images\2022-CHG-NLO-dutasteride\plaque 1/@10 duta 0.25/E10_02.tif </t>
  </si>
  <si>
    <t xml:space="preserve"> 64.8667 </t>
  </si>
  <si>
    <t xml:space="preserve">D:\images\2022-CHG-NLO-dutasteride\plaque 1/@10 duta 0.25/E10_03.tif </t>
  </si>
  <si>
    <t xml:space="preserve">D:\images\2022-CHG-NLO-dutasteride\plaque 1/@10 duta 0.25/F10_01.tif </t>
  </si>
  <si>
    <t xml:space="preserve"> 62.8214 </t>
  </si>
  <si>
    <t xml:space="preserve">D:\images\2022-CHG-NLO-dutasteride\plaque 1/@10 duta 0.25/F10_02.tif </t>
  </si>
  <si>
    <t xml:space="preserve"> 65.125 </t>
  </si>
  <si>
    <t xml:space="preserve">D:\images\2022-CHG-NLO-dutasteride\plaque 1/@10 duta 0.25/F10_03.tif </t>
  </si>
  <si>
    <t xml:space="preserve">D:\images\2022-CHG-NLO-dutasteride\plaque 1/@10 duta 0.25/G10_01.tif </t>
  </si>
  <si>
    <t xml:space="preserve"> 62.9 </t>
  </si>
  <si>
    <t xml:space="preserve">D:\images\2022-CHG-NLO-dutasteride\plaque 1/@10 duta 0.25/G10_02.tif </t>
  </si>
  <si>
    <t>D:\images\2022-CHG-NLO-dutasteride\plaque 1/@10 duta 0.25/G10_03- exclu.tif</t>
  </si>
  <si>
    <t xml:space="preserve">D:\images\2022-CHG-NLO-dutasteride\plaque 1/@10 duta 0.25/H10_01.tif </t>
  </si>
  <si>
    <t xml:space="preserve"> 62.7692 </t>
  </si>
  <si>
    <t xml:space="preserve">D:\images\2022-CHG-NLO-dutasteride\plaque 1/@10 duta 0.25/H10_02.tif </t>
  </si>
  <si>
    <t xml:space="preserve"> 29.7125 </t>
  </si>
  <si>
    <t xml:space="preserve">D:\images\2022-CHG-NLO-dutasteride\plaque 1/@10 duta 0.25/H10_03.tif </t>
  </si>
  <si>
    <t xml:space="preserve"> 65.5581 </t>
  </si>
  <si>
    <t xml:space="preserve">D:\images\2022-CHG-NLO-dutasteride\plaque 1/@10 duta 0.25/ </t>
  </si>
  <si>
    <t xml:space="preserve"> 64.2224 </t>
  </si>
  <si>
    <t xml:space="preserve"> 1.2538 </t>
  </si>
  <si>
    <t xml:space="preserve"> 2571.7083 </t>
  </si>
  <si>
    <t xml:space="preserve"> 3427.1586 </t>
  </si>
  <si>
    <t>D:\images\2022-CHG-NLO-dutasteride\plaque 1/@11 duta 0.5/A11_01- exclu.tif</t>
  </si>
  <si>
    <t>D:\images\2022-CHG-NLO-dutasteride\plaque 1/@11 duta 0.5/A11_02- exclu.tif</t>
  </si>
  <si>
    <t>D:\images\2022-CHG-NLO-dutasteride\plaque 1/@11 duta 0.5/A11_03- exclu.tif</t>
  </si>
  <si>
    <t xml:space="preserve">D:\images\2022-CHG-NLO-dutasteride\plaque 1/@11 duta 0.5/B11_01.tif </t>
  </si>
  <si>
    <t xml:space="preserve">D:\images\2022-CHG-NLO-dutasteride\plaque 1/@11 duta 0.5/B11_02.tif </t>
  </si>
  <si>
    <t xml:space="preserve">D:\images\2022-CHG-NLO-dutasteride\plaque 1/@11 duta 0.5/B11_03.tif </t>
  </si>
  <si>
    <t xml:space="preserve"> 18.6764 </t>
  </si>
  <si>
    <t xml:space="preserve"> 64.6818 </t>
  </si>
  <si>
    <t xml:space="preserve">D:\images\2022-CHG-NLO-dutasteride\plaque 1/@11 duta 0.5/C11_01.tif </t>
  </si>
  <si>
    <t xml:space="preserve">D:\images\2022-CHG-NLO-dutasteride\plaque 1/@11 duta 0.5/C11_02.tif </t>
  </si>
  <si>
    <t xml:space="preserve"> 66.4412 </t>
  </si>
  <si>
    <t xml:space="preserve">D:\images\2022-CHG-NLO-dutasteride\plaque 1/@11 duta 0.5/C11_03.tif </t>
  </si>
  <si>
    <t xml:space="preserve"> 136.6774 </t>
  </si>
  <si>
    <t xml:space="preserve"> 65.1366 </t>
  </si>
  <si>
    <t xml:space="preserve">D:\images\2022-CHG-NLO-dutasteride\plaque 1/@11 duta 0.5/D11_01.tif </t>
  </si>
  <si>
    <t xml:space="preserve"> 41.5975 </t>
  </si>
  <si>
    <t xml:space="preserve"> 63.9592 </t>
  </si>
  <si>
    <t xml:space="preserve">D:\images\2022-CHG-NLO-dutasteride\plaque 1/@11 duta 0.5/D11_02.tif </t>
  </si>
  <si>
    <t xml:space="preserve"> 54.3314 </t>
  </si>
  <si>
    <t xml:space="preserve"> 65.4219 </t>
  </si>
  <si>
    <t xml:space="preserve">D:\images\2022-CHG-NLO-dutasteride\plaque 1/@11 duta 0.5/D11_03.tif </t>
  </si>
  <si>
    <t xml:space="preserve">D:\images\2022-CHG-NLO-dutasteride\plaque 1/@11 duta 0.5/E11_01.tif </t>
  </si>
  <si>
    <t xml:space="preserve">D:\images\2022-CHG-NLO-dutasteride\plaque 1/@11 duta 0.5/E11_02.tif </t>
  </si>
  <si>
    <t xml:space="preserve">D:\images\2022-CHG-NLO-dutasteride\plaque 1/@11 duta 0.5/E11_03.tif </t>
  </si>
  <si>
    <t>D:\images\2022-CHG-NLO-dutasteride\plaque 1/@11 duta 0.5/F11_01- exclu.tif</t>
  </si>
  <si>
    <t xml:space="preserve">D:\images\2022-CHG-NLO-dutasteride\plaque 1/@11 duta 0.5/F11_02.tif </t>
  </si>
  <si>
    <t xml:space="preserve"> 113.7563 </t>
  </si>
  <si>
    <t xml:space="preserve"> 65.7761 </t>
  </si>
  <si>
    <t xml:space="preserve">D:\images\2022-CHG-NLO-dutasteride\plaque 1/@11 duta 0.5/F11_03.tif </t>
  </si>
  <si>
    <t xml:space="preserve"> 94.231 </t>
  </si>
  <si>
    <t xml:space="preserve"> 64.5405 </t>
  </si>
  <si>
    <t xml:space="preserve">D:\images\2022-CHG-NLO-dutasteride\plaque 1/@11 duta 0.5/G11_01.tif </t>
  </si>
  <si>
    <t xml:space="preserve">D:\images\2022-CHG-NLO-dutasteride\plaque 1/@11 duta 0.5/G11_02.tif </t>
  </si>
  <si>
    <t xml:space="preserve"> 61.6 </t>
  </si>
  <si>
    <t xml:space="preserve">D:\images\2022-CHG-NLO-dutasteride\plaque 1/@11 duta 0.5/G11_03.tif </t>
  </si>
  <si>
    <t xml:space="preserve">D:\images\2022-CHG-NLO-dutasteride\plaque 1/@11 duta 0.5/H11_01.tif </t>
  </si>
  <si>
    <t xml:space="preserve">D:\images\2022-CHG-NLO-dutasteride\plaque 1/@11 duta 0.5/H11_02.tif </t>
  </si>
  <si>
    <t xml:space="preserve">D:\images\2022-CHG-NLO-dutasteride\plaque 1/@11 duta 0.5/H11_03.tif </t>
  </si>
  <si>
    <t xml:space="preserve">D:\images\2022-CHG-NLO-dutasteride\plaque 1/@11 duta 0.5/ </t>
  </si>
  <si>
    <t xml:space="preserve"> 64.1994 </t>
  </si>
  <si>
    <t xml:space="preserve"> 1.1991 </t>
  </si>
  <si>
    <t xml:space="preserve"> 2632.4862 </t>
  </si>
  <si>
    <t xml:space="preserve">D:\images\2022-CHG-NLO-dutasteride\plaque 1/@12  duta 1/A12_01.tif </t>
  </si>
  <si>
    <t xml:space="preserve">D:\images\2022-CHG-NLO-dutasteride\plaque 1/@12  duta 1/A12_02.tif </t>
  </si>
  <si>
    <t xml:space="preserve"> 63.1875 </t>
  </si>
  <si>
    <t xml:space="preserve">D:\images\2022-CHG-NLO-dutasteride\plaque 1/@12  duta 1/A12_03.tif </t>
  </si>
  <si>
    <t xml:space="preserve">D:\images\2022-CHG-NLO-dutasteride\plaque 1/@12  duta 1/B12_01.tif </t>
  </si>
  <si>
    <t xml:space="preserve">D:\images\2022-CHG-NLO-dutasteride\plaque 1/@12  duta 1/B12_02.tif </t>
  </si>
  <si>
    <t xml:space="preserve">D:\images\2022-CHG-NLO-dutasteride\plaque 1/@12  duta 1/B12_03.tif </t>
  </si>
  <si>
    <t xml:space="preserve"> 65.3636 </t>
  </si>
  <si>
    <t xml:space="preserve">D:\images\2022-CHG-NLO-dutasteride\plaque 1/@12  duta 1/C12_01.tif </t>
  </si>
  <si>
    <t xml:space="preserve"> 63.625 </t>
  </si>
  <si>
    <t xml:space="preserve">D:\images\2022-CHG-NLO-dutasteride\plaque 1/@12  duta 1/C12_02.tif </t>
  </si>
  <si>
    <t xml:space="preserve">D:\images\2022-CHG-NLO-dutasteride\plaque 1/@12  duta 1/C12_03.tif </t>
  </si>
  <si>
    <t xml:space="preserve"> 3.3957 </t>
  </si>
  <si>
    <t xml:space="preserve">D:\images\2022-CHG-NLO-dutasteride\plaque 1/@12  duta 1/D12_01.tif </t>
  </si>
  <si>
    <t xml:space="preserve"> 171.4834 </t>
  </si>
  <si>
    <t xml:space="preserve"> 68.6287 </t>
  </si>
  <si>
    <t xml:space="preserve">D:\images\2022-CHG-NLO-dutasteride\plaque 1/@12  duta 1/D12_02.tif </t>
  </si>
  <si>
    <t xml:space="preserve">D:\images\2022-CHG-NLO-dutasteride\plaque 1/@12  duta 1/D12_03.tif </t>
  </si>
  <si>
    <t xml:space="preserve"> 147.7134 </t>
  </si>
  <si>
    <t xml:space="preserve"> 67.1437 </t>
  </si>
  <si>
    <t xml:space="preserve">D:\images\2022-CHG-NLO-dutasteride\plaque 1/@12  duta 1/E12_01.tif </t>
  </si>
  <si>
    <t xml:space="preserve">D:\images\2022-CHG-NLO-dutasteride\plaque 1/@12  duta 1/E12_02.tif </t>
  </si>
  <si>
    <t xml:space="preserve"> 61.2857 </t>
  </si>
  <si>
    <t xml:space="preserve">D:\images\2022-CHG-NLO-dutasteride\plaque 1/@12  duta 1/E12_03.tif </t>
  </si>
  <si>
    <t xml:space="preserve"> 63.5385 </t>
  </si>
  <si>
    <t xml:space="preserve">D:\images\2022-CHG-NLO-dutasteride\plaque 1/@12  duta 1/F12_01.tif </t>
  </si>
  <si>
    <t xml:space="preserve"> 347.2115 </t>
  </si>
  <si>
    <t xml:space="preserve"> 71.4254 </t>
  </si>
  <si>
    <t>D:\images\2022-CHG-NLO-dutasteride\plaque 1/@12  duta 1/F12_02- exclu.tif</t>
  </si>
  <si>
    <t xml:space="preserve">D:\images\2022-CHG-NLO-dutasteride\plaque 1/@12  duta 1/F12_03.tif </t>
  </si>
  <si>
    <t xml:space="preserve"> 446.5361 </t>
  </si>
  <si>
    <t xml:space="preserve"> 73.3878 </t>
  </si>
  <si>
    <t xml:space="preserve">D:\images\2022-CHG-NLO-dutasteride\plaque 1/@12  duta 1/G12_01.tif </t>
  </si>
  <si>
    <t xml:space="preserve"> 63.6696 </t>
  </si>
  <si>
    <t xml:space="preserve"> 64.4533 </t>
  </si>
  <si>
    <t xml:space="preserve">D:\images\2022-CHG-NLO-dutasteride\plaque 1/@12  duta 1/G12_02.tif </t>
  </si>
  <si>
    <t xml:space="preserve"> 66.4286 </t>
  </si>
  <si>
    <t xml:space="preserve">D:\images\2022-CHG-NLO-dutasteride\plaque 1/@12  duta 1/G12_03.tif </t>
  </si>
  <si>
    <t xml:space="preserve"> 62.5556 </t>
  </si>
  <si>
    <t xml:space="preserve">D:\images\2022-CHG-NLO-dutasteride\plaque 1/@12  duta 1/H12_01.tif </t>
  </si>
  <si>
    <t xml:space="preserve"> 65.2 </t>
  </si>
  <si>
    <t xml:space="preserve">D:\images\2022-CHG-NLO-dutasteride\plaque 1/@12  duta 1/H12_02.tif </t>
  </si>
  <si>
    <t xml:space="preserve">D:\images\2022-CHG-NLO-dutasteride\plaque 1/@12  duta 1/H12_03.tif </t>
  </si>
  <si>
    <t xml:space="preserve"> 61.0769 </t>
  </si>
  <si>
    <t xml:space="preserve">D:\images\2022-CHG-NLO-dutasteride\plaque 1/@12  duta 1/ </t>
  </si>
  <si>
    <t xml:space="preserve"> 64.7945 </t>
  </si>
  <si>
    <t xml:space="preserve"> 2.9326 </t>
  </si>
  <si>
    <t xml:space="preserve"> 4156.4583 </t>
  </si>
  <si>
    <t xml:space="preserve"> 8291.5714 </t>
  </si>
  <si>
    <t xml:space="preserve">D:\images\2022-CHG-NLO-dutasteride\plaque 2/@13 testo/A1_01.tif </t>
  </si>
  <si>
    <t xml:space="preserve">D:\images\2022-CHG-NLO-dutasteride\plaque 2/@13 testo/A1_02.tif </t>
  </si>
  <si>
    <t xml:space="preserve"> 66.6154 </t>
  </si>
  <si>
    <t>D:\images\2022-CHG-NLO-dutasteride\plaque 2/@13 testo/A1_03- exclu.tif</t>
  </si>
  <si>
    <t xml:space="preserve">D:\images\2022-CHG-NLO-dutasteride\plaque 2/@13 testo/B1_01.tif </t>
  </si>
  <si>
    <t xml:space="preserve"> 679.9912 </t>
  </si>
  <si>
    <t xml:space="preserve"> 65.6891 </t>
  </si>
  <si>
    <t>D:\images\2022-CHG-NLO-dutasteride\plaque 2/@13 testo/B1_02- exclu.tif</t>
  </si>
  <si>
    <t xml:space="preserve">D:\images\2022-CHG-NLO-dutasteride\plaque 2/@13 testo/B1_03.tif </t>
  </si>
  <si>
    <t xml:space="preserve"> 723.2865 </t>
  </si>
  <si>
    <t xml:space="preserve"> 65.534 </t>
  </si>
  <si>
    <t xml:space="preserve">D:\images\2022-CHG-NLO-dutasteride\plaque 2/@13 testo/C1_01.tif </t>
  </si>
  <si>
    <t xml:space="preserve"> 1343.8528 </t>
  </si>
  <si>
    <t xml:space="preserve"> 69.259 </t>
  </si>
  <si>
    <t xml:space="preserve">D:\images\2022-CHG-NLO-dutasteride\plaque 2/@13 testo/C1_02.tif </t>
  </si>
  <si>
    <t xml:space="preserve"> 1359.9824 </t>
  </si>
  <si>
    <t xml:space="preserve"> 68.8514 </t>
  </si>
  <si>
    <t xml:space="preserve">D:\images\2022-CHG-NLO-dutasteride\plaque 2/@13 testo/C1_03.tif </t>
  </si>
  <si>
    <t xml:space="preserve"> 1053.5195 </t>
  </si>
  <si>
    <t xml:space="preserve"> 68.4239 </t>
  </si>
  <si>
    <t xml:space="preserve">D:\images\2022-CHG-NLO-dutasteride\plaque 2/@13 testo/D1_01.tif </t>
  </si>
  <si>
    <t xml:space="preserve"> 1028.9006 </t>
  </si>
  <si>
    <t xml:space="preserve"> 69.9332 </t>
  </si>
  <si>
    <t xml:space="preserve">D:\images\2022-CHG-NLO-dutasteride\plaque 2/@13 testo/D1_02.tif </t>
  </si>
  <si>
    <t xml:space="preserve"> 1009.3752 </t>
  </si>
  <si>
    <t xml:space="preserve"> 70.7351 </t>
  </si>
  <si>
    <t xml:space="preserve">D:\images\2022-CHG-NLO-dutasteride\plaque 2/@13 testo/D1_03.tif </t>
  </si>
  <si>
    <t xml:space="preserve"> 957.5906 </t>
  </si>
  <si>
    <t xml:space="preserve"> 70.5585 </t>
  </si>
  <si>
    <t xml:space="preserve">D:\images\2022-CHG-NLO-dutasteride\plaque 2/@13 testo/E1_01.tif </t>
  </si>
  <si>
    <t xml:space="preserve"> 653.6744 </t>
  </si>
  <si>
    <t xml:space="preserve"> 66.3026 </t>
  </si>
  <si>
    <t xml:space="preserve">D:\images\2022-CHG-NLO-dutasteride\plaque 2/@13 testo/E1_02.tif </t>
  </si>
  <si>
    <t xml:space="preserve"> 514.4503 </t>
  </si>
  <si>
    <t xml:space="preserve"> 65.2426 </t>
  </si>
  <si>
    <t xml:space="preserve">D:\images\2022-CHG-NLO-dutasteride\plaque 2/@13 testo/E1_03.tif </t>
  </si>
  <si>
    <t xml:space="preserve"> 496.6228 </t>
  </si>
  <si>
    <t xml:space="preserve"> 64.6376 </t>
  </si>
  <si>
    <t xml:space="preserve">D:\images\2022-CHG-NLO-dutasteride\plaque 2/@13 testo/F1_01.tif </t>
  </si>
  <si>
    <t xml:space="preserve"> 1046.728 </t>
  </si>
  <si>
    <t xml:space="preserve"> 70.2652 </t>
  </si>
  <si>
    <t xml:space="preserve">D:\images\2022-CHG-NLO-dutasteride\plaque 2/@13 testo/F1_02.tif </t>
  </si>
  <si>
    <t xml:space="preserve"> 1104.4551 </t>
  </si>
  <si>
    <t xml:space="preserve"> 70.06 </t>
  </si>
  <si>
    <t xml:space="preserve">D:\images\2022-CHG-NLO-dutasteride\plaque 2/@13 testo/F1_03.tif </t>
  </si>
  <si>
    <t xml:space="preserve"> 1036.5409 </t>
  </si>
  <si>
    <t xml:space="preserve"> 69.9124 </t>
  </si>
  <si>
    <t xml:space="preserve">D:\images\2022-CHG-NLO-dutasteride\plaque 2/@13 testo/G1_01.tif </t>
  </si>
  <si>
    <t xml:space="preserve"> 195.2534 </t>
  </si>
  <si>
    <t xml:space="preserve"> 64.4522 </t>
  </si>
  <si>
    <t xml:space="preserve">D:\images\2022-CHG-NLO-dutasteride\plaque 2/@13 testo/G1_02.tif </t>
  </si>
  <si>
    <t xml:space="preserve"> 232.6062 </t>
  </si>
  <si>
    <t xml:space="preserve"> 64.1788 </t>
  </si>
  <si>
    <t xml:space="preserve">D:\images\2022-CHG-NLO-dutasteride\plaque 2/@13 testo/G1_03.tif </t>
  </si>
  <si>
    <t xml:space="preserve"> 166.3899 </t>
  </si>
  <si>
    <t xml:space="preserve"> 65.4286 </t>
  </si>
  <si>
    <t xml:space="preserve">D:\images\2022-CHG-NLO-dutasteride\plaque 2/@13 testo/H1_01.tif </t>
  </si>
  <si>
    <t xml:space="preserve"> 717.344 </t>
  </si>
  <si>
    <t xml:space="preserve"> 65.5266 </t>
  </si>
  <si>
    <t xml:space="preserve">D:\images\2022-CHG-NLO-dutasteride\plaque 2/@13 testo/H1_02.tif </t>
  </si>
  <si>
    <t xml:space="preserve"> 924.4824 </t>
  </si>
  <si>
    <t xml:space="preserve"> 66.1001 </t>
  </si>
  <si>
    <t xml:space="preserve">D:\images\2022-CHG-NLO-dutasteride\plaque 2/@13 testo/H1_03.tif </t>
  </si>
  <si>
    <t xml:space="preserve"> 864.2086 </t>
  </si>
  <si>
    <t xml:space="preserve"> 65.7122 </t>
  </si>
  <si>
    <t xml:space="preserve">D:\images\2022-CHG-NLO-dutasteride\plaque 2/@13 testo/ </t>
  </si>
  <si>
    <t xml:space="preserve"> 66.932 </t>
  </si>
  <si>
    <t xml:space="preserve"> 2.3886 </t>
  </si>
  <si>
    <t xml:space="preserve"> 46776.9583 </t>
  </si>
  <si>
    <t xml:space="preserve"> 29556.9763 </t>
  </si>
  <si>
    <t xml:space="preserve">D:\images\2022-CHG-NLO-dutasteride\plaque 2/@14 testo/A2_01.tif </t>
  </si>
  <si>
    <t xml:space="preserve"> 1290.3703 </t>
  </si>
  <si>
    <t xml:space="preserve"> 72.3461 </t>
  </si>
  <si>
    <t xml:space="preserve">D:\images\2022-CHG-NLO-dutasteride\plaque 2/@14 testo/A2_02.tif </t>
  </si>
  <si>
    <t xml:space="preserve"> 1226.7007 </t>
  </si>
  <si>
    <t xml:space="preserve"> 73.6138 </t>
  </si>
  <si>
    <t xml:space="preserve">D:\images\2022-CHG-NLO-dutasteride\plaque 2/@14 testo/A2_03.tif </t>
  </si>
  <si>
    <t xml:space="preserve"> 1073.0448 </t>
  </si>
  <si>
    <t xml:space="preserve"> 73.4446 </t>
  </si>
  <si>
    <t xml:space="preserve">D:\images\2022-CHG-NLO-dutasteride\plaque 2/@14 testo/B2_01.tif </t>
  </si>
  <si>
    <t xml:space="preserve"> 387.96 </t>
  </si>
  <si>
    <t xml:space="preserve"> 70.93 </t>
  </si>
  <si>
    <t xml:space="preserve">D:\images\2022-CHG-NLO-dutasteride\plaque 2/@14 testo/B2_02.tif </t>
  </si>
  <si>
    <t xml:space="preserve"> 476.2485 </t>
  </si>
  <si>
    <t xml:space="preserve"> 70.1301 </t>
  </si>
  <si>
    <t xml:space="preserve">D:\images\2022-CHG-NLO-dutasteride\plaque 2/@14 testo/B2_03.tif </t>
  </si>
  <si>
    <t xml:space="preserve"> 322.5926 </t>
  </si>
  <si>
    <t xml:space="preserve"> 69.1368 </t>
  </si>
  <si>
    <t>D:\images\2022-CHG-NLO-dutasteride\plaque 2/@14 testo/C2_01- exclu.tif</t>
  </si>
  <si>
    <t xml:space="preserve">D:\images\2022-CHG-NLO-dutasteride\plaque 2/@14 testo/C2_02.tif </t>
  </si>
  <si>
    <t xml:space="preserve"> 1684.2729 </t>
  </si>
  <si>
    <t xml:space="preserve"> 79.066 </t>
  </si>
  <si>
    <t xml:space="preserve">D:\images\2022-CHG-NLO-dutasteride\plaque 2/@14 testo/C2_03.tif </t>
  </si>
  <si>
    <t xml:space="preserve"> 74.8725 </t>
  </si>
  <si>
    <t xml:space="preserve">D:\images\2022-CHG-NLO-dutasteride\plaque 2/@14 testo/D2_01.tif </t>
  </si>
  <si>
    <t xml:space="preserve"> 1624.8479 </t>
  </si>
  <si>
    <t xml:space="preserve"> 73.1823 </t>
  </si>
  <si>
    <t xml:space="preserve">D:\images\2022-CHG-NLO-dutasteride\plaque 2/@14 testo/D2_02.tif </t>
  </si>
  <si>
    <t xml:space="preserve"> 1557.7826 </t>
  </si>
  <si>
    <t xml:space="preserve"> 72.4158 </t>
  </si>
  <si>
    <t xml:space="preserve">D:\images\2022-CHG-NLO-dutasteride\plaque 2/@14 testo/D2_03.tif </t>
  </si>
  <si>
    <t xml:space="preserve"> 1551.8401 </t>
  </si>
  <si>
    <t xml:space="preserve"> 70.6964 </t>
  </si>
  <si>
    <t xml:space="preserve">D:\images\2022-CHG-NLO-dutasteride\plaque 2/@14 testo/E2_01.tif </t>
  </si>
  <si>
    <t xml:space="preserve"> 759.7904 </t>
  </si>
  <si>
    <t xml:space="preserve"> 66.095 </t>
  </si>
  <si>
    <t xml:space="preserve">D:\images\2022-CHG-NLO-dutasteride\plaque 2/@14 testo/E2_02.tif </t>
  </si>
  <si>
    <t xml:space="preserve"> 673.1998 </t>
  </si>
  <si>
    <t xml:space="preserve"> 66.2383 </t>
  </si>
  <si>
    <t xml:space="preserve">D:\images\2022-CHG-NLO-dutasteride\plaque 2/@14 testo/E2_03.tif </t>
  </si>
  <si>
    <t xml:space="preserve"> 846.3811 </t>
  </si>
  <si>
    <t xml:space="preserve"> 66.5085 </t>
  </si>
  <si>
    <t xml:space="preserve">D:\images\2022-CHG-NLO-dutasteride\plaque 2/@14 testo/F2_01.tif </t>
  </si>
  <si>
    <t xml:space="preserve"> 741.114 </t>
  </si>
  <si>
    <t xml:space="preserve"> 66.2474 </t>
  </si>
  <si>
    <t xml:space="preserve">D:\images\2022-CHG-NLO-dutasteride\plaque 2/@14 testo/F2_02.tif </t>
  </si>
  <si>
    <t xml:space="preserve"> 730.078 </t>
  </si>
  <si>
    <t xml:space="preserve"> 65.7977 </t>
  </si>
  <si>
    <t xml:space="preserve">D:\images\2022-CHG-NLO-dutasteride\plaque 2/@14 testo/F2_03.tif </t>
  </si>
  <si>
    <t xml:space="preserve"> 64.5537 </t>
  </si>
  <si>
    <t xml:space="preserve">D:\images\2022-CHG-NLO-dutasteride\plaque 2/@14 testo/G2_01.tif </t>
  </si>
  <si>
    <t xml:space="preserve"> 899.8635 </t>
  </si>
  <si>
    <t xml:space="preserve"> 66.4472 </t>
  </si>
  <si>
    <t xml:space="preserve">D:\images\2022-CHG-NLO-dutasteride\plaque 2/@14 testo/G2_02.tif </t>
  </si>
  <si>
    <t xml:space="preserve"> 896.4678 </t>
  </si>
  <si>
    <t xml:space="preserve"> 66.3087 </t>
  </si>
  <si>
    <t xml:space="preserve">D:\images\2022-CHG-NLO-dutasteride\plaque 2/@14 testo/G2_03.tif </t>
  </si>
  <si>
    <t xml:space="preserve"> 66.0599 </t>
  </si>
  <si>
    <t xml:space="preserve">D:\images\2022-CHG-NLO-dutasteride\plaque 2/@14 testo/H2_01.tif </t>
  </si>
  <si>
    <t xml:space="preserve"> 649.4298 </t>
  </si>
  <si>
    <t xml:space="preserve"> 67.3399 </t>
  </si>
  <si>
    <t xml:space="preserve">D:\images\2022-CHG-NLO-dutasteride\plaque 2/@14 testo/H2_02.tif </t>
  </si>
  <si>
    <t xml:space="preserve"> 65.0583 </t>
  </si>
  <si>
    <t xml:space="preserve">D:\images\2022-CHG-NLO-dutasteride\plaque 2/@14 testo/H2_03.tif </t>
  </si>
  <si>
    <t xml:space="preserve"> 292.0312 </t>
  </si>
  <si>
    <t xml:space="preserve"> 64.5494 </t>
  </si>
  <si>
    <t xml:space="preserve">D:\images\2022-CHG-NLO-dutasteride\plaque 2/@14 testo/ </t>
  </si>
  <si>
    <t xml:space="preserve"> 68.9621 </t>
  </si>
  <si>
    <t xml:space="preserve"> 4.0106 </t>
  </si>
  <si>
    <t xml:space="preserve"> 62796.6667 </t>
  </si>
  <si>
    <t xml:space="preserve"> 35605.9082 </t>
  </si>
  <si>
    <t xml:space="preserve">D:\images\2022-CHG-NLO-dutasteride\plaque 2/@15 testo + EE2 64/A3_01.tif </t>
  </si>
  <si>
    <t xml:space="preserve"> 2410.1062 </t>
  </si>
  <si>
    <t xml:space="preserve"> 75.3459 </t>
  </si>
  <si>
    <t xml:space="preserve">D:\images\2022-CHG-NLO-dutasteride\plaque 2/@15 testo + EE2 64/A3_02.tif </t>
  </si>
  <si>
    <t xml:space="preserve"> 2439.8186 </t>
  </si>
  <si>
    <t xml:space="preserve"> 75.5292 </t>
  </si>
  <si>
    <t xml:space="preserve">D:\images\2022-CHG-NLO-dutasteride\plaque 2/@15 testo + EE2 64/A3_03.tif </t>
  </si>
  <si>
    <t xml:space="preserve"> 2337.0984 </t>
  </si>
  <si>
    <t xml:space="preserve"> 74.2939 </t>
  </si>
  <si>
    <t xml:space="preserve">D:\images\2022-CHG-NLO-dutasteride\plaque 2/@15 testo + EE2 64/B3_01.tif </t>
  </si>
  <si>
    <t xml:space="preserve"> 1196.9883 </t>
  </si>
  <si>
    <t xml:space="preserve"> 72.7816 </t>
  </si>
  <si>
    <t xml:space="preserve">D:\images\2022-CHG-NLO-dutasteride\plaque 2/@15 testo + EE2 64/B3_02.tif </t>
  </si>
  <si>
    <t xml:space="preserve"> 1077.2894 </t>
  </si>
  <si>
    <t xml:space="preserve"> 74.3964 </t>
  </si>
  <si>
    <t xml:space="preserve">D:\images\2022-CHG-NLO-dutasteride\plaque 2/@15 testo + EE2 64/B3_03.tif </t>
  </si>
  <si>
    <t xml:space="preserve"> 1211.42 </t>
  </si>
  <si>
    <t xml:space="preserve"> 73.9383 </t>
  </si>
  <si>
    <t xml:space="preserve">D:\images\2022-CHG-NLO-dutasteride\plaque 2/@15 testo + EE2 64/C3_01.tif </t>
  </si>
  <si>
    <t xml:space="preserve"> 1719.0789 </t>
  </si>
  <si>
    <t xml:space="preserve"> 83.0938 </t>
  </si>
  <si>
    <t xml:space="preserve">D:\images\2022-CHG-NLO-dutasteride\plaque 2/@15 testo + EE2 64/C3_02.tif </t>
  </si>
  <si>
    <t xml:space="preserve"> 1525.5234 </t>
  </si>
  <si>
    <t xml:space="preserve"> 85.6561 </t>
  </si>
  <si>
    <t xml:space="preserve">D:\images\2022-CHG-NLO-dutasteride\plaque 2/@15 testo + EE2 64/C3_03.tif </t>
  </si>
  <si>
    <t xml:space="preserve"> 1537.4083 </t>
  </si>
  <si>
    <t xml:space="preserve"> 84.8896 </t>
  </si>
  <si>
    <t xml:space="preserve">D:\images\2022-CHG-NLO-dutasteride\plaque 2/@15 testo + EE2 64/D3_01.tif </t>
  </si>
  <si>
    <t xml:space="preserve"> 1485.6237 </t>
  </si>
  <si>
    <t xml:space="preserve"> 75.6989 </t>
  </si>
  <si>
    <t xml:space="preserve">D:\images\2022-CHG-NLO-dutasteride\plaque 2/@15 testo + EE2 64/D3_02.tif </t>
  </si>
  <si>
    <t xml:space="preserve"> 76.735 </t>
  </si>
  <si>
    <t xml:space="preserve">D:\images\2022-CHG-NLO-dutasteride\plaque 2/@15 testo + EE2 64/D3_03.tif </t>
  </si>
  <si>
    <t xml:space="preserve"> 1741.151 </t>
  </si>
  <si>
    <t xml:space="preserve"> 74.0717 </t>
  </si>
  <si>
    <t xml:space="preserve">D:\images\2022-CHG-NLO-dutasteride\plaque 2/@15 testo + EE2 64/E3_01.tif </t>
  </si>
  <si>
    <t xml:space="preserve"> 137.5263 </t>
  </si>
  <si>
    <t xml:space="preserve">D:\images\2022-CHG-NLO-dutasteride\plaque 2/@15 testo + EE2 64/E3_02.tif </t>
  </si>
  <si>
    <t xml:space="preserve"> 63.9536 </t>
  </si>
  <si>
    <t xml:space="preserve">D:\images\2022-CHG-NLO-dutasteride\plaque 2/@15 testo + EE2 64/E3_03.tif </t>
  </si>
  <si>
    <t xml:space="preserve"> 63.3876 </t>
  </si>
  <si>
    <t xml:space="preserve">D:\images\2022-CHG-NLO-dutasteride\plaque 2/@15 testo + EE2 64/F3_01.tif </t>
  </si>
  <si>
    <t xml:space="preserve"> 1646.92 </t>
  </si>
  <si>
    <t xml:space="preserve"> 77.4943 </t>
  </si>
  <si>
    <t xml:space="preserve">D:\images\2022-CHG-NLO-dutasteride\plaque 2/@15 testo + EE2 64/F3_02.tif </t>
  </si>
  <si>
    <t xml:space="preserve"> 74.9097 </t>
  </si>
  <si>
    <t xml:space="preserve">D:\images\2022-CHG-NLO-dutasteride\plaque 2/@15 testo + EE2 64/F3_03.tif </t>
  </si>
  <si>
    <t xml:space="preserve"> 1597.6822 </t>
  </si>
  <si>
    <t xml:space="preserve"> 77.5319 </t>
  </si>
  <si>
    <t xml:space="preserve">D:\images\2022-CHG-NLO-dutasteride\plaque 2/@15 testo + EE2 64/G3_01.tif </t>
  </si>
  <si>
    <t xml:space="preserve"> 1669.8411 </t>
  </si>
  <si>
    <t xml:space="preserve"> 81.8826 </t>
  </si>
  <si>
    <t xml:space="preserve">D:\images\2022-CHG-NLO-dutasteride\plaque 2/@15 testo + EE2 64/G3_02.tif </t>
  </si>
  <si>
    <t xml:space="preserve"> 1275.0896 </t>
  </si>
  <si>
    <t xml:space="preserve"> 87.5373 </t>
  </si>
  <si>
    <t xml:space="preserve">D:\images\2022-CHG-NLO-dutasteride\plaque 2/@15 testo + EE2 64/G3_03.tif </t>
  </si>
  <si>
    <t xml:space="preserve"> 1216.5136 </t>
  </si>
  <si>
    <t xml:space="preserve"> 88.2736 </t>
  </si>
  <si>
    <t xml:space="preserve">D:\images\2022-CHG-NLO-dutasteride\plaque 2/@15 testo + EE2 64/H3_01.tif </t>
  </si>
  <si>
    <t xml:space="preserve"> 1760.6764 </t>
  </si>
  <si>
    <t xml:space="preserve"> 71.5087 </t>
  </si>
  <si>
    <t xml:space="preserve">D:\images\2022-CHG-NLO-dutasteride\plaque 2/@15 testo + EE2 64/H3_02.tif </t>
  </si>
  <si>
    <t xml:space="preserve"> 1504.3002 </t>
  </si>
  <si>
    <t xml:space="preserve"> 71.1665 </t>
  </si>
  <si>
    <t xml:space="preserve">D:\images\2022-CHG-NLO-dutasteride\plaque 2/@15 testo + EE2 64/H3_03.tif </t>
  </si>
  <si>
    <t xml:space="preserve"> 1549.2933 </t>
  </si>
  <si>
    <t xml:space="preserve"> 72.9852 </t>
  </si>
  <si>
    <t xml:space="preserve">D:\images\2022-CHG-NLO-dutasteride\plaque 2/@15 testo + EE2 64/ </t>
  </si>
  <si>
    <t xml:space="preserve"> 75.8961 </t>
  </si>
  <si>
    <t xml:space="preserve"> 6.7948 </t>
  </si>
  <si>
    <t xml:space="preserve"> 111019.833 </t>
  </si>
  <si>
    <t xml:space="preserve"> 47489.447 </t>
  </si>
  <si>
    <t xml:space="preserve">D:\images\2022-CHG-NLO-dutasteride\plaque 2/@16 testo + fad/A4_01.tif </t>
  </si>
  <si>
    <t xml:space="preserve"> 35.655 </t>
  </si>
  <si>
    <t xml:space="preserve"> 65.619 </t>
  </si>
  <si>
    <t xml:space="preserve">D:\images\2022-CHG-NLO-dutasteride\plaque 2/@16 testo + fad/A4_02.tif </t>
  </si>
  <si>
    <t xml:space="preserve"> 60.2739 </t>
  </si>
  <si>
    <t xml:space="preserve"> 64.5775 </t>
  </si>
  <si>
    <t xml:space="preserve">D:\images\2022-CHG-NLO-dutasteride\plaque 2/@16 testo + fad/A4_03.tif </t>
  </si>
  <si>
    <t xml:space="preserve"> 63.1714 </t>
  </si>
  <si>
    <t xml:space="preserve">D:\images\2022-CHG-NLO-dutasteride\plaque 2/@16 testo + fad/B4_01.tif </t>
  </si>
  <si>
    <t xml:space="preserve">D:\images\2022-CHG-NLO-dutasteride\plaque 2/@16 testo + fad/B4_02.tif </t>
  </si>
  <si>
    <t xml:space="preserve"> 66.16 </t>
  </si>
  <si>
    <t xml:space="preserve">D:\images\2022-CHG-NLO-dutasteride\plaque 2/@16 testo + fad/B4_03.tif </t>
  </si>
  <si>
    <t xml:space="preserve"> 63.5577 </t>
  </si>
  <si>
    <t xml:space="preserve">D:\images\2022-CHG-NLO-dutasteride\plaque 2/@16 testo + fad/C4_01.tif </t>
  </si>
  <si>
    <t xml:space="preserve">D:\images\2022-CHG-NLO-dutasteride\plaque 2/@16 testo + fad/C4_02.tif </t>
  </si>
  <si>
    <t xml:space="preserve">D:\images\2022-CHG-NLO-dutasteride\plaque 2/@16 testo + fad/C4_03.tif </t>
  </si>
  <si>
    <t xml:space="preserve">D:\images\2022-CHG-NLO-dutasteride\plaque 2/@16 testo + fad/D4_01.tif </t>
  </si>
  <si>
    <t xml:space="preserve"> 62.8207 </t>
  </si>
  <si>
    <t xml:space="preserve"> 64.7703 </t>
  </si>
  <si>
    <t xml:space="preserve">D:\images\2022-CHG-NLO-dutasteride\plaque 2/@16 testo + fad/D4_02.tif </t>
  </si>
  <si>
    <t xml:space="preserve"> 69.6121 </t>
  </si>
  <si>
    <t xml:space="preserve"> 63.0976 </t>
  </si>
  <si>
    <t xml:space="preserve">D:\images\2022-CHG-NLO-dutasteride\plaque 2/@16 testo + fad/D4_03.tif </t>
  </si>
  <si>
    <t xml:space="preserve">D:\images\2022-CHG-NLO-dutasteride\plaque 2/@16 testo + fad/E4_01.tif </t>
  </si>
  <si>
    <t xml:space="preserve"> 115.4542 </t>
  </si>
  <si>
    <t xml:space="preserve"> 65.1544 </t>
  </si>
  <si>
    <t xml:space="preserve">D:\images\2022-CHG-NLO-dutasteride\plaque 2/@16 testo + fad/E4_02.tif </t>
  </si>
  <si>
    <t xml:space="preserve"> 95.9288 </t>
  </si>
  <si>
    <t xml:space="preserve"> 64.9469 </t>
  </si>
  <si>
    <t xml:space="preserve">D:\images\2022-CHG-NLO-dutasteride\plaque 2/@16 testo + fad/E4_03.tif </t>
  </si>
  <si>
    <t xml:space="preserve"> 64.1818 </t>
  </si>
  <si>
    <t xml:space="preserve">D:\images\2022-CHG-NLO-dutasteride\plaque 2/@16 testo + fad/F4_01.tif </t>
  </si>
  <si>
    <t xml:space="preserve">D:\images\2022-CHG-NLO-dutasteride\plaque 2/@16 testo + fad/F4_02.tif </t>
  </si>
  <si>
    <t xml:space="preserve"> 67.24 </t>
  </si>
  <si>
    <t xml:space="preserve">D:\images\2022-CHG-NLO-dutasteride\plaque 2/@16 testo + fad/F4_03.tif </t>
  </si>
  <si>
    <t xml:space="preserve"> 65.1 </t>
  </si>
  <si>
    <t xml:space="preserve">D:\images\2022-CHG-NLO-dutasteride\plaque 2/@16 testo + fad/G4_01.tif </t>
  </si>
  <si>
    <t xml:space="preserve"> 36.5039 </t>
  </si>
  <si>
    <t xml:space="preserve"> 64.2093 </t>
  </si>
  <si>
    <t xml:space="preserve">D:\images\2022-CHG-NLO-dutasteride\plaque 2/@16 testo + fad/G4_02.tif </t>
  </si>
  <si>
    <t xml:space="preserve"> 62.6538 </t>
  </si>
  <si>
    <t xml:space="preserve">D:\images\2022-CHG-NLO-dutasteride\plaque 2/@16 testo + fad/G4_03.tif </t>
  </si>
  <si>
    <t xml:space="preserve"> 28.0146 </t>
  </si>
  <si>
    <t xml:space="preserve"> 63.1515 </t>
  </si>
  <si>
    <t xml:space="preserve">D:\images\2022-CHG-NLO-dutasteride\plaque 2/@16 testo + fad/H4_01.tif </t>
  </si>
  <si>
    <t xml:space="preserve"> 50.0867 </t>
  </si>
  <si>
    <t xml:space="preserve"> 64.3559 </t>
  </si>
  <si>
    <t xml:space="preserve">D:\images\2022-CHG-NLO-dutasteride\plaque 2/@16 testo + fad/H4_02.tif </t>
  </si>
  <si>
    <t xml:space="preserve">D:\images\2022-CHG-NLO-dutasteride\plaque 2/@16 testo + fad/H4_03.tif </t>
  </si>
  <si>
    <t xml:space="preserve">D:\images\2022-CHG-NLO-dutasteride\plaque 2/@16 testo + fad/ </t>
  </si>
  <si>
    <t xml:space="preserve"> 64.5296 </t>
  </si>
  <si>
    <t xml:space="preserve"> 1.155 </t>
  </si>
  <si>
    <t xml:space="preserve"> 2278.4167 </t>
  </si>
  <si>
    <t xml:space="preserve"> 1810.7724 </t>
  </si>
  <si>
    <t xml:space="preserve">D:\images\2022-CHG-NLO-dutasteride\plaque 2/@17 testo + duta 0.01/A5_01.tif </t>
  </si>
  <si>
    <t xml:space="preserve"> 1728.4171 </t>
  </si>
  <si>
    <t xml:space="preserve"> 77.2967 </t>
  </si>
  <si>
    <t xml:space="preserve">D:\images\2022-CHG-NLO-dutasteride\plaque 2/@17 testo + duta 0.01/A5_02.tif </t>
  </si>
  <si>
    <t xml:space="preserve"> 1831.9863 </t>
  </si>
  <si>
    <t xml:space="preserve"> 77.9143 </t>
  </si>
  <si>
    <t xml:space="preserve">D:\images\2022-CHG-NLO-dutasteride\plaque 2/@17 testo + duta 0.01/A5_03.tif </t>
  </si>
  <si>
    <t xml:space="preserve"> 72.2066 </t>
  </si>
  <si>
    <t xml:space="preserve">D:\images\2022-CHG-NLO-dutasteride\plaque 2/@17 testo + duta 0.01/B5_01.tif </t>
  </si>
  <si>
    <t xml:space="preserve"> 51.7846 </t>
  </si>
  <si>
    <t xml:space="preserve"> 62.5574 </t>
  </si>
  <si>
    <t xml:space="preserve">D:\images\2022-CHG-NLO-dutasteride\plaque 2/@17 testo + duta 0.01/B5_02.tif </t>
  </si>
  <si>
    <t xml:space="preserve"> 63.55 </t>
  </si>
  <si>
    <t xml:space="preserve">D:\images\2022-CHG-NLO-dutasteride\plaque 2/@17 testo + duta 0.01/B5_03.tif </t>
  </si>
  <si>
    <t xml:space="preserve"> 62.9259 </t>
  </si>
  <si>
    <t xml:space="preserve">D:\images\2022-CHG-NLO-dutasteride\plaque 2/@17 testo + duta 0.01/C5_01.tif </t>
  </si>
  <si>
    <t xml:space="preserve"> 572.1774 </t>
  </si>
  <si>
    <t xml:space="preserve"> 65.1543 </t>
  </si>
  <si>
    <t xml:space="preserve">D:\images\2022-CHG-NLO-dutasteride\plaque 2/@17 testo + duta 0.01/C5_02.tif </t>
  </si>
  <si>
    <t xml:space="preserve"> 538.2203 </t>
  </si>
  <si>
    <t xml:space="preserve"> 65.1136 </t>
  </si>
  <si>
    <t xml:space="preserve">D:\images\2022-CHG-NLO-dutasteride\plaque 2/@17 testo + duta 0.01/C5_03.tif </t>
  </si>
  <si>
    <t xml:space="preserve"> 454.1764 </t>
  </si>
  <si>
    <t xml:space="preserve"> 65.0617 </t>
  </si>
  <si>
    <t xml:space="preserve">D:\images\2022-CHG-NLO-dutasteride\plaque 2/@17 testo + duta 0.01/D5_01.tif </t>
  </si>
  <si>
    <t xml:space="preserve"> 1109.5487 </t>
  </si>
  <si>
    <t xml:space="preserve"> 67.127 </t>
  </si>
  <si>
    <t xml:space="preserve">D:\images\2022-CHG-NLO-dutasteride\plaque 2/@17 testo + duta 0.01/D5_02.tif </t>
  </si>
  <si>
    <t xml:space="preserve"> 949.9503 </t>
  </si>
  <si>
    <t xml:space="preserve"> 66.3012 </t>
  </si>
  <si>
    <t xml:space="preserve">D:\images\2022-CHG-NLO-dutasteride\plaque 2/@17 testo + duta 0.01/D5_03.tif </t>
  </si>
  <si>
    <t xml:space="preserve"> 1025.5048 </t>
  </si>
  <si>
    <t xml:space="preserve"> 67.1639 </t>
  </si>
  <si>
    <t xml:space="preserve">D:\images\2022-CHG-NLO-dutasteride\plaque 2/@17 testo + duta 0.01/E5_01.tif </t>
  </si>
  <si>
    <t xml:space="preserve"> 1018.7134 </t>
  </si>
  <si>
    <t xml:space="preserve"> 71.5825 </t>
  </si>
  <si>
    <t xml:space="preserve">D:\images\2022-CHG-NLO-dutasteride\plaque 2/@17 testo + duta 0.01/E5_02.tif </t>
  </si>
  <si>
    <t xml:space="preserve"> 1093.4191 </t>
  </si>
  <si>
    <t xml:space="preserve"> 73.5179 </t>
  </si>
  <si>
    <t xml:space="preserve">D:\images\2022-CHG-NLO-dutasteride\plaque 2/@17 testo + duta 0.01/E5_03.tif </t>
  </si>
  <si>
    <t xml:space="preserve"> 70.7255 </t>
  </si>
  <si>
    <t xml:space="preserve">D:\images\2022-CHG-NLO-dutasteride\plaque 2/@17 testo + duta 0.01/F5_01.tif </t>
  </si>
  <si>
    <t xml:space="preserve"> 282.693 </t>
  </si>
  <si>
    <t xml:space="preserve"> 64.9489 </t>
  </si>
  <si>
    <t xml:space="preserve">D:\images\2022-CHG-NLO-dutasteride\plaque 2/@17 testo + duta 0.01/F5_02.tif </t>
  </si>
  <si>
    <t xml:space="preserve"> 308.1608 </t>
  </si>
  <si>
    <t xml:space="preserve"> 64.5785 </t>
  </si>
  <si>
    <t xml:space="preserve">D:\images\2022-CHG-NLO-dutasteride\plaque 2/@17 testo + duta 0.01/F5_03.tif </t>
  </si>
  <si>
    <t xml:space="preserve"> 267.4123 </t>
  </si>
  <si>
    <t xml:space="preserve"> 65.2603 </t>
  </si>
  <si>
    <t xml:space="preserve">D:\images\2022-CHG-NLO-dutasteride\plaque 2/@17 testo + duta 0.01/G5_01.tif </t>
  </si>
  <si>
    <t xml:space="preserve"> 61.8571 </t>
  </si>
  <si>
    <t xml:space="preserve">D:\images\2022-CHG-NLO-dutasteride\plaque 2/@17 testo + duta 0.01/G5_02.tif </t>
  </si>
  <si>
    <t xml:space="preserve">D:\images\2022-CHG-NLO-dutasteride\plaque 2/@17 testo + duta 0.01/G5_03.tif </t>
  </si>
  <si>
    <t xml:space="preserve"> 62.8333 </t>
  </si>
  <si>
    <t xml:space="preserve">D:\images\2022-CHG-NLO-dutasteride\plaque 2/@17 testo + duta 0.01/H5_01.tif </t>
  </si>
  <si>
    <t xml:space="preserve"> 1089.1744 </t>
  </si>
  <si>
    <t xml:space="preserve"> 69.3313 </t>
  </si>
  <si>
    <t xml:space="preserve">D:\images\2022-CHG-NLO-dutasteride\plaque 2/@17 testo + duta 0.01/H5_02.tif </t>
  </si>
  <si>
    <t xml:space="preserve"> 1084.0809 </t>
  </si>
  <si>
    <t xml:space="preserve"> 69.0893 </t>
  </si>
  <si>
    <t xml:space="preserve">D:\images\2022-CHG-NLO-dutasteride\plaque 2/@17 testo + duta 0.01/H5_03.tif </t>
  </si>
  <si>
    <t xml:space="preserve"> 1141.808 </t>
  </si>
  <si>
    <t xml:space="preserve"> 69.8721 </t>
  </si>
  <si>
    <t xml:space="preserve">D:\images\2022-CHG-NLO-dutasteride\plaque 2/@17 testo + duta 0.01/ </t>
  </si>
  <si>
    <t xml:space="preserve"> 67.4798 </t>
  </si>
  <si>
    <t xml:space="preserve"> 4.5227 </t>
  </si>
  <si>
    <t xml:space="preserve"> 50837.3333 </t>
  </si>
  <si>
    <t xml:space="preserve"> 43597.5524 </t>
  </si>
  <si>
    <t xml:space="preserve">D:\images\2022-CHG-NLO-dutasteride\plaque 2/@18 testo + duta 0.1/A6_01.tif </t>
  </si>
  <si>
    <t xml:space="preserve"> 1259.8089 </t>
  </si>
  <si>
    <t xml:space="preserve"> 72.0283 </t>
  </si>
  <si>
    <t xml:space="preserve">D:\images\2022-CHG-NLO-dutasteride\plaque 2/@18 testo + duta 0.1/A6_02.tif </t>
  </si>
  <si>
    <t xml:space="preserve"> 1484.7748 </t>
  </si>
  <si>
    <t xml:space="preserve"> 71.7021 </t>
  </si>
  <si>
    <t xml:space="preserve">D:\images\2022-CHG-NLO-dutasteride\plaque 2/@18 testo + duta 0.1/A6_03.tif </t>
  </si>
  <si>
    <t xml:space="preserve"> 1416.0117 </t>
  </si>
  <si>
    <t xml:space="preserve"> 71.4155 </t>
  </si>
  <si>
    <t xml:space="preserve">D:\images\2022-CHG-NLO-dutasteride\plaque 2/@18 testo + duta 0.1/B6_01.tif </t>
  </si>
  <si>
    <t xml:space="preserve"> 1112.9444 </t>
  </si>
  <si>
    <t xml:space="preserve"> 69.7002 </t>
  </si>
  <si>
    <t xml:space="preserve">D:\images\2022-CHG-NLO-dutasteride\plaque 2/@18 testo + duta 0.1/B6_02.tif </t>
  </si>
  <si>
    <t xml:space="preserve"> 1067.9512 </t>
  </si>
  <si>
    <t xml:space="preserve"> 67.058 </t>
  </si>
  <si>
    <t xml:space="preserve">D:\images\2022-CHG-NLO-dutasteride\plaque 2/@18 testo + duta 0.1/B6_03.tif </t>
  </si>
  <si>
    <t xml:space="preserve"> 975.4181 </t>
  </si>
  <si>
    <t xml:space="preserve"> 67.0966 </t>
  </si>
  <si>
    <t xml:space="preserve">D:\images\2022-CHG-NLO-dutasteride\plaque 2/@18 testo + duta 0.1/C6_01.tif </t>
  </si>
  <si>
    <t xml:space="preserve"> 1814.1588 </t>
  </si>
  <si>
    <t xml:space="preserve"> 70.6055 </t>
  </si>
  <si>
    <t xml:space="preserve">D:\images\2022-CHG-NLO-dutasteride\plaque 2/@18 testo + duta 0.1/C6_02.tif </t>
  </si>
  <si>
    <t xml:space="preserve"> 1251.3197 </t>
  </si>
  <si>
    <t xml:space="preserve"> 67.7015 </t>
  </si>
  <si>
    <t xml:space="preserve">D:\images\2022-CHG-NLO-dutasteride\plaque 2/@18 testo + duta 0.1/C6_03.tif </t>
  </si>
  <si>
    <t xml:space="preserve"> 2017.0526 </t>
  </si>
  <si>
    <t xml:space="preserve"> 71.3695 </t>
  </si>
  <si>
    <t xml:space="preserve">D:\images\2022-CHG-NLO-dutasteride\plaque 2/@18 testo + duta 0.1/D6_01.tif </t>
  </si>
  <si>
    <t xml:space="preserve"> 878.6403 </t>
  </si>
  <si>
    <t xml:space="preserve"> 65.571 </t>
  </si>
  <si>
    <t xml:space="preserve">D:\images\2022-CHG-NLO-dutasteride\plaque 2/@18 testo + duta 0.1/D6_02.tif </t>
  </si>
  <si>
    <t xml:space="preserve"> 1280.1832 </t>
  </si>
  <si>
    <t xml:space="preserve"> 68.132 </t>
  </si>
  <si>
    <t xml:space="preserve">D:\images\2022-CHG-NLO-dutasteride\plaque 2/@18 testo + duta 0.1/D6_03.tif </t>
  </si>
  <si>
    <t xml:space="preserve"> 1372.7163 </t>
  </si>
  <si>
    <t xml:space="preserve"> 69.3958 </t>
  </si>
  <si>
    <t xml:space="preserve">D:\images\2022-CHG-NLO-dutasteride\plaque 2/@18 testo + duta 0.1/E6_01.tif </t>
  </si>
  <si>
    <t xml:space="preserve"> 488.9824 </t>
  </si>
  <si>
    <t xml:space="preserve"> 70.0799 </t>
  </si>
  <si>
    <t xml:space="preserve">D:\images\2022-CHG-NLO-dutasteride\plaque 2/@18 testo + duta 0.1/E6_02.tif </t>
  </si>
  <si>
    <t xml:space="preserve"> 383.7154 </t>
  </si>
  <si>
    <t xml:space="preserve"> 68.0863 </t>
  </si>
  <si>
    <t xml:space="preserve">D:\images\2022-CHG-NLO-dutasteride\plaque 2/@18 testo + duta 0.1/E6_03.tif </t>
  </si>
  <si>
    <t xml:space="preserve"> 444.8382 </t>
  </si>
  <si>
    <t xml:space="preserve"> 68.0439 </t>
  </si>
  <si>
    <t xml:space="preserve">D:\images\2022-CHG-NLO-dutasteride\plaque 2/@18 testo + duta 0.1/F6_01.tif </t>
  </si>
  <si>
    <t xml:space="preserve"> 1326.0253 </t>
  </si>
  <si>
    <t xml:space="preserve"> 71.8361 </t>
  </si>
  <si>
    <t xml:space="preserve">D:\images\2022-CHG-NLO-dutasteride\plaque 2/@18 testo + duta 0.1/F6_02.tif </t>
  </si>
  <si>
    <t xml:space="preserve"> 1451.6666 </t>
  </si>
  <si>
    <t xml:space="preserve"> 73.2667 </t>
  </si>
  <si>
    <t xml:space="preserve">D:\images\2022-CHG-NLO-dutasteride\plaque 2/@18 testo + duta 0.1/F6_03.tif </t>
  </si>
  <si>
    <t xml:space="preserve"> 1472.0409 </t>
  </si>
  <si>
    <t xml:space="preserve"> 71.8749 </t>
  </si>
  <si>
    <t xml:space="preserve">D:\images\2022-CHG-NLO-dutasteride\plaque 2/@18 testo + duta 0.1/G6_01.tif </t>
  </si>
  <si>
    <t xml:space="preserve">D:\images\2022-CHG-NLO-dutasteride\plaque 2/@18 testo + duta 0.1/G6_02.tif </t>
  </si>
  <si>
    <t xml:space="preserve"> 62.7222 </t>
  </si>
  <si>
    <t xml:space="preserve">D:\images\2022-CHG-NLO-dutasteride\plaque 2/@18 testo + duta 0.1/G6_03.tif </t>
  </si>
  <si>
    <t xml:space="preserve"> 99.3246 </t>
  </si>
  <si>
    <t xml:space="preserve"> 64.7607 </t>
  </si>
  <si>
    <t xml:space="preserve">D:\images\2022-CHG-NLO-dutasteride\plaque 2/@18 testo + duta 0.1/H6_01.tif </t>
  </si>
  <si>
    <t xml:space="preserve"> 373.5283 </t>
  </si>
  <si>
    <t xml:space="preserve">D:\images\2022-CHG-NLO-dutasteride\plaque 2/@18 testo + duta 0.1/H6_02.tif </t>
  </si>
  <si>
    <t xml:space="preserve"> 368.4347 </t>
  </si>
  <si>
    <t xml:space="preserve"> 68.0922 </t>
  </si>
  <si>
    <t xml:space="preserve">D:\images\2022-CHG-NLO-dutasteride\plaque 2/@18 testo + duta 0.1/H6_03.tif </t>
  </si>
  <si>
    <t xml:space="preserve"> 67.6969 </t>
  </si>
  <si>
    <t xml:space="preserve">D:\images\2022-CHG-NLO-dutasteride\plaque 2/@18 testo + duta 0.1/ </t>
  </si>
  <si>
    <t xml:space="preserve"> 68.7038 </t>
  </si>
  <si>
    <t xml:space="preserve"> 2.7699 </t>
  </si>
  <si>
    <t xml:space="preserve"> 66331.2917 </t>
  </si>
  <si>
    <t xml:space="preserve"> 41785.4321 </t>
  </si>
  <si>
    <t xml:space="preserve">D:\images\2022-CHG-NLO-dutasteride\plaque 2/@19 testo + duta 0.25/A7_01.tif </t>
  </si>
  <si>
    <t xml:space="preserve"> 1987.3401 </t>
  </si>
  <si>
    <t xml:space="preserve"> 72.2567 </t>
  </si>
  <si>
    <t xml:space="preserve">D:\images\2022-CHG-NLO-dutasteride\plaque 2/@19 testo + duta 0.25/A7_02.tif </t>
  </si>
  <si>
    <t xml:space="preserve"> 2035.729 </t>
  </si>
  <si>
    <t xml:space="preserve"> 72.457 </t>
  </si>
  <si>
    <t xml:space="preserve">D:\images\2022-CHG-NLO-dutasteride\plaque 2/@19 testo + duta 0.25/A7_03.tif </t>
  </si>
  <si>
    <t xml:space="preserve"> 1967.8148 </t>
  </si>
  <si>
    <t xml:space="preserve"> 72.0871 </t>
  </si>
  <si>
    <t xml:space="preserve">D:\images\2022-CHG-NLO-dutasteride\plaque 2/@19 testo + duta 0.25/B7_01.tif </t>
  </si>
  <si>
    <t xml:space="preserve"> 236.0019 </t>
  </si>
  <si>
    <t xml:space="preserve"> 64.6115 </t>
  </si>
  <si>
    <t xml:space="preserve">D:\images\2022-CHG-NLO-dutasteride\plaque 2/@19 testo + duta 0.25/B7_02.tif </t>
  </si>
  <si>
    <t xml:space="preserve"> 204.5916 </t>
  </si>
  <si>
    <t xml:space="preserve"> 64.3693 </t>
  </si>
  <si>
    <t xml:space="preserve">D:\images\2022-CHG-NLO-dutasteride\plaque 2/@19 testo + duta 0.25/B7_03.tif </t>
  </si>
  <si>
    <t xml:space="preserve"> 63.9059 </t>
  </si>
  <si>
    <t xml:space="preserve">D:\images\2022-CHG-NLO-dutasteride\plaque 2/@19 testo + duta 0.25/C7_01.tif </t>
  </si>
  <si>
    <t xml:space="preserve"> 573.0263 </t>
  </si>
  <si>
    <t xml:space="preserve"> 67.0356 </t>
  </si>
  <si>
    <t xml:space="preserve">D:\images\2022-CHG-NLO-dutasteride\plaque 2/@19 testo + duta 0.25/C7_02.tif </t>
  </si>
  <si>
    <t xml:space="preserve"> 623.962 </t>
  </si>
  <si>
    <t xml:space="preserve"> 69.815 </t>
  </si>
  <si>
    <t xml:space="preserve">D:\images\2022-CHG-NLO-dutasteride\plaque 2/@19 testo + duta 0.25/C7_03.tif </t>
  </si>
  <si>
    <t xml:space="preserve"> 432.1043 </t>
  </si>
  <si>
    <t xml:space="preserve"> 65.6267 </t>
  </si>
  <si>
    <t xml:space="preserve">D:\images\2022-CHG-NLO-dutasteride\plaque 2/@19 testo + duta 0.25/D7_01.tif </t>
  </si>
  <si>
    <t xml:space="preserve"> 324.2904 </t>
  </si>
  <si>
    <t xml:space="preserve"> 69.0942 </t>
  </si>
  <si>
    <t xml:space="preserve">D:\images\2022-CHG-NLO-dutasteride\plaque 2/@19 testo + duta 0.25/D7_02.tif </t>
  </si>
  <si>
    <t xml:space="preserve"> 333.6286 </t>
  </si>
  <si>
    <t xml:space="preserve"> 68.7048 </t>
  </si>
  <si>
    <t xml:space="preserve">D:\images\2022-CHG-NLO-dutasteride\plaque 2/@19 testo + duta 0.25/D7_03.tif </t>
  </si>
  <si>
    <t xml:space="preserve"> 258.0741 </t>
  </si>
  <si>
    <t xml:space="preserve"> 68.5888 </t>
  </si>
  <si>
    <t xml:space="preserve">D:\images\2022-CHG-NLO-dutasteride\plaque 2/@19 testo + duta 0.25/E7_01.tif </t>
  </si>
  <si>
    <t xml:space="preserve"> 404.0897 </t>
  </si>
  <si>
    <t xml:space="preserve">D:\images\2022-CHG-NLO-dutasteride\plaque 2/@19 testo + duta 0.25/E7_02.tif </t>
  </si>
  <si>
    <t xml:space="preserve"> 629.9045 </t>
  </si>
  <si>
    <t xml:space="preserve"> 69.1914 </t>
  </si>
  <si>
    <t xml:space="preserve">D:\images\2022-CHG-NLO-dutasteride\plaque 2/@19 testo + duta 0.25/E7_03.tif </t>
  </si>
  <si>
    <t xml:space="preserve"> 547.5585 </t>
  </si>
  <si>
    <t xml:space="preserve"> 68.445 </t>
  </si>
  <si>
    <t xml:space="preserve">D:\images\2022-CHG-NLO-dutasteride\plaque 2/@19 testo + duta 0.25/F7_01.tif </t>
  </si>
  <si>
    <t xml:space="preserve"> 275.0526 </t>
  </si>
  <si>
    <t xml:space="preserve"> 65.4691 </t>
  </si>
  <si>
    <t xml:space="preserve">D:\images\2022-CHG-NLO-dutasteride\plaque 2/@19 testo + duta 0.25/F7_02.tif </t>
  </si>
  <si>
    <t xml:space="preserve"> 255.5273 </t>
  </si>
  <si>
    <t xml:space="preserve"> 64.7508 </t>
  </si>
  <si>
    <t xml:space="preserve">D:\images\2022-CHG-NLO-dutasteride\plaque 2/@19 testo + duta 0.25/F7_03.tif </t>
  </si>
  <si>
    <t xml:space="preserve"> 64.8735 </t>
  </si>
  <si>
    <t xml:space="preserve">D:\images\2022-CHG-NLO-dutasteride\plaque 2/@19 testo + duta 0.25/G7_01.tif </t>
  </si>
  <si>
    <t xml:space="preserve"> 1778.5039 </t>
  </si>
  <si>
    <t xml:space="preserve"> 73.252 </t>
  </si>
  <si>
    <t xml:space="preserve">D:\images\2022-CHG-NLO-dutasteride\plaque 2/@19 testo + duta 0.25/G7_02.tif </t>
  </si>
  <si>
    <t xml:space="preserve"> 1830.2884 </t>
  </si>
  <si>
    <t xml:space="preserve"> 73.0895 </t>
  </si>
  <si>
    <t xml:space="preserve">D:\images\2022-CHG-NLO-dutasteride\plaque 2/@19 testo + duta 0.25/G7_03.tif </t>
  </si>
  <si>
    <t xml:space="preserve"> 1566.2719 </t>
  </si>
  <si>
    <t xml:space="preserve"> 70.5171 </t>
  </si>
  <si>
    <t xml:space="preserve">D:\images\2022-CHG-NLO-dutasteride\plaque 2/@19 testo + duta 0.25/H7_01.tif </t>
  </si>
  <si>
    <t xml:space="preserve"> 1302.2553 </t>
  </si>
  <si>
    <t xml:space="preserve"> 69.3383 </t>
  </si>
  <si>
    <t xml:space="preserve">D:\images\2022-CHG-NLO-dutasteride\plaque 2/@19 testo + duta 0.25/H7_02.tif </t>
  </si>
  <si>
    <t xml:space="preserve"> 1243.6793 </t>
  </si>
  <si>
    <t xml:space="preserve"> 69.4082 </t>
  </si>
  <si>
    <t xml:space="preserve">D:\images\2022-CHG-NLO-dutasteride\plaque 2/@19 testo + duta 0.25/H7_03.tif </t>
  </si>
  <si>
    <t xml:space="preserve"> 1267.4493 </t>
  </si>
  <si>
    <t xml:space="preserve"> 68.6932 </t>
  </si>
  <si>
    <t xml:space="preserve">D:\images\2022-CHG-NLO-dutasteride\plaque 2/@19 testo + duta 0.25/ </t>
  </si>
  <si>
    <t xml:space="preserve"> 68.3105 </t>
  </si>
  <si>
    <t xml:space="preserve"> 3.0586 </t>
  </si>
  <si>
    <t xml:space="preserve"> 59949.9583 </t>
  </si>
  <si>
    <t xml:space="preserve"> 49909.2973 </t>
  </si>
  <si>
    <t>D:\images\2022-CHG-NLO-dutasteride\plaque 2/@20 testo + duta 0.5/A8_01- exclu.tif</t>
  </si>
  <si>
    <t xml:space="preserve">D:\images\2022-CHG-NLO-dutasteride\plaque 2/@20 testo + duta 0.5/A8_02.tif </t>
  </si>
  <si>
    <t xml:space="preserve"> 1730.115 </t>
  </si>
  <si>
    <t xml:space="preserve"> 69.6879 </t>
  </si>
  <si>
    <t xml:space="preserve">D:\images\2022-CHG-NLO-dutasteride\plaque 2/@20 testo + duta 0.5/A8_03.tif </t>
  </si>
  <si>
    <t xml:space="preserve"> 1786.1442 </t>
  </si>
  <si>
    <t xml:space="preserve"> 75.1041 </t>
  </si>
  <si>
    <t xml:space="preserve">D:\images\2022-CHG-NLO-dutasteride\plaque 2/@20 testo + duta 0.5/B8_01.tif </t>
  </si>
  <si>
    <t xml:space="preserve"> 1704.6471 </t>
  </si>
  <si>
    <t xml:space="preserve"> 74.4258 </t>
  </si>
  <si>
    <t xml:space="preserve">D:\images\2022-CHG-NLO-dutasteride\plaque 2/@20 testo + duta 0.5/B8_02.tif </t>
  </si>
  <si>
    <t xml:space="preserve"> 1872.7348 </t>
  </si>
  <si>
    <t xml:space="preserve"> 74.9297 </t>
  </si>
  <si>
    <t xml:space="preserve">D:\images\2022-CHG-NLO-dutasteride\plaque 2/@20 testo + duta 0.5/B8_03.tif </t>
  </si>
  <si>
    <t xml:space="preserve"> 1825.1949 </t>
  </si>
  <si>
    <t xml:space="preserve"> 75.6284 </t>
  </si>
  <si>
    <t xml:space="preserve">D:\images\2022-CHG-NLO-dutasteride\plaque 2/@20 testo + duta 0.5/C8_01.tif </t>
  </si>
  <si>
    <t xml:space="preserve"> 1026.3538 </t>
  </si>
  <si>
    <t xml:space="preserve"> 67.3987 </t>
  </si>
  <si>
    <t xml:space="preserve">D:\images\2022-CHG-NLO-dutasteride\plaque 2/@20 testo + duta 0.5/C8_02.tif </t>
  </si>
  <si>
    <t xml:space="preserve"> 1376.112 </t>
  </si>
  <si>
    <t xml:space="preserve"> 68.6292 </t>
  </si>
  <si>
    <t xml:space="preserve">D:\images\2022-CHG-NLO-dutasteride\plaque 2/@20 testo + duta 0.5/C8_03.tif </t>
  </si>
  <si>
    <t xml:space="preserve"> 1146.9015 </t>
  </si>
  <si>
    <t xml:space="preserve"> 67.8934 </t>
  </si>
  <si>
    <t xml:space="preserve">D:\images\2022-CHG-NLO-dutasteride\plaque 2/@20 testo + duta 0.5/D8_01.tif </t>
  </si>
  <si>
    <t xml:space="preserve"> 2169.0107 </t>
  </si>
  <si>
    <t xml:space="preserve"> 72.1041 </t>
  </si>
  <si>
    <t xml:space="preserve">D:\images\2022-CHG-NLO-dutasteride\plaque 2/@20 testo + duta 0.5/D8_02.tif </t>
  </si>
  <si>
    <t xml:space="preserve"> 2042.5204 </t>
  </si>
  <si>
    <t xml:space="preserve">D:\images\2022-CHG-NLO-dutasteride\plaque 2/@20 testo + duta 0.5/D8_03.tif </t>
  </si>
  <si>
    <t xml:space="preserve"> 1851.5116 </t>
  </si>
  <si>
    <t xml:space="preserve"> 71.431 </t>
  </si>
  <si>
    <t xml:space="preserve">D:\images\2022-CHG-NLO-dutasteride\plaque 2/@20 testo + duta 0.5/E8_01.tif </t>
  </si>
  <si>
    <t xml:space="preserve"> 1184.2544 </t>
  </si>
  <si>
    <t xml:space="preserve"> 69.1634 </t>
  </si>
  <si>
    <t xml:space="preserve">D:\images\2022-CHG-NLO-dutasteride\plaque 2/@20 testo + duta 0.5/E8_02.tif </t>
  </si>
  <si>
    <t xml:space="preserve"> 1224.154 </t>
  </si>
  <si>
    <t xml:space="preserve"> 69.1082 </t>
  </si>
  <si>
    <t xml:space="preserve">D:\images\2022-CHG-NLO-dutasteride\plaque 2/@20 testo + duta 0.5/E8_03.tif </t>
  </si>
  <si>
    <t xml:space="preserve"> 1237.7368 </t>
  </si>
  <si>
    <t xml:space="preserve"> 70.3196 </t>
  </si>
  <si>
    <t xml:space="preserve">D:\images\2022-CHG-NLO-dutasteride\plaque 2/@20 testo + duta 0.5/F8_01.tif </t>
  </si>
  <si>
    <t xml:space="preserve"> 860.8128 </t>
  </si>
  <si>
    <t xml:space="preserve"> 67.3442 </t>
  </si>
  <si>
    <t xml:space="preserve">D:\images\2022-CHG-NLO-dutasteride\plaque 2/@20 testo + duta 0.5/F8_02.tif </t>
  </si>
  <si>
    <t xml:space="preserve"> 703.7612 </t>
  </si>
  <si>
    <t xml:space="preserve"> 66.0302 </t>
  </si>
  <si>
    <t xml:space="preserve">D:\images\2022-CHG-NLO-dutasteride\plaque 2/@20 testo + duta 0.5/F8_03.tif </t>
  </si>
  <si>
    <t xml:space="preserve"> 701.2144 </t>
  </si>
  <si>
    <t xml:space="preserve"> 66.3547 </t>
  </si>
  <si>
    <t xml:space="preserve">D:\images\2022-CHG-NLO-dutasteride\plaque 2/@20 testo + duta 0.5/G8_01.tif </t>
  </si>
  <si>
    <t xml:space="preserve"> 1764.921 </t>
  </si>
  <si>
    <t xml:space="preserve"> 69.3689 </t>
  </si>
  <si>
    <t xml:space="preserve">D:\images\2022-CHG-NLO-dutasteride\plaque 2/@20 testo + duta 0.5/G8_02.tif </t>
  </si>
  <si>
    <t xml:space="preserve"> 1772.5614 </t>
  </si>
  <si>
    <t xml:space="preserve"> 70.5848 </t>
  </si>
  <si>
    <t xml:space="preserve">D:\images\2022-CHG-NLO-dutasteride\plaque 2/@20 testo + duta 0.5/G8_03.tif </t>
  </si>
  <si>
    <t xml:space="preserve"> 1698.7046 </t>
  </si>
  <si>
    <t xml:space="preserve"> 69.3688 </t>
  </si>
  <si>
    <t xml:space="preserve">D:\images\2022-CHG-NLO-dutasteride\plaque 2/@20 testo + duta 0.5/H8_01.tif </t>
  </si>
  <si>
    <t xml:space="preserve"> 1349.7953 </t>
  </si>
  <si>
    <t xml:space="preserve"> 68.7956 </t>
  </si>
  <si>
    <t xml:space="preserve">D:\images\2022-CHG-NLO-dutasteride\plaque 2/@20 testo + duta 0.5/H8_02.tif </t>
  </si>
  <si>
    <t xml:space="preserve"> 1375.2631 </t>
  </si>
  <si>
    <t xml:space="preserve"> 68.9049 </t>
  </si>
  <si>
    <t xml:space="preserve">D:\images\2022-CHG-NLO-dutasteride\plaque 2/@20 testo + duta 0.5/H8_03.tif </t>
  </si>
  <si>
    <t xml:space="preserve"> 1466.9473 </t>
  </si>
  <si>
    <t xml:space="preserve"> 69.8767 </t>
  </si>
  <si>
    <t xml:space="preserve">D:\images\2022-CHG-NLO-dutasteride\plaque 2/@20 testo + duta 0.5/ </t>
  </si>
  <si>
    <t xml:space="preserve"> 69.924 </t>
  </si>
  <si>
    <t xml:space="preserve"> 3.0184 </t>
  </si>
  <si>
    <t xml:space="preserve"> 100887.958 </t>
  </si>
  <si>
    <t xml:space="preserve"> 35441.1689 </t>
  </si>
  <si>
    <t xml:space="preserve">D:\images\2022-CHG-NLO-dutasteride\plaque 2/@21 testo + duta 1/A9_01.tif </t>
  </si>
  <si>
    <t xml:space="preserve"> 1473.7388 </t>
  </si>
  <si>
    <t xml:space="preserve"> 76.015 </t>
  </si>
  <si>
    <t xml:space="preserve">D:\images\2022-CHG-NLO-dutasteride\plaque 2/@21 testo + duta 1/A9_02.tif </t>
  </si>
  <si>
    <t xml:space="preserve"> 1489.0195 </t>
  </si>
  <si>
    <t xml:space="preserve"> 74.9829 </t>
  </si>
  <si>
    <t xml:space="preserve">D:\images\2022-CHG-NLO-dutasteride\plaque 2/@21 testo + duta 1/A9_03.tif </t>
  </si>
  <si>
    <t xml:space="preserve"> 1562.8762 </t>
  </si>
  <si>
    <t xml:space="preserve"> 74.9044 </t>
  </si>
  <si>
    <t xml:space="preserve">D:\images\2022-CHG-NLO-dutasteride\plaque 2/@21 testo + duta 1/B9_01.tif </t>
  </si>
  <si>
    <t xml:space="preserve"> 1073.8937 </t>
  </si>
  <si>
    <t xml:space="preserve"> 71.483 </t>
  </si>
  <si>
    <t xml:space="preserve">D:\images\2022-CHG-NLO-dutasteride\plaque 2/@21 testo + duta 1/B9_02.tif </t>
  </si>
  <si>
    <t xml:space="preserve"> 1230.9454 </t>
  </si>
  <si>
    <t xml:space="preserve"> 71.6359 </t>
  </si>
  <si>
    <t xml:space="preserve">D:\images\2022-CHG-NLO-dutasteride\plaque 2/@21 testo + duta 1/B9_03.tif </t>
  </si>
  <si>
    <t xml:space="preserve"> 73.6883 </t>
  </si>
  <si>
    <t xml:space="preserve">D:\images\2022-CHG-NLO-dutasteride\plaque 2/@21 testo + duta 1/C9_01.tif </t>
  </si>
  <si>
    <t xml:space="preserve"> 1023.807 </t>
  </si>
  <si>
    <t xml:space="preserve"> 75.4063 </t>
  </si>
  <si>
    <t xml:space="preserve">D:\images\2022-CHG-NLO-dutasteride\plaque 2/@21 testo + duta 1/C9_02.tif </t>
  </si>
  <si>
    <t xml:space="preserve"> 972.8713 </t>
  </si>
  <si>
    <t xml:space="preserve"> 76.0218 </t>
  </si>
  <si>
    <t xml:space="preserve">D:\images\2022-CHG-NLO-dutasteride\plaque 2/@21 testo + duta 1/C9_03.tif </t>
  </si>
  <si>
    <t xml:space="preserve"> 1138.4123 </t>
  </si>
  <si>
    <t xml:space="preserve"> 72.692 </t>
  </si>
  <si>
    <t xml:space="preserve">D:\images\2022-CHG-NLO-dutasteride\plaque 2/@21 testo + duta 1/D9_01.tif </t>
  </si>
  <si>
    <t xml:space="preserve"> 1031.4473 </t>
  </si>
  <si>
    <t xml:space="preserve"> 68.1547 </t>
  </si>
  <si>
    <t xml:space="preserve">D:\images\2022-CHG-NLO-dutasteride\plaque 2/@21 testo + duta 1/D9_02.tif </t>
  </si>
  <si>
    <t xml:space="preserve"> 1065.4045 </t>
  </si>
  <si>
    <t xml:space="preserve"> 70.4406 </t>
  </si>
  <si>
    <t xml:space="preserve">D:\images\2022-CHG-NLO-dutasteride\plaque 2/@21 testo + duta 1/D9_03.tif </t>
  </si>
  <si>
    <t xml:space="preserve"> 981.3606 </t>
  </si>
  <si>
    <t xml:space="preserve"> 67.6099 </t>
  </si>
  <si>
    <t xml:space="preserve">D:\images\2022-CHG-NLO-dutasteride\plaque 2/@21 testo + duta 1/E9_01.tif </t>
  </si>
  <si>
    <t xml:space="preserve"> 44.9932 </t>
  </si>
  <si>
    <t xml:space="preserve"> 64.1698 </t>
  </si>
  <si>
    <t xml:space="preserve">D:\images\2022-CHG-NLO-dutasteride\plaque 2/@21 testo + duta 1/E9_02.tif </t>
  </si>
  <si>
    <t xml:space="preserve"> 48.3889 </t>
  </si>
  <si>
    <t xml:space="preserve">D:\images\2022-CHG-NLO-dutasteride\plaque 2/@21 testo + duta 1/E9_03.tif </t>
  </si>
  <si>
    <t xml:space="preserve"> 62.7941 </t>
  </si>
  <si>
    <t xml:space="preserve">D:\images\2022-CHG-NLO-dutasteride\plaque 2/@21 testo + duta 1/F9_01.tif </t>
  </si>
  <si>
    <t xml:space="preserve"> 550.1052 </t>
  </si>
  <si>
    <t xml:space="preserve"> 68.8148 </t>
  </si>
  <si>
    <t xml:space="preserve">D:\images\2022-CHG-NLO-dutasteride\plaque 2/@21 testo + duta 1/F9_02.tif </t>
  </si>
  <si>
    <t xml:space="preserve"> 222.4191 </t>
  </si>
  <si>
    <t xml:space="preserve"> 66.6412 </t>
  </si>
  <si>
    <t xml:space="preserve">D:\images\2022-CHG-NLO-dutasteride\plaque 2/@21 testo + duta 1/F9_03.tif </t>
  </si>
  <si>
    <t xml:space="preserve"> 510.2056 </t>
  </si>
  <si>
    <t xml:space="preserve"> 70.7887 </t>
  </si>
  <si>
    <t xml:space="preserve">D:\images\2022-CHG-NLO-dutasteride\plaque 2/@21 testo + duta 1/G9_01.tif </t>
  </si>
  <si>
    <t xml:space="preserve"> 175.7281 </t>
  </si>
  <si>
    <t xml:space="preserve"> 63.3913 </t>
  </si>
  <si>
    <t xml:space="preserve">D:\images\2022-CHG-NLO-dutasteride\plaque 2/@21 testo + duta 1/G9_02.tif </t>
  </si>
  <si>
    <t xml:space="preserve"> 316.6501 </t>
  </si>
  <si>
    <t xml:space="preserve"> 63.9973 </t>
  </si>
  <si>
    <t xml:space="preserve">D:\images\2022-CHG-NLO-dutasteride\plaque 2/@21 testo + duta 1/G9_03.tif </t>
  </si>
  <si>
    <t xml:space="preserve"> 63.9378 </t>
  </si>
  <si>
    <t xml:space="preserve">D:\images\2022-CHG-NLO-dutasteride\plaque 2/@21 testo + duta 1/H9_01.tif </t>
  </si>
  <si>
    <t xml:space="preserve"> 591.7027 </t>
  </si>
  <si>
    <t xml:space="preserve"> 65.3128 </t>
  </si>
  <si>
    <t xml:space="preserve">D:\images\2022-CHG-NLO-dutasteride\plaque 2/@21 testo + duta 1/H9_02.tif </t>
  </si>
  <si>
    <t xml:space="preserve"> 463.5146 </t>
  </si>
  <si>
    <t xml:space="preserve"> 64.7106 </t>
  </si>
  <si>
    <t xml:space="preserve">D:\images\2022-CHG-NLO-dutasteride\plaque 2/@21 testo + duta 1/H9_03.tif </t>
  </si>
  <si>
    <t xml:space="preserve"> 64.2467 </t>
  </si>
  <si>
    <t xml:space="preserve">D:\images\2022-CHG-NLO-dutasteride\plaque 2/@21 testo + duta 1/ </t>
  </si>
  <si>
    <t xml:space="preserve"> 68.9561 </t>
  </si>
  <si>
    <t xml:space="preserve"> 4.689 </t>
  </si>
  <si>
    <t xml:space="preserve"> 52743.0833 </t>
  </si>
  <si>
    <t xml:space="preserve"> 37277.8603 </t>
  </si>
  <si>
    <t xml:space="preserve"> n total analysed</t>
  </si>
  <si>
    <t>01 TS</t>
  </si>
  <si>
    <t>02 EE2 34</t>
  </si>
  <si>
    <t>03 EE2 51</t>
  </si>
  <si>
    <t>06 EE2 171</t>
  </si>
  <si>
    <t>08 duta 0.01</t>
  </si>
  <si>
    <t>09 duta 0.1</t>
  </si>
  <si>
    <t>10 duta 0.25</t>
  </si>
  <si>
    <t>11 duta 0.5</t>
  </si>
  <si>
    <t>12  duta 1</t>
  </si>
  <si>
    <t>13 testo</t>
  </si>
  <si>
    <t>14 testo</t>
  </si>
  <si>
    <t>15 testo + EE2 64</t>
  </si>
  <si>
    <t>16 testo + fad</t>
  </si>
  <si>
    <t>17 testo + duta 0.01</t>
  </si>
  <si>
    <t>18 testo + duta 0.1</t>
  </si>
  <si>
    <t>19 testo + duta 0.25</t>
  </si>
  <si>
    <t>20 testo + duta 0.5</t>
  </si>
  <si>
    <t>21 testo + duta 1</t>
  </si>
  <si>
    <t>&gt;0,99</t>
  </si>
  <si>
    <t>&lt;0,001</t>
  </si>
  <si>
    <t>T-Test (Welch)</t>
  </si>
  <si>
    <t>ANOVA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</si>
</sst>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7">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3" fillId="0" borderId="22" xfId="0" applyNumberFormat="1" applyFont="1" applyFill="1" applyBorder="1" applyAlignment="1">
      <alignment horizontal="center" vertical="center"/>
    </xf>
    <xf numFmtId="0" fontId="3" fillId="14" borderId="46" xfId="0" applyNumberFormat="1" applyFont="1" applyFill="1" applyBorder="1" applyAlignment="1">
      <alignment horizontal="center" vertical="center"/>
    </xf>
    <xf numFmtId="0" fontId="0" fillId="0" borderId="0" xfId="0" applyNumberFormat="1" applyFont="1"/>
    <xf numFmtId="0" fontId="14" fillId="0" borderId="0" xfId="0" applyFont="1"/>
    <xf numFmtId="164" fontId="0" fillId="0" borderId="1" xfId="0" applyNumberFormat="1" applyFill="1" applyBorder="1" applyAlignment="1">
      <alignment horizontal="center"/>
    </xf>
    <xf numFmtId="0" fontId="0" fillId="0" borderId="0" xfId="0" applyNumberFormat="1" applyFont="1" applyFill="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0.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chartsheet" Target="chartsheets/sheet3.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9.xml"/><Relationship Id="rId24"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worksheet" Target="worksheets/sheet15.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hartsheet" Target="chartsheets/sheet4.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01-73AE-4E42-8D1C-EC93161D1D50}"/>
              </c:ext>
            </c:extLst>
          </c:dPt>
          <c:dPt>
            <c:idx val="1"/>
            <c:invertIfNegative val="0"/>
            <c:bubble3D val="0"/>
            <c:spPr>
              <a:solidFill>
                <a:srgbClr val="FF0000"/>
              </a:solidFill>
            </c:spPr>
            <c:extLst>
              <c:ext xmlns:c16="http://schemas.microsoft.com/office/drawing/2014/chart" uri="{C3380CC4-5D6E-409C-BE32-E72D297353CC}">
                <c16:uniqueId val="{00000002-73AE-4E42-8D1C-EC93161D1D50}"/>
              </c:ext>
            </c:extLst>
          </c:dPt>
          <c:dPt>
            <c:idx val="2"/>
            <c:invertIfNegative val="0"/>
            <c:bubble3D val="0"/>
            <c:spPr>
              <a:solidFill>
                <a:srgbClr val="FF0000"/>
              </a:solidFill>
            </c:spPr>
            <c:extLst>
              <c:ext xmlns:c16="http://schemas.microsoft.com/office/drawing/2014/chart" uri="{C3380CC4-5D6E-409C-BE32-E72D297353CC}">
                <c16:uniqueId val="{00000003-73AE-4E42-8D1C-EC93161D1D50}"/>
              </c:ext>
            </c:extLst>
          </c:dPt>
          <c:dPt>
            <c:idx val="3"/>
            <c:invertIfNegative val="0"/>
            <c:bubble3D val="0"/>
            <c:spPr>
              <a:solidFill>
                <a:srgbClr val="FF0000"/>
              </a:solidFill>
            </c:spPr>
            <c:extLst>
              <c:ext xmlns:c16="http://schemas.microsoft.com/office/drawing/2014/chart" uri="{C3380CC4-5D6E-409C-BE32-E72D297353CC}">
                <c16:uniqueId val="{00000004-73AE-4E42-8D1C-EC93161D1D50}"/>
              </c:ext>
            </c:extLst>
          </c:dPt>
          <c:dPt>
            <c:idx val="4"/>
            <c:invertIfNegative val="0"/>
            <c:bubble3D val="0"/>
            <c:spPr>
              <a:solidFill>
                <a:srgbClr val="FF0000"/>
              </a:solidFill>
            </c:spPr>
            <c:extLst>
              <c:ext xmlns:c16="http://schemas.microsoft.com/office/drawing/2014/chart" uri="{C3380CC4-5D6E-409C-BE32-E72D297353CC}">
                <c16:uniqueId val="{00000005-73AE-4E42-8D1C-EC93161D1D50}"/>
              </c:ext>
            </c:extLst>
          </c:dPt>
          <c:dPt>
            <c:idx val="5"/>
            <c:invertIfNegative val="0"/>
            <c:bubble3D val="0"/>
            <c:spPr>
              <a:solidFill>
                <a:srgbClr val="FF0000"/>
              </a:solidFill>
            </c:spPr>
            <c:extLst>
              <c:ext xmlns:c16="http://schemas.microsoft.com/office/drawing/2014/chart" uri="{C3380CC4-5D6E-409C-BE32-E72D297353CC}">
                <c16:uniqueId val="{00000006-73AE-4E42-8D1C-EC93161D1D50}"/>
              </c:ext>
            </c:extLst>
          </c:dPt>
          <c:dPt>
            <c:idx val="6"/>
            <c:invertIfNegative val="0"/>
            <c:bubble3D val="0"/>
            <c:spPr>
              <a:solidFill>
                <a:srgbClr val="FF0000"/>
              </a:solidFill>
            </c:spPr>
            <c:extLst>
              <c:ext xmlns:c16="http://schemas.microsoft.com/office/drawing/2014/chart" uri="{C3380CC4-5D6E-409C-BE32-E72D297353CC}">
                <c16:uniqueId val="{00000007-73AE-4E42-8D1C-EC93161D1D50}"/>
              </c:ext>
            </c:extLst>
          </c:dPt>
          <c:dPt>
            <c:idx val="7"/>
            <c:invertIfNegative val="0"/>
            <c:bubble3D val="0"/>
            <c:spPr>
              <a:solidFill>
                <a:schemeClr val="bg1">
                  <a:lumMod val="65000"/>
                </a:schemeClr>
              </a:solidFill>
            </c:spPr>
            <c:extLst>
              <c:ext xmlns:c16="http://schemas.microsoft.com/office/drawing/2014/chart" uri="{C3380CC4-5D6E-409C-BE32-E72D297353CC}">
                <c16:uniqueId val="{00000008-73AE-4E42-8D1C-EC93161D1D50}"/>
              </c:ext>
            </c:extLst>
          </c:dPt>
          <c:dPt>
            <c:idx val="8"/>
            <c:invertIfNegative val="0"/>
            <c:bubble3D val="0"/>
            <c:spPr>
              <a:solidFill>
                <a:schemeClr val="bg1">
                  <a:lumMod val="65000"/>
                </a:schemeClr>
              </a:solidFill>
            </c:spPr>
            <c:extLst>
              <c:ext xmlns:c16="http://schemas.microsoft.com/office/drawing/2014/chart" uri="{C3380CC4-5D6E-409C-BE32-E72D297353CC}">
                <c16:uniqueId val="{00000009-73AE-4E42-8D1C-EC93161D1D50}"/>
              </c:ext>
            </c:extLst>
          </c:dPt>
          <c:dPt>
            <c:idx val="9"/>
            <c:invertIfNegative val="0"/>
            <c:bubble3D val="0"/>
            <c:spPr>
              <a:solidFill>
                <a:schemeClr val="bg1">
                  <a:lumMod val="65000"/>
                </a:schemeClr>
              </a:solidFill>
            </c:spPr>
            <c:extLst>
              <c:ext xmlns:c16="http://schemas.microsoft.com/office/drawing/2014/chart" uri="{C3380CC4-5D6E-409C-BE32-E72D297353CC}">
                <c16:uniqueId val="{0000000A-73AE-4E42-8D1C-EC93161D1D50}"/>
              </c:ext>
            </c:extLst>
          </c:dPt>
          <c:dPt>
            <c:idx val="10"/>
            <c:invertIfNegative val="0"/>
            <c:bubble3D val="0"/>
            <c:spPr>
              <a:solidFill>
                <a:schemeClr val="bg1">
                  <a:lumMod val="65000"/>
                </a:schemeClr>
              </a:solidFill>
            </c:spPr>
            <c:extLst>
              <c:ext xmlns:c16="http://schemas.microsoft.com/office/drawing/2014/chart" uri="{C3380CC4-5D6E-409C-BE32-E72D297353CC}">
                <c16:uniqueId val="{0000000B-73AE-4E42-8D1C-EC93161D1D50}"/>
              </c:ext>
            </c:extLst>
          </c:dPt>
          <c:dPt>
            <c:idx val="11"/>
            <c:invertIfNegative val="0"/>
            <c:bubble3D val="0"/>
            <c:spPr>
              <a:solidFill>
                <a:schemeClr val="bg1">
                  <a:lumMod val="65000"/>
                </a:schemeClr>
              </a:solidFill>
            </c:spPr>
            <c:extLst>
              <c:ext xmlns:c16="http://schemas.microsoft.com/office/drawing/2014/chart" uri="{C3380CC4-5D6E-409C-BE32-E72D297353CC}">
                <c16:uniqueId val="{0000000C-73AE-4E42-8D1C-EC93161D1D50}"/>
              </c:ext>
            </c:extLst>
          </c:dPt>
          <c:dPt>
            <c:idx val="14"/>
            <c:invertIfNegative val="0"/>
            <c:bubble3D val="0"/>
            <c:spPr>
              <a:solidFill>
                <a:srgbClr val="92D050"/>
              </a:solidFill>
            </c:spPr>
            <c:extLst>
              <c:ext xmlns:c16="http://schemas.microsoft.com/office/drawing/2014/chart" uri="{C3380CC4-5D6E-409C-BE32-E72D297353CC}">
                <c16:uniqueId val="{0000000D-73AE-4E42-8D1C-EC93161D1D50}"/>
              </c:ext>
            </c:extLst>
          </c:dPt>
          <c:dPt>
            <c:idx val="15"/>
            <c:invertIfNegative val="0"/>
            <c:bubble3D val="0"/>
            <c:spPr>
              <a:solidFill>
                <a:srgbClr val="92D050"/>
              </a:solidFill>
            </c:spPr>
            <c:extLst>
              <c:ext xmlns:c16="http://schemas.microsoft.com/office/drawing/2014/chart" uri="{C3380CC4-5D6E-409C-BE32-E72D297353CC}">
                <c16:uniqueId val="{0000000E-73AE-4E42-8D1C-EC93161D1D50}"/>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0F-73AE-4E42-8D1C-EC93161D1D50}"/>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10-73AE-4E42-8D1C-EC93161D1D50}"/>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11-73AE-4E42-8D1C-EC93161D1D50}"/>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12-73AE-4E42-8D1C-EC93161D1D50}"/>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13-73AE-4E42-8D1C-EC93161D1D50}"/>
              </c:ext>
            </c:extLst>
          </c:dPt>
          <c:dLbls>
            <c:dLbl>
              <c:idx val="0"/>
              <c:tx>
                <c:rich>
                  <a:bodyPr/>
                  <a:lstStyle/>
                  <a:p>
                    <a:fld id="{9419EF7E-F5C5-4D38-9818-857659CAB2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3AE-4E42-8D1C-EC93161D1D50}"/>
                </c:ext>
              </c:extLst>
            </c:dLbl>
            <c:dLbl>
              <c:idx val="1"/>
              <c:tx>
                <c:rich>
                  <a:bodyPr/>
                  <a:lstStyle/>
                  <a:p>
                    <a:fld id="{46D5DA8A-40E7-4416-8D65-6AAFB8CA9549}"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3AE-4E42-8D1C-EC93161D1D50}"/>
                </c:ext>
              </c:extLst>
            </c:dLbl>
            <c:dLbl>
              <c:idx val="2"/>
              <c:tx>
                <c:rich>
                  <a:bodyPr/>
                  <a:lstStyle/>
                  <a:p>
                    <a:fld id="{EDF62DBD-D583-4B53-ACAE-67587FCCF6FE}"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3AE-4E42-8D1C-EC93161D1D50}"/>
                </c:ext>
              </c:extLst>
            </c:dLbl>
            <c:dLbl>
              <c:idx val="3"/>
              <c:tx>
                <c:rich>
                  <a:bodyPr/>
                  <a:lstStyle/>
                  <a:p>
                    <a:fld id="{7970C4AB-AE40-40DF-A3FF-10C7A846AF96}"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3AE-4E42-8D1C-EC93161D1D50}"/>
                </c:ext>
              </c:extLst>
            </c:dLbl>
            <c:dLbl>
              <c:idx val="4"/>
              <c:tx>
                <c:rich>
                  <a:bodyPr/>
                  <a:lstStyle/>
                  <a:p>
                    <a:fld id="{1551CF70-7A5B-46D2-B634-0F6501D12E14}"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3AE-4E42-8D1C-EC93161D1D50}"/>
                </c:ext>
              </c:extLst>
            </c:dLbl>
            <c:dLbl>
              <c:idx val="5"/>
              <c:tx>
                <c:rich>
                  <a:bodyPr/>
                  <a:lstStyle/>
                  <a:p>
                    <a:fld id="{3DFA78F6-A36D-48BB-ACFC-8CB0D07C6DCE}"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3AE-4E42-8D1C-EC93161D1D50}"/>
                </c:ext>
              </c:extLst>
            </c:dLbl>
            <c:dLbl>
              <c:idx val="6"/>
              <c:tx>
                <c:rich>
                  <a:bodyPr/>
                  <a:lstStyle/>
                  <a:p>
                    <a:fld id="{5775BCF7-3003-4231-99AF-305F326BC254}"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3AE-4E42-8D1C-EC93161D1D50}"/>
                </c:ext>
              </c:extLst>
            </c:dLbl>
            <c:dLbl>
              <c:idx val="7"/>
              <c:tx>
                <c:rich>
                  <a:bodyPr/>
                  <a:lstStyle/>
                  <a:p>
                    <a:fld id="{A6D8C861-5136-467C-AB24-F370B95AB122}"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3AE-4E42-8D1C-EC93161D1D50}"/>
                </c:ext>
              </c:extLst>
            </c:dLbl>
            <c:dLbl>
              <c:idx val="8"/>
              <c:tx>
                <c:rich>
                  <a:bodyPr/>
                  <a:lstStyle/>
                  <a:p>
                    <a:fld id="{58CB196E-C5E4-4311-A455-3A53CD42C6BE}"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3AE-4E42-8D1C-EC93161D1D50}"/>
                </c:ext>
              </c:extLst>
            </c:dLbl>
            <c:dLbl>
              <c:idx val="9"/>
              <c:tx>
                <c:rich>
                  <a:bodyPr/>
                  <a:lstStyle/>
                  <a:p>
                    <a:fld id="{4EC3E28C-C2CD-42C9-B3E3-EAF439C6AFFD}"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3AE-4E42-8D1C-EC93161D1D50}"/>
                </c:ext>
              </c:extLst>
            </c:dLbl>
            <c:dLbl>
              <c:idx val="10"/>
              <c:tx>
                <c:rich>
                  <a:bodyPr/>
                  <a:lstStyle/>
                  <a:p>
                    <a:fld id="{F76B7640-C2F5-44C8-848F-57856721C284}"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3AE-4E42-8D1C-EC93161D1D50}"/>
                </c:ext>
              </c:extLst>
            </c:dLbl>
            <c:dLbl>
              <c:idx val="11"/>
              <c:tx>
                <c:rich>
                  <a:bodyPr/>
                  <a:lstStyle/>
                  <a:p>
                    <a:fld id="{79CF5434-3C3E-4BFB-867D-89127972ED44}"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73AE-4E42-8D1C-EC93161D1D50}"/>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73AE-4E42-8D1C-EC93161D1D50}"/>
                </c:ext>
              </c:extLst>
            </c:dLbl>
            <c:dLbl>
              <c:idx val="13"/>
              <c:tx>
                <c:rich>
                  <a:bodyPr/>
                  <a:lstStyle/>
                  <a:p>
                    <a:fld id="{7BC5F312-9A76-4972-AE41-742025DE2BF5}"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73AE-4E42-8D1C-EC93161D1D50}"/>
                </c:ext>
              </c:extLst>
            </c:dLbl>
            <c:dLbl>
              <c:idx val="14"/>
              <c:tx>
                <c:rich>
                  <a:bodyPr/>
                  <a:lstStyle/>
                  <a:p>
                    <a:fld id="{AD8D1AD2-A2A3-4C47-86A4-BD30A77CA526}"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73AE-4E42-8D1C-EC93161D1D50}"/>
                </c:ext>
              </c:extLst>
            </c:dLbl>
            <c:dLbl>
              <c:idx val="15"/>
              <c:tx>
                <c:rich>
                  <a:bodyPr/>
                  <a:lstStyle/>
                  <a:p>
                    <a:fld id="{58FAE900-78ED-4736-89F3-B9ECC1F67AD4}"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73AE-4E42-8D1C-EC93161D1D50}"/>
                </c:ext>
              </c:extLst>
            </c:dLbl>
            <c:dLbl>
              <c:idx val="16"/>
              <c:tx>
                <c:rich>
                  <a:bodyPr/>
                  <a:lstStyle/>
                  <a:p>
                    <a:fld id="{98D7DC11-C2BD-4CCD-8AD9-68B1D47662E7}"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73AE-4E42-8D1C-EC93161D1D50}"/>
                </c:ext>
              </c:extLst>
            </c:dLbl>
            <c:dLbl>
              <c:idx val="17"/>
              <c:tx>
                <c:rich>
                  <a:bodyPr/>
                  <a:lstStyle/>
                  <a:p>
                    <a:fld id="{6CF7353F-16B3-43A3-9CF9-67E181F4E026}"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73AE-4E42-8D1C-EC93161D1D50}"/>
                </c:ext>
              </c:extLst>
            </c:dLbl>
            <c:dLbl>
              <c:idx val="18"/>
              <c:tx>
                <c:rich>
                  <a:bodyPr/>
                  <a:lstStyle/>
                  <a:p>
                    <a:fld id="{3B010603-3E15-42BB-9AC9-FD85163EC3BE}"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73AE-4E42-8D1C-EC93161D1D50}"/>
                </c:ext>
              </c:extLst>
            </c:dLbl>
            <c:dLbl>
              <c:idx val="19"/>
              <c:tx>
                <c:rich>
                  <a:bodyPr/>
                  <a:lstStyle/>
                  <a:p>
                    <a:fld id="{08CED3FA-30B5-4C60-B80A-CCB77D728361}"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73AE-4E42-8D1C-EC93161D1D50}"/>
                </c:ext>
              </c:extLst>
            </c:dLbl>
            <c:dLbl>
              <c:idx val="20"/>
              <c:tx>
                <c:rich>
                  <a:bodyPr/>
                  <a:lstStyle/>
                  <a:p>
                    <a:fld id="{C8166C91-AF3A-4E27-A511-436101D83F58}"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73AE-4E42-8D1C-EC93161D1D50}"/>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'R1'!$B$54:$V$54</c:f>
                <c:numCache>
                  <c:formatCode>General</c:formatCode>
                  <c:ptCount val="21"/>
                  <c:pt idx="0">
                    <c:v>2.0961182039166935E-2</c:v>
                  </c:pt>
                  <c:pt idx="1">
                    <c:v>1.392753785256198E-2</c:v>
                  </c:pt>
                  <c:pt idx="2">
                    <c:v>2.9063116033661636E-2</c:v>
                  </c:pt>
                  <c:pt idx="3">
                    <c:v>6.4296430566175664E-2</c:v>
                  </c:pt>
                  <c:pt idx="4">
                    <c:v>0.12929108263474995</c:v>
                  </c:pt>
                  <c:pt idx="5">
                    <c:v>0.30466770024883205</c:v>
                  </c:pt>
                  <c:pt idx="6">
                    <c:v>0.43792305917200608</c:v>
                  </c:pt>
                  <c:pt idx="7">
                    <c:v>5.297461316700091E-2</c:v>
                  </c:pt>
                  <c:pt idx="8">
                    <c:v>2.4092227676066811E-2</c:v>
                  </c:pt>
                  <c:pt idx="9">
                    <c:v>1.4359639187330535E-2</c:v>
                  </c:pt>
                  <c:pt idx="10">
                    <c:v>1.5502019115679035E-2</c:v>
                  </c:pt>
                  <c:pt idx="11">
                    <c:v>6.0741039874853221E-2</c:v>
                  </c:pt>
                  <c:pt idx="13">
                    <c:v>0.15084636207762883</c:v>
                  </c:pt>
                  <c:pt idx="14">
                    <c:v>0.30288857960608034</c:v>
                  </c:pt>
                  <c:pt idx="15">
                    <c:v>8.2001903868774532E-3</c:v>
                  </c:pt>
                  <c:pt idx="16">
                    <c:v>0.27952620745490619</c:v>
                  </c:pt>
                  <c:pt idx="17">
                    <c:v>0.2590154543346338</c:v>
                  </c:pt>
                  <c:pt idx="18">
                    <c:v>0.31973276534804018</c:v>
                  </c:pt>
                  <c:pt idx="19">
                    <c:v>0.20012153148070119</c:v>
                  </c:pt>
                  <c:pt idx="20">
                    <c:v>0.23779640061487686</c:v>
                  </c:pt>
                </c:numCache>
              </c:numRef>
            </c:plus>
            <c:minus>
              <c:numRef>
                <c:f>'R1'!$N$48:$V$48</c:f>
                <c:numCache>
                  <c:formatCode>General</c:formatCode>
                  <c:ptCount val="9"/>
                  <c:pt idx="0">
                    <c:v>0</c:v>
                  </c:pt>
                  <c:pt idx="1">
                    <c:v>0.15084636207762883</c:v>
                  </c:pt>
                  <c:pt idx="2">
                    <c:v>0.30288857960608034</c:v>
                  </c:pt>
                  <c:pt idx="3">
                    <c:v>8.2001903868774532E-3</c:v>
                  </c:pt>
                  <c:pt idx="4">
                    <c:v>0.27952620745490619</c:v>
                  </c:pt>
                  <c:pt idx="5">
                    <c:v>0.2590154543346338</c:v>
                  </c:pt>
                  <c:pt idx="6">
                    <c:v>0.31973276534804018</c:v>
                  </c:pt>
                  <c:pt idx="7">
                    <c:v>0.20012153148070119</c:v>
                  </c:pt>
                  <c:pt idx="8">
                    <c:v>0.23779640061487686</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Dutasteride-0,01mg/L</c:v>
                </c:pt>
                <c:pt idx="8">
                  <c:v>Dutasteride-0,1mg/L</c:v>
                </c:pt>
                <c:pt idx="9">
                  <c:v>Dutasteride-0,25mg/L</c:v>
                </c:pt>
                <c:pt idx="10">
                  <c:v>Dutasteride-0,5mg/L</c:v>
                </c:pt>
                <c:pt idx="11">
                  <c:v>Dutasteride-1mg/L</c:v>
                </c:pt>
                <c:pt idx="13">
                  <c:v>Testo -30µg/L</c:v>
                </c:pt>
                <c:pt idx="14">
                  <c:v>Testo 30µg/L + EE2 -64ng/L</c:v>
                </c:pt>
                <c:pt idx="15">
                  <c:v>Testo 30µg/L + FAD-10µg/L</c:v>
                </c:pt>
                <c:pt idx="16">
                  <c:v>Dutasteride-0.01mg/L + Testostérone</c:v>
                </c:pt>
                <c:pt idx="17">
                  <c:v>Dutasteride-0.1mg/L + Testostérone</c:v>
                </c:pt>
                <c:pt idx="18">
                  <c:v>Dutasteride-0.25mg/L + Testostérone</c:v>
                </c:pt>
                <c:pt idx="19">
                  <c:v>Dutasteride-0.5mg/L + Testostérone</c:v>
                </c:pt>
                <c:pt idx="20">
                  <c:v>Dutasteride-1mg/L + Testostérone</c:v>
                </c:pt>
              </c:strCache>
            </c:strRef>
          </c:cat>
          <c:val>
            <c:numRef>
              <c:f>'R1'!$B$53:$V$53</c:f>
              <c:numCache>
                <c:formatCode>0.0000</c:formatCode>
                <c:ptCount val="21"/>
                <c:pt idx="0">
                  <c:v>6.8974024447408175E-2</c:v>
                </c:pt>
                <c:pt idx="1">
                  <c:v>3.5901235141226381E-2</c:v>
                </c:pt>
                <c:pt idx="2">
                  <c:v>6.4864505979790182E-2</c:v>
                </c:pt>
                <c:pt idx="3">
                  <c:v>0.13099557229951633</c:v>
                </c:pt>
                <c:pt idx="4">
                  <c:v>0.76596315909391055</c:v>
                </c:pt>
                <c:pt idx="5">
                  <c:v>1.8482812366214805</c:v>
                </c:pt>
                <c:pt idx="6">
                  <c:v>2.9769544792916847</c:v>
                </c:pt>
                <c:pt idx="7">
                  <c:v>7.7199591914331039E-2</c:v>
                </c:pt>
                <c:pt idx="8">
                  <c:v>6.4085195865157582E-2</c:v>
                </c:pt>
                <c:pt idx="9">
                  <c:v>4.4834276874226316E-2</c:v>
                </c:pt>
                <c:pt idx="10">
                  <c:v>3.8409477605148297E-2</c:v>
                </c:pt>
                <c:pt idx="11">
                  <c:v>8.826158697724909E-2</c:v>
                </c:pt>
                <c:pt idx="13">
                  <c:v>1</c:v>
                </c:pt>
                <c:pt idx="14">
                  <c:v>1.9333827718769183</c:v>
                </c:pt>
                <c:pt idx="15">
                  <c:v>3.9678059300130186E-2</c:v>
                </c:pt>
                <c:pt idx="16">
                  <c:v>0.88531950989085306</c:v>
                </c:pt>
                <c:pt idx="17">
                  <c:v>1.155142938826333</c:v>
                </c:pt>
                <c:pt idx="18">
                  <c:v>1.044013606725577</c:v>
                </c:pt>
                <c:pt idx="19">
                  <c:v>1.8321359482549697</c:v>
                </c:pt>
                <c:pt idx="20">
                  <c:v>0.9185076719235028</c:v>
                </c:pt>
              </c:numCache>
            </c:numRef>
          </c:val>
          <c:extLst>
            <c:ext xmlns:c15="http://schemas.microsoft.com/office/drawing/2012/chart" uri="{02D57815-91ED-43cb-92C2-25804820EDAC}">
              <c15:datalabelsRange>
                <c15:f>'R1'!$B$61:$V$61</c15:f>
                <c15:dlblRangeCache>
                  <c:ptCount val="21"/>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max val="3.2"/>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0CD1-49AE-BE0D-942BFA0A3FC5}"/>
              </c:ext>
            </c:extLst>
          </c:dPt>
          <c:dPt>
            <c:idx val="1"/>
            <c:invertIfNegative val="0"/>
            <c:bubble3D val="0"/>
            <c:spPr>
              <a:solidFill>
                <a:srgbClr val="FF0000"/>
              </a:solidFill>
            </c:spPr>
            <c:extLst>
              <c:ext xmlns:c16="http://schemas.microsoft.com/office/drawing/2014/chart" uri="{C3380CC4-5D6E-409C-BE32-E72D297353CC}">
                <c16:uniqueId val="{00000018-0CD1-49AE-BE0D-942BFA0A3FC5}"/>
              </c:ext>
            </c:extLst>
          </c:dPt>
          <c:dPt>
            <c:idx val="2"/>
            <c:invertIfNegative val="0"/>
            <c:bubble3D val="0"/>
            <c:spPr>
              <a:solidFill>
                <a:srgbClr val="FF0000"/>
              </a:solidFill>
            </c:spPr>
            <c:extLst>
              <c:ext xmlns:c16="http://schemas.microsoft.com/office/drawing/2014/chart" uri="{C3380CC4-5D6E-409C-BE32-E72D297353CC}">
                <c16:uniqueId val="{00000019-0CD1-49AE-BE0D-942BFA0A3FC5}"/>
              </c:ext>
            </c:extLst>
          </c:dPt>
          <c:dPt>
            <c:idx val="3"/>
            <c:invertIfNegative val="0"/>
            <c:bubble3D val="0"/>
            <c:spPr>
              <a:solidFill>
                <a:srgbClr val="FF0000"/>
              </a:solidFill>
            </c:spPr>
            <c:extLst>
              <c:ext xmlns:c16="http://schemas.microsoft.com/office/drawing/2014/chart" uri="{C3380CC4-5D6E-409C-BE32-E72D297353CC}">
                <c16:uniqueId val="{0000001A-0CD1-49AE-BE0D-942BFA0A3FC5}"/>
              </c:ext>
            </c:extLst>
          </c:dPt>
          <c:dPt>
            <c:idx val="4"/>
            <c:invertIfNegative val="0"/>
            <c:bubble3D val="0"/>
            <c:spPr>
              <a:solidFill>
                <a:srgbClr val="FF0000"/>
              </a:solidFill>
            </c:spPr>
            <c:extLst>
              <c:ext xmlns:c16="http://schemas.microsoft.com/office/drawing/2014/chart" uri="{C3380CC4-5D6E-409C-BE32-E72D297353CC}">
                <c16:uniqueId val="{0000001B-0CD1-49AE-BE0D-942BFA0A3FC5}"/>
              </c:ext>
            </c:extLst>
          </c:dPt>
          <c:dPt>
            <c:idx val="5"/>
            <c:invertIfNegative val="0"/>
            <c:bubble3D val="0"/>
            <c:spPr>
              <a:solidFill>
                <a:srgbClr val="FF0000"/>
              </a:solidFill>
            </c:spPr>
            <c:extLst>
              <c:ext xmlns:c16="http://schemas.microsoft.com/office/drawing/2014/chart" uri="{C3380CC4-5D6E-409C-BE32-E72D297353CC}">
                <c16:uniqueId val="{0000001C-0CD1-49AE-BE0D-942BFA0A3FC5}"/>
              </c:ext>
            </c:extLst>
          </c:dPt>
          <c:dPt>
            <c:idx val="6"/>
            <c:invertIfNegative val="0"/>
            <c:bubble3D val="0"/>
            <c:spPr>
              <a:solidFill>
                <a:srgbClr val="FF0000"/>
              </a:solidFill>
            </c:spPr>
            <c:extLst>
              <c:ext xmlns:c16="http://schemas.microsoft.com/office/drawing/2014/chart" uri="{C3380CC4-5D6E-409C-BE32-E72D297353CC}">
                <c16:uniqueId val="{0000001D-0CD1-49AE-BE0D-942BFA0A3FC5}"/>
              </c:ext>
            </c:extLst>
          </c:dPt>
          <c:dPt>
            <c:idx val="7"/>
            <c:invertIfNegative val="0"/>
            <c:bubble3D val="0"/>
            <c:spPr>
              <a:solidFill>
                <a:schemeClr val="bg1">
                  <a:lumMod val="65000"/>
                </a:schemeClr>
              </a:solidFill>
            </c:spPr>
            <c:extLst>
              <c:ext xmlns:c16="http://schemas.microsoft.com/office/drawing/2014/chart" uri="{C3380CC4-5D6E-409C-BE32-E72D297353CC}">
                <c16:uniqueId val="{00000020-0CD1-49AE-BE0D-942BFA0A3FC5}"/>
              </c:ext>
            </c:extLst>
          </c:dPt>
          <c:dPt>
            <c:idx val="8"/>
            <c:invertIfNegative val="0"/>
            <c:bubble3D val="0"/>
            <c:spPr>
              <a:solidFill>
                <a:schemeClr val="bg1">
                  <a:lumMod val="65000"/>
                </a:schemeClr>
              </a:solidFill>
            </c:spPr>
            <c:extLst>
              <c:ext xmlns:c16="http://schemas.microsoft.com/office/drawing/2014/chart" uri="{C3380CC4-5D6E-409C-BE32-E72D297353CC}">
                <c16:uniqueId val="{0000001E-0CD1-49AE-BE0D-942BFA0A3FC5}"/>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1F-0CD1-49AE-BE0D-942BFA0A3FC5}"/>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0CD1-49AE-BE0D-942BFA0A3FC5}"/>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0CD1-49AE-BE0D-942BFA0A3FC5}"/>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0CD1-49AE-BE0D-942BFA0A3FC5}"/>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0CD1-49AE-BE0D-942BFA0A3FC5}"/>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0CD1-49AE-BE0D-942BFA0A3FC5}"/>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0CD1-49AE-BE0D-942BFA0A3FC5}"/>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7C3AB70A-9421-4947-966E-F3091E3EDF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CD1-49AE-BE0D-942BFA0A3FC5}"/>
                </c:ext>
              </c:extLst>
            </c:dLbl>
            <c:dLbl>
              <c:idx val="1"/>
              <c:tx>
                <c:rich>
                  <a:bodyPr/>
                  <a:lstStyle/>
                  <a:p>
                    <a:fld id="{603B5124-3E9F-4B0F-B6D7-88AB0DC2C1D6}"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0CD1-49AE-BE0D-942BFA0A3FC5}"/>
                </c:ext>
              </c:extLst>
            </c:dLbl>
            <c:dLbl>
              <c:idx val="2"/>
              <c:tx>
                <c:rich>
                  <a:bodyPr/>
                  <a:lstStyle/>
                  <a:p>
                    <a:fld id="{B192A9DB-ED4B-45FB-AD0A-1D377AF782DA}"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0CD1-49AE-BE0D-942BFA0A3FC5}"/>
                </c:ext>
              </c:extLst>
            </c:dLbl>
            <c:dLbl>
              <c:idx val="3"/>
              <c:tx>
                <c:rich>
                  <a:bodyPr/>
                  <a:lstStyle/>
                  <a:p>
                    <a:fld id="{F2779CA5-B651-45DC-9567-D5F2F2BA8636}"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0CD1-49AE-BE0D-942BFA0A3FC5}"/>
                </c:ext>
              </c:extLst>
            </c:dLbl>
            <c:dLbl>
              <c:idx val="4"/>
              <c:tx>
                <c:rich>
                  <a:bodyPr/>
                  <a:lstStyle/>
                  <a:p>
                    <a:fld id="{57813BA6-265A-4BB7-A303-1DF3B91D5DF6}"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0CD1-49AE-BE0D-942BFA0A3FC5}"/>
                </c:ext>
              </c:extLst>
            </c:dLbl>
            <c:dLbl>
              <c:idx val="5"/>
              <c:tx>
                <c:rich>
                  <a:bodyPr/>
                  <a:lstStyle/>
                  <a:p>
                    <a:fld id="{984AF549-C553-4787-A0DE-9AC059C9FFBA}"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0CD1-49AE-BE0D-942BFA0A3FC5}"/>
                </c:ext>
              </c:extLst>
            </c:dLbl>
            <c:dLbl>
              <c:idx val="6"/>
              <c:tx>
                <c:rich>
                  <a:bodyPr/>
                  <a:lstStyle/>
                  <a:p>
                    <a:fld id="{CE3D1346-5079-4009-8255-8CFD5D574482}"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CD1-49AE-BE0D-942BFA0A3FC5}"/>
                </c:ext>
              </c:extLst>
            </c:dLbl>
            <c:dLbl>
              <c:idx val="7"/>
              <c:tx>
                <c:rich>
                  <a:bodyPr/>
                  <a:lstStyle/>
                  <a:p>
                    <a:fld id="{9074FEBE-A74D-43EA-803F-E28AD691A64C}"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0CD1-49AE-BE0D-942BFA0A3FC5}"/>
                </c:ext>
              </c:extLst>
            </c:dLbl>
            <c:dLbl>
              <c:idx val="8"/>
              <c:tx>
                <c:rich>
                  <a:bodyPr/>
                  <a:lstStyle/>
                  <a:p>
                    <a:fld id="{0C8DC6CE-E3C1-4A89-8380-CB1F63FCF071}"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0CD1-49AE-BE0D-942BFA0A3FC5}"/>
                </c:ext>
              </c:extLst>
            </c:dLbl>
            <c:dLbl>
              <c:idx val="9"/>
              <c:tx>
                <c:rich>
                  <a:bodyPr/>
                  <a:lstStyle/>
                  <a:p>
                    <a:fld id="{923E4B40-92F4-4CFB-8118-219DF9010B98}"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ED2-4ACE-91AA-7F8713196E92}"/>
                </c:ext>
              </c:extLst>
            </c:dLbl>
            <c:dLbl>
              <c:idx val="10"/>
              <c:tx>
                <c:rich>
                  <a:bodyPr/>
                  <a:lstStyle/>
                  <a:p>
                    <a:fld id="{C28DD1C9-5D6B-41C5-96F4-48EF44FBEFF2}"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CD1-49AE-BE0D-942BFA0A3FC5}"/>
                </c:ext>
              </c:extLst>
            </c:dLbl>
            <c:dLbl>
              <c:idx val="11"/>
              <c:tx>
                <c:rich>
                  <a:bodyPr/>
                  <a:lstStyle/>
                  <a:p>
                    <a:fld id="{0E7DC114-0DBA-45E4-8A1F-07FBD4401F57}"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ED2-4ACE-91AA-7F8713196E92}"/>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0CD1-49AE-BE0D-942BFA0A3FC5}"/>
                </c:ext>
              </c:extLst>
            </c:dLbl>
            <c:dLbl>
              <c:idx val="13"/>
              <c:tx>
                <c:rich>
                  <a:bodyPr/>
                  <a:lstStyle/>
                  <a:p>
                    <a:fld id="{A7F91F3F-D7FF-4161-9E21-F9CCD4457509}"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ED2-4ACE-91AA-7F8713196E92}"/>
                </c:ext>
              </c:extLst>
            </c:dLbl>
            <c:dLbl>
              <c:idx val="14"/>
              <c:tx>
                <c:rich>
                  <a:bodyPr/>
                  <a:lstStyle/>
                  <a:p>
                    <a:fld id="{B27E0073-5A4B-4B5A-AA80-8147DBE7B1DE}"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CD1-49AE-BE0D-942BFA0A3FC5}"/>
                </c:ext>
              </c:extLst>
            </c:dLbl>
            <c:dLbl>
              <c:idx val="15"/>
              <c:tx>
                <c:rich>
                  <a:bodyPr/>
                  <a:lstStyle/>
                  <a:p>
                    <a:fld id="{D3DF174D-6CFF-44AE-84C7-7A3BDD8FF151}"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ED2-4ACE-91AA-7F8713196E92}"/>
                </c:ext>
              </c:extLst>
            </c:dLbl>
            <c:dLbl>
              <c:idx val="16"/>
              <c:tx>
                <c:rich>
                  <a:bodyPr/>
                  <a:lstStyle/>
                  <a:p>
                    <a:fld id="{22B4853D-7504-4A84-99A2-985AFB3BD543}"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0CD1-49AE-BE0D-942BFA0A3FC5}"/>
                </c:ext>
              </c:extLst>
            </c:dLbl>
            <c:dLbl>
              <c:idx val="17"/>
              <c:tx>
                <c:rich>
                  <a:bodyPr/>
                  <a:lstStyle/>
                  <a:p>
                    <a:fld id="{24D9605E-DC72-4BBE-9590-8306C6AF5F6C}"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CD1-49AE-BE0D-942BFA0A3FC5}"/>
                </c:ext>
              </c:extLst>
            </c:dLbl>
            <c:dLbl>
              <c:idx val="18"/>
              <c:tx>
                <c:rich>
                  <a:bodyPr/>
                  <a:lstStyle/>
                  <a:p>
                    <a:fld id="{79E6CD7D-0D0B-4CDF-B4C1-19E02C54FBE2}"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0CD1-49AE-BE0D-942BFA0A3FC5}"/>
                </c:ext>
              </c:extLst>
            </c:dLbl>
            <c:dLbl>
              <c:idx val="19"/>
              <c:tx>
                <c:rich>
                  <a:bodyPr/>
                  <a:lstStyle/>
                  <a:p>
                    <a:fld id="{03209A0C-D388-45A7-AB42-CF43ED9200A4}"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CD1-49AE-BE0D-942BFA0A3FC5}"/>
                </c:ext>
              </c:extLst>
            </c:dLbl>
            <c:dLbl>
              <c:idx val="20"/>
              <c:tx>
                <c:rich>
                  <a:bodyPr/>
                  <a:lstStyle/>
                  <a:p>
                    <a:fld id="{37D10CFA-747B-4D3C-AEF7-70838DAA21CC}" type="CELLRANGE">
                      <a:rPr lang="fr-FR"/>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0CD1-49AE-BE0D-942BFA0A3FC5}"/>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1.6797224169478479E-2</c:v>
                  </c:pt>
                  <c:pt idx="1">
                    <c:v>6.5237603888261197E-3</c:v>
                  </c:pt>
                  <c:pt idx="2">
                    <c:v>1.4357012077916061E-2</c:v>
                  </c:pt>
                  <c:pt idx="3">
                    <c:v>6.5989844652901933E-2</c:v>
                  </c:pt>
                  <c:pt idx="4">
                    <c:v>6.0407374042904097E-2</c:v>
                  </c:pt>
                  <c:pt idx="5">
                    <c:v>0.15844070753744913</c:v>
                  </c:pt>
                  <c:pt idx="6">
                    <c:v>0.25404364368003374</c:v>
                  </c:pt>
                  <c:pt idx="7">
                    <c:v>7.5309841042615561E-3</c:v>
                  </c:pt>
                  <c:pt idx="8">
                    <c:v>2.5197828280545922E-2</c:v>
                  </c:pt>
                  <c:pt idx="9">
                    <c:v>7.6650185313206229E-3</c:v>
                  </c:pt>
                  <c:pt idx="10">
                    <c:v>1.0898209558353361E-2</c:v>
                  </c:pt>
                  <c:pt idx="11">
                    <c:v>8.0088024188595692E-3</c:v>
                  </c:pt>
                  <c:pt idx="13">
                    <c:v>0.13842089696161775</c:v>
                  </c:pt>
                  <c:pt idx="14">
                    <c:v>8.3260793992620027E-2</c:v>
                  </c:pt>
                  <c:pt idx="15">
                    <c:v>8.9865448087833918E-3</c:v>
                  </c:pt>
                  <c:pt idx="16">
                    <c:v>0.21807838098624999</c:v>
                  </c:pt>
                  <c:pt idx="17">
                    <c:v>0.19374837090252922</c:v>
                  </c:pt>
                  <c:pt idx="18">
                    <c:v>0.13347593730722951</c:v>
                  </c:pt>
                  <c:pt idx="19">
                    <c:v>0.18764451597441362</c:v>
                  </c:pt>
                  <c:pt idx="20">
                    <c:v>0.1922777623074782</c:v>
                  </c:pt>
                </c:numCache>
              </c:numRef>
            </c:plus>
            <c:minus>
              <c:numRef>
                <c:f>'R1'!$N$48:$V$48</c:f>
                <c:numCache>
                  <c:formatCode>General</c:formatCode>
                  <c:ptCount val="9"/>
                  <c:pt idx="0">
                    <c:v>0</c:v>
                  </c:pt>
                  <c:pt idx="1">
                    <c:v>0.15084636207762883</c:v>
                  </c:pt>
                  <c:pt idx="2">
                    <c:v>0.30288857960608034</c:v>
                  </c:pt>
                  <c:pt idx="3">
                    <c:v>8.2001903868774532E-3</c:v>
                  </c:pt>
                  <c:pt idx="4">
                    <c:v>0.27952620745490619</c:v>
                  </c:pt>
                  <c:pt idx="5">
                    <c:v>0.2590154543346338</c:v>
                  </c:pt>
                  <c:pt idx="6">
                    <c:v>0.31973276534804018</c:v>
                  </c:pt>
                  <c:pt idx="7">
                    <c:v>0.20012153148070119</c:v>
                  </c:pt>
                  <c:pt idx="8">
                    <c:v>0.23779640061487686</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Dutasteride-0,01mg/L</c:v>
                </c:pt>
                <c:pt idx="8">
                  <c:v>Dutasteride-0,1mg/L</c:v>
                </c:pt>
                <c:pt idx="9">
                  <c:v>Dutasteride-0,25mg/L</c:v>
                </c:pt>
                <c:pt idx="10">
                  <c:v>Dutasteride-0,5mg/L</c:v>
                </c:pt>
                <c:pt idx="11">
                  <c:v>Dutasteride-1mg/L</c:v>
                </c:pt>
                <c:pt idx="13">
                  <c:v>Testo -30µg/L</c:v>
                </c:pt>
                <c:pt idx="14">
                  <c:v>Testo 30µg/L + EE2 -64ng/L</c:v>
                </c:pt>
                <c:pt idx="15">
                  <c:v>Testo 30µg/L + FAD-10µg/L</c:v>
                </c:pt>
                <c:pt idx="16">
                  <c:v>Dutasteride-0.01mg/L + Testostérone</c:v>
                </c:pt>
                <c:pt idx="17">
                  <c:v>Dutasteride-0.1mg/L + Testostérone</c:v>
                </c:pt>
                <c:pt idx="18">
                  <c:v>Dutasteride-0.25mg/L + Testostérone</c:v>
                </c:pt>
                <c:pt idx="19">
                  <c:v>Dutasteride-0.5mg/L + Testostérone</c:v>
                </c:pt>
                <c:pt idx="20">
                  <c:v>Dutasteride-1mg/L + Testostérone</c:v>
                </c:pt>
              </c:strCache>
            </c:strRef>
          </c:cat>
          <c:val>
            <c:numRef>
              <c:f>'R2'!$B$53:$V$53</c:f>
              <c:numCache>
                <c:formatCode>0.0000</c:formatCode>
                <c:ptCount val="21"/>
                <c:pt idx="0">
                  <c:v>5.6469956439676755E-2</c:v>
                </c:pt>
                <c:pt idx="1">
                  <c:v>3.7453695402098024E-2</c:v>
                </c:pt>
                <c:pt idx="2">
                  <c:v>6.8092141262574193E-2</c:v>
                </c:pt>
                <c:pt idx="3">
                  <c:v>0.16057544502007873</c:v>
                </c:pt>
                <c:pt idx="4">
                  <c:v>0.25843390920518122</c:v>
                </c:pt>
                <c:pt idx="5">
                  <c:v>1.1201258875388462</c:v>
                </c:pt>
                <c:pt idx="6">
                  <c:v>2.2301370874818929</c:v>
                </c:pt>
                <c:pt idx="7">
                  <c:v>3.2947776733012829E-2</c:v>
                </c:pt>
                <c:pt idx="8">
                  <c:v>8.4299715029899414E-2</c:v>
                </c:pt>
                <c:pt idx="9">
                  <c:v>3.6218501596572694E-2</c:v>
                </c:pt>
                <c:pt idx="10">
                  <c:v>3.7783069798041122E-2</c:v>
                </c:pt>
                <c:pt idx="11">
                  <c:v>3.0940175453512138E-2</c:v>
                </c:pt>
                <c:pt idx="13">
                  <c:v>0.99999999999999989</c:v>
                </c:pt>
                <c:pt idx="14">
                  <c:v>1.4807087726982533</c:v>
                </c:pt>
                <c:pt idx="15">
                  <c:v>3.8343541006778566E-2</c:v>
                </c:pt>
                <c:pt idx="16">
                  <c:v>0.95020103367204511</c:v>
                </c:pt>
                <c:pt idx="17">
                  <c:v>1.0706609906615514</c:v>
                </c:pt>
                <c:pt idx="18">
                  <c:v>1.2384361238450461</c:v>
                </c:pt>
                <c:pt idx="19">
                  <c:v>1.1065303212663626</c:v>
                </c:pt>
                <c:pt idx="20">
                  <c:v>1.4420669727331625</c:v>
                </c:pt>
              </c:numCache>
            </c:numRef>
          </c:val>
          <c:extLst>
            <c:ext xmlns:c15="http://schemas.microsoft.com/office/drawing/2012/chart" uri="{02D57815-91ED-43cb-92C2-25804820EDAC}">
              <c15:datalabelsRange>
                <c15:f>'R2'!$B$61:$V$61</c15:f>
                <c15:dlblRangeCache>
                  <c:ptCount val="21"/>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32C9-4F2B-B491-537A125C9642}"/>
              </c:ext>
            </c:extLst>
          </c:dPt>
          <c:dPt>
            <c:idx val="1"/>
            <c:invertIfNegative val="0"/>
            <c:bubble3D val="0"/>
            <c:spPr>
              <a:solidFill>
                <a:srgbClr val="FF0000"/>
              </a:solidFill>
            </c:spPr>
            <c:extLst>
              <c:ext xmlns:c16="http://schemas.microsoft.com/office/drawing/2014/chart" uri="{C3380CC4-5D6E-409C-BE32-E72D297353CC}">
                <c16:uniqueId val="{00000018-32C9-4F2B-B491-537A125C9642}"/>
              </c:ext>
            </c:extLst>
          </c:dPt>
          <c:dPt>
            <c:idx val="2"/>
            <c:invertIfNegative val="0"/>
            <c:bubble3D val="0"/>
            <c:spPr>
              <a:solidFill>
                <a:srgbClr val="FF0000"/>
              </a:solidFill>
            </c:spPr>
            <c:extLst>
              <c:ext xmlns:c16="http://schemas.microsoft.com/office/drawing/2014/chart" uri="{C3380CC4-5D6E-409C-BE32-E72D297353CC}">
                <c16:uniqueId val="{00000019-32C9-4F2B-B491-537A125C9642}"/>
              </c:ext>
            </c:extLst>
          </c:dPt>
          <c:dPt>
            <c:idx val="3"/>
            <c:invertIfNegative val="0"/>
            <c:bubble3D val="0"/>
            <c:spPr>
              <a:solidFill>
                <a:srgbClr val="FF0000"/>
              </a:solidFill>
            </c:spPr>
            <c:extLst>
              <c:ext xmlns:c16="http://schemas.microsoft.com/office/drawing/2014/chart" uri="{C3380CC4-5D6E-409C-BE32-E72D297353CC}">
                <c16:uniqueId val="{0000001A-32C9-4F2B-B491-537A125C9642}"/>
              </c:ext>
            </c:extLst>
          </c:dPt>
          <c:dPt>
            <c:idx val="4"/>
            <c:invertIfNegative val="0"/>
            <c:bubble3D val="0"/>
            <c:spPr>
              <a:solidFill>
                <a:srgbClr val="FF0000"/>
              </a:solidFill>
            </c:spPr>
            <c:extLst>
              <c:ext xmlns:c16="http://schemas.microsoft.com/office/drawing/2014/chart" uri="{C3380CC4-5D6E-409C-BE32-E72D297353CC}">
                <c16:uniqueId val="{0000001B-32C9-4F2B-B491-537A125C9642}"/>
              </c:ext>
            </c:extLst>
          </c:dPt>
          <c:dPt>
            <c:idx val="5"/>
            <c:invertIfNegative val="0"/>
            <c:bubble3D val="0"/>
            <c:spPr>
              <a:solidFill>
                <a:srgbClr val="FF0000"/>
              </a:solidFill>
            </c:spPr>
            <c:extLst>
              <c:ext xmlns:c16="http://schemas.microsoft.com/office/drawing/2014/chart" uri="{C3380CC4-5D6E-409C-BE32-E72D297353CC}">
                <c16:uniqueId val="{0000001C-32C9-4F2B-B491-537A125C9642}"/>
              </c:ext>
            </c:extLst>
          </c:dPt>
          <c:dPt>
            <c:idx val="6"/>
            <c:invertIfNegative val="0"/>
            <c:bubble3D val="0"/>
            <c:spPr>
              <a:solidFill>
                <a:srgbClr val="FF0000"/>
              </a:solidFill>
            </c:spPr>
            <c:extLst>
              <c:ext xmlns:c16="http://schemas.microsoft.com/office/drawing/2014/chart" uri="{C3380CC4-5D6E-409C-BE32-E72D297353CC}">
                <c16:uniqueId val="{0000001D-32C9-4F2B-B491-537A125C9642}"/>
              </c:ext>
            </c:extLst>
          </c:dPt>
          <c:dPt>
            <c:idx val="7"/>
            <c:invertIfNegative val="0"/>
            <c:bubble3D val="0"/>
            <c:spPr>
              <a:solidFill>
                <a:schemeClr val="bg1">
                  <a:lumMod val="65000"/>
                </a:schemeClr>
              </a:solidFill>
            </c:spPr>
            <c:extLst>
              <c:ext xmlns:c16="http://schemas.microsoft.com/office/drawing/2014/chart" uri="{C3380CC4-5D6E-409C-BE32-E72D297353CC}">
                <c16:uniqueId val="{0000001E-32C9-4F2B-B491-537A125C9642}"/>
              </c:ext>
            </c:extLst>
          </c:dPt>
          <c:dPt>
            <c:idx val="8"/>
            <c:invertIfNegative val="0"/>
            <c:bubble3D val="0"/>
            <c:spPr>
              <a:solidFill>
                <a:schemeClr val="bg1">
                  <a:lumMod val="65000"/>
                </a:schemeClr>
              </a:solidFill>
            </c:spPr>
            <c:extLst>
              <c:ext xmlns:c16="http://schemas.microsoft.com/office/drawing/2014/chart" uri="{C3380CC4-5D6E-409C-BE32-E72D297353CC}">
                <c16:uniqueId val="{0000001F-32C9-4F2B-B491-537A125C9642}"/>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32C9-4F2B-B491-537A125C964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32C9-4F2B-B491-537A125C9642}"/>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32C9-4F2B-B491-537A125C9642}"/>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32C9-4F2B-B491-537A125C9642}"/>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32C9-4F2B-B491-537A125C9642}"/>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32C9-4F2B-B491-537A125C9642}"/>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32C9-4F2B-B491-537A125C964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2EA68844-DEC9-4056-937A-813725FA7D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32C9-4F2B-B491-537A125C9642}"/>
                </c:ext>
              </c:extLst>
            </c:dLbl>
            <c:dLbl>
              <c:idx val="1"/>
              <c:tx>
                <c:rich>
                  <a:bodyPr/>
                  <a:lstStyle/>
                  <a:p>
                    <a:fld id="{F1193A9A-EC48-4D50-BAB5-8842FB278D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2C9-4F2B-B491-537A125C9642}"/>
                </c:ext>
              </c:extLst>
            </c:dLbl>
            <c:dLbl>
              <c:idx val="2"/>
              <c:tx>
                <c:rich>
                  <a:bodyPr/>
                  <a:lstStyle/>
                  <a:p>
                    <a:fld id="{DAF7D13A-2020-4E4B-AECA-A12BFAACCAD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2C9-4F2B-B491-537A125C9642}"/>
                </c:ext>
              </c:extLst>
            </c:dLbl>
            <c:dLbl>
              <c:idx val="3"/>
              <c:tx>
                <c:rich>
                  <a:bodyPr/>
                  <a:lstStyle/>
                  <a:p>
                    <a:fld id="{0B40CECC-1A31-419B-86A6-7A6109A3CE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2C9-4F2B-B491-537A125C9642}"/>
                </c:ext>
              </c:extLst>
            </c:dLbl>
            <c:dLbl>
              <c:idx val="4"/>
              <c:tx>
                <c:rich>
                  <a:bodyPr/>
                  <a:lstStyle/>
                  <a:p>
                    <a:fld id="{5108FACC-11A2-46F3-9E84-F5AC3ACA5C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2C9-4F2B-B491-537A125C9642}"/>
                </c:ext>
              </c:extLst>
            </c:dLbl>
            <c:dLbl>
              <c:idx val="5"/>
              <c:tx>
                <c:rich>
                  <a:bodyPr/>
                  <a:lstStyle/>
                  <a:p>
                    <a:fld id="{9679755B-77E2-4163-88A8-9BDE5E8A7C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2C9-4F2B-B491-537A125C9642}"/>
                </c:ext>
              </c:extLst>
            </c:dLbl>
            <c:dLbl>
              <c:idx val="6"/>
              <c:tx>
                <c:rich>
                  <a:bodyPr/>
                  <a:lstStyle/>
                  <a:p>
                    <a:fld id="{B28B9ACD-9E40-48EB-94E9-B9DFCBD0BD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2C9-4F2B-B491-537A125C9642}"/>
                </c:ext>
              </c:extLst>
            </c:dLbl>
            <c:dLbl>
              <c:idx val="7"/>
              <c:tx>
                <c:rich>
                  <a:bodyPr/>
                  <a:lstStyle/>
                  <a:p>
                    <a:fld id="{83957B50-AD56-4556-A70B-4351DA3D5A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32C9-4F2B-B491-537A125C9642}"/>
                </c:ext>
              </c:extLst>
            </c:dLbl>
            <c:dLbl>
              <c:idx val="8"/>
              <c:tx>
                <c:rich>
                  <a:bodyPr/>
                  <a:lstStyle/>
                  <a:p>
                    <a:fld id="{7B625CC3-31CA-4773-BCE2-BF5DCBC063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32C9-4F2B-B491-537A125C9642}"/>
                </c:ext>
              </c:extLst>
            </c:dLbl>
            <c:dLbl>
              <c:idx val="9"/>
              <c:tx>
                <c:rich>
                  <a:bodyPr/>
                  <a:lstStyle/>
                  <a:p>
                    <a:fld id="{DCFB01FC-C3BD-43F7-84F5-B0A3D16867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A6C0C52D-BBEF-4383-A080-F501C37722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32C9-4F2B-B491-537A125C9642}"/>
                </c:ext>
              </c:extLst>
            </c:dLbl>
            <c:dLbl>
              <c:idx val="11"/>
              <c:tx>
                <c:rich>
                  <a:bodyPr/>
                  <a:lstStyle/>
                  <a:p>
                    <a:fld id="{CACA4C84-4AFE-4B92-9ABD-8E5FDC2501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32C9-4F2B-B491-537A125C9642}"/>
                </c:ext>
              </c:extLst>
            </c:dLbl>
            <c:dLbl>
              <c:idx val="13"/>
              <c:tx>
                <c:rich>
                  <a:bodyPr/>
                  <a:lstStyle/>
                  <a:p>
                    <a:fld id="{3AAEBE1E-DC5C-4F0A-BB7F-3E17433197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97653F2D-FBE7-47B6-B7A9-1B7610A66BB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32C9-4F2B-B491-537A125C9642}"/>
                </c:ext>
              </c:extLst>
            </c:dLbl>
            <c:dLbl>
              <c:idx val="15"/>
              <c:tx>
                <c:rich>
                  <a:bodyPr/>
                  <a:lstStyle/>
                  <a:p>
                    <a:fld id="{33669173-4842-46EF-81B2-09158E8948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01F9D7B3-FC73-48CC-9B82-7EEE8045E64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32C9-4F2B-B491-537A125C9642}"/>
                </c:ext>
              </c:extLst>
            </c:dLbl>
            <c:dLbl>
              <c:idx val="17"/>
              <c:tx>
                <c:rich>
                  <a:bodyPr/>
                  <a:lstStyle/>
                  <a:p>
                    <a:fld id="{C8CEE04F-8D30-40BB-8B81-8BA5018EFEF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32C9-4F2B-B491-537A125C9642}"/>
                </c:ext>
              </c:extLst>
            </c:dLbl>
            <c:dLbl>
              <c:idx val="18"/>
              <c:tx>
                <c:rich>
                  <a:bodyPr/>
                  <a:lstStyle/>
                  <a:p>
                    <a:fld id="{F8A912FC-7E1C-4467-87B7-79DAB4B418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32C9-4F2B-B491-537A125C9642}"/>
                </c:ext>
              </c:extLst>
            </c:dLbl>
            <c:dLbl>
              <c:idx val="19"/>
              <c:tx>
                <c:rich>
                  <a:bodyPr/>
                  <a:lstStyle/>
                  <a:p>
                    <a:fld id="{99C192A1-D1B3-4579-B194-0E9BC4D12A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32C9-4F2B-B491-537A125C9642}"/>
                </c:ext>
              </c:extLst>
            </c:dLbl>
            <c:dLbl>
              <c:idx val="20"/>
              <c:tx>
                <c:rich>
                  <a:bodyPr/>
                  <a:lstStyle/>
                  <a:p>
                    <a:fld id="{57850E73-1337-44AF-AF5F-E17F2A77FA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32C9-4F2B-B491-537A125C9642}"/>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'R3'!$B$54:$V$54</c:f>
                <c:numCache>
                  <c:formatCode>General</c:formatCode>
                  <c:ptCount val="21"/>
                  <c:pt idx="0">
                    <c:v>2.9684936862500191E-2</c:v>
                  </c:pt>
                  <c:pt idx="1">
                    <c:v>3.2991221821498697E-2</c:v>
                  </c:pt>
                  <c:pt idx="2">
                    <c:v>2.9648852256606965E-2</c:v>
                  </c:pt>
                  <c:pt idx="3">
                    <c:v>2.7789059819609566E-2</c:v>
                  </c:pt>
                  <c:pt idx="4">
                    <c:v>0.11139077541711656</c:v>
                  </c:pt>
                  <c:pt idx="5">
                    <c:v>0.32406714351545002</c:v>
                  </c:pt>
                  <c:pt idx="6">
                    <c:v>0.27500828782696002</c:v>
                  </c:pt>
                  <c:pt idx="7">
                    <c:v>6.7929867170634321E-3</c:v>
                  </c:pt>
                  <c:pt idx="8">
                    <c:v>1.2169676992886302E-2</c:v>
                  </c:pt>
                  <c:pt idx="9">
                    <c:v>1.9727759502684763E-2</c:v>
                  </c:pt>
                  <c:pt idx="10">
                    <c:v>2.6158775292137608E-2</c:v>
                  </c:pt>
                  <c:pt idx="11">
                    <c:v>1.1073792734708814E-2</c:v>
                  </c:pt>
                  <c:pt idx="13">
                    <c:v>0.14361064292048703</c:v>
                  </c:pt>
                  <c:pt idx="14">
                    <c:v>0.20120688212166382</c:v>
                  </c:pt>
                  <c:pt idx="15">
                    <c:v>2.1204416024136575E-2</c:v>
                  </c:pt>
                  <c:pt idx="16">
                    <c:v>0.18959745258558694</c:v>
                  </c:pt>
                  <c:pt idx="17">
                    <c:v>0.26174909637810828</c:v>
                  </c:pt>
                  <c:pt idx="18">
                    <c:v>0.27689780285129861</c:v>
                  </c:pt>
                  <c:pt idx="19">
                    <c:v>0.23297741488131446</c:v>
                  </c:pt>
                  <c:pt idx="20">
                    <c:v>0.13970677482533808</c:v>
                  </c:pt>
                </c:numCache>
              </c:numRef>
            </c:plus>
            <c:minus>
              <c:numRef>
                <c:f>'R1'!$N$48:$V$48</c:f>
                <c:numCache>
                  <c:formatCode>General</c:formatCode>
                  <c:ptCount val="9"/>
                  <c:pt idx="0">
                    <c:v>0</c:v>
                  </c:pt>
                  <c:pt idx="1">
                    <c:v>0.15084636207762883</c:v>
                  </c:pt>
                  <c:pt idx="2">
                    <c:v>0.30288857960608034</c:v>
                  </c:pt>
                  <c:pt idx="3">
                    <c:v>8.2001903868774532E-3</c:v>
                  </c:pt>
                  <c:pt idx="4">
                    <c:v>0.27952620745490619</c:v>
                  </c:pt>
                  <c:pt idx="5">
                    <c:v>0.2590154543346338</c:v>
                  </c:pt>
                  <c:pt idx="6">
                    <c:v>0.31973276534804018</c:v>
                  </c:pt>
                  <c:pt idx="7">
                    <c:v>0.20012153148070119</c:v>
                  </c:pt>
                  <c:pt idx="8">
                    <c:v>0.23779640061487686</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Dutasteride-0,01mg/L</c:v>
                </c:pt>
                <c:pt idx="8">
                  <c:v>Dutasteride-0,1mg/L</c:v>
                </c:pt>
                <c:pt idx="9">
                  <c:v>Dutasteride-0,25mg/L</c:v>
                </c:pt>
                <c:pt idx="10">
                  <c:v>Dutasteride-0,5mg/L</c:v>
                </c:pt>
                <c:pt idx="11">
                  <c:v>Dutasteride-1mg/L</c:v>
                </c:pt>
                <c:pt idx="13">
                  <c:v>Testo -30µg/L</c:v>
                </c:pt>
                <c:pt idx="14">
                  <c:v>Testo 30µg/L + EE2 -64ng/L</c:v>
                </c:pt>
                <c:pt idx="15">
                  <c:v>Testo 30µg/L + FAD-10µg/L</c:v>
                </c:pt>
                <c:pt idx="16">
                  <c:v>Dutasteride-0.01mg/L + Testostérone</c:v>
                </c:pt>
                <c:pt idx="17">
                  <c:v>Dutasteride-0.1mg/L + Testostérone</c:v>
                </c:pt>
                <c:pt idx="18">
                  <c:v>Dutasteride-0.25mg/L + Testostérone</c:v>
                </c:pt>
                <c:pt idx="19">
                  <c:v>Dutasteride-0.5mg/L + Testostérone</c:v>
                </c:pt>
                <c:pt idx="20">
                  <c:v>Dutasteride-1mg/L + Testostérone</c:v>
                </c:pt>
              </c:strCache>
            </c:strRef>
          </c:cat>
          <c:val>
            <c:numRef>
              <c:f>'R3'!$B$53:$V$53</c:f>
              <c:numCache>
                <c:formatCode>0.0000</c:formatCode>
                <c:ptCount val="21"/>
                <c:pt idx="0">
                  <c:v>9.6008478459502972E-2</c:v>
                </c:pt>
                <c:pt idx="1">
                  <c:v>8.3793299115242054E-2</c:v>
                </c:pt>
                <c:pt idx="2">
                  <c:v>0.12455490232393979</c:v>
                </c:pt>
                <c:pt idx="3">
                  <c:v>0.13575716675084171</c:v>
                </c:pt>
                <c:pt idx="4">
                  <c:v>0.29954119305488514</c:v>
                </c:pt>
                <c:pt idx="5">
                  <c:v>0.97900195225204001</c:v>
                </c:pt>
                <c:pt idx="6">
                  <c:v>1.9010138931137983</c:v>
                </c:pt>
                <c:pt idx="7">
                  <c:v>4.0698596474730661E-2</c:v>
                </c:pt>
                <c:pt idx="8">
                  <c:v>4.3099943610935519E-2</c:v>
                </c:pt>
                <c:pt idx="9">
                  <c:v>7.9441620447996464E-2</c:v>
                </c:pt>
                <c:pt idx="10">
                  <c:v>0.12948637219734505</c:v>
                </c:pt>
                <c:pt idx="11">
                  <c:v>5.0956299924551751E-2</c:v>
                </c:pt>
                <c:pt idx="13">
                  <c:v>1.0000000000000002</c:v>
                </c:pt>
                <c:pt idx="14">
                  <c:v>1.148083377942176</c:v>
                </c:pt>
                <c:pt idx="15">
                  <c:v>8.4561154400320193E-2</c:v>
                </c:pt>
                <c:pt idx="16">
                  <c:v>1.2766071910325885</c:v>
                </c:pt>
                <c:pt idx="17">
                  <c:v>1.1248444812850569</c:v>
                </c:pt>
                <c:pt idx="18">
                  <c:v>1.3623876412666986</c:v>
                </c:pt>
                <c:pt idx="19">
                  <c:v>1.5557874884324465</c:v>
                </c:pt>
                <c:pt idx="20">
                  <c:v>1.0345267317301827</c:v>
                </c:pt>
              </c:numCache>
            </c:numRef>
          </c:val>
          <c:extLst>
            <c:ext xmlns:c15="http://schemas.microsoft.com/office/drawing/2012/chart" uri="{02D57815-91ED-43cb-92C2-25804820EDAC}">
              <c15:datalabelsRange>
                <c15:f>'R3'!$B$61:$V$61</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3"/>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FF0000"/>
              </a:solidFill>
            </c:spPr>
            <c:extLst>
              <c:ext xmlns:c16="http://schemas.microsoft.com/office/drawing/2014/chart" uri="{C3380CC4-5D6E-409C-BE32-E72D297353CC}">
                <c16:uniqueId val="{00000001-033C-4530-84A9-991A3866ABD4}"/>
              </c:ext>
            </c:extLst>
          </c:dPt>
          <c:dPt>
            <c:idx val="2"/>
            <c:invertIfNegative val="0"/>
            <c:bubble3D val="0"/>
            <c:spPr>
              <a:solidFill>
                <a:srgbClr val="FF0000"/>
              </a:solidFill>
            </c:spPr>
            <c:extLst>
              <c:ext xmlns:c16="http://schemas.microsoft.com/office/drawing/2014/chart" uri="{C3380CC4-5D6E-409C-BE32-E72D297353CC}">
                <c16:uniqueId val="{00000003-033C-4530-84A9-991A3866ABD4}"/>
              </c:ext>
            </c:extLst>
          </c:dPt>
          <c:dPt>
            <c:idx val="3"/>
            <c:invertIfNegative val="0"/>
            <c:bubble3D val="0"/>
            <c:spPr>
              <a:solidFill>
                <a:srgbClr val="FF0000"/>
              </a:solidFill>
            </c:spPr>
            <c:extLst>
              <c:ext xmlns:c16="http://schemas.microsoft.com/office/drawing/2014/chart" uri="{C3380CC4-5D6E-409C-BE32-E72D297353CC}">
                <c16:uniqueId val="{00000005-033C-4530-84A9-991A3866ABD4}"/>
              </c:ext>
            </c:extLst>
          </c:dPt>
          <c:dPt>
            <c:idx val="4"/>
            <c:invertIfNegative val="0"/>
            <c:bubble3D val="0"/>
            <c:spPr>
              <a:solidFill>
                <a:srgbClr val="FF0000"/>
              </a:solidFill>
            </c:spPr>
            <c:extLst>
              <c:ext xmlns:c16="http://schemas.microsoft.com/office/drawing/2014/chart" uri="{C3380CC4-5D6E-409C-BE32-E72D297353CC}">
                <c16:uniqueId val="{00000007-033C-4530-84A9-991A3866ABD4}"/>
              </c:ext>
            </c:extLst>
          </c:dPt>
          <c:dPt>
            <c:idx val="5"/>
            <c:invertIfNegative val="0"/>
            <c:bubble3D val="0"/>
            <c:spPr>
              <a:solidFill>
                <a:srgbClr val="FF0000"/>
              </a:solidFill>
            </c:spPr>
            <c:extLst>
              <c:ext xmlns:c16="http://schemas.microsoft.com/office/drawing/2014/chart" uri="{C3380CC4-5D6E-409C-BE32-E72D297353CC}">
                <c16:uniqueId val="{00000009-033C-4530-84A9-991A3866ABD4}"/>
              </c:ext>
            </c:extLst>
          </c:dPt>
          <c:dPt>
            <c:idx val="6"/>
            <c:invertIfNegative val="0"/>
            <c:bubble3D val="0"/>
            <c:spPr>
              <a:solidFill>
                <a:srgbClr val="FF0000"/>
              </a:solidFill>
            </c:spPr>
            <c:extLst>
              <c:ext xmlns:c16="http://schemas.microsoft.com/office/drawing/2014/chart" uri="{C3380CC4-5D6E-409C-BE32-E72D297353CC}">
                <c16:uniqueId val="{0000000B-033C-4530-84A9-991A3866ABD4}"/>
              </c:ext>
            </c:extLst>
          </c:dPt>
          <c:dPt>
            <c:idx val="7"/>
            <c:invertIfNegative val="0"/>
            <c:bubble3D val="0"/>
            <c:spPr>
              <a:solidFill>
                <a:schemeClr val="bg1">
                  <a:lumMod val="65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bg1">
                  <a:lumMod val="65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spPr>
              <a:solidFill>
                <a:srgbClr val="92D050"/>
              </a:solidFill>
            </c:spPr>
            <c:extLst>
              <c:ext xmlns:c16="http://schemas.microsoft.com/office/drawing/2014/chart" uri="{C3380CC4-5D6E-409C-BE32-E72D297353CC}">
                <c16:uniqueId val="{0000001B-033C-4530-84A9-991A3866ABD4}"/>
              </c:ext>
            </c:extLst>
          </c:dPt>
          <c:dPt>
            <c:idx val="15"/>
            <c:invertIfNegative val="0"/>
            <c:bubble3D val="0"/>
            <c:spPr>
              <a:solidFill>
                <a:srgbClr val="92D050"/>
              </a:solidFill>
            </c:spPr>
            <c:extLst>
              <c:ext xmlns:c16="http://schemas.microsoft.com/office/drawing/2014/chart" uri="{C3380CC4-5D6E-409C-BE32-E72D297353CC}">
                <c16:uniqueId val="{0000001D-033C-4530-84A9-991A3866ABD4}"/>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7CCFC2C9-9466-4E15-8CF5-F6D2B478CD6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B6C403EB-658B-4CD8-86AD-1BC7F744E8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36D3CFC1-47D1-4C72-A82C-B916A1FD56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E3966547-B8A8-4BD7-82A6-F5B5006054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72793715-B6EF-47DF-8BEB-1B58A71C978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8F3DE459-FFB4-4A12-986A-0E12EE54A6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855F96CF-7135-4000-867E-946C0AFCC5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A01F3342-6E89-4947-ADF7-9AC814F1598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DF3C746E-2E7E-4BD3-8088-BD2AE928005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999BC5B6-5302-4F21-90D5-600F5E2146F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8C00944F-436B-420B-B474-86BC0567CA8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7E077A2D-F3CC-4219-A927-6DB6FA9E27A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793AF0C7-7B99-409D-80AB-ACE8162170E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FE74469F-5C9D-4096-80CE-D49A7AB0E99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42EA5080-0EB5-4D91-8EEB-76F9BF950CF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96AFF83C-BC77-417B-BCF9-9D6805FEA9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CD0BDEF5-D72F-430A-977B-89DEE2DEEC7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E35FF6E8-193C-4571-A49A-FBDE182E24F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91C71A5F-B16D-4564-B442-97CF421D204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86D35EB0-F637-442E-9291-752ADB88C5C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'pooled normalised values'!$B$76:$V$76</c:f>
                <c:numCache>
                  <c:formatCode>General</c:formatCode>
                  <c:ptCount val="21"/>
                  <c:pt idx="0">
                    <c:v>1.3207282592318318E-2</c:v>
                  </c:pt>
                  <c:pt idx="1">
                    <c:v>1.2485257939673759E-2</c:v>
                  </c:pt>
                  <c:pt idx="2">
                    <c:v>1.5583975415862487E-2</c:v>
                  </c:pt>
                  <c:pt idx="3">
                    <c:v>3.0770536094164837E-2</c:v>
                  </c:pt>
                  <c:pt idx="4">
                    <c:v>7.502209443093677E-2</c:v>
                  </c:pt>
                  <c:pt idx="5">
                    <c:v>0.17007565250963033</c:v>
                  </c:pt>
                  <c:pt idx="6">
                    <c:v>0.20612056783402813</c:v>
                  </c:pt>
                  <c:pt idx="7">
                    <c:v>1.8369341615789639E-2</c:v>
                  </c:pt>
                  <c:pt idx="8">
                    <c:v>1.227291039821529E-2</c:v>
                  </c:pt>
                  <c:pt idx="9">
                    <c:v>9.0294737172072377E-3</c:v>
                  </c:pt>
                  <c:pt idx="10">
                    <c:v>1.3963665691238591E-2</c:v>
                  </c:pt>
                  <c:pt idx="11">
                    <c:v>2.0439517488972259E-2</c:v>
                  </c:pt>
                  <c:pt idx="13">
                    <c:v>8.1585344722996708E-2</c:v>
                  </c:pt>
                  <c:pt idx="14">
                    <c:v>0.14184083076163848</c:v>
                  </c:pt>
                  <c:pt idx="15">
                    <c:v>8.9826823994942975E-3</c:v>
                  </c:pt>
                  <c:pt idx="16">
                    <c:v>0.13478494401840871</c:v>
                  </c:pt>
                  <c:pt idx="17">
                    <c:v>0.13273291620822486</c:v>
                  </c:pt>
                  <c:pt idx="18">
                    <c:v>0.14388650563044361</c:v>
                  </c:pt>
                  <c:pt idx="19">
                    <c:v>0.13049502403456489</c:v>
                  </c:pt>
                  <c:pt idx="20">
                    <c:v>0.11687179977905243</c:v>
                  </c:pt>
                </c:numCache>
              </c:numRef>
            </c:plus>
            <c:minus>
              <c:numRef>
                <c:f>'pooled normalised values'!$B$76:$V$76</c:f>
                <c:numCache>
                  <c:formatCode>General</c:formatCode>
                  <c:ptCount val="21"/>
                  <c:pt idx="0">
                    <c:v>1.3207282592318318E-2</c:v>
                  </c:pt>
                  <c:pt idx="1">
                    <c:v>1.2485257939673759E-2</c:v>
                  </c:pt>
                  <c:pt idx="2">
                    <c:v>1.5583975415862487E-2</c:v>
                  </c:pt>
                  <c:pt idx="3">
                    <c:v>3.0770536094164837E-2</c:v>
                  </c:pt>
                  <c:pt idx="4">
                    <c:v>7.502209443093677E-2</c:v>
                  </c:pt>
                  <c:pt idx="5">
                    <c:v>0.17007565250963033</c:v>
                  </c:pt>
                  <c:pt idx="6">
                    <c:v>0.20612056783402813</c:v>
                  </c:pt>
                  <c:pt idx="7">
                    <c:v>1.8369341615789639E-2</c:v>
                  </c:pt>
                  <c:pt idx="8">
                    <c:v>1.227291039821529E-2</c:v>
                  </c:pt>
                  <c:pt idx="9">
                    <c:v>9.0294737172072377E-3</c:v>
                  </c:pt>
                  <c:pt idx="10">
                    <c:v>1.3963665691238591E-2</c:v>
                  </c:pt>
                  <c:pt idx="11">
                    <c:v>2.0439517488972259E-2</c:v>
                  </c:pt>
                  <c:pt idx="13">
                    <c:v>8.1585344722996708E-2</c:v>
                  </c:pt>
                  <c:pt idx="14">
                    <c:v>0.14184083076163848</c:v>
                  </c:pt>
                  <c:pt idx="15">
                    <c:v>8.9826823994942975E-3</c:v>
                  </c:pt>
                  <c:pt idx="16">
                    <c:v>0.13478494401840871</c:v>
                  </c:pt>
                  <c:pt idx="17">
                    <c:v>0.13273291620822486</c:v>
                  </c:pt>
                  <c:pt idx="18">
                    <c:v>0.14388650563044361</c:v>
                  </c:pt>
                  <c:pt idx="19">
                    <c:v>0.13049502403456489</c:v>
                  </c:pt>
                  <c:pt idx="20">
                    <c:v>0.11687179977905243</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Dutasteride-0,01mg/L</c:v>
                </c:pt>
                <c:pt idx="8">
                  <c:v>Dutasteride-0,1mg/L</c:v>
                </c:pt>
                <c:pt idx="9">
                  <c:v>Dutasteride-0,25mg/L</c:v>
                </c:pt>
                <c:pt idx="10">
                  <c:v>Dutasteride-0,5mg/L</c:v>
                </c:pt>
                <c:pt idx="11">
                  <c:v>Dutasteride-1mg/L</c:v>
                </c:pt>
                <c:pt idx="13">
                  <c:v>Testo -30µg/L</c:v>
                </c:pt>
                <c:pt idx="14">
                  <c:v>Testo 30µg/L + EE2 -64ng/L</c:v>
                </c:pt>
                <c:pt idx="15">
                  <c:v>Testo 30µg/L + FAD-10µg/L</c:v>
                </c:pt>
                <c:pt idx="16">
                  <c:v>Dutasteride-0.01mg/L + Testostérone</c:v>
                </c:pt>
                <c:pt idx="17">
                  <c:v>Dutasteride-0.1mg/L + Testostérone</c:v>
                </c:pt>
                <c:pt idx="18">
                  <c:v>Dutasteride-0.25mg/L + Testostérone</c:v>
                </c:pt>
                <c:pt idx="19">
                  <c:v>Dutasteride-0.5mg/L + Testostérone</c:v>
                </c:pt>
                <c:pt idx="20">
                  <c:v>Dutasteride-1mg/L + Testostérone</c:v>
                </c:pt>
              </c:strCache>
            </c:strRef>
          </c:cat>
          <c:val>
            <c:numRef>
              <c:f>'pooled normalised values'!$B$75:$V$75</c:f>
              <c:numCache>
                <c:formatCode>0.0000</c:formatCode>
                <c:ptCount val="21"/>
                <c:pt idx="0">
                  <c:v>7.3817486448862643E-2</c:v>
                </c:pt>
                <c:pt idx="1">
                  <c:v>5.238274321952216E-2</c:v>
                </c:pt>
                <c:pt idx="2">
                  <c:v>8.660870675077649E-2</c:v>
                </c:pt>
                <c:pt idx="3">
                  <c:v>0.1424427280234789</c:v>
                </c:pt>
                <c:pt idx="4">
                  <c:v>0.4413127537846589</c:v>
                </c:pt>
                <c:pt idx="5">
                  <c:v>1.3158030254707891</c:v>
                </c:pt>
                <c:pt idx="6">
                  <c:v>2.3693684866291256</c:v>
                </c:pt>
                <c:pt idx="7">
                  <c:v>5.1035649749721024E-2</c:v>
                </c:pt>
                <c:pt idx="8">
                  <c:v>6.3828284835330831E-2</c:v>
                </c:pt>
                <c:pt idx="9">
                  <c:v>5.3498132972931822E-2</c:v>
                </c:pt>
                <c:pt idx="10">
                  <c:v>6.9870516486918582E-2</c:v>
                </c:pt>
                <c:pt idx="11">
                  <c:v>5.6719354118437669E-2</c:v>
                </c:pt>
                <c:pt idx="13">
                  <c:v>1.0000000000000002</c:v>
                </c:pt>
                <c:pt idx="14">
                  <c:v>1.5224648090191533</c:v>
                </c:pt>
                <c:pt idx="15">
                  <c:v>5.419425156907632E-2</c:v>
                </c:pt>
                <c:pt idx="16">
                  <c:v>1.0269745515535349</c:v>
                </c:pt>
                <c:pt idx="17">
                  <c:v>1.1168828035909804</c:v>
                </c:pt>
                <c:pt idx="18">
                  <c:v>1.2149457906124408</c:v>
                </c:pt>
                <c:pt idx="19">
                  <c:v>1.4981512526512597</c:v>
                </c:pt>
                <c:pt idx="20">
                  <c:v>1.1317004587956161</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Dutasteride-0.01mg/L : 0%</c:v>
                  </c:pt>
                  <c:pt idx="1">
                    <c:v>Dutasteride-0.1mg/L : 0%</c:v>
                  </c:pt>
                  <c:pt idx="2">
                    <c:v>Dutasteride-0.25mg/L : 0%</c:v>
                  </c:pt>
                  <c:pt idx="3">
                    <c:v>Dutasteride-0.5mg/L : 0%</c:v>
                  </c:pt>
                  <c:pt idx="4">
                    <c:v>Dutasteride-1mg/L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Dutasteride-0.01mg/L : 0%</c:v>
                  </c:pt>
                  <c:pt idx="1">
                    <c:v>Dutasteride-0.1mg/L : 0%</c:v>
                  </c:pt>
                  <c:pt idx="2">
                    <c:v>Dutasteride-0.25mg/L : 0%</c:v>
                  </c:pt>
                  <c:pt idx="3">
                    <c:v>#NUM!</c:v>
                  </c:pt>
                  <c:pt idx="4">
                    <c:v>Dutasteride-1mg/L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Dutasteride-0.01mg/L : 0%</c:v>
                  </c:pt>
                  <c:pt idx="1">
                    <c:v>Dutasteride-0.1mg/L : 0%</c:v>
                  </c:pt>
                  <c:pt idx="2">
                    <c:v>Dutasteride-0.25mg/L : 0%</c:v>
                  </c:pt>
                  <c:pt idx="3">
                    <c:v>Dutasteride-0.5mg/L : 0%</c:v>
                  </c:pt>
                  <c:pt idx="4">
                    <c:v>Dutasteride-1mg/L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Dutasteride-0.01mg/L : 0%</c:v>
                  </c:pt>
                  <c:pt idx="1">
                    <c:v>Dutasteride-0.1mg/L : 0%</c:v>
                  </c:pt>
                  <c:pt idx="2">
                    <c:v>Dutasteride-0.25mg/L : 0%</c:v>
                  </c:pt>
                  <c:pt idx="3">
                    <c:v>#NUM!</c:v>
                  </c:pt>
                  <c:pt idx="4">
                    <c:v>Dutasteride-1mg/L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10501C6B-2DDE-44D8-92E8-107185B79C4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8FEA6E12-ADCD-4031-A3D0-CFD1A7E74A0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AE9D3E2C-3E5D-4BFB-9228-A678B553476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BC771B35-82DF-4384-8BD5-BED511CA5D9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CFF3ED1F-DFA9-4CD9-BFF0-2EC29B49D8C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0FB9DF91-E84D-49C2-9E9E-F41FA49FB9A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E6E606C0-C697-4F45-93D9-A1E1833B5B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A7176CEF-E354-44FB-9FBD-3384710087A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17519876-7455-486F-BEA0-6C8D0D71D0C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8A8A4DD2-D6D0-42E3-A2E8-CCDADE9EECF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4035EB05-737A-498D-B55D-E78339E9DC5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5B583487-7E37-483B-AF6A-A1B7EA18441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01DAEBA9-06BA-4B01-A47E-55D44EF528B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9D779F68-63A9-4C72-9D2D-48081B683B7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1.227291039821529E-2</c:v>
                  </c:pt>
                  <c:pt idx="2">
                    <c:v>9.0294737172072377E-3</c:v>
                  </c:pt>
                  <c:pt idx="3">
                    <c:v>1.3963665691238591E-2</c:v>
                  </c:pt>
                  <c:pt idx="4">
                    <c:v>2.0439517488972259E-2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1.227291039821529E-2</c:v>
                  </c:pt>
                  <c:pt idx="2">
                    <c:v>9.0294737172072377E-3</c:v>
                  </c:pt>
                  <c:pt idx="3">
                    <c:v>1.3963665691238591E-2</c:v>
                  </c:pt>
                  <c:pt idx="4">
                    <c:v>2.0439517488972259E-2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6.3828284835330831E-2</c:v>
                </c:pt>
                <c:pt idx="2">
                  <c:v>5.3498132972931822E-2</c:v>
                </c:pt>
                <c:pt idx="3">
                  <c:v>6.9870516486918582E-2</c:v>
                </c:pt>
                <c:pt idx="4">
                  <c:v>5.6719354118437669E-2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7.3817486448862643E-2</c:v>
                </c:pt>
                <c:pt idx="1">
                  <c:v>7.3817486448862643E-2</c:v>
                </c:pt>
                <c:pt idx="2">
                  <c:v>7.3817486448862643E-2</c:v>
                </c:pt>
                <c:pt idx="3">
                  <c:v>7.3817486448862643E-2</c:v>
                </c:pt>
                <c:pt idx="4">
                  <c:v>7.3817486448862643E-2</c:v>
                </c:pt>
                <c:pt idx="5">
                  <c:v>7.3817486448862643E-2</c:v>
                </c:pt>
                <c:pt idx="6">
                  <c:v>7.3817486448862643E-2</c:v>
                </c:pt>
                <c:pt idx="7">
                  <c:v>7.3817486448862643E-2</c:v>
                </c:pt>
                <c:pt idx="8">
                  <c:v>7.3817486448862643E-2</c:v>
                </c:pt>
                <c:pt idx="9">
                  <c:v>7.3817486448862643E-2</c:v>
                </c:pt>
                <c:pt idx="10">
                  <c:v>7.3817486448862643E-2</c:v>
                </c:pt>
                <c:pt idx="11">
                  <c:v>7.3817486448862643E-2</c:v>
                </c:pt>
                <c:pt idx="12">
                  <c:v>7.3817486448862643E-2</c:v>
                </c:pt>
                <c:pt idx="13">
                  <c:v>7.3817486448862643E-2</c:v>
                </c:pt>
                <c:pt idx="14">
                  <c:v>7.3817486448862643E-2</c:v>
                </c:pt>
                <c:pt idx="15">
                  <c:v>7.3817486448862643E-2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5.419425156907632E-2</c:v>
                </c:pt>
                <c:pt idx="1">
                  <c:v>5.419425156907632E-2</c:v>
                </c:pt>
                <c:pt idx="2">
                  <c:v>5.419425156907632E-2</c:v>
                </c:pt>
                <c:pt idx="3">
                  <c:v>5.419425156907632E-2</c:v>
                </c:pt>
                <c:pt idx="4">
                  <c:v>5.419425156907632E-2</c:v>
                </c:pt>
                <c:pt idx="5">
                  <c:v>5.419425156907632E-2</c:v>
                </c:pt>
                <c:pt idx="6">
                  <c:v>5.419425156907632E-2</c:v>
                </c:pt>
                <c:pt idx="7">
                  <c:v>5.419425156907632E-2</c:v>
                </c:pt>
                <c:pt idx="8">
                  <c:v>5.419425156907632E-2</c:v>
                </c:pt>
                <c:pt idx="9">
                  <c:v>5.419425156907632E-2</c:v>
                </c:pt>
                <c:pt idx="10">
                  <c:v>5.419425156907632E-2</c:v>
                </c:pt>
                <c:pt idx="11">
                  <c:v>5.419425156907632E-2</c:v>
                </c:pt>
                <c:pt idx="12">
                  <c:v>5.419425156907632E-2</c:v>
                </c:pt>
                <c:pt idx="13">
                  <c:v>5.419425156907632E-2</c:v>
                </c:pt>
                <c:pt idx="14">
                  <c:v>5.419425156907632E-2</c:v>
                </c:pt>
                <c:pt idx="15">
                  <c:v>5.419425156907632E-2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1.468270557450077</c:v>
                </c:pt>
                <c:pt idx="1">
                  <c:v>1.468270557450077</c:v>
                </c:pt>
                <c:pt idx="2">
                  <c:v>1.468270557450077</c:v>
                </c:pt>
                <c:pt idx="3">
                  <c:v>1.468270557450077</c:v>
                </c:pt>
                <c:pt idx="4">
                  <c:v>1.468270557450077</c:v>
                </c:pt>
                <c:pt idx="5">
                  <c:v>1.468270557450077</c:v>
                </c:pt>
                <c:pt idx="6">
                  <c:v>1.468270557450077</c:v>
                </c:pt>
                <c:pt idx="7">
                  <c:v>1.468270557450077</c:v>
                </c:pt>
                <c:pt idx="8">
                  <c:v>1.468270557450077</c:v>
                </c:pt>
                <c:pt idx="9">
                  <c:v>1.468270557450077</c:v>
                </c:pt>
                <c:pt idx="10">
                  <c:v>1.468270557450077</c:v>
                </c:pt>
                <c:pt idx="11">
                  <c:v>1.468270557450077</c:v>
                </c:pt>
                <c:pt idx="12">
                  <c:v>1.468270557450077</c:v>
                </c:pt>
                <c:pt idx="13">
                  <c:v>1.468270557450077</c:v>
                </c:pt>
                <c:pt idx="14">
                  <c:v>1.468270557450077</c:v>
                </c:pt>
                <c:pt idx="15">
                  <c:v>1.468270557450077</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1.031729442549923</c:v>
                </c:pt>
                <c:pt idx="1">
                  <c:v>1.031729442549923</c:v>
                </c:pt>
                <c:pt idx="2">
                  <c:v>1.031729442549923</c:v>
                </c:pt>
                <c:pt idx="3">
                  <c:v>1.031729442549923</c:v>
                </c:pt>
                <c:pt idx="4">
                  <c:v>1.031729442549923</c:v>
                </c:pt>
                <c:pt idx="5">
                  <c:v>1.031729442549923</c:v>
                </c:pt>
                <c:pt idx="6">
                  <c:v>1.031729442549923</c:v>
                </c:pt>
                <c:pt idx="7">
                  <c:v>1.031729442549923</c:v>
                </c:pt>
                <c:pt idx="8">
                  <c:v>1.031729442549923</c:v>
                </c:pt>
                <c:pt idx="9">
                  <c:v>1.031729442549923</c:v>
                </c:pt>
                <c:pt idx="10">
                  <c:v>1.031729442549923</c:v>
                </c:pt>
                <c:pt idx="11">
                  <c:v>1.031729442549923</c:v>
                </c:pt>
                <c:pt idx="12">
                  <c:v>1.031729442549923</c:v>
                </c:pt>
                <c:pt idx="13">
                  <c:v>1.031729442549923</c:v>
                </c:pt>
                <c:pt idx="14">
                  <c:v>1.031729442549923</c:v>
                </c:pt>
                <c:pt idx="15">
                  <c:v>1.031729442549923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27E0D222-9136-416E-8BA8-BAAE0CEBB81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30E16027-D066-4CAF-A5E3-93F8E8AFD66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D7382002-1B42-4840-951D-A7CEE8D2148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0A92C542-67A5-4D7B-B1BB-F2B1714C1C6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CEDA95B4-8290-4376-902A-8CB0A3B89A1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96710F5C-8DAC-4211-9D2F-9D411CC2A43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D8684810-CA49-44D8-8115-39DAFE60FD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DF82461C-0818-4E3A-9BB4-86FE19F878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5D32A420-7849-4112-85F1-72A0D400986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F10FE40E-69F5-466C-AEEC-541319C3EF6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4F151BBB-1CF9-4BCF-96FC-EF92F7489C5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F09844B1-8173-4D80-A254-02C8028B25B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96CF1F8D-8519-4CA3-8EA1-E80DE728F65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1D41691E-4A5B-45D5-BEC3-D364AF5377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0.13478494401840871</c:v>
                  </c:pt>
                  <c:pt idx="2">
                    <c:v>0.13273291620822486</c:v>
                  </c:pt>
                  <c:pt idx="3">
                    <c:v>0.14388650563044361</c:v>
                  </c:pt>
                  <c:pt idx="4">
                    <c:v>0.13049502403456489</c:v>
                  </c:pt>
                  <c:pt idx="5">
                    <c:v>0.11687179977905243</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0.13478494401840871</c:v>
                  </c:pt>
                  <c:pt idx="2">
                    <c:v>0.13273291620822486</c:v>
                  </c:pt>
                  <c:pt idx="3">
                    <c:v>0.14388650563044361</c:v>
                  </c:pt>
                  <c:pt idx="4">
                    <c:v>0.13049502403456489</c:v>
                  </c:pt>
                  <c:pt idx="5">
                    <c:v>0.11687179977905243</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1.0269745515535349</c:v>
                </c:pt>
                <c:pt idx="2">
                  <c:v>1.1168828035909804</c:v>
                </c:pt>
                <c:pt idx="3">
                  <c:v>1.2149457906124408</c:v>
                </c:pt>
                <c:pt idx="4">
                  <c:v>1.4981512526512597</c:v>
                </c:pt>
                <c:pt idx="5">
                  <c:v>1.1317004587956161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07C153E1-3CEF-4743-9DC5-D37BC8AC180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9743F6A0-6563-43C8-9A2F-DDA511C1C04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5E529D20-52D6-420C-AF14-B713E163CD9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4200B942-A7A0-42A9-881B-0E9BC60F04B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F7B1B87A-08A1-4820-965C-988E4A15F38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05DD590E-D6D2-4206-9125-8CEBD9BCE8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757498FA-32E1-46D2-B2C8-783D5405AA7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B3A64684-3AE9-415C-AF9E-5473D77B561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26E567FA-F605-4E4F-9BEB-CD348D8703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F19F525E-ED7D-4A8B-B2D4-CD20F90B6B2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AF762699-DBEE-4DED-823C-5E389F752EC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F8250E35-5B1C-46C5-8CF3-D23444D5FA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BDB3EC6E-7273-4D45-B59A-52E0C8FB3C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5A5346FC-B826-48C0-82BA-441E1FFB34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1.227291039821529E-2</c:v>
                  </c:pt>
                  <c:pt idx="2">
                    <c:v>9.0294737172072377E-3</c:v>
                  </c:pt>
                  <c:pt idx="3">
                    <c:v>1.3963665691238591E-2</c:v>
                  </c:pt>
                  <c:pt idx="4">
                    <c:v>2.0439517488972259E-2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1.227291039821529E-2</c:v>
                  </c:pt>
                  <c:pt idx="2">
                    <c:v>9.0294737172072377E-3</c:v>
                  </c:pt>
                  <c:pt idx="3">
                    <c:v>1.3963665691238591E-2</c:v>
                  </c:pt>
                  <c:pt idx="4">
                    <c:v>2.0439517488972259E-2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Dutasteride-0,1mg/L</c:v>
                </c:pt>
                <c:pt idx="2">
                  <c:v>Dutasteride-0,25mg/L</c:v>
                </c:pt>
                <c:pt idx="3">
                  <c:v>Dutasteride-0,5mg/L</c:v>
                </c:pt>
                <c:pt idx="4">
                  <c:v>Dutasteride-1mg/L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6.3828284835330831E-2</c:v>
                </c:pt>
                <c:pt idx="2">
                  <c:v>5.3498132972931822E-2</c:v>
                </c:pt>
                <c:pt idx="3">
                  <c:v>6.9870516486918582E-2</c:v>
                </c:pt>
                <c:pt idx="4">
                  <c:v>5.6719354118437669E-2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7.3817486448862643E-2</c:v>
                </c:pt>
                <c:pt idx="1">
                  <c:v>7.3817486448862643E-2</c:v>
                </c:pt>
                <c:pt idx="2">
                  <c:v>7.3817486448862643E-2</c:v>
                </c:pt>
                <c:pt idx="3">
                  <c:v>7.3817486448862643E-2</c:v>
                </c:pt>
                <c:pt idx="4">
                  <c:v>7.3817486448862643E-2</c:v>
                </c:pt>
                <c:pt idx="5">
                  <c:v>7.3817486448862643E-2</c:v>
                </c:pt>
                <c:pt idx="6">
                  <c:v>7.3817486448862643E-2</c:v>
                </c:pt>
                <c:pt idx="7">
                  <c:v>7.3817486448862643E-2</c:v>
                </c:pt>
                <c:pt idx="8">
                  <c:v>7.3817486448862643E-2</c:v>
                </c:pt>
                <c:pt idx="9">
                  <c:v>7.3817486448862643E-2</c:v>
                </c:pt>
                <c:pt idx="10">
                  <c:v>7.3817486448862643E-2</c:v>
                </c:pt>
                <c:pt idx="11">
                  <c:v>7.3817486448862643E-2</c:v>
                </c:pt>
                <c:pt idx="12">
                  <c:v>7.3817486448862643E-2</c:v>
                </c:pt>
                <c:pt idx="13">
                  <c:v>7.3817486448862643E-2</c:v>
                </c:pt>
                <c:pt idx="14">
                  <c:v>7.3817486448862643E-2</c:v>
                </c:pt>
                <c:pt idx="15">
                  <c:v>7.3817486448862643E-2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5.419425156907632E-2</c:v>
                </c:pt>
                <c:pt idx="1">
                  <c:v>5.419425156907632E-2</c:v>
                </c:pt>
                <c:pt idx="2">
                  <c:v>5.419425156907632E-2</c:v>
                </c:pt>
                <c:pt idx="3">
                  <c:v>5.419425156907632E-2</c:v>
                </c:pt>
                <c:pt idx="4">
                  <c:v>5.419425156907632E-2</c:v>
                </c:pt>
                <c:pt idx="5">
                  <c:v>5.419425156907632E-2</c:v>
                </c:pt>
                <c:pt idx="6">
                  <c:v>5.419425156907632E-2</c:v>
                </c:pt>
                <c:pt idx="7">
                  <c:v>5.419425156907632E-2</c:v>
                </c:pt>
                <c:pt idx="8">
                  <c:v>5.419425156907632E-2</c:v>
                </c:pt>
                <c:pt idx="9">
                  <c:v>5.419425156907632E-2</c:v>
                </c:pt>
                <c:pt idx="10">
                  <c:v>5.419425156907632E-2</c:v>
                </c:pt>
                <c:pt idx="11">
                  <c:v>5.419425156907632E-2</c:v>
                </c:pt>
                <c:pt idx="12">
                  <c:v>5.419425156907632E-2</c:v>
                </c:pt>
                <c:pt idx="13">
                  <c:v>5.419425156907632E-2</c:v>
                </c:pt>
                <c:pt idx="14">
                  <c:v>5.419425156907632E-2</c:v>
                </c:pt>
                <c:pt idx="15">
                  <c:v>5.419425156907632E-2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1.468270557450077</c:v>
                </c:pt>
                <c:pt idx="1">
                  <c:v>1.468270557450077</c:v>
                </c:pt>
                <c:pt idx="2">
                  <c:v>1.468270557450077</c:v>
                </c:pt>
                <c:pt idx="3">
                  <c:v>1.468270557450077</c:v>
                </c:pt>
                <c:pt idx="4">
                  <c:v>1.468270557450077</c:v>
                </c:pt>
                <c:pt idx="5">
                  <c:v>1.468270557450077</c:v>
                </c:pt>
                <c:pt idx="6">
                  <c:v>1.468270557450077</c:v>
                </c:pt>
                <c:pt idx="7">
                  <c:v>1.468270557450077</c:v>
                </c:pt>
                <c:pt idx="8">
                  <c:v>1.468270557450077</c:v>
                </c:pt>
                <c:pt idx="9">
                  <c:v>1.468270557450077</c:v>
                </c:pt>
                <c:pt idx="10">
                  <c:v>1.468270557450077</c:v>
                </c:pt>
                <c:pt idx="11">
                  <c:v>1.468270557450077</c:v>
                </c:pt>
                <c:pt idx="12">
                  <c:v>1.468270557450077</c:v>
                </c:pt>
                <c:pt idx="13">
                  <c:v>1.468270557450077</c:v>
                </c:pt>
                <c:pt idx="14">
                  <c:v>1.468270557450077</c:v>
                </c:pt>
                <c:pt idx="15">
                  <c:v>1.468270557450077</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1.031729442549923</c:v>
                </c:pt>
                <c:pt idx="1">
                  <c:v>1.031729442549923</c:v>
                </c:pt>
                <c:pt idx="2">
                  <c:v>1.031729442549923</c:v>
                </c:pt>
                <c:pt idx="3">
                  <c:v>1.031729442549923</c:v>
                </c:pt>
                <c:pt idx="4">
                  <c:v>1.031729442549923</c:v>
                </c:pt>
                <c:pt idx="5">
                  <c:v>1.031729442549923</c:v>
                </c:pt>
                <c:pt idx="6">
                  <c:v>1.031729442549923</c:v>
                </c:pt>
                <c:pt idx="7">
                  <c:v>1.031729442549923</c:v>
                </c:pt>
                <c:pt idx="8">
                  <c:v>1.031729442549923</c:v>
                </c:pt>
                <c:pt idx="9">
                  <c:v>1.031729442549923</c:v>
                </c:pt>
                <c:pt idx="10">
                  <c:v>1.031729442549923</c:v>
                </c:pt>
                <c:pt idx="11">
                  <c:v>1.031729442549923</c:v>
                </c:pt>
                <c:pt idx="12">
                  <c:v>1.031729442549923</c:v>
                </c:pt>
                <c:pt idx="13">
                  <c:v>1.031729442549923</c:v>
                </c:pt>
                <c:pt idx="14">
                  <c:v>1.031729442549923</c:v>
                </c:pt>
                <c:pt idx="15">
                  <c:v>1.031729442549923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2611C934-F87B-45A4-9485-BE85D37FAF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341B502A-5E4E-4E84-AE6D-7F2BAE3F776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1AC3DDF2-7D9F-44AE-B915-5A693C636B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ECA1ED9E-F18E-4C66-B984-9CD4997B527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D7101931-717C-4EC1-B616-94E7F26C2D8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BAEC21B4-E656-4DF1-A4BB-A6099F5351F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6F90E50D-62A5-4888-9313-A6368891B26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C50D7C89-3366-49E8-BF1F-65D4BCBBF5E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44D3D50F-5FE1-4E35-B039-7435EFD0371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F9F6B9A9-19A8-4431-93D1-C72C78AD20C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46B4094A-B675-49A8-8AAD-821B4444CD4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4EF49C98-F72D-49E3-AF61-7CFA2089FBC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5CF02C0F-B8F8-4E5A-A34A-40C5A7D3730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9CAB5583-FC15-4206-8411-EEA082D9189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0.13478494401840871</c:v>
                  </c:pt>
                  <c:pt idx="2">
                    <c:v>0.13273291620822486</c:v>
                  </c:pt>
                  <c:pt idx="3">
                    <c:v>0.14388650563044361</c:v>
                  </c:pt>
                  <c:pt idx="4">
                    <c:v>0.13049502403456489</c:v>
                  </c:pt>
                  <c:pt idx="5">
                    <c:v>0.11687179977905243</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0.13478494401840871</c:v>
                  </c:pt>
                  <c:pt idx="2">
                    <c:v>0.13273291620822486</c:v>
                  </c:pt>
                  <c:pt idx="3">
                    <c:v>0.14388650563044361</c:v>
                  </c:pt>
                  <c:pt idx="4">
                    <c:v>0.13049502403456489</c:v>
                  </c:pt>
                  <c:pt idx="5">
                    <c:v>0.11687179977905243</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1.0269745515535349</c:v>
                </c:pt>
                <c:pt idx="2">
                  <c:v>1.1168828035909804</c:v>
                </c:pt>
                <c:pt idx="3">
                  <c:v>1.2149457906124408</c:v>
                </c:pt>
                <c:pt idx="4">
                  <c:v>1.4981512526512597</c:v>
                </c:pt>
                <c:pt idx="5">
                  <c:v>1.1317004587956161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Dutasteride-0.01mg/L + Testostérone</c:v>
                </c:pt>
                <c:pt idx="2">
                  <c:v>Dutasteride-0.1mg/L + Testostérone</c:v>
                </c:pt>
                <c:pt idx="3">
                  <c:v>Dutasteride-0.25mg/L + Testostérone</c:v>
                </c:pt>
                <c:pt idx="4">
                  <c:v>Dutasteride-0.5mg/L + Testostérone</c:v>
                </c:pt>
                <c:pt idx="5">
                  <c:v>Dutasteride-1mg/L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Dutasteride-0,1mg/L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Dutasteride-0,1mg/L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Dutasteride-0,1mg/L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C213DB33-9478-459C-8EB2-F92F5E1918B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7F4104CA-BD6D-4C99-8682-C15E89A3010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1.227291039821529E-2</c:v>
                  </c:pt>
                </c:numCache>
              </c:numRef>
            </c:plus>
            <c:minus>
              <c:numRef>
                <c:f>'Graph format rapport CHG 1éch'!$E$4:$G$4</c:f>
                <c:numCache>
                  <c:formatCode>General</c:formatCode>
                  <c:ptCount val="3"/>
                  <c:pt idx="1">
                    <c:v>1.227291039821529E-2</c:v>
                  </c:pt>
                </c:numCache>
              </c:numRef>
            </c:minus>
          </c:errBars>
          <c:cat>
            <c:strRef>
              <c:f>'Graph format rapport CHG 1éch'!$E$2:$G$2</c:f>
              <c:strCache>
                <c:ptCount val="2"/>
                <c:pt idx="1">
                  <c:v>Dutasteride-0,1mg/L</c:v>
                </c:pt>
              </c:strCache>
            </c:strRef>
          </c:cat>
          <c:val>
            <c:numRef>
              <c:f>'Graph format rapport CHG 1éch'!$E$3:$G$3</c:f>
              <c:numCache>
                <c:formatCode>General</c:formatCode>
                <c:ptCount val="3"/>
                <c:pt idx="1">
                  <c:v>6.3828284835330831E-2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7.3817486448862643E-2</c:v>
                </c:pt>
                <c:pt idx="1">
                  <c:v>7.3817486448862643E-2</c:v>
                </c:pt>
                <c:pt idx="2">
                  <c:v>7.3817486448862643E-2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Dutasteride-0.01mg/L + Testostérone</c:v>
                </c:pt>
              </c:strCache>
            </c:strRef>
          </c:cat>
          <c:val>
            <c:numRef>
              <c:f>'Graph format rapport CHG 1éch'!$H$8:$J$8</c:f>
              <c:numCache>
                <c:formatCode>General</c:formatCode>
                <c:ptCount val="3"/>
                <c:pt idx="0">
                  <c:v>5.419425156907632E-2</c:v>
                </c:pt>
                <c:pt idx="1">
                  <c:v>5.419425156907632E-2</c:v>
                </c:pt>
                <c:pt idx="2">
                  <c:v>5.419425156907632E-2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Dutasteride-0.01mg/L + Testostérone</c:v>
                </c:pt>
              </c:strCache>
            </c:strRef>
          </c:cat>
          <c:val>
            <c:numRef>
              <c:f>'Graph format rapport CHG 1éch'!$H$9:$J$9</c:f>
              <c:numCache>
                <c:formatCode>General</c:formatCode>
                <c:ptCount val="3"/>
                <c:pt idx="0">
                  <c:v>1.468270557450077</c:v>
                </c:pt>
                <c:pt idx="1">
                  <c:v>1.468270557450077</c:v>
                </c:pt>
                <c:pt idx="2">
                  <c:v>1.468270557450077</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Dutasteride-0.01mg/L + Testostérone</c:v>
                </c:pt>
              </c:strCache>
            </c:strRef>
          </c:cat>
          <c:val>
            <c:numRef>
              <c:f>'Graph format rapport CHG 1éch'!$H$10:$J$10</c:f>
              <c:numCache>
                <c:formatCode>General</c:formatCode>
                <c:ptCount val="3"/>
                <c:pt idx="0">
                  <c:v>1.031729442549923</c:v>
                </c:pt>
                <c:pt idx="1">
                  <c:v>1.031729442549923</c:v>
                </c:pt>
                <c:pt idx="2">
                  <c:v>1.031729442549923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C09B1B21-7E94-4C0F-A5AA-E9041C6347E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07F4F613-1D64-4A99-8B4B-04FD791E8B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0.13478494401840871</c:v>
                  </c:pt>
                </c:numCache>
              </c:numRef>
            </c:plus>
            <c:minus>
              <c:numRef>
                <c:f>'Graph format rapport CHG 1éch'!$H$4:$J$4</c:f>
                <c:numCache>
                  <c:formatCode>General</c:formatCode>
                  <c:ptCount val="3"/>
                  <c:pt idx="1">
                    <c:v>0.13478494401840871</c:v>
                  </c:pt>
                </c:numCache>
              </c:numRef>
            </c:minus>
          </c:errBars>
          <c:cat>
            <c:strRef>
              <c:f>'Graph format rapport CHG 1éch'!$H$2:$J$2</c:f>
              <c:strCache>
                <c:ptCount val="2"/>
                <c:pt idx="1">
                  <c:v>Dutasteride-0.01mg/L + Testostérone</c:v>
                </c:pt>
              </c:strCache>
            </c:strRef>
          </c:cat>
          <c:val>
            <c:numRef>
              <c:f>'Graph format rapport CHG 1éch'!$H$3:$J$3</c:f>
              <c:numCache>
                <c:formatCode>General</c:formatCode>
                <c:ptCount val="3"/>
                <c:pt idx="1">
                  <c:v>1.0269745515535349</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Dutasteride-0.01mg/L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Dutasteride-0,1mg/L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Dutasteride-0,1mg/L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Dutasteride-0,1mg/L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BD66D4D7-5CD7-437A-8E5A-C7A737BF95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E573DCA6-DD89-46B6-B963-A7CC9A5D68D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1.227291039821529E-2</c:v>
                  </c:pt>
                </c:numCache>
              </c:numRef>
            </c:plus>
            <c:minus>
              <c:numRef>
                <c:f>'Graph format rapport CHG 1éch'!$E$4:$G$4</c:f>
                <c:numCache>
                  <c:formatCode>General</c:formatCode>
                  <c:ptCount val="3"/>
                  <c:pt idx="1">
                    <c:v>1.227291039821529E-2</c:v>
                  </c:pt>
                </c:numCache>
              </c:numRef>
            </c:minus>
          </c:errBars>
          <c:cat>
            <c:strRef>
              <c:f>'Graph format rapport CHG 1éch'!$E$2:$G$2</c:f>
              <c:strCache>
                <c:ptCount val="2"/>
                <c:pt idx="1">
                  <c:v>Dutasteride-0,1mg/L</c:v>
                </c:pt>
              </c:strCache>
            </c:strRef>
          </c:cat>
          <c:val>
            <c:numRef>
              <c:f>'Graph format rapport CHG 1éch'!$E$3:$G$3</c:f>
              <c:numCache>
                <c:formatCode>General</c:formatCode>
                <c:ptCount val="3"/>
                <c:pt idx="1">
                  <c:v>6.3828284835330831E-2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7.3817486448862643E-2</c:v>
                </c:pt>
                <c:pt idx="1">
                  <c:v>7.3817486448862643E-2</c:v>
                </c:pt>
                <c:pt idx="2">
                  <c:v>7.3817486448862643E-2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Dutasteride-0.01mg/L + Testostérone</c:v>
                </c:pt>
              </c:strCache>
            </c:strRef>
          </c:cat>
          <c:val>
            <c:numRef>
              <c:f>'Graph format rapport CHG 1éch'!$H$8:$J$8</c:f>
              <c:numCache>
                <c:formatCode>General</c:formatCode>
                <c:ptCount val="3"/>
                <c:pt idx="0">
                  <c:v>5.419425156907632E-2</c:v>
                </c:pt>
                <c:pt idx="1">
                  <c:v>5.419425156907632E-2</c:v>
                </c:pt>
                <c:pt idx="2">
                  <c:v>5.419425156907632E-2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Dutasteride-0.01mg/L + Testostérone</c:v>
                </c:pt>
              </c:strCache>
            </c:strRef>
          </c:cat>
          <c:val>
            <c:numRef>
              <c:f>'Graph format rapport CHG 1éch'!$H$9:$J$9</c:f>
              <c:numCache>
                <c:formatCode>General</c:formatCode>
                <c:ptCount val="3"/>
                <c:pt idx="0">
                  <c:v>1.468270557450077</c:v>
                </c:pt>
                <c:pt idx="1">
                  <c:v>1.468270557450077</c:v>
                </c:pt>
                <c:pt idx="2">
                  <c:v>1.468270557450077</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Dutasteride-0.01mg/L + Testostérone</c:v>
                </c:pt>
              </c:strCache>
            </c:strRef>
          </c:cat>
          <c:val>
            <c:numRef>
              <c:f>'Graph format rapport CHG 1éch'!$H$10:$J$10</c:f>
              <c:numCache>
                <c:formatCode>General</c:formatCode>
                <c:ptCount val="3"/>
                <c:pt idx="0">
                  <c:v>1.031729442549923</c:v>
                </c:pt>
                <c:pt idx="1">
                  <c:v>1.031729442549923</c:v>
                </c:pt>
                <c:pt idx="2">
                  <c:v>1.031729442549923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63806456-A77B-4D3C-A251-A9C4C1B254C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AF3F5AEB-850B-4695-BEF8-E0B03EEEE3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0.13478494401840871</c:v>
                  </c:pt>
                </c:numCache>
              </c:numRef>
            </c:plus>
            <c:minus>
              <c:numRef>
                <c:f>'Graph format rapport CHG 1éch'!$H$4:$J$4</c:f>
                <c:numCache>
                  <c:formatCode>General</c:formatCode>
                  <c:ptCount val="3"/>
                  <c:pt idx="1">
                    <c:v>0.13478494401840871</c:v>
                  </c:pt>
                </c:numCache>
              </c:numRef>
            </c:minus>
          </c:errBars>
          <c:cat>
            <c:strRef>
              <c:f>'Graph format rapport CHG 1éch'!$H$2:$J$2</c:f>
              <c:strCache>
                <c:ptCount val="2"/>
                <c:pt idx="1">
                  <c:v>Dutasteride-0.01mg/L + Testostérone</c:v>
                </c:pt>
              </c:strCache>
            </c:strRef>
          </c:cat>
          <c:val>
            <c:numRef>
              <c:f>'Graph format rapport CHG 1éch'!$H$3:$J$3</c:f>
              <c:numCache>
                <c:formatCode>General</c:formatCode>
                <c:ptCount val="3"/>
                <c:pt idx="1">
                  <c:v>1.0269745515535349</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Dutasteride-0.01mg/L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84"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9143" cy="6059714"/>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014376" y="9913925"/>
          <a:ext cx="8260636" cy="1056562"/>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177852" y="3792683"/>
          <a:ext cx="8260636" cy="1048398"/>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195487" y="9913925"/>
          <a:ext cx="8260636" cy="1056562"/>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358963" y="3792683"/>
          <a:ext cx="8260636" cy="1048398"/>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834.63631076389" createdVersion="5" refreshedVersion="8" minRefreshableVersion="3" recordCount="1556" xr:uid="{00000000-000A-0000-FFFF-FFFF0C000000}">
  <cacheSource type="worksheet">
    <worksheetSource name="Tableau4"/>
  </cacheSource>
  <cacheFields count="10">
    <cacheField name="Nom groupe" numFmtId="0">
      <sharedItems containsBlank="1" count="41">
        <s v=""/>
        <s v="01 TS"/>
        <s v="02 EE2 34"/>
        <s v="03 EE2 51"/>
        <s v="04 EE2 76"/>
        <s v="05 EE2 114"/>
        <s v="06 EE2 171"/>
        <s v="07 EE2 488"/>
        <s v="08 duta 0.01"/>
        <s v="09 duta 0.1"/>
        <s v="10 duta 0.25"/>
        <s v="11 duta 0.5"/>
        <s v="12  duta 1"/>
        <s v="13 testo"/>
        <s v="14 testo"/>
        <s v="15 testo + EE2 64"/>
        <s v="16 testo + fad"/>
        <s v="17 testo + duta 0.01"/>
        <s v="18 testo + duta 0.1"/>
        <s v="19 testo + duta 0.25"/>
        <s v="20 testo + duta 0.5"/>
        <s v="21 testo + duta 1"/>
        <m u="1"/>
        <s v="12 Dutastéride 1mg_L" u="1"/>
        <s v="08 Dutastéride 0.5 mg_L Dopé" u="1"/>
        <s v="02 EE2 33.8" u="1"/>
        <s v="01 Testo 30" u="1"/>
        <s v="05 Dutastéride 0.01mg_L Dopé" u="1"/>
        <s v="09 Dutastéride 0.1mg_L" u="1"/>
        <s v="04 Testo+ FAD" u="1"/>
        <s v="03 Testo+ EE2 64" u="1"/>
        <s v="08 Dutastéride 0.01mg_L" u="1"/>
        <s v="11 Dutastéride 0.5mg_L" u="1"/>
        <s v="06 Dutastéride 0.1mg_L Dopé" u="1"/>
        <s v="02 Testo 30" u="1"/>
        <s v="10 Dutastéride 0.25mg_L" u="1"/>
        <s v="07  Dutastéride 0.25mg_L Dopé" u="1"/>
        <s v="01 Evian + 0.2% DMSO" u="1"/>
        <s v="09 Dutastéride 1mg_L Dopé" u="1"/>
        <s v="06 EE2 170.9" u="1"/>
        <s v="03 EE2 50.6" u="1"/>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3" maxValue="70"/>
    </cacheField>
    <cacheField name=" " numFmtId="0">
      <sharedItems containsBlank="1" count="45">
        <m/>
        <s v=" "/>
        <s v=" SD mean fluo "/>
        <s v=" 1.3243 "/>
        <s v=" 1.4831 "/>
        <s v=" 1.2778 "/>
        <s v=" 1.3361 "/>
        <s v=" 2.25 "/>
        <s v=" 3.4561 "/>
        <s v=" 8.785 "/>
        <s v=" 3.3637 "/>
        <s v=" 2.178 "/>
        <s v=" 1.2538 "/>
        <s v=" 1.1991 "/>
        <s v=" 2.9326 "/>
        <s v=" 2.3886 "/>
        <s v=" 4.0106 "/>
        <s v=" 6.7948 "/>
        <s v=" 1.155 "/>
        <s v=" 4.5227 "/>
        <s v=" 2.7699 "/>
        <s v=" 3.0586 "/>
        <s v=" 3.0184 "/>
        <s v=" 4.689 "/>
        <s v=" 2.2448 " u="1"/>
        <s v=" 3.8216 " u="1"/>
        <s v=" 2.6091 " u="1"/>
        <s v=" 6.2261 " u="1"/>
        <s v=" 1.647 " u="1"/>
        <s v=" 3.7021 " u="1"/>
        <s v=" 1.812 " u="1"/>
        <s v=" 4.9576 " u="1"/>
        <s v=" 4.2751 " u="1"/>
        <s v=" 3.3363 " u="1"/>
        <s v=" 2.9348 " u="1"/>
        <s v=" 4.0753 " u="1"/>
        <s v=" 5.6503 " u="1"/>
        <s v=" 7.5847 " u="1"/>
        <s v=" 1.4063 " u="1"/>
        <s v=" 3.9437 " u="1"/>
        <s v=" 2.076 " u="1"/>
        <s v=" 3.8455 " u="1"/>
        <s v=" 2.5329 " u="1"/>
        <s v=" 3.1377 " u="1"/>
        <s v=" 4.2575 " u="1"/>
      </sharedItems>
    </cacheField>
    <cacheField name=" total fluorescence" numFmtId="0">
      <sharedItems containsBlank="1" containsMixedTypes="1" containsNumber="1" containsInteger="1" minValue="167" maxValue="298138"/>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834.636310995367" createdVersion="5" refreshedVersion="8" minRefreshableVersion="3" recordCount="1530" xr:uid="{00000000-000A-0000-FFFF-FFFF10000000}">
  <cacheSource type="worksheet">
    <worksheetSource name="Tableau46"/>
  </cacheSource>
  <cacheFields count="10">
    <cacheField name="Nom groupe" numFmtId="0">
      <sharedItems count="22">
        <s v="01 Evian + 0.2% DMSO"/>
        <s v=""/>
        <s v="02 EE2 33.8"/>
        <s v="03 EE2 50.6"/>
        <s v="04 EE2 76"/>
        <s v="05 EE2 114"/>
        <s v="06 EE2 170.9"/>
        <s v="07 EE2 488"/>
        <s v="08 Dutastéride 0.01mg_L"/>
        <s v="09 Dutastéride 0.1mg_L"/>
        <s v="10 Dutastéride 0.25mg_L"/>
        <s v="11 Dutastéride 0.5mg_L"/>
        <s v="12 Dutastéride 1mg_L"/>
        <s v="01 Testo 30"/>
        <s v="02 Testo 30"/>
        <s v="03 Testo+ EE2 64"/>
        <s v="04 Testo+ FAD"/>
        <s v="05 Dutastéride 0.01mg_L Dopé"/>
        <s v="06 Dutastéride 0.1mg_L Dopé"/>
        <s v="07  Dutastéride 0.25mg_L Dopé"/>
        <s v="08 Dutastéride 0.5 mg_L Dopé"/>
        <s v="09 Dutastéride 1mg_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4" maxValue="68"/>
    </cacheField>
    <cacheField name=" " numFmtId="0">
      <sharedItems containsBlank="1" count="24">
        <s v=" "/>
        <m/>
        <s v=" SD mean fluo "/>
        <s v=" 3.0332 "/>
        <s v=" 2.6702 "/>
        <s v=" 2.4011 "/>
        <s v=" 2.3003 "/>
        <s v=" 5.497 "/>
        <s v=" 4.5923 "/>
        <s v=" 6.9516 "/>
        <s v=" 2.1648 "/>
        <s v=" 4.5225 "/>
        <s v=" 3.68 "/>
        <s v=" 3.1054 "/>
        <s v=" 2.3139 "/>
        <s v=" 4.1024 "/>
        <s v=" 3.9591 "/>
        <s v=" 4.6704 "/>
        <s v=" 2.1697 "/>
        <s v=" 4.2283 "/>
        <s v=" 3.1531 "/>
        <s v=" 7.2515 "/>
        <s v=" 7.9974 "/>
        <s v=" 3.2564 "/>
      </sharedItems>
    </cacheField>
    <cacheField name=" total fluorescence" numFmtId="0">
      <sharedItems containsBlank="1" containsMixedTypes="1" containsNumber="1" containsInteger="1" minValue="2704" maxValue="5980103"/>
    </cacheField>
    <cacheField name="         " numFmtId="0">
      <sharedItems containsBlank="1" containsMixedTypes="1" containsNumber="1" containsInteger="1" minValue="1298420" maxValue="1298420"/>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834.636311458336" createdVersion="5" refreshedVersion="8" minRefreshableVersion="3" recordCount="1710" xr:uid="{00000000-000A-0000-FFFF-FFFF14000000}">
  <cacheSource type="worksheet">
    <worksheetSource name="Tableau467"/>
  </cacheSource>
  <cacheFields count="10">
    <cacheField name="Nom groupe" numFmtId="0">
      <sharedItems count="22">
        <s v="01 Evian + 0.2% DMSO"/>
        <s v=""/>
        <s v="02 EE2 33.8"/>
        <s v="03 EE2 50.6"/>
        <s v="04 EE2 76"/>
        <s v="05 EE2 114"/>
        <s v="06 EE2 170.9"/>
        <s v="07 EE2 488"/>
        <s v="08 Dutastéride 0.01mg_L"/>
        <s v="09 Dutastéride 0.1mg_L"/>
        <s v="10 Dutastéride 0.25mg_L"/>
        <s v="11 Dutastéride 0.5mg_L"/>
        <s v="12 Dutastéride 1mg_L"/>
        <s v="01 Testo 30"/>
        <s v="02 Testo 30"/>
        <s v="03 Testo+ EE2 64"/>
        <s v="04 Testo+ FAD"/>
        <s v="05 Dutastéride 0.01mg_L Dopé"/>
        <s v="06 Dutastéride 0.1mg_L Dopé"/>
        <s v="07  Dutastéride 0.25mg_L Dopé"/>
        <s v="08 Dutastéride 0.5 mg_L Dopé"/>
        <s v="09 Dutastéride 1mg_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2" maxValue="69"/>
    </cacheField>
    <cacheField name=" " numFmtId="0">
      <sharedItems containsBlank="1" count="24">
        <s v=" "/>
        <m/>
        <s v=" SD mean fluo "/>
        <s v=" 3.3268 "/>
        <s v=" 4.1651 "/>
        <s v=" 12.375 "/>
        <s v=" 3.312 "/>
        <s v=" 4.7061 "/>
        <s v=" 3.0326 "/>
        <s v=" 7.5639 "/>
        <s v=" 4.3955 "/>
        <s v=" 10.0235 "/>
        <s v=" 2.8318 "/>
        <s v=" 2.0798 "/>
        <s v=" 2.8903 "/>
        <s v=" 3.0681 "/>
        <s v=" 4.3474 "/>
        <s v=" 5.6459 "/>
        <s v=" 2.27 "/>
        <s v=" 3.7066 "/>
        <s v=" 14.7289 "/>
        <s v=" 2.0858 "/>
        <s v=" 3.2255 "/>
        <s v=" 3.0493 "/>
      </sharedItems>
    </cacheField>
    <cacheField name=" total fluorescence" numFmtId="0">
      <sharedItems containsBlank="1" containsMixedTypes="1" containsNumber="1" containsInteger="1" minValue="4239" maxValue="5802133"/>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834.636311805552" createdVersion="6" refreshedVersion="8" minRefreshableVersion="3" recordCount="52" xr:uid="{8DEF666A-6C7D-4C16-AD6D-82242760D5D9}">
  <cacheSource type="worksheet">
    <worksheetSource name="liste_groupe"/>
  </cacheSource>
  <cacheFields count="6">
    <cacheField name="Nom sur le graphique" numFmtId="0">
      <sharedItems count="24">
        <s v="Témoin solvant"/>
        <s v="EE2-22,5ng/L"/>
        <s v="EE2-33,8ng/L"/>
        <s v="EE2-50,6ng/L"/>
        <s v="EE2-76ng/L"/>
        <s v="EE2-114ng/L"/>
        <s v="EE2-170,9ng/L"/>
        <s v="EE2-488ng/L"/>
        <s v="Dutasteride-0,01mg/L"/>
        <s v="Dutasteride-0,1mg/L"/>
        <s v="Dutasteride-0,25mg/L"/>
        <s v="Dutasteride-0,5mg/L"/>
        <s v="Dutasteride-1mg/L"/>
        <s v=" "/>
        <s v="Testo -30µg/L"/>
        <s v="Testo 30µg/L + EE2 -64ng/L"/>
        <s v="Testo 30µg/L + FAD-10µg/L"/>
        <s v="Dutasteride-0,01mg/L + Testostérone"/>
        <s v="Dutasteride-0,1mg/L + Testostérone"/>
        <s v="Dutasteride-0,25mg/L + Testostérone"/>
        <s v="Dutasteride-0,5mg/L + Testostérone"/>
        <s v="Dutasteride-1mg/L + Testostérone"/>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raw data"/>
    <m/>
    <m/>
    <x v="0"/>
    <m/>
    <m/>
    <m/>
    <m/>
  </r>
  <r>
    <x v="0"/>
    <x v="0"/>
    <s v=" "/>
    <m/>
    <m/>
    <x v="0"/>
    <m/>
    <m/>
    <m/>
    <m/>
  </r>
  <r>
    <x v="0"/>
    <x v="0"/>
    <s v="Version 4.0, Macro for Choriogenin Analysis.  60-255,  auto blue selection TIF"/>
    <m/>
    <m/>
    <x v="0"/>
    <m/>
    <m/>
    <m/>
    <m/>
  </r>
  <r>
    <x v="0"/>
    <x v="0"/>
    <s v=" "/>
    <m/>
    <m/>
    <x v="0"/>
    <m/>
    <m/>
    <m/>
    <m/>
  </r>
  <r>
    <x v="0"/>
    <x v="0"/>
    <s v=" "/>
    <m/>
    <m/>
    <x v="0"/>
    <m/>
    <m/>
    <m/>
    <m/>
  </r>
  <r>
    <x v="0"/>
    <x v="0"/>
    <s v="analysed:"/>
    <m/>
    <m/>
    <x v="0"/>
    <m/>
    <m/>
    <m/>
    <m/>
  </r>
  <r>
    <x v="0"/>
    <x v="0"/>
    <s v="Date: Thu 29-Sep-2022"/>
    <m/>
    <m/>
    <x v="0"/>
    <m/>
    <m/>
    <m/>
    <m/>
  </r>
  <r>
    <x v="0"/>
    <x v="0"/>
    <s v="Time: 16:04:31"/>
    <m/>
    <m/>
    <x v="0"/>
    <m/>
    <m/>
    <m/>
    <m/>
  </r>
  <r>
    <x v="0"/>
    <x v="0"/>
    <s v=" "/>
    <m/>
    <m/>
    <x v="0"/>
    <m/>
    <m/>
    <m/>
    <m/>
  </r>
  <r>
    <x v="0"/>
    <x v="0"/>
    <s v="start date of exposure: "/>
    <s v=" 28/09/2022"/>
    <m/>
    <x v="0"/>
    <m/>
    <m/>
    <m/>
    <m/>
  </r>
  <r>
    <x v="0"/>
    <x v="0"/>
    <s v="date of read: "/>
    <s v=" 29/09/2022"/>
    <m/>
    <x v="0"/>
    <m/>
    <m/>
    <m/>
    <m/>
  </r>
  <r>
    <x v="0"/>
    <x v="0"/>
    <s v="line: "/>
    <s v=" ChgH homozygous"/>
    <m/>
    <x v="0"/>
    <m/>
    <m/>
    <m/>
    <m/>
  </r>
  <r>
    <x v="0"/>
    <x v="0"/>
    <s v="crossed with: "/>
    <s v=" ChgH homozygous"/>
    <m/>
    <x v="0"/>
    <m/>
    <m/>
    <m/>
    <m/>
  </r>
  <r>
    <x v="0"/>
    <x v="0"/>
    <s v="generation of embryos: "/>
    <s v=" "/>
    <m/>
    <x v="0"/>
    <m/>
    <m/>
    <m/>
    <m/>
  </r>
  <r>
    <x v="0"/>
    <x v="0"/>
    <s v="exposure length in hours: "/>
    <s v=" 24h"/>
    <m/>
    <x v="0"/>
    <m/>
    <m/>
    <m/>
    <m/>
  </r>
  <r>
    <x v="0"/>
    <x v="0"/>
    <s v=" "/>
    <m/>
    <m/>
    <x v="0"/>
    <m/>
    <m/>
    <m/>
    <m/>
  </r>
  <r>
    <x v="0"/>
    <x v="0"/>
    <s v=" "/>
    <m/>
    <m/>
    <x v="0"/>
    <m/>
    <m/>
    <m/>
    <m/>
  </r>
  <r>
    <x v="0"/>
    <x v="0"/>
    <s v="file name "/>
    <s v=" total area "/>
    <s v=" mean intensity "/>
    <x v="1"/>
    <s v=" total fluorescence"/>
    <m/>
    <m/>
    <m/>
  </r>
  <r>
    <x v="1"/>
    <x v="1"/>
    <s v="D:\images\2022-CHG-NLO-dutasteride\plaque 1/@01 TS/A1_01.tif "/>
    <s v=" 22.0721 "/>
    <s v=" 63.4231 "/>
    <x v="1"/>
    <n v="1400"/>
    <m/>
    <m/>
    <m/>
  </r>
  <r>
    <x v="1"/>
    <x v="1"/>
    <s v="D:\images\2022-CHG-NLO-dutasteride\plaque 1/@01 TS/A1_02.tif "/>
    <s v=" 11.885 "/>
    <s v=" 63.0714 "/>
    <x v="1"/>
    <n v="750"/>
    <m/>
    <m/>
    <m/>
  </r>
  <r>
    <x v="1"/>
    <x v="1"/>
    <s v="D:\images\2022-CHG-NLO-dutasteride\plaque 1/@01 TS/A1_03.tif "/>
    <s v=" 8.4893 "/>
    <s v=" 64.2 "/>
    <x v="1"/>
    <n v="545"/>
    <m/>
    <m/>
    <m/>
  </r>
  <r>
    <x v="1"/>
    <x v="2"/>
    <s v="D:\images\2022-CHG-NLO-dutasteride\plaque 1/@01 TS/B1_01.tif "/>
    <s v=" 6.7914 "/>
    <s v=" 64.5 "/>
    <x v="1"/>
    <n v="438"/>
    <m/>
    <m/>
    <m/>
  </r>
  <r>
    <x v="1"/>
    <x v="2"/>
    <s v="D:\images\2022-CHG-NLO-dutasteride\plaque 1/@01 TS/B1_02.tif "/>
    <s v=" 11.885 "/>
    <s v=" 63.3571 "/>
    <x v="1"/>
    <n v="753"/>
    <m/>
    <m/>
    <m/>
  </r>
  <r>
    <x v="1"/>
    <x v="2"/>
    <s v="D:\images\2022-CHG-NLO-dutasteride\plaque 1/@01 TS/B1_03.tif "/>
    <s v=" 11.885 "/>
    <s v=" 65.2143 "/>
    <x v="1"/>
    <n v="775"/>
    <m/>
    <m/>
    <m/>
  </r>
  <r>
    <x v="1"/>
    <x v="3"/>
    <s v="D:\images\2022-CHG-NLO-dutasteride\plaque 1/@01 TS/C1_01.tif "/>
    <s v=" 16.9786 "/>
    <s v=" 65.55 "/>
    <x v="1"/>
    <n v="1113"/>
    <m/>
    <m/>
    <m/>
  </r>
  <r>
    <x v="1"/>
    <x v="3"/>
    <s v="D:\images\2022-CHG-NLO-dutasteride\plaque 1/@01 TS/C1_02.tif "/>
    <s v=" 290.3333 "/>
    <s v=" 68.6784 "/>
    <x v="1"/>
    <n v="19940"/>
    <m/>
    <m/>
    <m/>
  </r>
  <r>
    <x v="1"/>
    <x v="3"/>
    <s v="D:\images\2022-CHG-NLO-dutasteride\plaque 1/@01 TS/C1_03.tif "/>
    <s v=" 44.1442 "/>
    <s v=" 64.1731 "/>
    <x v="1"/>
    <n v="2833"/>
    <m/>
    <m/>
    <m/>
  </r>
  <r>
    <x v="1"/>
    <x v="4"/>
    <s v="D:\images\2022-CHG-NLO-dutasteride\plaque 1/@01 TS/D1_01.tif "/>
    <s v=" 67.0653 "/>
    <s v=" 65.3797 "/>
    <x v="1"/>
    <n v="4385"/>
    <m/>
    <m/>
    <m/>
  </r>
  <r>
    <x v="1"/>
    <x v="4"/>
    <s v="D:\images\2022-CHG-NLO-dutasteride\plaque 1/@01 TS/D1_02.tif "/>
    <s v=" 17.8275 "/>
    <s v=" 63.7143 "/>
    <x v="1"/>
    <n v="1136"/>
    <m/>
    <m/>
    <m/>
  </r>
  <r>
    <x v="1"/>
    <x v="4"/>
    <s v="D:\images\2022-CHG-NLO-dutasteride\plaque 1/@01 TS/D1_03.tif "/>
    <s v=" 9.3382 "/>
    <s v=" 63.7273 "/>
    <x v="1"/>
    <n v="595"/>
    <m/>
    <m/>
    <m/>
  </r>
  <r>
    <x v="1"/>
    <x v="5"/>
    <s v="D:\images\2022-CHG-NLO-dutasteride\plaque 1/@01 TS/E1_01.tif "/>
    <s v=" 78.9503 "/>
    <s v=" 65.1398 "/>
    <x v="1"/>
    <n v="5143"/>
    <m/>
    <m/>
    <m/>
  </r>
  <r>
    <x v="1"/>
    <x v="5"/>
    <s v="D:\images\2022-CHG-NLO-dutasteride\plaque 1/@01 TS/E1_02.tif "/>
    <s v=" 11.885 "/>
    <s v=" 62.9286 "/>
    <x v="1"/>
    <n v="748"/>
    <m/>
    <m/>
    <m/>
  </r>
  <r>
    <x v="1"/>
    <x v="5"/>
    <s v="D:\images\2022-CHG-NLO-dutasteride\plaque 1/@01 TS/E1_03.tif "/>
    <s v=" 87.4396 "/>
    <s v=" 63.9417 "/>
    <x v="1"/>
    <n v="5591"/>
    <m/>
    <m/>
    <m/>
  </r>
  <r>
    <x v="1"/>
    <x v="6"/>
    <s v="D:\images\2022-CHG-NLO-dutasteride\plaque 1/@01 TS/F1_01.tif "/>
    <s v=" 211.383 "/>
    <s v=" 65.992 "/>
    <x v="1"/>
    <n v="13950"/>
    <m/>
    <m/>
    <m/>
  </r>
  <r>
    <x v="1"/>
    <x v="6"/>
    <s v="D:\images\2022-CHG-NLO-dutasteride\plaque 1/@01 TS/F1_02.tif "/>
    <s v=" 22.0721 "/>
    <s v=" 66.3077 "/>
    <x v="1"/>
    <n v="1464"/>
    <m/>
    <m/>
    <m/>
  </r>
  <r>
    <x v="1"/>
    <x v="6"/>
    <s v="D:\images\2022-CHG-NLO-dutasteride\plaque 1/@01 TS/F1_03.tif "/>
    <s v=" 110.3606 "/>
    <s v=" 65.5154 "/>
    <x v="1"/>
    <n v="7230"/>
    <m/>
    <m/>
    <m/>
  </r>
  <r>
    <x v="1"/>
    <x v="7"/>
    <s v="D:\images\2022-CHG-NLO-dutasteride\plaque 1/@01 TS/G1_01.tif "/>
    <s v=" 185.0663 "/>
    <s v=" 66.3028 "/>
    <x v="1"/>
    <n v="12270"/>
    <m/>
    <m/>
    <m/>
  </r>
  <r>
    <x v="1"/>
    <x v="7"/>
    <s v="D:\images\2022-CHG-NLO-dutasteride\plaque 1/@01 TS/G1_02.tif "/>
    <s v=" 100.1735 "/>
    <n v="65"/>
    <x v="1"/>
    <n v="6511"/>
    <m/>
    <m/>
    <m/>
  </r>
  <r>
    <x v="1"/>
    <x v="7"/>
    <s v="D:\images\2022-CHG-NLO-dutasteride\plaque 1/@01 TS/G1_03.tif "/>
    <s v=" 86.5906 "/>
    <s v=" 64.1471 "/>
    <x v="1"/>
    <n v="5555"/>
    <m/>
    <m/>
    <m/>
  </r>
  <r>
    <x v="1"/>
    <x v="8"/>
    <s v="D:\images\2022-CHG-NLO-dutasteride\plaque 1/@01 TS/H1_01.tif "/>
    <s v=" 5.0936 "/>
    <s v=" 66.3333 "/>
    <x v="1"/>
    <n v="338"/>
    <m/>
    <m/>
    <m/>
  </r>
  <r>
    <x v="1"/>
    <x v="8"/>
    <s v="D:\images\2022-CHG-NLO-dutasteride\plaque 1/@01 TS/H1_02.tif "/>
    <s v=" 10.1871 "/>
    <s v=" 64.1667 "/>
    <x v="1"/>
    <n v="654"/>
    <m/>
    <m/>
    <m/>
  </r>
  <r>
    <x v="1"/>
    <x v="8"/>
    <s v="D:\images\2022-CHG-NLO-dutasteride\plaque 1/@01 TS/H1_03.tif "/>
    <s v=" 14.4318 "/>
    <s v=" 65.0588 "/>
    <x v="1"/>
    <n v="939"/>
    <m/>
    <m/>
    <m/>
  </r>
  <r>
    <x v="0"/>
    <x v="0"/>
    <s v=" "/>
    <m/>
    <m/>
    <x v="0"/>
    <m/>
    <m/>
    <m/>
    <m/>
  </r>
  <r>
    <x v="0"/>
    <x v="0"/>
    <s v="group "/>
    <s v=" "/>
    <s v=" mean of mean fluo "/>
    <x v="2"/>
    <s v=" mean of total fluo "/>
    <s v=" SD total fluo "/>
    <s v=" n fluorescent "/>
    <s v=" n total"/>
  </r>
  <r>
    <x v="1"/>
    <x v="9"/>
    <s v="D:\images\2022-CHG-NLO-dutasteride\plaque 1/@01 TS/ "/>
    <s v=" "/>
    <s v=" 64.8259 "/>
    <x v="3"/>
    <s v=" 3960.6667 "/>
    <s v=" 5055.9931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2"/>
    <x v="1"/>
    <s v="D:\images\2022-CHG-NLO-dutasteride\plaque 1/@02 EE2 34/A2_01.tif "/>
    <s v=" 12.7339 "/>
    <n v="63"/>
    <x v="1"/>
    <n v="802"/>
    <m/>
    <m/>
    <m/>
  </r>
  <r>
    <x v="2"/>
    <x v="1"/>
    <s v="D:\images\2022-CHG-NLO-dutasteride\plaque 1/@02 EE2 34/A2_02.tif "/>
    <s v=" 27.1657 "/>
    <s v=" 64.2188 "/>
    <x v="1"/>
    <n v="1745"/>
    <m/>
    <m/>
    <m/>
  </r>
  <r>
    <x v="2"/>
    <x v="1"/>
    <s v="D:\images\2022-CHG-NLO-dutasteride\plaque 1/@02 EE2 34/A2_03.tif "/>
    <s v=" 17.8275 "/>
    <s v=" 63.9048 "/>
    <x v="1"/>
    <n v="1139"/>
    <m/>
    <m/>
    <m/>
  </r>
  <r>
    <x v="2"/>
    <x v="2"/>
    <s v="D:\images\2022-CHG-NLO-dutasteride\plaque 1/@02 EE2 34/B2_01.tif "/>
    <s v=" 5.0936 "/>
    <s v=" 66.1667 "/>
    <x v="1"/>
    <n v="337"/>
    <m/>
    <m/>
    <m/>
  </r>
  <r>
    <x v="2"/>
    <x v="2"/>
    <s v="D:\images\2022-CHG-NLO-dutasteride\plaque 1/@02 EE2 34/B2_02.tif "/>
    <s v=" 2.5468 "/>
    <s v=" 65.6667 "/>
    <x v="1"/>
    <n v="167"/>
    <m/>
    <m/>
    <m/>
  </r>
  <r>
    <x v="2"/>
    <x v="2"/>
    <s v="D:\images\2022-CHG-NLO-dutasteride\plaque 1/@02 EE2 34/B2_03.tif "/>
    <s v=" 5.9425 "/>
    <s v=" 66.1429 "/>
    <x v="1"/>
    <n v="393"/>
    <m/>
    <m/>
    <m/>
  </r>
  <r>
    <x v="2"/>
    <x v="3"/>
    <s v="D:\images\2022-CHG-NLO-dutasteride\plaque 1/@02 EE2 34/C2_01.tif "/>
    <s v=" 139.2242 "/>
    <s v=" 65.8659 "/>
    <x v="1"/>
    <n v="9170"/>
    <m/>
    <m/>
    <m/>
  </r>
  <r>
    <x v="2"/>
    <x v="3"/>
    <s v="D:\images\2022-CHG-NLO-dutasteride\plaque 1/@02 EE2 34/C2_02.tif "/>
    <s v=" 26.3168 "/>
    <s v=" 62.9355 "/>
    <x v="1"/>
    <n v="1656"/>
    <m/>
    <m/>
    <m/>
  </r>
  <r>
    <x v="2"/>
    <x v="3"/>
    <s v="D:\images\2022-CHG-NLO-dutasteride\plaque 1/@02 EE2 34/C2_03.tif "/>
    <s v=" 17.8275 "/>
    <n v="64"/>
    <x v="1"/>
    <n v="1141"/>
    <m/>
    <m/>
    <m/>
  </r>
  <r>
    <x v="2"/>
    <x v="4"/>
    <s v="D:\images\2022-CHG-NLO-dutasteride\plaque 1/@02 EE2 34/D2_01.tif "/>
    <s v=" 9.3382 "/>
    <s v=" 63.4545 "/>
    <x v="1"/>
    <n v="593"/>
    <m/>
    <m/>
    <m/>
  </r>
  <r>
    <x v="2"/>
    <x v="4"/>
    <s v="D:\images\2022-CHG-NLO-dutasteride\plaque 1/@02 EE2 34/D2_02.tif "/>
    <s v=" 10.1871 "/>
    <s v=" 61.5 "/>
    <x v="1"/>
    <n v="627"/>
    <m/>
    <m/>
    <m/>
  </r>
  <r>
    <x v="2"/>
    <x v="4"/>
    <s v="D:\images\2022-CHG-NLO-dutasteride\plaque 1/@02 EE2 34/D2_03.tif "/>
    <s v=" 10.1871 "/>
    <s v=" 63.5833 "/>
    <x v="1"/>
    <n v="648"/>
    <m/>
    <m/>
    <m/>
  </r>
  <r>
    <x v="2"/>
    <x v="5"/>
    <s v="D:\images\2022-CHG-NLO-dutasteride\plaque 1/@02 EE2 34/E2_01.tif "/>
    <s v=" 16.9786 "/>
    <n v="64"/>
    <x v="1"/>
    <n v="1087"/>
    <m/>
    <m/>
    <m/>
  </r>
  <r>
    <x v="2"/>
    <x v="5"/>
    <s v="D:\images\2022-CHG-NLO-dutasteride\plaque 1/@02 EE2 34/E2_02.tif "/>
    <s v=" 15.2807 "/>
    <n v="64"/>
    <x v="1"/>
    <n v="978"/>
    <m/>
    <m/>
    <m/>
  </r>
  <r>
    <x v="2"/>
    <x v="5"/>
    <s v="D:\images\2022-CHG-NLO-dutasteride\plaque 1/@02 EE2 34/E2_03.tif "/>
    <s v=" 9.3382 "/>
    <s v=" 63.6364 "/>
    <x v="1"/>
    <n v="594"/>
    <m/>
    <m/>
    <m/>
  </r>
  <r>
    <x v="2"/>
    <x v="6"/>
    <s v="D:\images\2022-CHG-NLO-dutasteride\plaque 1/@02 EE2 34/F2_01.tif "/>
    <s v=" 30.5614 "/>
    <s v=" 63.2222 "/>
    <x v="1"/>
    <n v="1932"/>
    <m/>
    <m/>
    <m/>
  </r>
  <r>
    <x v="2"/>
    <x v="6"/>
    <s v="D:\images\2022-CHG-NLO-dutasteride\plaque 1/@02 EE2 34/F2_02.tif "/>
    <s v=" 19.5253 "/>
    <s v=" 64.0435 "/>
    <x v="1"/>
    <n v="1250"/>
    <m/>
    <m/>
    <m/>
  </r>
  <r>
    <x v="2"/>
    <x v="6"/>
    <s v="D:\images\2022-CHG-NLO-dutasteride\plaque 1/@02 EE2 34/F2_03.tif "/>
    <s v=" 20.3743 "/>
    <s v=" 63.2083 "/>
    <x v="1"/>
    <n v="1288"/>
    <m/>
    <m/>
    <m/>
  </r>
  <r>
    <x v="2"/>
    <x v="7"/>
    <s v="D:\images\2022-CHG-NLO-dutasteride\plaque 1/@02 EE2 34/G2_01.tif "/>
    <s v=" 39.0507 "/>
    <s v=" 63.1087 "/>
    <x v="1"/>
    <n v="2464"/>
    <m/>
    <m/>
    <m/>
  </r>
  <r>
    <x v="2"/>
    <x v="7"/>
    <s v="D:\images\2022-CHG-NLO-dutasteride\plaque 1/@02 EE2 34/G2_02.tif "/>
    <s v=" 140.922 "/>
    <s v=" 68.494 "/>
    <x v="1"/>
    <n v="9652"/>
    <m/>
    <m/>
    <m/>
  </r>
  <r>
    <x v="2"/>
    <x v="7"/>
    <s v="D:\images\2022-CHG-NLO-dutasteride\plaque 1/@02 EE2 34/G2_03.tif "/>
    <s v=" 131.5838 "/>
    <s v=" 65.5161 "/>
    <x v="1"/>
    <n v="8621"/>
    <m/>
    <m/>
    <m/>
  </r>
  <r>
    <x v="2"/>
    <x v="8"/>
    <s v="D:\images\2022-CHG-NLO-dutasteride\plaque 1/@02 EE2 34/H2_01.tif "/>
    <s v=" 7.6404 "/>
    <s v=" 64.8889 "/>
    <x v="1"/>
    <n v="496"/>
    <m/>
    <m/>
    <m/>
  </r>
  <r>
    <x v="2"/>
    <x v="8"/>
    <s v="D:\images\2022-CHG-NLO-dutasteride\plaque 1/@02 EE2 34/H2_02.tif "/>
    <s v=" 20.3743 "/>
    <s v=" 65.875 "/>
    <x v="1"/>
    <n v="1342"/>
    <m/>
    <m/>
    <m/>
  </r>
  <r>
    <x v="2"/>
    <x v="8"/>
    <s v="D:\images\2022-CHG-NLO-dutasteride\plaque 1/@02 EE2 34/H2_03.tif "/>
    <s v=" 21.2232 "/>
    <s v=" 63.84 "/>
    <x v="1"/>
    <n v="1355"/>
    <m/>
    <m/>
    <m/>
  </r>
  <r>
    <x v="0"/>
    <x v="0"/>
    <s v=" "/>
    <m/>
    <m/>
    <x v="0"/>
    <m/>
    <m/>
    <m/>
    <m/>
  </r>
  <r>
    <x v="0"/>
    <x v="0"/>
    <s v="group "/>
    <s v=" "/>
    <s v=" mean of mean fluo "/>
    <x v="2"/>
    <s v=" mean of total fluo "/>
    <s v=" SD total fluo "/>
    <s v=" n fluorescent "/>
    <s v=" n total"/>
  </r>
  <r>
    <x v="2"/>
    <x v="9"/>
    <s v="D:\images\2022-CHG-NLO-dutasteride\plaque 1/@02 EE2 34/ "/>
    <s v=" "/>
    <s v=" 64.3447 "/>
    <x v="4"/>
    <s v=" 2061.5417 "/>
    <s v=" 2793.3334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3"/>
    <x v="1"/>
    <s v="D:\images\2022-CHG-NLO-dutasteride\plaque 1/@03 EE2 51/A3_01.tif "/>
    <s v=" 11.885 "/>
    <s v=" 64.2143 "/>
    <x v="1"/>
    <n v="763"/>
    <m/>
    <m/>
    <m/>
  </r>
  <r>
    <x v="3"/>
    <x v="1"/>
    <s v="D:\images\2022-CHG-NLO-dutasteride\plaque 1/@03 EE2 51/A3_02.tif "/>
    <s v=" 19.5253 "/>
    <s v=" 65.5652 "/>
    <x v="1"/>
    <n v="1280"/>
    <m/>
    <m/>
    <m/>
  </r>
  <r>
    <x v="3"/>
    <x v="1"/>
    <s v="D:\images\2022-CHG-NLO-dutasteride\plaque 1/@03 EE2 51/A3_03.tif "/>
    <s v=" 7.6404 "/>
    <s v=" 62.7778 "/>
    <x v="1"/>
    <n v="480"/>
    <m/>
    <m/>
    <m/>
  </r>
  <r>
    <x v="3"/>
    <x v="2"/>
    <s v="D:\images\2022-CHG-NLO-dutasteride\plaque 1/@03 EE2 51/B3_01.tif "/>
    <s v=" 21.2232 "/>
    <s v=" 63.92 "/>
    <x v="1"/>
    <n v="1357"/>
    <m/>
    <m/>
    <m/>
  </r>
  <r>
    <x v="3"/>
    <x v="2"/>
    <s v="D:\images\2022-CHG-NLO-dutasteride\plaque 1/@03 EE2 51/B3_02.tif "/>
    <s v=" 17.8275 "/>
    <s v=" 61.9524 "/>
    <x v="1"/>
    <n v="1104"/>
    <m/>
    <m/>
    <m/>
  </r>
  <r>
    <x v="3"/>
    <x v="2"/>
    <s v="D:\images\2022-CHG-NLO-dutasteride\plaque 1/@03 EE2 51/B3_03.tif "/>
    <s v=" 13.5828 "/>
    <s v=" 63.25 "/>
    <x v="1"/>
    <n v="859"/>
    <m/>
    <m/>
    <m/>
  </r>
  <r>
    <x v="3"/>
    <x v="3"/>
    <s v="D:\images\2022-CHG-NLO-dutasteride\plaque 1/@03 EE2 51/C3_01.tif "/>
    <s v=" 8.4893 "/>
    <s v=" 62.5 "/>
    <x v="1"/>
    <n v="531"/>
    <m/>
    <m/>
    <m/>
  </r>
  <r>
    <x v="3"/>
    <x v="3"/>
    <s v="D:\images\2022-CHG-NLO-dutasteride\plaque 1/@03 EE2 51/C3_02.tif "/>
    <s v=" 6.7914 "/>
    <s v=" 63.125 "/>
    <x v="1"/>
    <n v="429"/>
    <m/>
    <m/>
    <m/>
  </r>
  <r>
    <x v="3"/>
    <x v="3"/>
    <s v="D:\images\2022-CHG-NLO-dutasteride\plaque 1/@03 EE2 51/C3_03.tif "/>
    <s v=" 9.3382 "/>
    <s v=" 63.5455 "/>
    <x v="1"/>
    <n v="593"/>
    <m/>
    <m/>
    <m/>
  </r>
  <r>
    <x v="3"/>
    <x v="4"/>
    <s v="D:\images\2022-CHG-NLO-dutasteride\plaque 1/@03 EE2 51/D3_01.tif "/>
    <s v=" 84.0439 "/>
    <s v=" 62.7778 "/>
    <x v="1"/>
    <n v="5276"/>
    <m/>
    <m/>
    <m/>
  </r>
  <r>
    <x v="3"/>
    <x v="4"/>
    <s v="D:\images\2022-CHG-NLO-dutasteride\plaque 1/@03 EE2 51/D3_02.tif "/>
    <s v=" 19.5253 "/>
    <s v=" 62.7391 "/>
    <x v="1"/>
    <n v="1225"/>
    <m/>
    <m/>
    <m/>
  </r>
  <r>
    <x v="3"/>
    <x v="4"/>
    <s v="D:\images\2022-CHG-NLO-dutasteride\plaque 1/@03 EE2 51/D3_03- exclu.tif"/>
    <m/>
    <m/>
    <x v="0"/>
    <m/>
    <m/>
    <m/>
    <m/>
  </r>
  <r>
    <x v="3"/>
    <x v="5"/>
    <s v="D:\images\2022-CHG-NLO-dutasteride\plaque 1/@03 EE2 51/E3_01.tif "/>
    <s v=" 139.2242 "/>
    <s v=" 65.5305 "/>
    <x v="1"/>
    <n v="9123"/>
    <m/>
    <m/>
    <m/>
  </r>
  <r>
    <x v="3"/>
    <x v="5"/>
    <s v="D:\images\2022-CHG-NLO-dutasteride\plaque 1/@03 EE2 51/E3_02.tif "/>
    <s v=" 211.383 "/>
    <s v=" 66.5382 "/>
    <x v="1"/>
    <n v="14065"/>
    <m/>
    <m/>
    <m/>
  </r>
  <r>
    <x v="3"/>
    <x v="5"/>
    <s v="D:\images\2022-CHG-NLO-dutasteride\plaque 1/@03 EE2 51/E3_03.tif "/>
    <s v=" 76.4035 "/>
    <s v=" 64.8111 "/>
    <x v="1"/>
    <n v="4952"/>
    <m/>
    <m/>
    <m/>
  </r>
  <r>
    <x v="3"/>
    <x v="6"/>
    <s v="D:\images\2022-CHG-NLO-dutasteride\plaque 1/@03 EE2 51/F3_01.tif "/>
    <s v=" 11.885 "/>
    <s v=" 64.5 "/>
    <x v="1"/>
    <n v="767"/>
    <m/>
    <m/>
    <m/>
  </r>
  <r>
    <x v="3"/>
    <x v="6"/>
    <s v="D:\images\2022-CHG-NLO-dutasteride\plaque 1/@03 EE2 51/F3_02.tif "/>
    <s v=" 8.4893 "/>
    <s v=" 65.4 "/>
    <x v="1"/>
    <n v="555"/>
    <m/>
    <m/>
    <m/>
  </r>
  <r>
    <x v="3"/>
    <x v="6"/>
    <s v="D:\images\2022-CHG-NLO-dutasteride\plaque 1/@03 EE2 51/F3_03.tif "/>
    <s v=" 17.8275 "/>
    <s v=" 64.4762 "/>
    <x v="1"/>
    <n v="1149"/>
    <m/>
    <m/>
    <m/>
  </r>
  <r>
    <x v="3"/>
    <x v="7"/>
    <s v="D:\images\2022-CHG-NLO-dutasteride\plaque 1/@03 EE2 51/G3_01.tif "/>
    <s v=" 26.3168 "/>
    <s v=" 64.7742 "/>
    <x v="1"/>
    <n v="1705"/>
    <m/>
    <m/>
    <m/>
  </r>
  <r>
    <x v="3"/>
    <x v="7"/>
    <s v="D:\images\2022-CHG-NLO-dutasteride\plaque 1/@03 EE2 51/G3_02.tif "/>
    <s v=" 16.1296 "/>
    <s v=" 63.4211 "/>
    <x v="1"/>
    <n v="1023"/>
    <m/>
    <m/>
    <m/>
  </r>
  <r>
    <x v="3"/>
    <x v="7"/>
    <s v="D:\images\2022-CHG-NLO-dutasteride\plaque 1/@03 EE2 51/G3_03.tif "/>
    <s v=" 6.7914 "/>
    <s v=" 64.625 "/>
    <x v="1"/>
    <n v="439"/>
    <m/>
    <m/>
    <m/>
  </r>
  <r>
    <x v="3"/>
    <x v="8"/>
    <s v="D:\images\2022-CHG-NLO-dutasteride\plaque 1/@03 EE2 51/H3_01.tif "/>
    <s v=" 230.0594 "/>
    <s v=" 65.1144 "/>
    <x v="1"/>
    <n v="14980"/>
    <m/>
    <m/>
    <m/>
  </r>
  <r>
    <x v="3"/>
    <x v="8"/>
    <s v="D:\images\2022-CHG-NLO-dutasteride\plaque 1/@03 EE2 51/H3_02.tif "/>
    <s v=" 207.9873 "/>
    <s v=" 65.2653 "/>
    <x v="1"/>
    <n v="13574"/>
    <m/>
    <m/>
    <m/>
  </r>
  <r>
    <x v="3"/>
    <x v="8"/>
    <s v="D:\images\2022-CHG-NLO-dutasteride\plaque 1/@03 EE2 51/H3_03.tif "/>
    <s v=" 151.9581 "/>
    <s v=" 65.2346 "/>
    <x v="1"/>
    <n v="9913"/>
    <m/>
    <m/>
    <m/>
  </r>
  <r>
    <x v="0"/>
    <x v="0"/>
    <s v=" "/>
    <m/>
    <m/>
    <x v="0"/>
    <m/>
    <m/>
    <m/>
    <m/>
  </r>
  <r>
    <x v="0"/>
    <x v="0"/>
    <s v="group "/>
    <s v=" "/>
    <s v=" mean of mean fluo "/>
    <x v="2"/>
    <s v=" mean of total fluo "/>
    <s v=" SD total fluo "/>
    <s v=" n fluorescent "/>
    <s v=" n total"/>
  </r>
  <r>
    <x v="3"/>
    <x v="9"/>
    <s v="D:\images\2022-CHG-NLO-dutasteride\plaque 1/@03 EE2 51/ "/>
    <s v=" "/>
    <s v=" 64.0753 "/>
    <x v="5"/>
    <s v=" 3615.4583 "/>
    <s v=" 4854.1429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4"/>
    <x v="1"/>
    <s v="D:\images\2022-CHG-NLO-dutasteride\plaque 1/@04 EE2 76/A4_01.tif "/>
    <s v=" 38.2018 "/>
    <s v=" 64.5778 "/>
    <x v="1"/>
    <n v="2467"/>
    <m/>
    <m/>
    <m/>
  </r>
  <r>
    <x v="4"/>
    <x v="1"/>
    <s v="D:\images\2022-CHG-NLO-dutasteride\plaque 1/@04 EE2 76/A4_02.tif "/>
    <s v=" 128.1881 "/>
    <s v=" 66.9272 "/>
    <x v="1"/>
    <n v="8579"/>
    <m/>
    <m/>
    <m/>
  </r>
  <r>
    <x v="4"/>
    <x v="1"/>
    <s v="D:\images\2022-CHG-NLO-dutasteride\plaque 1/@04 EE2 76/A4_03.tif "/>
    <s v=" 19.5253 "/>
    <s v=" 62.2174 "/>
    <x v="1"/>
    <n v="1215"/>
    <m/>
    <m/>
    <m/>
  </r>
  <r>
    <x v="4"/>
    <x v="2"/>
    <s v="D:\images\2022-CHG-NLO-dutasteride\plaque 1/@04 EE2 76/B4_01.tif "/>
    <s v=" 586.6091 "/>
    <s v=" 67.7207 "/>
    <x v="1"/>
    <n v="39726"/>
    <m/>
    <m/>
    <m/>
  </r>
  <r>
    <x v="4"/>
    <x v="2"/>
    <s v="D:\images\2022-CHG-NLO-dutasteride\plaque 1/@04 EE2 76/B4_02.tif "/>
    <s v=" 423.615 "/>
    <s v=" 65.8056 "/>
    <x v="1"/>
    <n v="27876"/>
    <m/>
    <m/>
    <m/>
  </r>
  <r>
    <x v="4"/>
    <x v="2"/>
    <s v="D:\images\2022-CHG-NLO-dutasteride\plaque 1/@04 EE2 76/B4_03.tif "/>
    <s v=" 472.8528 "/>
    <s v=" 65.3914 "/>
    <x v="1"/>
    <n v="30920"/>
    <m/>
    <m/>
    <m/>
  </r>
  <r>
    <x v="4"/>
    <x v="3"/>
    <s v="D:\images\2022-CHG-NLO-dutasteride\plaque 1/@04 EE2 76/C4_01.tif "/>
    <s v=" 27.1657 "/>
    <s v=" 62.75 "/>
    <x v="1"/>
    <n v="1705"/>
    <m/>
    <m/>
    <m/>
  </r>
  <r>
    <x v="4"/>
    <x v="3"/>
    <s v="D:\images\2022-CHG-NLO-dutasteride\plaque 1/@04 EE2 76/C4_02- exclu.tif"/>
    <m/>
    <m/>
    <x v="0"/>
    <m/>
    <m/>
    <m/>
    <m/>
  </r>
  <r>
    <x v="4"/>
    <x v="3"/>
    <s v="D:\images\2022-CHG-NLO-dutasteride\plaque 1/@04 EE2 76/C4_03.tif "/>
    <s v=" 32.2593 "/>
    <s v=" 63.5 "/>
    <x v="1"/>
    <n v="2048"/>
    <m/>
    <m/>
    <m/>
  </r>
  <r>
    <x v="4"/>
    <x v="4"/>
    <s v="D:\images\2022-CHG-NLO-dutasteride\plaque 1/@04 EE2 76/D4_01.tif "/>
    <s v=" 38.2018 "/>
    <s v=" 62.6889 "/>
    <x v="1"/>
    <n v="2395"/>
    <m/>
    <m/>
    <m/>
  </r>
  <r>
    <x v="4"/>
    <x v="4"/>
    <s v="D:\images\2022-CHG-NLO-dutasteride\plaque 1/@04 EE2 76/D4_02.tif "/>
    <s v=" 12.7339 "/>
    <s v=" 63.2 "/>
    <x v="1"/>
    <n v="805"/>
    <m/>
    <m/>
    <m/>
  </r>
  <r>
    <x v="4"/>
    <x v="4"/>
    <s v="D:\images\2022-CHG-NLO-dutasteride\plaque 1/@04 EE2 76/D4_03.tif "/>
    <s v=" 34.806 "/>
    <s v=" 63.439 "/>
    <x v="1"/>
    <n v="2208"/>
    <m/>
    <m/>
    <m/>
  </r>
  <r>
    <x v="4"/>
    <x v="5"/>
    <s v="D:\images\2022-CHG-NLO-dutasteride\plaque 1/@04 EE2 76/E4_01.tif "/>
    <s v=" 64.5185 "/>
    <s v=" 62.9079 "/>
    <x v="1"/>
    <n v="4059"/>
    <m/>
    <m/>
    <m/>
  </r>
  <r>
    <x v="4"/>
    <x v="5"/>
    <s v="D:\images\2022-CHG-NLO-dutasteride\plaque 1/@04 EE2 76/E4_02.tif "/>
    <s v=" 92.5331 "/>
    <s v=" 63.6514 "/>
    <x v="1"/>
    <n v="5890"/>
    <m/>
    <m/>
    <m/>
  </r>
  <r>
    <x v="4"/>
    <x v="5"/>
    <s v="D:\images\2022-CHG-NLO-dutasteride\plaque 1/@04 EE2 76/E4_03.tif "/>
    <s v=" 89.1374 "/>
    <s v=" 63.781 "/>
    <x v="1"/>
    <n v="5685"/>
    <m/>
    <m/>
    <m/>
  </r>
  <r>
    <x v="4"/>
    <x v="6"/>
    <s v="D:\images\2022-CHG-NLO-dutasteride\plaque 1/@04 EE2 76/F4_01.tif "/>
    <s v=" 31.4103 "/>
    <s v=" 63.3514 "/>
    <x v="1"/>
    <n v="1990"/>
    <m/>
    <m/>
    <m/>
  </r>
  <r>
    <x v="4"/>
    <x v="6"/>
    <s v="D:\images\2022-CHG-NLO-dutasteride\plaque 1/@04 EE2 76/F4_02.tif "/>
    <s v=" 17.8275 "/>
    <s v=" 63.0476 "/>
    <x v="1"/>
    <n v="1124"/>
    <m/>
    <m/>
    <m/>
  </r>
  <r>
    <x v="4"/>
    <x v="6"/>
    <s v="D:\images\2022-CHG-NLO-dutasteride\plaque 1/@04 EE2 76/F4_03.tif "/>
    <s v=" 16.1296 "/>
    <s v=" 63.1579 "/>
    <x v="1"/>
    <n v="1019"/>
    <m/>
    <m/>
    <m/>
  </r>
  <r>
    <x v="4"/>
    <x v="7"/>
    <s v="D:\images\2022-CHG-NLO-dutasteride\plaque 1/@04 EE2 76/G4_01.tif "/>
    <s v=" 107.8138 "/>
    <s v=" 64.1024 "/>
    <x v="1"/>
    <n v="6911"/>
    <m/>
    <m/>
    <m/>
  </r>
  <r>
    <x v="4"/>
    <x v="7"/>
    <s v="D:\images\2022-CHG-NLO-dutasteride\plaque 1/@04 EE2 76/G4_02.tif "/>
    <s v=" 101.0224 "/>
    <s v=" 63.7731 "/>
    <x v="1"/>
    <n v="6443"/>
    <m/>
    <m/>
    <m/>
  </r>
  <r>
    <x v="4"/>
    <x v="7"/>
    <s v="D:\images\2022-CHG-NLO-dutasteride\plaque 1/@04 EE2 76/G4_03.tif "/>
    <s v=" 67.9142 "/>
    <s v=" 63.5875 "/>
    <x v="1"/>
    <n v="4318"/>
    <m/>
    <m/>
    <m/>
  </r>
  <r>
    <x v="4"/>
    <x v="8"/>
    <s v="D:\images\2022-CHG-NLO-dutasteride\plaque 1/@04 EE2 76/H4_01.tif "/>
    <s v=" 83.1949 "/>
    <s v=" 63.3163 "/>
    <x v="1"/>
    <n v="5268"/>
    <m/>
    <m/>
    <m/>
  </r>
  <r>
    <x v="4"/>
    <x v="8"/>
    <s v="D:\images\2022-CHG-NLO-dutasteride\plaque 1/@04 EE2 76/H4_02.tif "/>
    <s v=" 109.5117 "/>
    <s v=" 64.062 "/>
    <x v="1"/>
    <n v="7016"/>
    <m/>
    <m/>
    <m/>
  </r>
  <r>
    <x v="4"/>
    <x v="8"/>
    <s v="D:\images\2022-CHG-NLO-dutasteride\plaque 1/@04 EE2 76/H4_03.tif "/>
    <s v=" 140.0731 "/>
    <s v=" 64.1576 "/>
    <x v="1"/>
    <n v="8987"/>
    <m/>
    <m/>
    <m/>
  </r>
  <r>
    <x v="0"/>
    <x v="0"/>
    <s v=" "/>
    <m/>
    <m/>
    <x v="0"/>
    <m/>
    <m/>
    <m/>
    <m/>
  </r>
  <r>
    <x v="0"/>
    <x v="0"/>
    <s v="group "/>
    <s v=" "/>
    <s v=" mean of mean fluo "/>
    <x v="2"/>
    <s v=" mean of total fluo "/>
    <s v=" SD total fluo "/>
    <s v=" n fluorescent "/>
    <s v=" n total"/>
  </r>
  <r>
    <x v="4"/>
    <x v="9"/>
    <s v="D:\images\2022-CHG-NLO-dutasteride\plaque 1/@04 EE2 76/ "/>
    <s v=" "/>
    <s v=" 63.9118 "/>
    <x v="6"/>
    <s v=" 7472.7917 "/>
    <s v=" 10271.2404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5"/>
    <x v="1"/>
    <s v="D:\images\2022-CHG-NLO-dutasteride\plaque 1/@05 EE2 114/A5_01.tif "/>
    <s v=" 578.1199 "/>
    <s v=" 65.4596 "/>
    <x v="1"/>
    <n v="37844"/>
    <m/>
    <m/>
    <m/>
  </r>
  <r>
    <x v="5"/>
    <x v="1"/>
    <s v="D:\images\2022-CHG-NLO-dutasteride\plaque 1/@05 EE2 114/A5_02.tif "/>
    <s v=" 309.8587 "/>
    <s v=" 64.1151 "/>
    <x v="1"/>
    <n v="19867"/>
    <m/>
    <m/>
    <m/>
  </r>
  <r>
    <x v="5"/>
    <x v="1"/>
    <s v="D:\images\2022-CHG-NLO-dutasteride\plaque 1/@05 EE2 114/A5_03.tif "/>
    <s v=" 189.3109 "/>
    <s v=" 63.8565 "/>
    <x v="1"/>
    <n v="12089"/>
    <m/>
    <m/>
    <m/>
  </r>
  <r>
    <x v="5"/>
    <x v="2"/>
    <s v="D:\images\2022-CHG-NLO-dutasteride\plaque 1/@05 EE2 114/B5_01.tif "/>
    <s v=" 494.9249 "/>
    <s v=" 66.6587 "/>
    <x v="1"/>
    <n v="32991"/>
    <m/>
    <m/>
    <m/>
  </r>
  <r>
    <x v="5"/>
    <x v="2"/>
    <s v="D:\images\2022-CHG-NLO-dutasteride\plaque 1/@05 EE2 114/B5_02.tif "/>
    <s v=" 220.7212 "/>
    <s v=" 63.9962 "/>
    <x v="1"/>
    <n v="14125"/>
    <m/>
    <m/>
    <m/>
  </r>
  <r>
    <x v="5"/>
    <x v="2"/>
    <s v="D:\images\2022-CHG-NLO-dutasteride\plaque 1/@05 EE2 114/B5_03.tif "/>
    <s v=" 252.1316 "/>
    <s v=" 64.6465 "/>
    <x v="1"/>
    <n v="16299"/>
    <m/>
    <m/>
    <m/>
  </r>
  <r>
    <x v="5"/>
    <x v="3"/>
    <s v="D:\images\2022-CHG-NLO-dutasteride\plaque 1/@05 EE2 114/C5_01.tif "/>
    <s v=" 423.615 "/>
    <s v=" 64.8497 "/>
    <x v="1"/>
    <n v="27471"/>
    <m/>
    <m/>
    <m/>
  </r>
  <r>
    <x v="5"/>
    <x v="3"/>
    <s v="D:\images\2022-CHG-NLO-dutasteride\plaque 1/@05 EE2 114/C5_02.tif "/>
    <s v=" 332.7797 "/>
    <s v=" 64.2143 "/>
    <x v="1"/>
    <n v="21369"/>
    <m/>
    <m/>
    <m/>
  </r>
  <r>
    <x v="5"/>
    <x v="3"/>
    <s v="D:\images\2022-CHG-NLO-dutasteride\plaque 1/@05 EE2 114/C5_03.tif "/>
    <s v=" 388.809 "/>
    <s v=" 64.7642 "/>
    <x v="1"/>
    <n v="25181"/>
    <m/>
    <m/>
    <m/>
  </r>
  <r>
    <x v="5"/>
    <x v="4"/>
    <s v="D:\images\2022-CHG-NLO-dutasteride\plaque 1/@05 EE2 114/D5_01.tif "/>
    <s v=" 1006.8284 "/>
    <s v=" 67.8103 "/>
    <x v="1"/>
    <n v="68273"/>
    <m/>
    <m/>
    <m/>
  </r>
  <r>
    <x v="5"/>
    <x v="4"/>
    <s v="D:\images\2022-CHG-NLO-dutasteride\plaque 1/@05 EE2 114/D5_02.tif "/>
    <s v=" 1062.8577 "/>
    <s v=" 68.9185 "/>
    <x v="1"/>
    <n v="73251"/>
    <m/>
    <m/>
    <m/>
  </r>
  <r>
    <x v="5"/>
    <x v="4"/>
    <s v="D:\images\2022-CHG-NLO-dutasteride\plaque 1/@05 EE2 114/D5_03.tif "/>
    <s v=" 1042.4834 "/>
    <s v=" 68.4064 "/>
    <x v="1"/>
    <n v="71312"/>
    <m/>
    <m/>
    <m/>
  </r>
  <r>
    <x v="5"/>
    <x v="5"/>
    <s v="D:\images\2022-CHG-NLO-dutasteride\plaque 1/@05 EE2 114/E5_01.tif "/>
    <s v=" 449.0828 "/>
    <s v=" 64.2439 "/>
    <x v="1"/>
    <n v="28851"/>
    <m/>
    <m/>
    <m/>
  </r>
  <r>
    <x v="5"/>
    <x v="5"/>
    <s v="D:\images\2022-CHG-NLO-dutasteride\plaque 1/@05 EE2 114/E5_02.tif "/>
    <s v=" 543.3138 "/>
    <s v=" 64.5062 "/>
    <x v="1"/>
    <n v="35047"/>
    <m/>
    <m/>
    <m/>
  </r>
  <r>
    <x v="5"/>
    <x v="5"/>
    <s v="D:\images\2022-CHG-NLO-dutasteride\plaque 1/@05 EE2 114/E5_03.tif "/>
    <s v=" 459.27 "/>
    <s v=" 65.0961 "/>
    <x v="1"/>
    <n v="29897"/>
    <m/>
    <m/>
    <m/>
  </r>
  <r>
    <x v="5"/>
    <x v="6"/>
    <s v="D:\images\2022-CHG-NLO-dutasteride\plaque 1/@05 EE2 114/F5_01.tif "/>
    <s v=" 823.46 "/>
    <s v=" 65.4103 "/>
    <x v="1"/>
    <n v="53863"/>
    <m/>
    <m/>
    <m/>
  </r>
  <r>
    <x v="5"/>
    <x v="6"/>
    <s v="D:\images\2022-CHG-NLO-dutasteride\plaque 1/@05 EE2 114/F5_02.tif "/>
    <s v=" 797.9922 "/>
    <s v=" 65.6936 "/>
    <x v="1"/>
    <n v="52423"/>
    <m/>
    <m/>
    <m/>
  </r>
  <r>
    <x v="5"/>
    <x v="6"/>
    <s v="D:\images\2022-CHG-NLO-dutasteride\plaque 1/@05 EE2 114/F5_03.tif "/>
    <s v=" 790.3518 "/>
    <s v=" 65.6037 "/>
    <x v="1"/>
    <n v="51850"/>
    <m/>
    <m/>
    <m/>
  </r>
  <r>
    <x v="5"/>
    <x v="7"/>
    <s v="D:\images\2022-CHG-NLO-dutasteride\plaque 1/@05 EE2 114/G5_01.tif "/>
    <s v=" 955.8928 "/>
    <s v=" 67.5107 "/>
    <x v="1"/>
    <n v="64533"/>
    <m/>
    <m/>
    <m/>
  </r>
  <r>
    <x v="5"/>
    <x v="7"/>
    <s v="D:\images\2022-CHG-NLO-dutasteride\plaque 1/@05 EE2 114/G5_02.tif "/>
    <s v=" 854.8703 "/>
    <s v=" 66.9881 "/>
    <x v="1"/>
    <n v="57266"/>
    <m/>
    <m/>
    <m/>
  </r>
  <r>
    <x v="5"/>
    <x v="7"/>
    <s v="D:\images\2022-CHG-NLO-dutasteride\plaque 1/@05 EE2 114/G5_03.tif "/>
    <s v=" 996.6413 "/>
    <s v=" 67.3859 "/>
    <x v="1"/>
    <n v="67160"/>
    <m/>
    <m/>
    <m/>
  </r>
  <r>
    <x v="5"/>
    <x v="8"/>
    <s v="D:\images\2022-CHG-NLO-dutasteride\plaque 1/@05 EE2 114/H5_01.tif "/>
    <s v=" 855.7193 "/>
    <s v=" 68.9137 "/>
    <x v="1"/>
    <n v="58971"/>
    <m/>
    <m/>
    <m/>
  </r>
  <r>
    <x v="5"/>
    <x v="8"/>
    <s v="D:\images\2022-CHG-NLO-dutasteride\plaque 1/@05 EE2 114/H5_02.tif "/>
    <s v=" 937.2163 "/>
    <s v=" 71.8759 "/>
    <x v="1"/>
    <n v="67363"/>
    <m/>
    <m/>
    <m/>
  </r>
  <r>
    <x v="5"/>
    <x v="8"/>
    <s v="D:\images\2022-CHG-NLO-dutasteride\plaque 1/@05 EE2 114/H5_03.tif "/>
    <s v=" 960.9863 "/>
    <s v=" 71.083 "/>
    <x v="1"/>
    <n v="68310"/>
    <m/>
    <m/>
    <m/>
  </r>
  <r>
    <x v="0"/>
    <x v="0"/>
    <s v=" "/>
    <m/>
    <m/>
    <x v="0"/>
    <m/>
    <m/>
    <m/>
    <m/>
  </r>
  <r>
    <x v="0"/>
    <x v="0"/>
    <s v="group "/>
    <s v=" "/>
    <s v=" mean of mean fluo "/>
    <x v="2"/>
    <s v=" mean of total fluo "/>
    <s v=" SD total fluo "/>
    <s v=" n fluorescent "/>
    <s v=" n total"/>
  </r>
  <r>
    <x v="5"/>
    <x v="9"/>
    <s v="D:\images\2022-CHG-NLO-dutasteride\plaque 1/@05 EE2 114/ "/>
    <s v=" "/>
    <s v=" 66.3336 "/>
    <x v="7"/>
    <s v=" 43983.5833 "/>
    <s v=" 20833.957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6"/>
    <x v="1"/>
    <s v="D:\images\2022-CHG-NLO-dutasteride\plaque 1/@06 EE2 171/A6_01.tif "/>
    <s v=" 1088.3255 "/>
    <s v=" 70.1451 "/>
    <x v="1"/>
    <n v="76341"/>
    <m/>
    <m/>
    <m/>
  </r>
  <r>
    <x v="6"/>
    <x v="1"/>
    <s v="D:\images\2022-CHG-NLO-dutasteride\plaque 1/@06 EE2 171/A6_02.tif "/>
    <s v=" 1061.1598 "/>
    <s v=" 69.1696 "/>
    <x v="1"/>
    <n v="73400"/>
    <m/>
    <m/>
    <m/>
  </r>
  <r>
    <x v="6"/>
    <x v="1"/>
    <s v="D:\images\2022-CHG-NLO-dutasteride\plaque 1/@06 EE2 171/A6_03.tif "/>
    <s v=" 1144.3547 "/>
    <s v=" 70.9748 "/>
    <x v="1"/>
    <n v="81220"/>
    <m/>
    <m/>
    <m/>
  </r>
  <r>
    <x v="6"/>
    <x v="2"/>
    <s v="D:\images\2022-CHG-NLO-dutasteride\plaque 1/@06 EE2 171/B6_01.tif "/>
    <s v=" 2056.1033 "/>
    <s v=" 73.1705 "/>
    <x v="1"/>
    <n v="150446"/>
    <m/>
    <m/>
    <m/>
  </r>
  <r>
    <x v="6"/>
    <x v="2"/>
    <s v="D:\images\2022-CHG-NLO-dutasteride\plaque 1/@06 EE2 171/B6_02.tif "/>
    <s v=" 2326.0623 "/>
    <s v=" 73.4566 "/>
    <x v="1"/>
    <n v="170865"/>
    <m/>
    <m/>
    <m/>
  </r>
  <r>
    <x v="6"/>
    <x v="2"/>
    <s v="D:\images\2022-CHG-NLO-dutasteride\plaque 1/@06 EE2 171/B6_03.tif "/>
    <s v=" 2144.3918 "/>
    <s v=" 74.7387 "/>
    <x v="1"/>
    <n v="160269"/>
    <m/>
    <m/>
    <m/>
  </r>
  <r>
    <x v="6"/>
    <x v="3"/>
    <s v="D:\images\2022-CHG-NLO-dutasteride\plaque 1/@06 EE2 171/C6_01.tif "/>
    <s v=" 1645.2222 "/>
    <s v=" 69.6404 "/>
    <x v="1"/>
    <n v="114574"/>
    <m/>
    <m/>
    <m/>
  </r>
  <r>
    <x v="6"/>
    <x v="3"/>
    <s v="D:\images\2022-CHG-NLO-dutasteride\plaque 1/@06 EE2 171/C6_02.tif "/>
    <s v=" 1354.0399 "/>
    <s v=" 68.8188 "/>
    <x v="1"/>
    <n v="93183"/>
    <m/>
    <m/>
    <m/>
  </r>
  <r>
    <x v="6"/>
    <x v="3"/>
    <s v="D:\images\2022-CHG-NLO-dutasteride\plaque 1/@06 EE2 171/C6_03.tif "/>
    <s v=" 1373.5653 "/>
    <s v=" 69.5111 "/>
    <x v="1"/>
    <n v="95478"/>
    <m/>
    <m/>
    <m/>
  </r>
  <r>
    <x v="6"/>
    <x v="4"/>
    <s v="D:\images\2022-CHG-NLO-dutasteride\plaque 1/@06 EE2 171/D6_01.tif "/>
    <s v=" 101.8713 "/>
    <s v=" 63.1333 "/>
    <x v="1"/>
    <n v="6431"/>
    <m/>
    <m/>
    <m/>
  </r>
  <r>
    <x v="6"/>
    <x v="4"/>
    <s v="D:\images\2022-CHG-NLO-dutasteride\plaque 1/@06 EE2 171/D6_02.tif "/>
    <s v=" 67.0653 "/>
    <s v=" 63.6456 "/>
    <x v="1"/>
    <n v="4268"/>
    <m/>
    <m/>
    <m/>
  </r>
  <r>
    <x v="6"/>
    <x v="4"/>
    <s v="D:\images\2022-CHG-NLO-dutasteride\plaque 1/@06 EE2 171/D6_03.tif "/>
    <s v=" 56.0292 "/>
    <s v=" 63.9697 "/>
    <x v="1"/>
    <n v="3584"/>
    <m/>
    <m/>
    <m/>
  </r>
  <r>
    <x v="6"/>
    <x v="5"/>
    <s v="D:\images\2022-CHG-NLO-dutasteride\plaque 1/@06 EE2 171/E6_01.tif "/>
    <s v=" 1639.2797 "/>
    <s v=" 72.8933 "/>
    <x v="1"/>
    <n v="119493"/>
    <m/>
    <m/>
    <m/>
  </r>
  <r>
    <x v="6"/>
    <x v="5"/>
    <s v="D:\images\2022-CHG-NLO-dutasteride\plaque 1/@06 EE2 171/E6_02.tif "/>
    <s v=" 1786.9931 "/>
    <s v=" 73.5325 "/>
    <x v="1"/>
    <n v="131402"/>
    <m/>
    <m/>
    <m/>
  </r>
  <r>
    <x v="6"/>
    <x v="5"/>
    <s v="D:\images\2022-CHG-NLO-dutasteride\plaque 1/@06 EE2 171/E6_03.tif "/>
    <s v=" 1810.7631 "/>
    <s v=" 73.8584 "/>
    <x v="1"/>
    <n v="133740"/>
    <m/>
    <m/>
    <m/>
  </r>
  <r>
    <x v="6"/>
    <x v="6"/>
    <s v="D:\images\2022-CHG-NLO-dutasteride\plaque 1/@06 EE2 171/F6_01.tif "/>
    <s v=" 1606.1715 "/>
    <s v=" 72.2627 "/>
    <x v="1"/>
    <n v="116066"/>
    <m/>
    <m/>
    <m/>
  </r>
  <r>
    <x v="6"/>
    <x v="6"/>
    <s v="D:\images\2022-CHG-NLO-dutasteride\plaque 1/@06 EE2 171/F6_02.tif "/>
    <s v=" 1116.3401 "/>
    <s v=" 73.5688 "/>
    <x v="1"/>
    <n v="82128"/>
    <m/>
    <m/>
    <m/>
  </r>
  <r>
    <x v="6"/>
    <x v="6"/>
    <s v="D:\images\2022-CHG-NLO-dutasteride\plaque 1/@06 EE2 171/F6_03.tif "/>
    <s v=" 1152.844 "/>
    <s v=" 77.0405 "/>
    <x v="1"/>
    <n v="88816"/>
    <m/>
    <m/>
    <m/>
  </r>
  <r>
    <x v="6"/>
    <x v="7"/>
    <s v="D:\images\2022-CHG-NLO-dutasteride\plaque 1/@06 EE2 171/G6_01.tif "/>
    <s v=" 2143.5428 "/>
    <s v=" 69.5774 "/>
    <x v="1"/>
    <n v="149142"/>
    <m/>
    <m/>
    <m/>
  </r>
  <r>
    <x v="6"/>
    <x v="7"/>
    <s v="D:\images\2022-CHG-NLO-dutasteride\plaque 1/@06 EE2 171/G6_02.tif "/>
    <s v=" 1977.153 "/>
    <s v=" 69.8433 "/>
    <x v="1"/>
    <n v="138091"/>
    <m/>
    <m/>
    <m/>
  </r>
  <r>
    <x v="6"/>
    <x v="7"/>
    <s v="D:\images\2022-CHG-NLO-dutasteride\plaque 1/@06 EE2 171/G6_03.tif "/>
    <s v=" 2061.1968 "/>
    <s v=" 69.4996 "/>
    <x v="1"/>
    <n v="143252"/>
    <m/>
    <m/>
    <m/>
  </r>
  <r>
    <x v="6"/>
    <x v="8"/>
    <s v="D:\images\2022-CHG-NLO-dutasteride\plaque 1/@06 EE2 171/H6_01.tif "/>
    <s v=" 1971.2105 "/>
    <s v=" 72.4673 "/>
    <x v="1"/>
    <n v="142848"/>
    <m/>
    <m/>
    <m/>
  </r>
  <r>
    <x v="6"/>
    <x v="8"/>
    <s v="D:\images\2022-CHG-NLO-dutasteride\plaque 1/@06 EE2 171/H6_02.tif "/>
    <s v=" 1843.0224 "/>
    <s v=" 70.2469 "/>
    <x v="1"/>
    <n v="129467"/>
    <m/>
    <m/>
    <m/>
  </r>
  <r>
    <x v="6"/>
    <x v="8"/>
    <s v="D:\images\2022-CHG-NLO-dutasteride\plaque 1/@06 EE2 171/H6_03.tif "/>
    <s v=" 1968.6637 "/>
    <s v=" 72.4808 "/>
    <x v="1"/>
    <n v="142690"/>
    <m/>
    <m/>
    <m/>
  </r>
  <r>
    <x v="0"/>
    <x v="0"/>
    <s v=" "/>
    <m/>
    <m/>
    <x v="0"/>
    <m/>
    <m/>
    <m/>
    <m/>
  </r>
  <r>
    <x v="0"/>
    <x v="0"/>
    <s v="group "/>
    <s v=" "/>
    <s v=" mean of mean fluo "/>
    <x v="2"/>
    <s v=" mean of total fluo "/>
    <s v=" SD total fluo "/>
    <s v=" n fluorescent "/>
    <s v=" n total"/>
  </r>
  <r>
    <x v="6"/>
    <x v="9"/>
    <s v="D:\images\2022-CHG-NLO-dutasteride\plaque 1/@06 EE2 171/ "/>
    <s v=" "/>
    <s v=" 70.7352 "/>
    <x v="8"/>
    <s v=" 106133.083 "/>
    <s v=" 47950.0316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7"/>
    <x v="1"/>
    <s v="D:\images\2022-CHG-NLO-dutasteride\plaque 1/@07 EE2 488/A7_01.tif "/>
    <s v=" 3351.5672 "/>
    <s v=" 88.9549 "/>
    <x v="1"/>
    <n v="298138"/>
    <m/>
    <m/>
    <m/>
  </r>
  <r>
    <x v="7"/>
    <x v="1"/>
    <s v="D:\images\2022-CHG-NLO-dutasteride\plaque 1/@07 EE2 488/A7_02.tif "/>
    <s v=" 3406.7475 "/>
    <s v=" 82.3419 "/>
    <x v="1"/>
    <n v="280518"/>
    <m/>
    <m/>
    <m/>
  </r>
  <r>
    <x v="7"/>
    <x v="1"/>
    <s v="D:\images\2022-CHG-NLO-dutasteride\plaque 1/@07 EE2 488/A7_03.tif "/>
    <s v=" 3420.3303 "/>
    <s v=" 84.6528 "/>
    <x v="1"/>
    <n v="289540"/>
    <m/>
    <m/>
    <m/>
  </r>
  <r>
    <x v="7"/>
    <x v="2"/>
    <s v="D:\images\2022-CHG-NLO-dutasteride\plaque 1/@07 EE2 488/B7_01.tif "/>
    <s v=" 2328.6091 "/>
    <s v=" 95.7849 "/>
    <x v="1"/>
    <n v="223046"/>
    <m/>
    <m/>
    <m/>
  </r>
  <r>
    <x v="7"/>
    <x v="2"/>
    <s v="D:\images\2022-CHG-NLO-dutasteride\plaque 1/@07 EE2 488/B7_02.tif "/>
    <s v=" 2336.2495 "/>
    <s v=" 94.008 "/>
    <x v="1"/>
    <n v="219626"/>
    <m/>
    <m/>
    <m/>
  </r>
  <r>
    <x v="7"/>
    <x v="2"/>
    <s v="D:\images\2022-CHG-NLO-dutasteride\plaque 1/@07 EE2 488/B7_03.tif "/>
    <s v=" 2397.3723 "/>
    <s v=" 91.6604 "/>
    <x v="1"/>
    <n v="219744"/>
    <m/>
    <m/>
    <m/>
  </r>
  <r>
    <x v="7"/>
    <x v="3"/>
    <s v="D:\images\2022-CHG-NLO-dutasteride\plaque 1/@07 EE2 488/C7_01.tif "/>
    <s v=" 1687.6686 "/>
    <s v=" 90.3607 "/>
    <x v="1"/>
    <n v="152499"/>
    <m/>
    <m/>
    <m/>
  </r>
  <r>
    <x v="7"/>
    <x v="3"/>
    <s v="D:\images\2022-CHG-NLO-dutasteride\plaque 1/@07 EE2 488/C7_02.tif "/>
    <s v=" 1701.2514 "/>
    <s v=" 88.6138 "/>
    <x v="1"/>
    <n v="150754"/>
    <m/>
    <m/>
    <m/>
  </r>
  <r>
    <x v="7"/>
    <x v="3"/>
    <s v="D:\images\2022-CHG-NLO-dutasteride\plaque 1/@07 EE2 488/C7_03.tif "/>
    <s v=" 1688.5175 "/>
    <s v=" 87.3896 "/>
    <x v="1"/>
    <n v="147559"/>
    <m/>
    <m/>
    <m/>
  </r>
  <r>
    <x v="7"/>
    <x v="4"/>
    <s v="D:\images\2022-CHG-NLO-dutasteride\plaque 1/@07 EE2 488/D7_01- exclu.tif"/>
    <m/>
    <m/>
    <x v="0"/>
    <m/>
    <m/>
    <m/>
    <m/>
  </r>
  <r>
    <x v="7"/>
    <x v="4"/>
    <s v="D:\images\2022-CHG-NLO-dutasteride\plaque 1/@07 EE2 488/D7_02.tif "/>
    <s v=" 648.5809 "/>
    <s v=" 65.4542 "/>
    <x v="1"/>
    <n v="42452"/>
    <m/>
    <m/>
    <m/>
  </r>
  <r>
    <x v="7"/>
    <x v="4"/>
    <s v="D:\images\2022-CHG-NLO-dutasteride\plaque 1/@07 EE2 488/D7_03.tif "/>
    <s v=" 820.9132 "/>
    <s v=" 66.424 "/>
    <x v="1"/>
    <n v="54528"/>
    <m/>
    <m/>
    <m/>
  </r>
  <r>
    <x v="7"/>
    <x v="5"/>
    <s v="D:\images\2022-CHG-NLO-dutasteride\plaque 1/@07 EE2 488/E7_01.tif "/>
    <s v=" 2097.7007 "/>
    <s v=" 88.1505 "/>
    <x v="1"/>
    <n v="184913"/>
    <m/>
    <m/>
    <m/>
  </r>
  <r>
    <x v="7"/>
    <x v="5"/>
    <s v="D:\images\2022-CHG-NLO-dutasteride\plaque 1/@07 EE2 488/E7_02.tif "/>
    <s v=" 2117.2261 "/>
    <s v=" 90.9266 "/>
    <x v="1"/>
    <n v="192512"/>
    <m/>
    <m/>
    <m/>
  </r>
  <r>
    <x v="7"/>
    <x v="5"/>
    <s v="D:\images\2022-CHG-NLO-dutasteride\plaque 1/@07 EE2 488/E7_03.tif "/>
    <s v=" 1924.5194 "/>
    <s v=" 91.9466 "/>
    <x v="1"/>
    <n v="176953"/>
    <m/>
    <m/>
    <m/>
  </r>
  <r>
    <x v="7"/>
    <x v="6"/>
    <s v="D:\images\2022-CHG-NLO-dutasteride\plaque 1/@07 EE2 488/F7_01.tif "/>
    <s v=" 1215.6647 "/>
    <s v=" 86.4497 "/>
    <x v="1"/>
    <n v="105094"/>
    <m/>
    <m/>
    <m/>
  </r>
  <r>
    <x v="7"/>
    <x v="6"/>
    <s v="D:\images\2022-CHG-NLO-dutasteride\plaque 1/@07 EE2 488/F7_02.tif "/>
    <s v=" 1129.074 "/>
    <s v=" 90.5624 "/>
    <x v="1"/>
    <n v="102252"/>
    <m/>
    <m/>
    <m/>
  </r>
  <r>
    <x v="7"/>
    <x v="6"/>
    <s v="D:\images\2022-CHG-NLO-dutasteride\plaque 1/@07 EE2 488/F7_03.tif "/>
    <s v=" 1616.3586 "/>
    <s v=" 89.49 "/>
    <x v="1"/>
    <n v="144648"/>
    <m/>
    <m/>
    <m/>
  </r>
  <r>
    <x v="7"/>
    <x v="7"/>
    <s v="D:\images\2022-CHG-NLO-dutasteride\plaque 1/@07 EE2 488/G7_01.tif "/>
    <s v=" 2106.19 "/>
    <s v=" 90.3587 "/>
    <x v="1"/>
    <n v="190313"/>
    <m/>
    <m/>
    <m/>
  </r>
  <r>
    <x v="7"/>
    <x v="7"/>
    <s v="D:\images\2022-CHG-NLO-dutasteride\plaque 1/@07 EE2 488/G7_02.tif "/>
    <s v=" 2161.3703 "/>
    <s v=" 92.0892 "/>
    <x v="1"/>
    <n v="199039"/>
    <m/>
    <m/>
    <m/>
  </r>
  <r>
    <x v="7"/>
    <x v="7"/>
    <s v="D:\images\2022-CHG-NLO-dutasteride\plaque 1/@07 EE2 488/G7_03.tif "/>
    <s v=" 2360.0194 "/>
    <s v=" 77.1428 "/>
    <x v="1"/>
    <n v="182059"/>
    <m/>
    <m/>
    <m/>
  </r>
  <r>
    <x v="7"/>
    <x v="8"/>
    <s v="D:\images\2022-CHG-NLO-dutasteride\plaque 1/@07 EE2 488/H7_01.tif "/>
    <s v=" 1901.5984 "/>
    <s v=" 86.4433 "/>
    <x v="1"/>
    <n v="164380"/>
    <m/>
    <m/>
    <m/>
  </r>
  <r>
    <x v="7"/>
    <x v="8"/>
    <s v="D:\images\2022-CHG-NLO-dutasteride\plaque 1/@07 EE2 488/H7_02.tif "/>
    <s v=" 1900.7495 "/>
    <s v=" 87.9942 "/>
    <x v="1"/>
    <n v="167255"/>
    <m/>
    <m/>
    <m/>
  </r>
  <r>
    <x v="7"/>
    <x v="8"/>
    <s v="D:\images\2022-CHG-NLO-dutasteride\plaque 1/@07 EE2 488/H7_03.tif "/>
    <s v=" 1882.073 "/>
    <s v=" 88.3888 "/>
    <x v="1"/>
    <n v="166354"/>
    <m/>
    <m/>
    <m/>
  </r>
  <r>
    <x v="0"/>
    <x v="0"/>
    <s v=" "/>
    <m/>
    <m/>
    <x v="0"/>
    <m/>
    <m/>
    <m/>
    <m/>
  </r>
  <r>
    <x v="0"/>
    <x v="0"/>
    <s v="group "/>
    <s v=" "/>
    <s v=" mean of mean fluo "/>
    <x v="2"/>
    <s v=" mean of total fluo "/>
    <s v=" SD total fluo "/>
    <s v=" n fluorescent "/>
    <s v=" n total"/>
  </r>
  <r>
    <x v="7"/>
    <x v="9"/>
    <s v="D:\images\2022-CHG-NLO-dutasteride\plaque 1/@07 EE2 488/ "/>
    <s v=" "/>
    <s v=" 85.8152 "/>
    <x v="9"/>
    <s v=" 169399.208 "/>
    <s v=" 71711.1654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8"/>
    <x v="1"/>
    <s v="D:\images\2022-CHG-NLO-dutasteride\plaque 1/@08 duta 0.01/A8_01.tif "/>
    <s v=" 355.7008 "/>
    <s v=" 69.9785 "/>
    <x v="1"/>
    <n v="24891"/>
    <m/>
    <m/>
    <m/>
  </r>
  <r>
    <x v="8"/>
    <x v="1"/>
    <s v="D:\images\2022-CHG-NLO-dutasteride\plaque 1/@08 duta 0.01/A8_02.tif "/>
    <s v=" 450.7807 "/>
    <s v=" 78.6968 "/>
    <x v="1"/>
    <n v="35475"/>
    <m/>
    <m/>
    <m/>
  </r>
  <r>
    <x v="8"/>
    <x v="1"/>
    <s v="D:\images\2022-CHG-NLO-dutasteride\plaque 1/@08 duta 0.01/A8_03.tif "/>
    <s v=" 247.8869 "/>
    <s v=" 67.0034 "/>
    <x v="1"/>
    <n v="16609"/>
    <m/>
    <m/>
    <m/>
  </r>
  <r>
    <x v="8"/>
    <x v="2"/>
    <s v="D:\images\2022-CHG-NLO-dutasteride\plaque 1/@08 duta 0.01/B8_01.tif "/>
    <s v=" 22.9211 "/>
    <s v=" 64.963 "/>
    <x v="1"/>
    <n v="1489"/>
    <m/>
    <m/>
    <m/>
  </r>
  <r>
    <x v="8"/>
    <x v="2"/>
    <s v="D:\images\2022-CHG-NLO-dutasteride\plaque 1/@08 duta 0.01/B8_02.tif "/>
    <s v=" 14.4318 "/>
    <s v=" 62.7647 "/>
    <x v="1"/>
    <n v="906"/>
    <m/>
    <m/>
    <m/>
  </r>
  <r>
    <x v="8"/>
    <x v="2"/>
    <s v="D:\images\2022-CHG-NLO-dutasteride\plaque 1/@08 duta 0.01/B8_03.tif "/>
    <s v=" 4.2446 "/>
    <s v=" 64.8 "/>
    <x v="1"/>
    <n v="275"/>
    <m/>
    <m/>
    <m/>
  </r>
  <r>
    <x v="8"/>
    <x v="3"/>
    <s v="D:\images\2022-CHG-NLO-dutasteride\plaque 1/@08 duta 0.01/C8_01.tif "/>
    <s v=" 5.9425 "/>
    <s v=" 62.7143 "/>
    <x v="1"/>
    <n v="373"/>
    <m/>
    <m/>
    <m/>
  </r>
  <r>
    <x v="8"/>
    <x v="3"/>
    <s v="D:\images\2022-CHG-NLO-dutasteride\plaque 1/@08 duta 0.01/C8_02.tif "/>
    <s v=" 22.0721 "/>
    <s v=" 63.4231 "/>
    <x v="1"/>
    <n v="1400"/>
    <m/>
    <m/>
    <m/>
  </r>
  <r>
    <x v="8"/>
    <x v="3"/>
    <s v="D:\images\2022-CHG-NLO-dutasteride\plaque 1/@08 duta 0.01/C8_03.tif "/>
    <s v=" 11.885 "/>
    <n v="63"/>
    <x v="1"/>
    <n v="749"/>
    <m/>
    <m/>
    <m/>
  </r>
  <r>
    <x v="8"/>
    <x v="4"/>
    <s v="D:\images\2022-CHG-NLO-dutasteride\plaque 1/@08 duta 0.01/D8_01.tif "/>
    <s v=" 15.2807 "/>
    <s v=" 64.8333 "/>
    <x v="1"/>
    <n v="991"/>
    <m/>
    <m/>
    <m/>
  </r>
  <r>
    <x v="8"/>
    <x v="4"/>
    <s v="D:\images\2022-CHG-NLO-dutasteride\plaque 1/@08 duta 0.01/D8_02.tif "/>
    <s v=" 12.7339 "/>
    <s v=" 62.2667 "/>
    <x v="1"/>
    <n v="793"/>
    <m/>
    <m/>
    <m/>
  </r>
  <r>
    <x v="8"/>
    <x v="4"/>
    <s v="D:\images\2022-CHG-NLO-dutasteride\plaque 1/@08 duta 0.01/D8_03.tif "/>
    <s v=" 6.7914 "/>
    <s v=" 64.5 "/>
    <x v="1"/>
    <n v="438"/>
    <m/>
    <m/>
    <m/>
  </r>
  <r>
    <x v="8"/>
    <x v="5"/>
    <s v="D:\images\2022-CHG-NLO-dutasteride\plaque 1/@08 duta 0.01/E8_01.tif "/>
    <s v=" 6.7914 "/>
    <s v=" 64.75 "/>
    <x v="1"/>
    <n v="440"/>
    <m/>
    <m/>
    <m/>
  </r>
  <r>
    <x v="8"/>
    <x v="5"/>
    <s v="D:\images\2022-CHG-NLO-dutasteride\plaque 1/@08 duta 0.01/E8_02.tif "/>
    <s v=" 11.0361 "/>
    <s v=" 64.2308 "/>
    <x v="1"/>
    <n v="709"/>
    <m/>
    <m/>
    <m/>
  </r>
  <r>
    <x v="8"/>
    <x v="5"/>
    <s v="D:\images\2022-CHG-NLO-dutasteride\plaque 1/@08 duta 0.01/E8_03.tif "/>
    <s v=" 23.77 "/>
    <n v="63"/>
    <x v="1"/>
    <n v="1498"/>
    <m/>
    <m/>
    <m/>
  </r>
  <r>
    <x v="8"/>
    <x v="6"/>
    <s v="D:\images\2022-CHG-NLO-dutasteride\plaque 1/@08 duta 0.01/F8_01.tif "/>
    <s v=" 16.1296 "/>
    <s v=" 63.7368 "/>
    <x v="1"/>
    <n v="1028"/>
    <m/>
    <m/>
    <m/>
  </r>
  <r>
    <x v="8"/>
    <x v="6"/>
    <s v="D:\images\2022-CHG-NLO-dutasteride\plaque 1/@08 duta 0.01/F8_02.tif "/>
    <s v=" 37.3528 "/>
    <s v=" 63.9091 "/>
    <x v="1"/>
    <n v="2387"/>
    <m/>
    <m/>
    <m/>
  </r>
  <r>
    <x v="8"/>
    <x v="6"/>
    <s v="D:\images\2022-CHG-NLO-dutasteride\plaque 1/@08 duta 0.01/F8_03.tif "/>
    <s v=" 28.8635 "/>
    <s v=" 66.4118 "/>
    <x v="1"/>
    <n v="1917"/>
    <m/>
    <m/>
    <m/>
  </r>
  <r>
    <x v="8"/>
    <x v="7"/>
    <s v="D:\images\2022-CHG-NLO-dutasteride\plaque 1/@08 duta 0.01/G8_01.tif "/>
    <s v=" 22.9211 "/>
    <s v=" 63.9259 "/>
    <x v="1"/>
    <n v="1465"/>
    <m/>
    <m/>
    <m/>
  </r>
  <r>
    <x v="8"/>
    <x v="7"/>
    <s v="D:\images\2022-CHG-NLO-dutasteride\plaque 1/@08 duta 0.01/G8_02.tif "/>
    <s v=" 43.2953 "/>
    <s v=" 66.4902 "/>
    <x v="1"/>
    <n v="2879"/>
    <m/>
    <m/>
    <m/>
  </r>
  <r>
    <x v="8"/>
    <x v="7"/>
    <s v="D:\images\2022-CHG-NLO-dutasteride\plaque 1/@08 duta 0.01/G8_03.tif "/>
    <s v=" 53.4825 "/>
    <s v=" 64.7778 "/>
    <x v="1"/>
    <n v="3464"/>
    <m/>
    <m/>
    <m/>
  </r>
  <r>
    <x v="8"/>
    <x v="8"/>
    <s v="D:\images\2022-CHG-NLO-dutasteride\plaque 1/@08 duta 0.01/H8_01.tif "/>
    <s v=" 39.0507 "/>
    <s v=" 66.3913 "/>
    <x v="1"/>
    <n v="2593"/>
    <m/>
    <m/>
    <m/>
  </r>
  <r>
    <x v="8"/>
    <x v="8"/>
    <s v="D:\images\2022-CHG-NLO-dutasteride\plaque 1/@08 duta 0.01/H8_02.tif "/>
    <s v=" 19.5253 "/>
    <s v=" 64.6957 "/>
    <x v="1"/>
    <n v="1263"/>
    <m/>
    <m/>
    <m/>
  </r>
  <r>
    <x v="8"/>
    <x v="8"/>
    <s v="D:\images\2022-CHG-NLO-dutasteride\plaque 1/@08 duta 0.01/H8_03.tif "/>
    <s v=" 34.806 "/>
    <s v=" 67.8049 "/>
    <x v="1"/>
    <n v="2360"/>
    <m/>
    <m/>
    <m/>
  </r>
  <r>
    <x v="0"/>
    <x v="0"/>
    <s v=" "/>
    <m/>
    <m/>
    <x v="0"/>
    <m/>
    <m/>
    <m/>
    <m/>
  </r>
  <r>
    <x v="0"/>
    <x v="0"/>
    <s v="group "/>
    <s v=" "/>
    <s v=" mean of mean fluo "/>
    <x v="2"/>
    <s v=" mean of total fluo "/>
    <s v=" SD total fluo "/>
    <s v=" n fluorescent "/>
    <s v=" n total"/>
  </r>
  <r>
    <x v="8"/>
    <x v="9"/>
    <s v="D:\images\2022-CHG-NLO-dutasteride\plaque 1/@08 duta 0.01/ "/>
    <s v=" "/>
    <s v=" 65.3778 "/>
    <x v="10"/>
    <n v="4433"/>
    <s v=" 8696.6496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9"/>
    <x v="1"/>
    <s v="D:\images\2022-CHG-NLO-dutasteride\plaque 1/@09 duta 0.1/A9_01.tif "/>
    <s v=" 95.0799 "/>
    <s v=" 66.0536 "/>
    <x v="1"/>
    <n v="6280"/>
    <m/>
    <m/>
    <m/>
  </r>
  <r>
    <x v="9"/>
    <x v="1"/>
    <s v="D:\images\2022-CHG-NLO-dutasteride\plaque 1/@09 duta 0.1/A9_02.tif "/>
    <s v=" 72.1589 "/>
    <s v=" 64.7176 "/>
    <x v="1"/>
    <n v="4670"/>
    <m/>
    <m/>
    <m/>
  </r>
  <r>
    <x v="9"/>
    <x v="1"/>
    <s v="D:\images\2022-CHG-NLO-dutasteride\plaque 1/@09 duta 0.1/A9_03.tif "/>
    <s v=" 21.2232 "/>
    <s v=" 65.68 "/>
    <x v="1"/>
    <n v="1394"/>
    <m/>
    <m/>
    <m/>
  </r>
  <r>
    <x v="9"/>
    <x v="2"/>
    <s v="D:\images\2022-CHG-NLO-dutasteride\plaque 1/@09 duta 0.1/B9_01.tif "/>
    <s v=" 7.6404 "/>
    <s v=" 64.5556 "/>
    <x v="1"/>
    <n v="493"/>
    <m/>
    <m/>
    <m/>
  </r>
  <r>
    <x v="9"/>
    <x v="2"/>
    <s v="D:\images\2022-CHG-NLO-dutasteride\plaque 1/@09 duta 0.1/B9_02.tif "/>
    <s v=" 6.7914 "/>
    <n v="70"/>
    <x v="1"/>
    <n v="475"/>
    <m/>
    <m/>
    <m/>
  </r>
  <r>
    <x v="9"/>
    <x v="2"/>
    <s v="D:\images\2022-CHG-NLO-dutasteride\plaque 1/@09 duta 0.1/B9_03.tif "/>
    <s v=" 8.4893 "/>
    <s v=" 65.6 "/>
    <x v="1"/>
    <n v="557"/>
    <m/>
    <m/>
    <m/>
  </r>
  <r>
    <x v="9"/>
    <x v="3"/>
    <s v="D:\images\2022-CHG-NLO-dutasteride\plaque 1/@09 duta 0.1/C9_01.tif "/>
    <s v=" 31.4103 "/>
    <s v=" 62.1622 "/>
    <x v="1"/>
    <n v="1953"/>
    <m/>
    <m/>
    <m/>
  </r>
  <r>
    <x v="9"/>
    <x v="3"/>
    <s v="D:\images\2022-CHG-NLO-dutasteride\plaque 1/@09 duta 0.1/C9_02.tif "/>
    <s v=" 5.9425 "/>
    <s v=" 60.8571 "/>
    <x v="1"/>
    <n v="362"/>
    <m/>
    <m/>
    <m/>
  </r>
  <r>
    <x v="9"/>
    <x v="3"/>
    <s v="D:\images\2022-CHG-NLO-dutasteride\plaque 1/@09 duta 0.1/C9_03.tif "/>
    <s v=" 7.6404 "/>
    <s v=" 64.5556 "/>
    <x v="1"/>
    <n v="493"/>
    <m/>
    <m/>
    <m/>
  </r>
  <r>
    <x v="9"/>
    <x v="4"/>
    <s v="D:\images\2022-CHG-NLO-dutasteride\plaque 1/@09 duta 0.1/D9_01.tif "/>
    <s v=" 6.7914 "/>
    <s v=" 65.25 "/>
    <x v="1"/>
    <n v="443"/>
    <m/>
    <m/>
    <m/>
  </r>
  <r>
    <x v="9"/>
    <x v="4"/>
    <s v="D:\images\2022-CHG-NLO-dutasteride\plaque 1/@09 duta 0.1/D9_02.tif "/>
    <s v=" 10.1871 "/>
    <s v=" 65.6667 "/>
    <x v="1"/>
    <n v="669"/>
    <m/>
    <m/>
    <m/>
  </r>
  <r>
    <x v="9"/>
    <x v="4"/>
    <s v="D:\images\2022-CHG-NLO-dutasteride\plaque 1/@09 duta 0.1/D9_03.tif "/>
    <s v=" 10.1871 "/>
    <s v=" 62.4167 "/>
    <x v="1"/>
    <n v="636"/>
    <m/>
    <m/>
    <m/>
  </r>
  <r>
    <x v="9"/>
    <x v="5"/>
    <s v="D:\images\2022-CHG-NLO-dutasteride\plaque 1/@09 duta 0.1/E9_01- exclu.tif"/>
    <m/>
    <m/>
    <x v="0"/>
    <m/>
    <m/>
    <m/>
    <m/>
  </r>
  <r>
    <x v="9"/>
    <x v="5"/>
    <s v="D:\images\2022-CHG-NLO-dutasteride\plaque 1/@09 duta 0.1/E9_02.tif "/>
    <s v=" 305.614 "/>
    <s v=" 70.0528 "/>
    <x v="1"/>
    <n v="21409"/>
    <m/>
    <m/>
    <m/>
  </r>
  <r>
    <x v="9"/>
    <x v="5"/>
    <s v="D:\images\2022-CHG-NLO-dutasteride\plaque 1/@09 duta 0.1/E9_03.tif "/>
    <s v=" 5.9425 "/>
    <s v=" 65.2857 "/>
    <x v="1"/>
    <n v="388"/>
    <m/>
    <m/>
    <m/>
  </r>
  <r>
    <x v="9"/>
    <x v="6"/>
    <s v="D:\images\2022-CHG-NLO-dutasteride\plaque 1/@09 duta 0.1/F9_01.tif "/>
    <s v=" 20.3743 "/>
    <s v=" 63.3333 "/>
    <x v="1"/>
    <n v="1290"/>
    <m/>
    <m/>
    <m/>
  </r>
  <r>
    <x v="9"/>
    <x v="6"/>
    <s v="D:\images\2022-CHG-NLO-dutasteride\plaque 1/@09 duta 0.1/F9_02.tif "/>
    <s v=" 118.8499 "/>
    <s v=" 65.3429 "/>
    <x v="1"/>
    <n v="7766"/>
    <m/>
    <m/>
    <m/>
  </r>
  <r>
    <x v="9"/>
    <x v="6"/>
    <s v="D:\images\2022-CHG-NLO-dutasteride\plaque 1/@09 duta 0.1/F9_03.tif "/>
    <s v=" 33.9571 "/>
    <s v=" 64.25 "/>
    <x v="1"/>
    <n v="2182"/>
    <m/>
    <m/>
    <m/>
  </r>
  <r>
    <x v="9"/>
    <x v="7"/>
    <s v="D:\images\2022-CHG-NLO-dutasteride\plaque 1/@09 duta 0.1/G9_01.tif "/>
    <s v=" 127.3392 "/>
    <s v=" 65.42 "/>
    <x v="1"/>
    <n v="8331"/>
    <m/>
    <m/>
    <m/>
  </r>
  <r>
    <x v="9"/>
    <x v="7"/>
    <s v="D:\images\2022-CHG-NLO-dutasteride\plaque 1/@09 duta 0.1/G9_02.tif "/>
    <s v=" 226.6637 "/>
    <s v=" 66.3333 "/>
    <x v="1"/>
    <n v="15035"/>
    <m/>
    <m/>
    <m/>
  </r>
  <r>
    <x v="9"/>
    <x v="7"/>
    <s v="D:\images\2022-CHG-NLO-dutasteride\plaque 1/@09 duta 0.1/G9_03.tif "/>
    <s v=" 9.3382 "/>
    <s v=" 65.0909 "/>
    <x v="1"/>
    <n v="608"/>
    <m/>
    <m/>
    <m/>
  </r>
  <r>
    <x v="9"/>
    <x v="8"/>
    <s v="D:\images\2022-CHG-NLO-dutasteride\plaque 1/@09 duta 0.1/H9_01.tif "/>
    <s v=" 11.885 "/>
    <s v=" 64.4286 "/>
    <x v="1"/>
    <n v="766"/>
    <m/>
    <m/>
    <m/>
  </r>
  <r>
    <x v="9"/>
    <x v="8"/>
    <s v="D:\images\2022-CHG-NLO-dutasteride\plaque 1/@09 duta 0.1/H9_02.tif "/>
    <s v=" 8.4893 "/>
    <s v=" 62.2 "/>
    <x v="1"/>
    <n v="528"/>
    <m/>
    <m/>
    <m/>
  </r>
  <r>
    <x v="9"/>
    <x v="8"/>
    <s v="D:\images\2022-CHG-NLO-dutasteride\plaque 1/@09 duta 0.1/H9_03.tif "/>
    <s v=" 10.1871 "/>
    <s v=" 67.9167 "/>
    <x v="1"/>
    <n v="692"/>
    <m/>
    <m/>
    <m/>
  </r>
  <r>
    <x v="0"/>
    <x v="0"/>
    <s v=" "/>
    <m/>
    <m/>
    <x v="0"/>
    <m/>
    <m/>
    <m/>
    <m/>
  </r>
  <r>
    <x v="0"/>
    <x v="0"/>
    <s v="group "/>
    <s v=" "/>
    <s v=" mean of mean fluo "/>
    <x v="2"/>
    <s v=" mean of total fluo "/>
    <s v=" SD total fluo "/>
    <s v=" n fluorescent "/>
    <s v=" n total"/>
  </r>
  <r>
    <x v="9"/>
    <x v="9"/>
    <s v="D:\images\2022-CHG-NLO-dutasteride\plaque 1/@09 duta 0.1/ "/>
    <s v=" "/>
    <s v=" 65.1514 "/>
    <x v="11"/>
    <s v=" 3707.7917 "/>
    <s v=" 5498.8495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10"/>
    <x v="1"/>
    <s v="D:\images\2022-CHG-NLO-dutasteride\plaque 1/@10 duta 0.25/A10_01.tif "/>
    <s v=" 52.6335 "/>
    <s v=" 64.1452 "/>
    <x v="1"/>
    <n v="3376"/>
    <m/>
    <m/>
    <m/>
  </r>
  <r>
    <x v="10"/>
    <x v="1"/>
    <s v="D:\images\2022-CHG-NLO-dutasteride\plaque 1/@10 duta 0.25/A10_02.tif "/>
    <s v=" 38.2018 "/>
    <s v=" 63.4667 "/>
    <x v="1"/>
    <n v="2425"/>
    <m/>
    <m/>
    <m/>
  </r>
  <r>
    <x v="10"/>
    <x v="1"/>
    <s v="D:\images\2022-CHG-NLO-dutasteride\plaque 1/@10 duta 0.25/A10_03.tif "/>
    <s v=" 236.8509 "/>
    <s v=" 67.3763 "/>
    <x v="1"/>
    <n v="15958"/>
    <m/>
    <m/>
    <m/>
  </r>
  <r>
    <x v="10"/>
    <x v="2"/>
    <s v="D:\images\2022-CHG-NLO-dutasteride\plaque 1/@10 duta 0.25/B10_01.tif "/>
    <s v=" 25.4678 "/>
    <n v="64"/>
    <x v="1"/>
    <n v="1630"/>
    <m/>
    <m/>
    <m/>
  </r>
  <r>
    <x v="10"/>
    <x v="2"/>
    <s v="D:\images\2022-CHG-NLO-dutasteride\plaque 1/@10 duta 0.25/B10_02.tif "/>
    <s v=" 37.3528 "/>
    <s v=" 65.0227 "/>
    <x v="1"/>
    <n v="2429"/>
    <m/>
    <m/>
    <m/>
  </r>
  <r>
    <x v="10"/>
    <x v="2"/>
    <s v="D:\images\2022-CHG-NLO-dutasteride\plaque 1/@10 duta 0.25/B10_03.tif "/>
    <s v=" 27.1657 "/>
    <s v=" 63.5938 "/>
    <x v="1"/>
    <n v="1728"/>
    <m/>
    <m/>
    <m/>
  </r>
  <r>
    <x v="10"/>
    <x v="3"/>
    <s v="D:\images\2022-CHG-NLO-dutasteride\plaque 1/@10 duta 0.25/C10_01.tif "/>
    <s v=" 22.0721 "/>
    <s v=" 63.3846 "/>
    <x v="1"/>
    <n v="1399"/>
    <m/>
    <m/>
    <m/>
  </r>
  <r>
    <x v="10"/>
    <x v="3"/>
    <s v="D:\images\2022-CHG-NLO-dutasteride\plaque 1/@10 duta 0.25/C10_02.tif "/>
    <s v=" 104.4181 "/>
    <s v=" 65.3984 "/>
    <x v="1"/>
    <n v="6829"/>
    <m/>
    <m/>
    <m/>
  </r>
  <r>
    <x v="10"/>
    <x v="3"/>
    <s v="D:\images\2022-CHG-NLO-dutasteride\plaque 1/@10 duta 0.25/C10_03.tif "/>
    <s v=" 81.4971 "/>
    <s v=" 65.0417 "/>
    <x v="1"/>
    <n v="5301"/>
    <m/>
    <m/>
    <m/>
  </r>
  <r>
    <x v="10"/>
    <x v="4"/>
    <s v="D:\images\2022-CHG-NLO-dutasteride\plaque 1/@10 duta 0.25/D10_01.tif "/>
    <s v=" 12.7339 "/>
    <s v=" 62.5333 "/>
    <x v="1"/>
    <n v="796"/>
    <m/>
    <m/>
    <m/>
  </r>
  <r>
    <x v="10"/>
    <x v="4"/>
    <s v="D:\images\2022-CHG-NLO-dutasteride\plaque 1/@10 duta 0.25/D10_02.tif "/>
    <s v=" 8.4893 "/>
    <s v=" 66.4 "/>
    <x v="1"/>
    <n v="564"/>
    <m/>
    <m/>
    <m/>
  </r>
  <r>
    <x v="10"/>
    <x v="4"/>
    <s v="D:\images\2022-CHG-NLO-dutasteride\plaque 1/@10 duta 0.25/D10_03.tif "/>
    <s v=" 4.2446 "/>
    <n v="64"/>
    <x v="1"/>
    <n v="272"/>
    <m/>
    <m/>
    <m/>
  </r>
  <r>
    <x v="10"/>
    <x v="5"/>
    <s v="D:\images\2022-CHG-NLO-dutasteride\plaque 1/@10 duta 0.25/E10_01.tif "/>
    <s v=" 22.0721 "/>
    <s v=" 62.6154 "/>
    <x v="1"/>
    <n v="1382"/>
    <m/>
    <m/>
    <m/>
  </r>
  <r>
    <x v="10"/>
    <x v="5"/>
    <s v="D:\images\2022-CHG-NLO-dutasteride\plaque 1/@10 duta 0.25/E10_02.tif "/>
    <s v=" 12.7339 "/>
    <s v=" 64.8667 "/>
    <x v="1"/>
    <n v="826"/>
    <m/>
    <m/>
    <m/>
  </r>
  <r>
    <x v="10"/>
    <x v="5"/>
    <s v="D:\images\2022-CHG-NLO-dutasteride\plaque 1/@10 duta 0.25/E10_03.tif "/>
    <s v=" 23.77 "/>
    <s v=" 63.25 "/>
    <x v="1"/>
    <n v="1503"/>
    <m/>
    <m/>
    <m/>
  </r>
  <r>
    <x v="10"/>
    <x v="6"/>
    <s v="D:\images\2022-CHG-NLO-dutasteride\plaque 1/@10 duta 0.25/F10_01.tif "/>
    <s v=" 23.77 "/>
    <s v=" 62.8214 "/>
    <x v="1"/>
    <n v="1493"/>
    <m/>
    <m/>
    <m/>
  </r>
  <r>
    <x v="10"/>
    <x v="6"/>
    <s v="D:\images\2022-CHG-NLO-dutasteride\plaque 1/@10 duta 0.25/F10_02.tif "/>
    <s v=" 6.7914 "/>
    <s v=" 65.125 "/>
    <x v="1"/>
    <n v="442"/>
    <m/>
    <m/>
    <m/>
  </r>
  <r>
    <x v="10"/>
    <x v="6"/>
    <s v="D:\images\2022-CHG-NLO-dutasteride\plaque 1/@10 duta 0.25/F10_03.tif "/>
    <s v=" 30.5614 "/>
    <s v=" 64.8611 "/>
    <x v="1"/>
    <n v="1982"/>
    <m/>
    <m/>
    <m/>
  </r>
  <r>
    <x v="10"/>
    <x v="7"/>
    <s v="D:\images\2022-CHG-NLO-dutasteride\plaque 1/@10 duta 0.25/G10_01.tif "/>
    <s v=" 8.4893 "/>
    <s v=" 62.9 "/>
    <x v="1"/>
    <n v="534"/>
    <m/>
    <m/>
    <m/>
  </r>
  <r>
    <x v="10"/>
    <x v="7"/>
    <s v="D:\images\2022-CHG-NLO-dutasteride\plaque 1/@10 duta 0.25/G10_02.tif "/>
    <s v=" 9.3382 "/>
    <s v=" 63.6364 "/>
    <x v="1"/>
    <n v="594"/>
    <m/>
    <m/>
    <m/>
  </r>
  <r>
    <x v="10"/>
    <x v="7"/>
    <s v="D:\images\2022-CHG-NLO-dutasteride\plaque 1/@10 duta 0.25/G10_03- exclu.tif"/>
    <m/>
    <m/>
    <x v="0"/>
    <m/>
    <m/>
    <m/>
    <m/>
  </r>
  <r>
    <x v="10"/>
    <x v="8"/>
    <s v="D:\images\2022-CHG-NLO-dutasteride\plaque 1/@10 duta 0.25/H10_01.tif "/>
    <s v=" 11.0361 "/>
    <s v=" 62.7692 "/>
    <x v="1"/>
    <n v="693"/>
    <m/>
    <m/>
    <m/>
  </r>
  <r>
    <x v="10"/>
    <x v="8"/>
    <s v="D:\images\2022-CHG-NLO-dutasteride\plaque 1/@10 duta 0.25/H10_02.tif "/>
    <s v=" 29.7125 "/>
    <s v=" 63.5714 "/>
    <x v="1"/>
    <n v="1889"/>
    <m/>
    <m/>
    <m/>
  </r>
  <r>
    <x v="10"/>
    <x v="8"/>
    <s v="D:\images\2022-CHG-NLO-dutasteride\plaque 1/@10 duta 0.25/H10_03.tif "/>
    <s v=" 109.5117 "/>
    <s v=" 65.5581 "/>
    <x v="1"/>
    <n v="7179"/>
    <m/>
    <m/>
    <m/>
  </r>
  <r>
    <x v="0"/>
    <x v="0"/>
    <s v=" "/>
    <m/>
    <m/>
    <x v="0"/>
    <m/>
    <m/>
    <m/>
    <m/>
  </r>
  <r>
    <x v="0"/>
    <x v="0"/>
    <s v="group "/>
    <s v=" "/>
    <s v=" mean of mean fluo "/>
    <x v="2"/>
    <s v=" mean of total fluo "/>
    <s v=" SD total fluo "/>
    <s v=" n fluorescent "/>
    <s v=" n total"/>
  </r>
  <r>
    <x v="10"/>
    <x v="9"/>
    <s v="D:\images\2022-CHG-NLO-dutasteride\plaque 1/@10 duta 0.25/ "/>
    <s v=" "/>
    <s v=" 64.2224 "/>
    <x v="12"/>
    <s v=" 2571.7083 "/>
    <s v=" 3427.1586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11"/>
    <x v="1"/>
    <s v="D:\images\2022-CHG-NLO-dutasteride\plaque 1/@11 duta 0.5/A11_01- exclu.tif"/>
    <m/>
    <m/>
    <x v="0"/>
    <m/>
    <m/>
    <m/>
    <m/>
  </r>
  <r>
    <x v="11"/>
    <x v="1"/>
    <s v="D:\images\2022-CHG-NLO-dutasteride\plaque 1/@11 duta 0.5/A11_02- exclu.tif"/>
    <m/>
    <m/>
    <x v="0"/>
    <m/>
    <m/>
    <m/>
    <m/>
  </r>
  <r>
    <x v="11"/>
    <x v="1"/>
    <s v="D:\images\2022-CHG-NLO-dutasteride\plaque 1/@11 duta 0.5/A11_03- exclu.tif"/>
    <m/>
    <m/>
    <x v="0"/>
    <m/>
    <m/>
    <m/>
    <m/>
  </r>
  <r>
    <x v="11"/>
    <x v="2"/>
    <s v="D:\images\2022-CHG-NLO-dutasteride\plaque 1/@11 duta 0.5/B11_01.tif "/>
    <s v=" 12.7339 "/>
    <s v=" 63.1333 "/>
    <x v="1"/>
    <n v="804"/>
    <m/>
    <m/>
    <m/>
  </r>
  <r>
    <x v="11"/>
    <x v="2"/>
    <s v="D:\images\2022-CHG-NLO-dutasteride\plaque 1/@11 duta 0.5/B11_02.tif "/>
    <s v=" 6.7914 "/>
    <s v=" 64.125 "/>
    <x v="1"/>
    <n v="435"/>
    <m/>
    <m/>
    <m/>
  </r>
  <r>
    <x v="11"/>
    <x v="2"/>
    <s v="D:\images\2022-CHG-NLO-dutasteride\plaque 1/@11 duta 0.5/B11_03.tif "/>
    <s v=" 18.6764 "/>
    <s v=" 64.6818 "/>
    <x v="1"/>
    <n v="1208"/>
    <m/>
    <m/>
    <m/>
  </r>
  <r>
    <x v="11"/>
    <x v="3"/>
    <s v="D:\images\2022-CHG-NLO-dutasteride\plaque 1/@11 duta 0.5/C11_01.tif "/>
    <s v=" 8.4893 "/>
    <s v=" 62.7 "/>
    <x v="1"/>
    <n v="532"/>
    <m/>
    <m/>
    <m/>
  </r>
  <r>
    <x v="11"/>
    <x v="3"/>
    <s v="D:\images\2022-CHG-NLO-dutasteride\plaque 1/@11 duta 0.5/C11_02.tif "/>
    <s v=" 28.8635 "/>
    <s v=" 66.4412 "/>
    <x v="1"/>
    <n v="1918"/>
    <m/>
    <m/>
    <m/>
  </r>
  <r>
    <x v="11"/>
    <x v="3"/>
    <s v="D:\images\2022-CHG-NLO-dutasteride\plaque 1/@11 duta 0.5/C11_03.tif "/>
    <s v=" 136.6774 "/>
    <s v=" 65.1366 "/>
    <x v="1"/>
    <n v="8903"/>
    <m/>
    <m/>
    <m/>
  </r>
  <r>
    <x v="11"/>
    <x v="4"/>
    <s v="D:\images\2022-CHG-NLO-dutasteride\plaque 1/@11 duta 0.5/D11_01.tif "/>
    <s v=" 41.5975 "/>
    <s v=" 63.9592 "/>
    <x v="1"/>
    <n v="2661"/>
    <m/>
    <m/>
    <m/>
  </r>
  <r>
    <x v="11"/>
    <x v="4"/>
    <s v="D:\images\2022-CHG-NLO-dutasteride\plaque 1/@11 duta 0.5/D11_02.tif "/>
    <s v=" 54.3314 "/>
    <s v=" 65.4219 "/>
    <x v="1"/>
    <n v="3554"/>
    <m/>
    <m/>
    <m/>
  </r>
  <r>
    <x v="11"/>
    <x v="4"/>
    <s v="D:\images\2022-CHG-NLO-dutasteride\plaque 1/@11 duta 0.5/D11_03.tif "/>
    <s v=" 11.0361 "/>
    <s v=" 63.0769 "/>
    <x v="1"/>
    <n v="696"/>
    <m/>
    <m/>
    <m/>
  </r>
  <r>
    <x v="11"/>
    <x v="5"/>
    <s v="D:\images\2022-CHG-NLO-dutasteride\plaque 1/@11 duta 0.5/E11_01.tif "/>
    <s v=" 7.6404 "/>
    <s v=" 63.3333 "/>
    <x v="1"/>
    <n v="484"/>
    <m/>
    <m/>
    <m/>
  </r>
  <r>
    <x v="11"/>
    <x v="5"/>
    <s v="D:\images\2022-CHG-NLO-dutasteride\plaque 1/@11 duta 0.5/E11_02.tif "/>
    <s v=" 7.6404 "/>
    <s v=" 64.1111 "/>
    <x v="1"/>
    <n v="490"/>
    <m/>
    <m/>
    <m/>
  </r>
  <r>
    <x v="11"/>
    <x v="5"/>
    <s v="D:\images\2022-CHG-NLO-dutasteride\plaque 1/@11 duta 0.5/E11_03.tif "/>
    <s v=" 6.7914 "/>
    <s v=" 65.625 "/>
    <x v="1"/>
    <n v="446"/>
    <m/>
    <m/>
    <m/>
  </r>
  <r>
    <x v="11"/>
    <x v="6"/>
    <s v="D:\images\2022-CHG-NLO-dutasteride\plaque 1/@11 duta 0.5/F11_01- exclu.tif"/>
    <m/>
    <m/>
    <x v="0"/>
    <m/>
    <m/>
    <m/>
    <m/>
  </r>
  <r>
    <x v="11"/>
    <x v="6"/>
    <s v="D:\images\2022-CHG-NLO-dutasteride\plaque 1/@11 duta 0.5/F11_02.tif "/>
    <s v=" 113.7563 "/>
    <s v=" 65.7761 "/>
    <x v="1"/>
    <n v="7482"/>
    <m/>
    <m/>
    <m/>
  </r>
  <r>
    <x v="11"/>
    <x v="6"/>
    <s v="D:\images\2022-CHG-NLO-dutasteride\plaque 1/@11 duta 0.5/F11_03.tif "/>
    <s v=" 94.231 "/>
    <s v=" 64.5405 "/>
    <x v="1"/>
    <n v="6082"/>
    <m/>
    <m/>
    <m/>
  </r>
  <r>
    <x v="11"/>
    <x v="7"/>
    <s v="D:\images\2022-CHG-NLO-dutasteride\plaque 1/@11 duta 0.5/G11_01.tif "/>
    <s v=" 19.5253 "/>
    <n v="64"/>
    <x v="1"/>
    <n v="1250"/>
    <m/>
    <m/>
    <m/>
  </r>
  <r>
    <x v="11"/>
    <x v="7"/>
    <s v="D:\images\2022-CHG-NLO-dutasteride\plaque 1/@11 duta 0.5/G11_02.tif "/>
    <s v=" 4.2446 "/>
    <s v=" 61.6 "/>
    <x v="1"/>
    <n v="261"/>
    <m/>
    <m/>
    <m/>
  </r>
  <r>
    <x v="11"/>
    <x v="7"/>
    <s v="D:\images\2022-CHG-NLO-dutasteride\plaque 1/@11 duta 0.5/G11_03.tif "/>
    <s v=" 5.9425 "/>
    <s v=" 62.7143 "/>
    <x v="1"/>
    <n v="373"/>
    <m/>
    <m/>
    <m/>
  </r>
  <r>
    <x v="11"/>
    <x v="8"/>
    <s v="D:\images\2022-CHG-NLO-dutasteride\plaque 1/@11 duta 0.5/H11_01.tif "/>
    <s v=" 6.7914 "/>
    <s v=" 64.75 "/>
    <x v="1"/>
    <n v="440"/>
    <m/>
    <m/>
    <m/>
  </r>
  <r>
    <x v="11"/>
    <x v="8"/>
    <s v="D:\images\2022-CHG-NLO-dutasteride\plaque 1/@11 duta 0.5/H11_02.tif "/>
    <s v=" 8.4893 "/>
    <s v=" 63.1 "/>
    <x v="1"/>
    <n v="536"/>
    <m/>
    <m/>
    <m/>
  </r>
  <r>
    <x v="11"/>
    <x v="8"/>
    <s v="D:\images\2022-CHG-NLO-dutasteride\plaque 1/@11 duta 0.5/H11_03.tif "/>
    <s v=" 15.2807 "/>
    <s v=" 64.1111 "/>
    <x v="1"/>
    <n v="980"/>
    <m/>
    <m/>
    <m/>
  </r>
  <r>
    <x v="0"/>
    <x v="0"/>
    <s v=" "/>
    <m/>
    <m/>
    <x v="0"/>
    <m/>
    <m/>
    <m/>
    <m/>
  </r>
  <r>
    <x v="0"/>
    <x v="0"/>
    <s v="group "/>
    <s v=" "/>
    <s v=" mean of mean fluo "/>
    <x v="2"/>
    <s v=" mean of total fluo "/>
    <s v=" SD total fluo "/>
    <s v=" n fluorescent "/>
    <s v=" n total"/>
  </r>
  <r>
    <x v="11"/>
    <x v="9"/>
    <s v="D:\images\2022-CHG-NLO-dutasteride\plaque 1/@11 duta 0.5/ "/>
    <s v=" "/>
    <s v=" 64.1994 "/>
    <x v="13"/>
    <n v="2173"/>
    <s v=" 2632.4862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12"/>
    <x v="1"/>
    <s v="D:\images\2022-CHG-NLO-dutasteride\plaque 1/@12  duta 1/A12_01.tif "/>
    <s v=" 15.2807 "/>
    <s v=" 62.7778 "/>
    <x v="1"/>
    <n v="959"/>
    <m/>
    <m/>
    <m/>
  </r>
  <r>
    <x v="12"/>
    <x v="1"/>
    <s v="D:\images\2022-CHG-NLO-dutasteride\plaque 1/@12  duta 1/A12_02.tif "/>
    <s v=" 13.5828 "/>
    <s v=" 63.1875 "/>
    <x v="1"/>
    <n v="858"/>
    <m/>
    <m/>
    <m/>
  </r>
  <r>
    <x v="12"/>
    <x v="1"/>
    <s v="D:\images\2022-CHG-NLO-dutasteride\plaque 1/@12  duta 1/A12_03.tif "/>
    <s v=" 5.9425 "/>
    <s v=" 65.7143 "/>
    <x v="1"/>
    <n v="391"/>
    <m/>
    <m/>
    <m/>
  </r>
  <r>
    <x v="12"/>
    <x v="2"/>
    <s v="D:\images\2022-CHG-NLO-dutasteride\plaque 1/@12  duta 1/B12_01.tif "/>
    <s v=" 6.7914 "/>
    <s v=" 63.25 "/>
    <x v="1"/>
    <n v="430"/>
    <m/>
    <m/>
    <m/>
  </r>
  <r>
    <x v="12"/>
    <x v="2"/>
    <s v="D:\images\2022-CHG-NLO-dutasteride\plaque 1/@12  duta 1/B12_02.tif "/>
    <s v=" 9.3382 "/>
    <s v=" 63.6364 "/>
    <x v="1"/>
    <n v="594"/>
    <m/>
    <m/>
    <m/>
  </r>
  <r>
    <x v="12"/>
    <x v="2"/>
    <s v="D:\images\2022-CHG-NLO-dutasteride\plaque 1/@12  duta 1/B12_03.tif "/>
    <s v=" 9.3382 "/>
    <s v=" 65.3636 "/>
    <x v="1"/>
    <n v="610"/>
    <m/>
    <m/>
    <m/>
  </r>
  <r>
    <x v="12"/>
    <x v="3"/>
    <s v="D:\images\2022-CHG-NLO-dutasteride\plaque 1/@12  duta 1/C12_01.tif "/>
    <s v=" 6.7914 "/>
    <s v=" 63.625 "/>
    <x v="1"/>
    <n v="432"/>
    <m/>
    <m/>
    <m/>
  </r>
  <r>
    <x v="12"/>
    <x v="3"/>
    <s v="D:\images\2022-CHG-NLO-dutasteride\plaque 1/@12  duta 1/C12_02.tif "/>
    <s v=" 6.7914 "/>
    <s v=" 63.125 "/>
    <x v="1"/>
    <n v="429"/>
    <m/>
    <m/>
    <m/>
  </r>
  <r>
    <x v="12"/>
    <x v="3"/>
    <s v="D:\images\2022-CHG-NLO-dutasteride\plaque 1/@12  duta 1/C12_03.tif "/>
    <s v=" 3.3957 "/>
    <s v=" 62.75 "/>
    <x v="1"/>
    <n v="213"/>
    <m/>
    <m/>
    <m/>
  </r>
  <r>
    <x v="12"/>
    <x v="4"/>
    <s v="D:\images\2022-CHG-NLO-dutasteride\plaque 1/@12  duta 1/D12_01.tif "/>
    <s v=" 171.4834 "/>
    <s v=" 68.6287 "/>
    <x v="1"/>
    <n v="11769"/>
    <m/>
    <m/>
    <m/>
  </r>
  <r>
    <x v="12"/>
    <x v="4"/>
    <s v="D:\images\2022-CHG-NLO-dutasteride\plaque 1/@12  duta 1/D12_02.tif "/>
    <s v=" 5.0936 "/>
    <s v=" 63.6667 "/>
    <x v="1"/>
    <n v="324"/>
    <m/>
    <m/>
    <m/>
  </r>
  <r>
    <x v="12"/>
    <x v="4"/>
    <s v="D:\images\2022-CHG-NLO-dutasteride\plaque 1/@12  duta 1/D12_03.tif "/>
    <s v=" 147.7134 "/>
    <s v=" 67.1437 "/>
    <x v="1"/>
    <n v="9918"/>
    <m/>
    <m/>
    <m/>
  </r>
  <r>
    <x v="12"/>
    <x v="5"/>
    <s v="D:\images\2022-CHG-NLO-dutasteride\plaque 1/@12  duta 1/E12_01.tif "/>
    <s v=" 8.4893 "/>
    <s v=" 64.7 "/>
    <x v="1"/>
    <n v="549"/>
    <m/>
    <m/>
    <m/>
  </r>
  <r>
    <x v="12"/>
    <x v="5"/>
    <s v="D:\images\2022-CHG-NLO-dutasteride\plaque 1/@12  duta 1/E12_02.tif "/>
    <s v=" 5.9425 "/>
    <s v=" 61.2857 "/>
    <x v="1"/>
    <n v="364"/>
    <m/>
    <m/>
    <m/>
  </r>
  <r>
    <x v="12"/>
    <x v="5"/>
    <s v="D:\images\2022-CHG-NLO-dutasteride\plaque 1/@12  duta 1/E12_03.tif "/>
    <s v=" 11.0361 "/>
    <s v=" 63.5385 "/>
    <x v="1"/>
    <n v="701"/>
    <m/>
    <m/>
    <m/>
  </r>
  <r>
    <x v="12"/>
    <x v="6"/>
    <s v="D:\images\2022-CHG-NLO-dutasteride\plaque 1/@12  duta 1/F12_01.tif "/>
    <s v=" 347.2115 "/>
    <s v=" 71.4254 "/>
    <x v="1"/>
    <n v="24800"/>
    <m/>
    <m/>
    <m/>
  </r>
  <r>
    <x v="12"/>
    <x v="6"/>
    <s v="D:\images\2022-CHG-NLO-dutasteride\plaque 1/@12  duta 1/F12_02- exclu.tif"/>
    <m/>
    <m/>
    <x v="0"/>
    <m/>
    <m/>
    <m/>
    <m/>
  </r>
  <r>
    <x v="12"/>
    <x v="6"/>
    <s v="D:\images\2022-CHG-NLO-dutasteride\plaque 1/@12  duta 1/F12_03.tif "/>
    <s v=" 446.5361 "/>
    <s v=" 73.3878 "/>
    <x v="1"/>
    <n v="32770"/>
    <m/>
    <m/>
    <m/>
  </r>
  <r>
    <x v="12"/>
    <x v="7"/>
    <s v="D:\images\2022-CHG-NLO-dutasteride\plaque 1/@12  duta 1/G12_01.tif "/>
    <s v=" 63.6696 "/>
    <s v=" 64.4533 "/>
    <x v="1"/>
    <n v="4104"/>
    <m/>
    <m/>
    <m/>
  </r>
  <r>
    <x v="12"/>
    <x v="7"/>
    <s v="D:\images\2022-CHG-NLO-dutasteride\plaque 1/@12  duta 1/G12_02.tif "/>
    <s v=" 5.9425 "/>
    <s v=" 66.4286 "/>
    <x v="1"/>
    <n v="395"/>
    <m/>
    <m/>
    <m/>
  </r>
  <r>
    <x v="12"/>
    <x v="7"/>
    <s v="D:\images\2022-CHG-NLO-dutasteride\plaque 1/@12  duta 1/G12_03.tif "/>
    <s v=" 7.6404 "/>
    <s v=" 62.5556 "/>
    <x v="1"/>
    <n v="478"/>
    <m/>
    <m/>
    <m/>
  </r>
  <r>
    <x v="12"/>
    <x v="8"/>
    <s v="D:\images\2022-CHG-NLO-dutasteride\plaque 1/@12  duta 1/H12_01.tif "/>
    <s v=" 8.4893 "/>
    <s v=" 65.2 "/>
    <x v="1"/>
    <n v="554"/>
    <m/>
    <m/>
    <m/>
  </r>
  <r>
    <x v="12"/>
    <x v="8"/>
    <s v="D:\images\2022-CHG-NLO-dutasteride\plaque 1/@12  duta 1/H12_02.tif "/>
    <s v=" 8.4893 "/>
    <s v=" 63.1 "/>
    <x v="1"/>
    <n v="536"/>
    <m/>
    <m/>
    <m/>
  </r>
  <r>
    <x v="12"/>
    <x v="8"/>
    <s v="D:\images\2022-CHG-NLO-dutasteride\plaque 1/@12  duta 1/H12_03.tif "/>
    <s v=" 11.0361 "/>
    <s v=" 61.0769 "/>
    <x v="1"/>
    <n v="674"/>
    <m/>
    <m/>
    <m/>
  </r>
  <r>
    <x v="0"/>
    <x v="0"/>
    <s v=" "/>
    <m/>
    <m/>
    <x v="0"/>
    <m/>
    <m/>
    <m/>
    <m/>
  </r>
  <r>
    <x v="0"/>
    <x v="0"/>
    <s v="group "/>
    <s v=" "/>
    <s v=" mean of mean fluo "/>
    <x v="2"/>
    <s v=" mean of total fluo "/>
    <s v=" SD total fluo "/>
    <s v=" n fluorescent "/>
    <s v=" n total"/>
  </r>
  <r>
    <x v="12"/>
    <x v="9"/>
    <s v="D:\images\2022-CHG-NLO-dutasteride\plaque 1/@12  duta 1/ "/>
    <s v=" "/>
    <s v=" 64.7945 "/>
    <x v="14"/>
    <s v=" 4156.4583 "/>
    <s v=" 8291.5714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13"/>
    <x v="1"/>
    <s v="D:\images\2022-CHG-NLO-dutasteride\plaque 2/@13 testo/A1_01.tif "/>
    <s v=" 9.3382 "/>
    <s v=" 63.6364 "/>
    <x v="1"/>
    <n v="594"/>
    <m/>
    <m/>
    <m/>
  </r>
  <r>
    <x v="13"/>
    <x v="1"/>
    <s v="D:\images\2022-CHG-NLO-dutasteride\plaque 2/@13 testo/A1_02.tif "/>
    <s v=" 11.0361 "/>
    <s v=" 66.6154 "/>
    <x v="1"/>
    <n v="735"/>
    <m/>
    <m/>
    <m/>
  </r>
  <r>
    <x v="13"/>
    <x v="1"/>
    <s v="D:\images\2022-CHG-NLO-dutasteride\plaque 2/@13 testo/A1_03- exclu.tif"/>
    <m/>
    <m/>
    <x v="0"/>
    <m/>
    <m/>
    <m/>
    <m/>
  </r>
  <r>
    <x v="13"/>
    <x v="2"/>
    <s v="D:\images\2022-CHG-NLO-dutasteride\plaque 2/@13 testo/B1_01.tif "/>
    <s v=" 679.9912 "/>
    <s v=" 65.6891 "/>
    <x v="1"/>
    <n v="44668"/>
    <m/>
    <m/>
    <m/>
  </r>
  <r>
    <x v="13"/>
    <x v="2"/>
    <s v="D:\images\2022-CHG-NLO-dutasteride\plaque 2/@13 testo/B1_02- exclu.tif"/>
    <m/>
    <m/>
    <x v="0"/>
    <m/>
    <m/>
    <m/>
    <m/>
  </r>
  <r>
    <x v="13"/>
    <x v="2"/>
    <s v="D:\images\2022-CHG-NLO-dutasteride\plaque 2/@13 testo/B1_03.tif "/>
    <s v=" 723.2865 "/>
    <s v=" 65.534 "/>
    <x v="1"/>
    <n v="47400"/>
    <m/>
    <m/>
    <m/>
  </r>
  <r>
    <x v="13"/>
    <x v="3"/>
    <s v="D:\images\2022-CHG-NLO-dutasteride\plaque 2/@13 testo/C1_01.tif "/>
    <s v=" 1343.8528 "/>
    <s v=" 69.259 "/>
    <x v="1"/>
    <n v="93074"/>
    <m/>
    <m/>
    <m/>
  </r>
  <r>
    <x v="13"/>
    <x v="3"/>
    <s v="D:\images\2022-CHG-NLO-dutasteride\plaque 2/@13 testo/C1_02.tif "/>
    <s v=" 1359.9824 "/>
    <s v=" 68.8514 "/>
    <x v="1"/>
    <n v="93637"/>
    <m/>
    <m/>
    <m/>
  </r>
  <r>
    <x v="13"/>
    <x v="3"/>
    <s v="D:\images\2022-CHG-NLO-dutasteride\plaque 2/@13 testo/C1_03.tif "/>
    <s v=" 1053.5195 "/>
    <s v=" 68.4239 "/>
    <x v="1"/>
    <n v="72086"/>
    <m/>
    <m/>
    <m/>
  </r>
  <r>
    <x v="13"/>
    <x v="4"/>
    <s v="D:\images\2022-CHG-NLO-dutasteride\plaque 2/@13 testo/D1_01.tif "/>
    <s v=" 1028.9006 "/>
    <s v=" 69.9332 "/>
    <x v="1"/>
    <n v="71954"/>
    <m/>
    <m/>
    <m/>
  </r>
  <r>
    <x v="13"/>
    <x v="4"/>
    <s v="D:\images\2022-CHG-NLO-dutasteride\plaque 2/@13 testo/D1_02.tif "/>
    <s v=" 1009.3752 "/>
    <s v=" 70.7351 "/>
    <x v="1"/>
    <n v="71398"/>
    <m/>
    <m/>
    <m/>
  </r>
  <r>
    <x v="13"/>
    <x v="4"/>
    <s v="D:\images\2022-CHG-NLO-dutasteride\plaque 2/@13 testo/D1_03.tif "/>
    <s v=" 957.5906 "/>
    <s v=" 70.5585 "/>
    <x v="1"/>
    <n v="67566"/>
    <m/>
    <m/>
    <m/>
  </r>
  <r>
    <x v="13"/>
    <x v="5"/>
    <s v="D:\images\2022-CHG-NLO-dutasteride\plaque 2/@13 testo/E1_01.tif "/>
    <s v=" 653.6744 "/>
    <s v=" 66.3026 "/>
    <x v="1"/>
    <n v="43340"/>
    <m/>
    <m/>
    <m/>
  </r>
  <r>
    <x v="13"/>
    <x v="5"/>
    <s v="D:\images\2022-CHG-NLO-dutasteride\plaque 2/@13 testo/E1_02.tif "/>
    <s v=" 514.4503 "/>
    <s v=" 65.2426 "/>
    <x v="1"/>
    <n v="33564"/>
    <m/>
    <m/>
    <m/>
  </r>
  <r>
    <x v="13"/>
    <x v="5"/>
    <s v="D:\images\2022-CHG-NLO-dutasteride\plaque 2/@13 testo/E1_03.tif "/>
    <s v=" 496.6228 "/>
    <s v=" 64.6376 "/>
    <x v="1"/>
    <n v="32101"/>
    <m/>
    <m/>
    <m/>
  </r>
  <r>
    <x v="13"/>
    <x v="6"/>
    <s v="D:\images\2022-CHG-NLO-dutasteride\plaque 2/@13 testo/F1_01.tif "/>
    <s v=" 1046.728 "/>
    <s v=" 70.2652 "/>
    <x v="1"/>
    <n v="73549"/>
    <m/>
    <m/>
    <m/>
  </r>
  <r>
    <x v="13"/>
    <x v="6"/>
    <s v="D:\images\2022-CHG-NLO-dutasteride\plaque 2/@13 testo/F1_02.tif "/>
    <s v=" 1104.4551 "/>
    <s v=" 70.06 "/>
    <x v="1"/>
    <n v="77378"/>
    <m/>
    <m/>
    <m/>
  </r>
  <r>
    <x v="13"/>
    <x v="6"/>
    <s v="D:\images\2022-CHG-NLO-dutasteride\plaque 2/@13 testo/F1_03.tif "/>
    <s v=" 1036.5409 "/>
    <s v=" 69.9124 "/>
    <x v="1"/>
    <n v="72467"/>
    <m/>
    <m/>
    <m/>
  </r>
  <r>
    <x v="13"/>
    <x v="7"/>
    <s v="D:\images\2022-CHG-NLO-dutasteride\plaque 2/@13 testo/G1_01.tif "/>
    <s v=" 195.2534 "/>
    <s v=" 64.4522 "/>
    <x v="1"/>
    <n v="12585"/>
    <m/>
    <m/>
    <m/>
  </r>
  <r>
    <x v="13"/>
    <x v="7"/>
    <s v="D:\images\2022-CHG-NLO-dutasteride\plaque 2/@13 testo/G1_02.tif "/>
    <s v=" 232.6062 "/>
    <s v=" 64.1788 "/>
    <x v="1"/>
    <n v="14928"/>
    <m/>
    <m/>
    <m/>
  </r>
  <r>
    <x v="13"/>
    <x v="7"/>
    <s v="D:\images\2022-CHG-NLO-dutasteride\plaque 2/@13 testo/G1_03.tif "/>
    <s v=" 166.3899 "/>
    <s v=" 65.4286 "/>
    <x v="1"/>
    <n v="10887"/>
    <m/>
    <m/>
    <m/>
  </r>
  <r>
    <x v="13"/>
    <x v="8"/>
    <s v="D:\images\2022-CHG-NLO-dutasteride\plaque 2/@13 testo/H1_01.tif "/>
    <s v=" 717.344 "/>
    <s v=" 65.5266 "/>
    <x v="1"/>
    <n v="47005"/>
    <m/>
    <m/>
    <m/>
  </r>
  <r>
    <x v="13"/>
    <x v="8"/>
    <s v="D:\images\2022-CHG-NLO-dutasteride\plaque 2/@13 testo/H1_02.tif "/>
    <s v=" 924.4824 "/>
    <s v=" 66.1001 "/>
    <x v="1"/>
    <n v="61108"/>
    <m/>
    <m/>
    <m/>
  </r>
  <r>
    <x v="13"/>
    <x v="8"/>
    <s v="D:\images\2022-CHG-NLO-dutasteride\plaque 2/@13 testo/H1_03.tif "/>
    <s v=" 864.2086 "/>
    <s v=" 65.7122 "/>
    <x v="1"/>
    <n v="56789"/>
    <m/>
    <m/>
    <m/>
  </r>
  <r>
    <x v="0"/>
    <x v="0"/>
    <s v=" "/>
    <m/>
    <m/>
    <x v="0"/>
    <m/>
    <m/>
    <m/>
    <m/>
  </r>
  <r>
    <x v="0"/>
    <x v="0"/>
    <s v="group "/>
    <s v=" "/>
    <s v=" mean of mean fluo "/>
    <x v="2"/>
    <s v=" mean of total fluo "/>
    <s v=" SD total fluo "/>
    <s v=" n fluorescent "/>
    <s v=" n total"/>
  </r>
  <r>
    <x v="13"/>
    <x v="9"/>
    <s v="D:\images\2022-CHG-NLO-dutasteride\plaque 2/@13 testo/ "/>
    <s v=" "/>
    <s v=" 66.932 "/>
    <x v="15"/>
    <s v=" 46776.9583 "/>
    <s v=" 29556.9763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14"/>
    <x v="1"/>
    <s v="D:\images\2022-CHG-NLO-dutasteride\plaque 2/@14 testo/A2_01.tif "/>
    <s v=" 1290.3703 "/>
    <s v=" 72.3461 "/>
    <x v="1"/>
    <n v="93353"/>
    <m/>
    <m/>
    <m/>
  </r>
  <r>
    <x v="14"/>
    <x v="1"/>
    <s v="D:\images\2022-CHG-NLO-dutasteride\plaque 2/@14 testo/A2_02.tif "/>
    <s v=" 1226.7007 "/>
    <s v=" 73.6138 "/>
    <x v="1"/>
    <n v="90302"/>
    <m/>
    <m/>
    <m/>
  </r>
  <r>
    <x v="14"/>
    <x v="1"/>
    <s v="D:\images\2022-CHG-NLO-dutasteride\plaque 2/@14 testo/A2_03.tif "/>
    <s v=" 1073.0448 "/>
    <s v=" 73.4446 "/>
    <x v="1"/>
    <n v="78809"/>
    <m/>
    <m/>
    <m/>
  </r>
  <r>
    <x v="14"/>
    <x v="2"/>
    <s v="D:\images\2022-CHG-NLO-dutasteride\plaque 2/@14 testo/B2_01.tif "/>
    <s v=" 387.96 "/>
    <s v=" 70.93 "/>
    <x v="1"/>
    <n v="27518"/>
    <m/>
    <m/>
    <m/>
  </r>
  <r>
    <x v="14"/>
    <x v="2"/>
    <s v="D:\images\2022-CHG-NLO-dutasteride\plaque 2/@14 testo/B2_02.tif "/>
    <s v=" 476.2485 "/>
    <s v=" 70.1301 "/>
    <x v="1"/>
    <n v="33399"/>
    <m/>
    <m/>
    <m/>
  </r>
  <r>
    <x v="14"/>
    <x v="2"/>
    <s v="D:\images\2022-CHG-NLO-dutasteride\plaque 2/@14 testo/B2_03.tif "/>
    <s v=" 322.5926 "/>
    <s v=" 69.1368 "/>
    <x v="1"/>
    <n v="22303"/>
    <m/>
    <m/>
    <m/>
  </r>
  <r>
    <x v="14"/>
    <x v="3"/>
    <s v="D:\images\2022-CHG-NLO-dutasteride\plaque 2/@14 testo/C2_01- exclu.tif"/>
    <m/>
    <m/>
    <x v="0"/>
    <m/>
    <m/>
    <m/>
    <m/>
  </r>
  <r>
    <x v="14"/>
    <x v="3"/>
    <s v="D:\images\2022-CHG-NLO-dutasteride\plaque 2/@14 testo/C2_02.tif "/>
    <s v=" 1684.2729 "/>
    <s v=" 79.066 "/>
    <x v="1"/>
    <n v="133169"/>
    <m/>
    <m/>
    <m/>
  </r>
  <r>
    <x v="14"/>
    <x v="3"/>
    <s v="D:\images\2022-CHG-NLO-dutasteride\plaque 2/@14 testo/C2_03.tif "/>
    <s v=" 1645.2222 "/>
    <s v=" 74.8725 "/>
    <x v="1"/>
    <n v="123182"/>
    <m/>
    <m/>
    <m/>
  </r>
  <r>
    <x v="14"/>
    <x v="4"/>
    <s v="D:\images\2022-CHG-NLO-dutasteride\plaque 2/@14 testo/D2_01.tif "/>
    <s v=" 1624.8479 "/>
    <s v=" 73.1823 "/>
    <x v="1"/>
    <n v="118910"/>
    <m/>
    <m/>
    <m/>
  </r>
  <r>
    <x v="14"/>
    <x v="4"/>
    <s v="D:\images\2022-CHG-NLO-dutasteride\plaque 2/@14 testo/D2_02.tif "/>
    <s v=" 1557.7826 "/>
    <s v=" 72.4158 "/>
    <x v="1"/>
    <n v="112808"/>
    <m/>
    <m/>
    <m/>
  </r>
  <r>
    <x v="14"/>
    <x v="4"/>
    <s v="D:\images\2022-CHG-NLO-dutasteride\plaque 2/@14 testo/D2_03.tif "/>
    <s v=" 1551.8401 "/>
    <s v=" 70.6964 "/>
    <x v="1"/>
    <n v="109709"/>
    <m/>
    <m/>
    <m/>
  </r>
  <r>
    <x v="14"/>
    <x v="5"/>
    <s v="D:\images\2022-CHG-NLO-dutasteride\plaque 2/@14 testo/E2_01.tif "/>
    <s v=" 759.7904 "/>
    <s v=" 66.095 "/>
    <x v="1"/>
    <n v="50218"/>
    <m/>
    <m/>
    <m/>
  </r>
  <r>
    <x v="14"/>
    <x v="5"/>
    <s v="D:\images\2022-CHG-NLO-dutasteride\plaque 2/@14 testo/E2_02.tif "/>
    <s v=" 673.1998 "/>
    <s v=" 66.2383 "/>
    <x v="1"/>
    <n v="44592"/>
    <m/>
    <m/>
    <m/>
  </r>
  <r>
    <x v="14"/>
    <x v="5"/>
    <s v="D:\images\2022-CHG-NLO-dutasteride\plaque 2/@14 testo/E2_03.tif "/>
    <s v=" 846.3811 "/>
    <s v=" 66.5085 "/>
    <x v="1"/>
    <n v="56292"/>
    <m/>
    <m/>
    <m/>
  </r>
  <r>
    <x v="14"/>
    <x v="6"/>
    <s v="D:\images\2022-CHG-NLO-dutasteride\plaque 2/@14 testo/F2_01.tif "/>
    <s v=" 741.114 "/>
    <s v=" 66.2474 "/>
    <x v="1"/>
    <n v="49097"/>
    <m/>
    <m/>
    <m/>
  </r>
  <r>
    <x v="14"/>
    <x v="6"/>
    <s v="D:\images\2022-CHG-NLO-dutasteride\plaque 2/@14 testo/F2_02.tif "/>
    <s v=" 730.078 "/>
    <s v=" 65.7977 "/>
    <x v="1"/>
    <n v="48037"/>
    <m/>
    <m/>
    <m/>
  </r>
  <r>
    <x v="14"/>
    <x v="6"/>
    <s v="D:\images\2022-CHG-NLO-dutasteride\plaque 2/@14 testo/F2_03.tif "/>
    <s v=" 450.7807 "/>
    <s v=" 64.5537 "/>
    <x v="1"/>
    <n v="29100"/>
    <m/>
    <m/>
    <m/>
  </r>
  <r>
    <x v="14"/>
    <x v="7"/>
    <s v="D:\images\2022-CHG-NLO-dutasteride\plaque 2/@14 testo/G2_01.tif "/>
    <s v=" 899.8635 "/>
    <s v=" 66.4472 "/>
    <x v="1"/>
    <n v="59793"/>
    <m/>
    <m/>
    <m/>
  </r>
  <r>
    <x v="14"/>
    <x v="7"/>
    <s v="D:\images\2022-CHG-NLO-dutasteride\plaque 2/@14 testo/G2_02.tif "/>
    <s v=" 896.4678 "/>
    <s v=" 66.3087 "/>
    <x v="1"/>
    <n v="59444"/>
    <m/>
    <m/>
    <m/>
  </r>
  <r>
    <x v="14"/>
    <x v="7"/>
    <s v="D:\images\2022-CHG-NLO-dutasteride\plaque 2/@14 testo/G2_03.tif "/>
    <s v=" 723.2865 "/>
    <s v=" 66.0599 "/>
    <x v="1"/>
    <n v="47780"/>
    <m/>
    <m/>
    <m/>
  </r>
  <r>
    <x v="14"/>
    <x v="8"/>
    <s v="D:\images\2022-CHG-NLO-dutasteride\plaque 2/@14 testo/H2_01.tif "/>
    <s v=" 649.4298 "/>
    <s v=" 67.3399 "/>
    <x v="1"/>
    <n v="43733"/>
    <m/>
    <m/>
    <m/>
  </r>
  <r>
    <x v="14"/>
    <x v="8"/>
    <s v="D:\images\2022-CHG-NLO-dutasteride\plaque 2/@14 testo/H2_02.tif "/>
    <s v=" 494.9249 "/>
    <s v=" 65.0583 "/>
    <x v="1"/>
    <n v="32199"/>
    <m/>
    <m/>
    <m/>
  </r>
  <r>
    <x v="14"/>
    <x v="8"/>
    <s v="D:\images\2022-CHG-NLO-dutasteride\plaque 2/@14 testo/H2_03.tif "/>
    <s v=" 292.0312 "/>
    <s v=" 64.5494 "/>
    <x v="1"/>
    <n v="18850"/>
    <m/>
    <m/>
    <m/>
  </r>
  <r>
    <x v="0"/>
    <x v="0"/>
    <s v=" "/>
    <m/>
    <m/>
    <x v="0"/>
    <m/>
    <m/>
    <m/>
    <m/>
  </r>
  <r>
    <x v="0"/>
    <x v="0"/>
    <s v="group "/>
    <s v=" "/>
    <s v=" mean of mean fluo "/>
    <x v="2"/>
    <s v=" mean of total fluo "/>
    <s v=" SD total fluo "/>
    <s v=" n fluorescent "/>
    <s v=" n total"/>
  </r>
  <r>
    <x v="14"/>
    <x v="9"/>
    <s v="D:\images\2022-CHG-NLO-dutasteride\plaque 2/@14 testo/ "/>
    <s v=" "/>
    <s v=" 68.9621 "/>
    <x v="16"/>
    <s v=" 62796.6667 "/>
    <s v=" 35605.9082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15"/>
    <x v="1"/>
    <s v="D:\images\2022-CHG-NLO-dutasteride\plaque 2/@15 testo + EE2 64/A3_01.tif "/>
    <s v=" 2410.1062 "/>
    <s v=" 75.3459 "/>
    <x v="1"/>
    <n v="181592"/>
    <m/>
    <m/>
    <m/>
  </r>
  <r>
    <x v="15"/>
    <x v="1"/>
    <s v="D:\images\2022-CHG-NLO-dutasteride\plaque 2/@15 testo + EE2 64/A3_02.tif "/>
    <s v=" 2439.8186 "/>
    <s v=" 75.5292 "/>
    <x v="1"/>
    <n v="184278"/>
    <m/>
    <m/>
    <m/>
  </r>
  <r>
    <x v="15"/>
    <x v="1"/>
    <s v="D:\images\2022-CHG-NLO-dutasteride\plaque 2/@15 testo + EE2 64/A3_03.tif "/>
    <s v=" 2337.0984 "/>
    <s v=" 74.2939 "/>
    <x v="1"/>
    <n v="173632"/>
    <m/>
    <m/>
    <m/>
  </r>
  <r>
    <x v="15"/>
    <x v="2"/>
    <s v="D:\images\2022-CHG-NLO-dutasteride\plaque 2/@15 testo + EE2 64/B3_01.tif "/>
    <s v=" 1196.9883 "/>
    <s v=" 72.7816 "/>
    <x v="1"/>
    <n v="87119"/>
    <m/>
    <m/>
    <m/>
  </r>
  <r>
    <x v="15"/>
    <x v="2"/>
    <s v="D:\images\2022-CHG-NLO-dutasteride\plaque 2/@15 testo + EE2 64/B3_02.tif "/>
    <s v=" 1077.2894 "/>
    <s v=" 74.3964 "/>
    <x v="1"/>
    <n v="80146"/>
    <m/>
    <m/>
    <m/>
  </r>
  <r>
    <x v="15"/>
    <x v="2"/>
    <s v="D:\images\2022-CHG-NLO-dutasteride\plaque 2/@15 testo + EE2 64/B3_03.tif "/>
    <s v=" 1211.42 "/>
    <s v=" 73.9383 "/>
    <x v="1"/>
    <n v="89570"/>
    <m/>
    <m/>
    <m/>
  </r>
  <r>
    <x v="15"/>
    <x v="3"/>
    <s v="D:\images\2022-CHG-NLO-dutasteride\plaque 2/@15 testo + EE2 64/C3_01.tif "/>
    <s v=" 1719.0789 "/>
    <s v=" 83.0938 "/>
    <x v="1"/>
    <n v="142845"/>
    <m/>
    <m/>
    <m/>
  </r>
  <r>
    <x v="15"/>
    <x v="3"/>
    <s v="D:\images\2022-CHG-NLO-dutasteride\plaque 2/@15 testo + EE2 64/C3_02.tif "/>
    <s v=" 1525.5234 "/>
    <s v=" 85.6561 "/>
    <x v="1"/>
    <n v="130670"/>
    <m/>
    <m/>
    <m/>
  </r>
  <r>
    <x v="15"/>
    <x v="3"/>
    <s v="D:\images\2022-CHG-NLO-dutasteride\plaque 2/@15 testo + EE2 64/C3_03.tif "/>
    <s v=" 1537.4083 "/>
    <s v=" 84.8896 "/>
    <x v="1"/>
    <n v="130510"/>
    <m/>
    <m/>
    <m/>
  </r>
  <r>
    <x v="15"/>
    <x v="4"/>
    <s v="D:\images\2022-CHG-NLO-dutasteride\plaque 2/@15 testo + EE2 64/D3_01.tif "/>
    <s v=" 1485.6237 "/>
    <s v=" 75.6989 "/>
    <x v="1"/>
    <n v="112460"/>
    <m/>
    <m/>
    <m/>
  </r>
  <r>
    <x v="15"/>
    <x v="4"/>
    <s v="D:\images\2022-CHG-NLO-dutasteride\plaque 2/@15 testo + EE2 64/D3_02.tif "/>
    <s v=" 1537.4083 "/>
    <s v=" 76.735 "/>
    <x v="1"/>
    <n v="117973"/>
    <m/>
    <m/>
    <m/>
  </r>
  <r>
    <x v="15"/>
    <x v="4"/>
    <s v="D:\images\2022-CHG-NLO-dutasteride\plaque 2/@15 testo + EE2 64/D3_03.tif "/>
    <s v=" 1741.151 "/>
    <s v=" 74.0717 "/>
    <x v="1"/>
    <n v="128970"/>
    <m/>
    <m/>
    <m/>
  </r>
  <r>
    <x v="15"/>
    <x v="5"/>
    <s v="D:\images\2022-CHG-NLO-dutasteride\plaque 2/@15 testo + EE2 64/E3_01.tif "/>
    <s v=" 137.5263 "/>
    <s v=" 64.4444 "/>
    <x v="1"/>
    <n v="8863"/>
    <m/>
    <m/>
    <m/>
  </r>
  <r>
    <x v="15"/>
    <x v="5"/>
    <s v="D:\images\2022-CHG-NLO-dutasteride\plaque 2/@15 testo + EE2 64/E3_02.tif "/>
    <s v=" 128.1881 "/>
    <s v=" 63.9536 "/>
    <x v="1"/>
    <n v="8198"/>
    <m/>
    <m/>
    <m/>
  </r>
  <r>
    <x v="15"/>
    <x v="5"/>
    <s v="D:\images\2022-CHG-NLO-dutasteride\plaque 2/@15 testo + EE2 64/E3_03.tif "/>
    <s v=" 109.5117 "/>
    <s v=" 63.3876 "/>
    <x v="1"/>
    <n v="6942"/>
    <m/>
    <m/>
    <m/>
  </r>
  <r>
    <x v="15"/>
    <x v="6"/>
    <s v="D:\images\2022-CHG-NLO-dutasteride\plaque 2/@15 testo + EE2 64/F3_01.tif "/>
    <s v=" 1646.92 "/>
    <s v=" 77.4943 "/>
    <x v="1"/>
    <n v="127627"/>
    <m/>
    <m/>
    <m/>
  </r>
  <r>
    <x v="15"/>
    <x v="6"/>
    <s v="D:\images\2022-CHG-NLO-dutasteride\plaque 2/@15 testo + EE2 64/F3_02.tif "/>
    <s v=" 1701.2514 "/>
    <s v=" 74.9097 "/>
    <x v="1"/>
    <n v="127440"/>
    <m/>
    <m/>
    <m/>
  </r>
  <r>
    <x v="15"/>
    <x v="6"/>
    <s v="D:\images\2022-CHG-NLO-dutasteride\plaque 2/@15 testo + EE2 64/F3_03.tif "/>
    <s v=" 1597.6822 "/>
    <s v=" 77.5319 "/>
    <x v="1"/>
    <n v="123871"/>
    <m/>
    <m/>
    <m/>
  </r>
  <r>
    <x v="15"/>
    <x v="7"/>
    <s v="D:\images\2022-CHG-NLO-dutasteride\plaque 2/@15 testo + EE2 64/G3_01.tif "/>
    <s v=" 1669.8411 "/>
    <s v=" 81.8826 "/>
    <x v="1"/>
    <n v="136731"/>
    <m/>
    <m/>
    <m/>
  </r>
  <r>
    <x v="15"/>
    <x v="7"/>
    <s v="D:\images\2022-CHG-NLO-dutasteride\plaque 2/@15 testo + EE2 64/G3_02.tif "/>
    <s v=" 1275.0896 "/>
    <s v=" 87.5373 "/>
    <x v="1"/>
    <n v="111618"/>
    <m/>
    <m/>
    <m/>
  </r>
  <r>
    <x v="15"/>
    <x v="7"/>
    <s v="D:\images\2022-CHG-NLO-dutasteride\plaque 2/@15 testo + EE2 64/G3_03.tif "/>
    <s v=" 1216.5136 "/>
    <s v=" 88.2736 "/>
    <x v="1"/>
    <n v="107386"/>
    <m/>
    <m/>
    <m/>
  </r>
  <r>
    <x v="15"/>
    <x v="8"/>
    <s v="D:\images\2022-CHG-NLO-dutasteride\plaque 2/@15 testo + EE2 64/H3_01.tif "/>
    <s v=" 1760.6764 "/>
    <s v=" 71.5087 "/>
    <x v="1"/>
    <n v="125904"/>
    <m/>
    <m/>
    <m/>
  </r>
  <r>
    <x v="15"/>
    <x v="8"/>
    <s v="D:\images\2022-CHG-NLO-dutasteride\plaque 2/@15 testo + EE2 64/H3_02.tif "/>
    <s v=" 1504.3002 "/>
    <s v=" 71.1665 "/>
    <x v="1"/>
    <n v="107056"/>
    <m/>
    <m/>
    <m/>
  </r>
  <r>
    <x v="15"/>
    <x v="8"/>
    <s v="D:\images\2022-CHG-NLO-dutasteride\plaque 2/@15 testo + EE2 64/H3_03.tif "/>
    <s v=" 1549.2933 "/>
    <s v=" 72.9852 "/>
    <x v="1"/>
    <n v="113075"/>
    <m/>
    <m/>
    <m/>
  </r>
  <r>
    <x v="0"/>
    <x v="0"/>
    <s v=" "/>
    <m/>
    <m/>
    <x v="0"/>
    <m/>
    <m/>
    <m/>
    <m/>
  </r>
  <r>
    <x v="0"/>
    <x v="0"/>
    <s v="group "/>
    <s v=" "/>
    <s v=" mean of mean fluo "/>
    <x v="2"/>
    <s v=" mean of total fluo "/>
    <s v=" SD total fluo "/>
    <s v=" n fluorescent "/>
    <s v=" n total"/>
  </r>
  <r>
    <x v="15"/>
    <x v="9"/>
    <s v="D:\images\2022-CHG-NLO-dutasteride\plaque 2/@15 testo + EE2 64/ "/>
    <s v=" "/>
    <s v=" 75.8961 "/>
    <x v="17"/>
    <s v=" 111019.833 "/>
    <s v=" 47489.447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16"/>
    <x v="1"/>
    <s v="D:\images\2022-CHG-NLO-dutasteride\plaque 2/@16 testo + fad/A4_01.tif "/>
    <s v=" 35.655 "/>
    <s v=" 65.619 "/>
    <x v="1"/>
    <n v="2340"/>
    <m/>
    <m/>
    <m/>
  </r>
  <r>
    <x v="16"/>
    <x v="1"/>
    <s v="D:\images\2022-CHG-NLO-dutasteride\plaque 2/@16 testo + fad/A4_02.tif "/>
    <s v=" 60.2739 "/>
    <s v=" 64.5775 "/>
    <x v="1"/>
    <n v="3892"/>
    <m/>
    <m/>
    <m/>
  </r>
  <r>
    <x v="16"/>
    <x v="1"/>
    <s v="D:\images\2022-CHG-NLO-dutasteride\plaque 2/@16 testo + fad/A4_03.tif "/>
    <s v=" 29.7125 "/>
    <s v=" 63.1714 "/>
    <x v="1"/>
    <n v="1877"/>
    <m/>
    <m/>
    <m/>
  </r>
  <r>
    <x v="16"/>
    <x v="2"/>
    <s v="D:\images\2022-CHG-NLO-dutasteride\plaque 2/@16 testo + fad/B4_01.tif "/>
    <s v=" 18.6764 "/>
    <s v=" 64.4545 "/>
    <x v="1"/>
    <n v="1204"/>
    <m/>
    <m/>
    <m/>
  </r>
  <r>
    <x v="16"/>
    <x v="2"/>
    <s v="D:\images\2022-CHG-NLO-dutasteride\plaque 2/@16 testo + fad/B4_02.tif "/>
    <s v=" 21.2232 "/>
    <s v=" 66.16 "/>
    <x v="1"/>
    <n v="1404"/>
    <m/>
    <m/>
    <m/>
  </r>
  <r>
    <x v="16"/>
    <x v="2"/>
    <s v="D:\images\2022-CHG-NLO-dutasteride\plaque 2/@16 testo + fad/B4_03.tif "/>
    <s v=" 44.1442 "/>
    <s v=" 63.5577 "/>
    <x v="1"/>
    <n v="2806"/>
    <m/>
    <m/>
    <m/>
  </r>
  <r>
    <x v="16"/>
    <x v="3"/>
    <s v="D:\images\2022-CHG-NLO-dutasteride\plaque 2/@16 testo + fad/C4_01.tif "/>
    <s v=" 11.0361 "/>
    <s v=" 65.7692 "/>
    <x v="1"/>
    <n v="726"/>
    <m/>
    <m/>
    <m/>
  </r>
  <r>
    <x v="16"/>
    <x v="3"/>
    <s v="D:\images\2022-CHG-NLO-dutasteride\plaque 2/@16 testo + fad/C4_02.tif "/>
    <s v=" 11.885 "/>
    <s v=" 64.0714 "/>
    <x v="1"/>
    <n v="761"/>
    <m/>
    <m/>
    <m/>
  </r>
  <r>
    <x v="16"/>
    <x v="3"/>
    <s v="D:\images\2022-CHG-NLO-dutasteride\plaque 2/@16 testo + fad/C4_03.tif "/>
    <s v=" 19.5253 "/>
    <s v=" 66.0435 "/>
    <x v="1"/>
    <n v="1290"/>
    <m/>
    <m/>
    <m/>
  </r>
  <r>
    <x v="16"/>
    <x v="4"/>
    <s v="D:\images\2022-CHG-NLO-dutasteride\plaque 2/@16 testo + fad/D4_01.tif "/>
    <s v=" 62.8207 "/>
    <s v=" 64.7703 "/>
    <x v="1"/>
    <n v="4069"/>
    <m/>
    <m/>
    <m/>
  </r>
  <r>
    <x v="16"/>
    <x v="4"/>
    <s v="D:\images\2022-CHG-NLO-dutasteride\plaque 2/@16 testo + fad/D4_02.tif "/>
    <s v=" 69.6121 "/>
    <s v=" 63.0976 "/>
    <x v="1"/>
    <n v="4392"/>
    <m/>
    <m/>
    <m/>
  </r>
  <r>
    <x v="16"/>
    <x v="4"/>
    <s v="D:\images\2022-CHG-NLO-dutasteride\plaque 2/@16 testo + fad/D4_03.tif "/>
    <s v=" 20.3743 "/>
    <s v=" 64.75 "/>
    <x v="1"/>
    <n v="1319"/>
    <m/>
    <m/>
    <m/>
  </r>
  <r>
    <x v="16"/>
    <x v="5"/>
    <s v="D:\images\2022-CHG-NLO-dutasteride\plaque 2/@16 testo + fad/E4_01.tif "/>
    <s v=" 115.4542 "/>
    <s v=" 65.1544 "/>
    <x v="1"/>
    <n v="7522"/>
    <m/>
    <m/>
    <m/>
  </r>
  <r>
    <x v="16"/>
    <x v="5"/>
    <s v="D:\images\2022-CHG-NLO-dutasteride\plaque 2/@16 testo + fad/E4_02.tif "/>
    <s v=" 95.9288 "/>
    <s v=" 64.9469 "/>
    <x v="1"/>
    <n v="6230"/>
    <m/>
    <m/>
    <m/>
  </r>
  <r>
    <x v="16"/>
    <x v="5"/>
    <s v="D:\images\2022-CHG-NLO-dutasteride\plaque 2/@16 testo + fad/E4_03.tif "/>
    <s v=" 18.6764 "/>
    <s v=" 64.1818 "/>
    <x v="1"/>
    <n v="1199"/>
    <m/>
    <m/>
    <m/>
  </r>
  <r>
    <x v="16"/>
    <x v="6"/>
    <s v="D:\images\2022-CHG-NLO-dutasteride\plaque 2/@16 testo + fad/F4_01.tif "/>
    <s v=" 28.8635 "/>
    <s v=" 65.0588 "/>
    <x v="1"/>
    <n v="1878"/>
    <m/>
    <m/>
    <m/>
  </r>
  <r>
    <x v="16"/>
    <x v="6"/>
    <s v="D:\images\2022-CHG-NLO-dutasteride\plaque 2/@16 testo + fad/F4_02.tif "/>
    <s v=" 21.2232 "/>
    <s v=" 67.24 "/>
    <x v="1"/>
    <n v="1427"/>
    <m/>
    <m/>
    <m/>
  </r>
  <r>
    <x v="16"/>
    <x v="6"/>
    <s v="D:\images\2022-CHG-NLO-dutasteride\plaque 2/@16 testo + fad/F4_03.tif "/>
    <s v=" 8.4893 "/>
    <s v=" 65.1 "/>
    <x v="1"/>
    <n v="553"/>
    <m/>
    <m/>
    <m/>
  </r>
  <r>
    <x v="16"/>
    <x v="7"/>
    <s v="D:\images\2022-CHG-NLO-dutasteride\plaque 2/@16 testo + fad/G4_01.tif "/>
    <s v=" 36.5039 "/>
    <s v=" 64.2093 "/>
    <x v="1"/>
    <n v="2344"/>
    <m/>
    <m/>
    <m/>
  </r>
  <r>
    <x v="16"/>
    <x v="7"/>
    <s v="D:\images\2022-CHG-NLO-dutasteride\plaque 2/@16 testo + fad/G4_02.tif "/>
    <s v=" 22.0721 "/>
    <s v=" 62.6538 "/>
    <x v="1"/>
    <n v="1383"/>
    <m/>
    <m/>
    <m/>
  </r>
  <r>
    <x v="16"/>
    <x v="7"/>
    <s v="D:\images\2022-CHG-NLO-dutasteride\plaque 2/@16 testo + fad/G4_03.tif "/>
    <s v=" 28.0146 "/>
    <s v=" 63.1515 "/>
    <x v="1"/>
    <n v="1769"/>
    <m/>
    <m/>
    <m/>
  </r>
  <r>
    <x v="16"/>
    <x v="8"/>
    <s v="D:\images\2022-CHG-NLO-dutasteride\plaque 2/@16 testo + fad/H4_01.tif "/>
    <s v=" 50.0867 "/>
    <s v=" 64.3559 "/>
    <x v="1"/>
    <n v="3223"/>
    <m/>
    <m/>
    <m/>
  </r>
  <r>
    <x v="16"/>
    <x v="8"/>
    <s v="D:\images\2022-CHG-NLO-dutasteride\plaque 2/@16 testo + fad/H4_02.tif "/>
    <s v=" 9.3382 "/>
    <s v=" 62.7273 "/>
    <x v="1"/>
    <n v="586"/>
    <m/>
    <m/>
    <m/>
  </r>
  <r>
    <x v="16"/>
    <x v="8"/>
    <s v="D:\images\2022-CHG-NLO-dutasteride\plaque 2/@16 testo + fad/H4_03.tif "/>
    <s v=" 7.6404 "/>
    <s v=" 63.8889 "/>
    <x v="1"/>
    <n v="488"/>
    <m/>
    <m/>
    <m/>
  </r>
  <r>
    <x v="0"/>
    <x v="0"/>
    <s v=" "/>
    <m/>
    <m/>
    <x v="0"/>
    <m/>
    <m/>
    <m/>
    <m/>
  </r>
  <r>
    <x v="0"/>
    <x v="0"/>
    <s v="group "/>
    <s v=" "/>
    <s v=" mean of mean fluo "/>
    <x v="2"/>
    <s v=" mean of total fluo "/>
    <s v=" SD total fluo "/>
    <s v=" n fluorescent "/>
    <s v=" n total"/>
  </r>
  <r>
    <x v="16"/>
    <x v="9"/>
    <s v="D:\images\2022-CHG-NLO-dutasteride\plaque 2/@16 testo + fad/ "/>
    <s v=" "/>
    <s v=" 64.5296 "/>
    <x v="18"/>
    <s v=" 2278.4167 "/>
    <s v=" 1810.7724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17"/>
    <x v="1"/>
    <s v="D:\images\2022-CHG-NLO-dutasteride\plaque 2/@17 testo + duta 0.01/A5_01.tif "/>
    <s v=" 1728.4171 "/>
    <s v=" 77.2967 "/>
    <x v="1"/>
    <n v="133601"/>
    <m/>
    <m/>
    <m/>
  </r>
  <r>
    <x v="17"/>
    <x v="1"/>
    <s v="D:\images\2022-CHG-NLO-dutasteride\plaque 2/@17 testo + duta 0.01/A5_02.tif "/>
    <s v=" 1831.9863 "/>
    <s v=" 77.9143 "/>
    <x v="1"/>
    <n v="142738"/>
    <m/>
    <m/>
    <m/>
  </r>
  <r>
    <x v="17"/>
    <x v="1"/>
    <s v="D:\images\2022-CHG-NLO-dutasteride\plaque 2/@17 testo + duta 0.01/A5_03.tif "/>
    <s v=" 1688.5175 "/>
    <s v=" 72.2066 "/>
    <x v="1"/>
    <n v="121922"/>
    <m/>
    <m/>
    <m/>
  </r>
  <r>
    <x v="17"/>
    <x v="2"/>
    <s v="D:\images\2022-CHG-NLO-dutasteride\plaque 2/@17 testo + duta 0.01/B5_01.tif "/>
    <s v=" 51.7846 "/>
    <s v=" 62.5574 "/>
    <x v="1"/>
    <n v="3240"/>
    <m/>
    <m/>
    <m/>
  </r>
  <r>
    <x v="17"/>
    <x v="2"/>
    <s v="D:\images\2022-CHG-NLO-dutasteride\plaque 2/@17 testo + duta 0.01/B5_02.tif "/>
    <s v=" 33.9571 "/>
    <s v=" 63.55 "/>
    <x v="1"/>
    <n v="2158"/>
    <m/>
    <m/>
    <m/>
  </r>
  <r>
    <x v="17"/>
    <x v="2"/>
    <s v="D:\images\2022-CHG-NLO-dutasteride\plaque 2/@17 testo + duta 0.01/B5_03.tif "/>
    <s v=" 22.9211 "/>
    <s v=" 62.9259 "/>
    <x v="1"/>
    <n v="1442"/>
    <m/>
    <m/>
    <m/>
  </r>
  <r>
    <x v="17"/>
    <x v="3"/>
    <s v="D:\images\2022-CHG-NLO-dutasteride\plaque 2/@17 testo + duta 0.01/C5_01.tif "/>
    <s v=" 572.1774 "/>
    <s v=" 65.1543 "/>
    <x v="1"/>
    <n v="37280"/>
    <m/>
    <m/>
    <m/>
  </r>
  <r>
    <x v="17"/>
    <x v="3"/>
    <s v="D:\images\2022-CHG-NLO-dutasteride\plaque 2/@17 testo + duta 0.01/C5_02.tif "/>
    <s v=" 538.2203 "/>
    <s v=" 65.1136 "/>
    <x v="1"/>
    <n v="35045"/>
    <m/>
    <m/>
    <m/>
  </r>
  <r>
    <x v="17"/>
    <x v="3"/>
    <s v="D:\images\2022-CHG-NLO-dutasteride\plaque 2/@17 testo + duta 0.01/C5_03.tif "/>
    <s v=" 454.1764 "/>
    <s v=" 65.0617 "/>
    <x v="1"/>
    <n v="29549"/>
    <m/>
    <m/>
    <m/>
  </r>
  <r>
    <x v="17"/>
    <x v="4"/>
    <s v="D:\images\2022-CHG-NLO-dutasteride\plaque 2/@17 testo + duta 0.01/D5_01.tif "/>
    <s v=" 1109.5487 "/>
    <s v=" 67.127 "/>
    <x v="1"/>
    <n v="74481"/>
    <m/>
    <m/>
    <m/>
  </r>
  <r>
    <x v="17"/>
    <x v="4"/>
    <s v="D:\images\2022-CHG-NLO-dutasteride\plaque 2/@17 testo + duta 0.01/D5_02.tif "/>
    <s v=" 949.9503 "/>
    <s v=" 66.3012 "/>
    <x v="1"/>
    <n v="62983"/>
    <m/>
    <m/>
    <m/>
  </r>
  <r>
    <x v="17"/>
    <x v="4"/>
    <s v="D:\images\2022-CHG-NLO-dutasteride\plaque 2/@17 testo + duta 0.01/D5_03.tif "/>
    <s v=" 1025.5048 "/>
    <s v=" 67.1639 "/>
    <x v="1"/>
    <n v="68877"/>
    <m/>
    <m/>
    <m/>
  </r>
  <r>
    <x v="17"/>
    <x v="5"/>
    <s v="D:\images\2022-CHG-NLO-dutasteride\plaque 2/@17 testo + duta 0.01/E5_01.tif "/>
    <s v=" 1018.7134 "/>
    <s v=" 71.5825 "/>
    <x v="1"/>
    <n v="72922"/>
    <m/>
    <m/>
    <m/>
  </r>
  <r>
    <x v="17"/>
    <x v="5"/>
    <s v="D:\images\2022-CHG-NLO-dutasteride\plaque 2/@17 testo + duta 0.01/E5_02.tif "/>
    <s v=" 1093.4191 "/>
    <s v=" 73.5179 "/>
    <x v="1"/>
    <n v="80386"/>
    <m/>
    <m/>
    <m/>
  </r>
  <r>
    <x v="17"/>
    <x v="5"/>
    <s v="D:\images\2022-CHG-NLO-dutasteride\plaque 2/@17 testo + duta 0.01/E5_03.tif "/>
    <s v=" 937.2163 "/>
    <s v=" 70.7255 "/>
    <x v="1"/>
    <n v="66285"/>
    <m/>
    <m/>
    <m/>
  </r>
  <r>
    <x v="17"/>
    <x v="6"/>
    <s v="D:\images\2022-CHG-NLO-dutasteride\plaque 2/@17 testo + duta 0.01/F5_01.tif "/>
    <s v=" 282.693 "/>
    <s v=" 64.9489 "/>
    <x v="1"/>
    <n v="18361"/>
    <m/>
    <m/>
    <m/>
  </r>
  <r>
    <x v="17"/>
    <x v="6"/>
    <s v="D:\images\2022-CHG-NLO-dutasteride\plaque 2/@17 testo + duta 0.01/F5_02.tif "/>
    <s v=" 308.1608 "/>
    <s v=" 64.5785 "/>
    <x v="1"/>
    <n v="19901"/>
    <m/>
    <m/>
    <m/>
  </r>
  <r>
    <x v="17"/>
    <x v="6"/>
    <s v="D:\images\2022-CHG-NLO-dutasteride\plaque 2/@17 testo + duta 0.01/F5_03.tif "/>
    <s v=" 267.4123 "/>
    <s v=" 65.2603 "/>
    <x v="1"/>
    <n v="17451"/>
    <m/>
    <m/>
    <m/>
  </r>
  <r>
    <x v="17"/>
    <x v="7"/>
    <s v="D:\images\2022-CHG-NLO-dutasteride\plaque 2/@17 testo + duta 0.01/G5_01.tif "/>
    <s v=" 5.9425 "/>
    <s v=" 61.8571 "/>
    <x v="1"/>
    <n v="368"/>
    <m/>
    <m/>
    <m/>
  </r>
  <r>
    <x v="17"/>
    <x v="7"/>
    <s v="D:\images\2022-CHG-NLO-dutasteride\plaque 2/@17 testo + duta 0.01/G5_02.tif "/>
    <s v=" 9.3382 "/>
    <s v=" 63.5455 "/>
    <x v="1"/>
    <n v="593"/>
    <m/>
    <m/>
    <m/>
  </r>
  <r>
    <x v="17"/>
    <x v="7"/>
    <s v="D:\images\2022-CHG-NLO-dutasteride\plaque 2/@17 testo + duta 0.01/G5_03.tif "/>
    <s v=" 5.0936 "/>
    <s v=" 62.8333 "/>
    <x v="1"/>
    <n v="320"/>
    <m/>
    <m/>
    <m/>
  </r>
  <r>
    <x v="17"/>
    <x v="8"/>
    <s v="D:\images\2022-CHG-NLO-dutasteride\plaque 2/@17 testo + duta 0.01/H5_01.tif "/>
    <s v=" 1089.1744 "/>
    <s v=" 69.3313 "/>
    <x v="1"/>
    <n v="75514"/>
    <m/>
    <m/>
    <m/>
  </r>
  <r>
    <x v="17"/>
    <x v="8"/>
    <s v="D:\images\2022-CHG-NLO-dutasteride\plaque 2/@17 testo + duta 0.01/H5_02.tif "/>
    <s v=" 1084.0809 "/>
    <s v=" 69.0893 "/>
    <x v="1"/>
    <n v="74898"/>
    <m/>
    <m/>
    <m/>
  </r>
  <r>
    <x v="17"/>
    <x v="8"/>
    <s v="D:\images\2022-CHG-NLO-dutasteride\plaque 2/@17 testo + duta 0.01/H5_03.tif "/>
    <s v=" 1141.808 "/>
    <s v=" 69.8721 "/>
    <x v="1"/>
    <n v="79781"/>
    <m/>
    <m/>
    <m/>
  </r>
  <r>
    <x v="0"/>
    <x v="0"/>
    <s v=" "/>
    <m/>
    <m/>
    <x v="0"/>
    <m/>
    <m/>
    <m/>
    <m/>
  </r>
  <r>
    <x v="0"/>
    <x v="0"/>
    <s v="group "/>
    <s v=" "/>
    <s v=" mean of mean fluo "/>
    <x v="2"/>
    <s v=" mean of total fluo "/>
    <s v=" SD total fluo "/>
    <s v=" n fluorescent "/>
    <s v=" n total"/>
  </r>
  <r>
    <x v="17"/>
    <x v="9"/>
    <s v="D:\images\2022-CHG-NLO-dutasteride\plaque 2/@17 testo + duta 0.01/ "/>
    <s v=" "/>
    <s v=" 67.4798 "/>
    <x v="19"/>
    <s v=" 50837.3333 "/>
    <s v=" 43597.5524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18"/>
    <x v="1"/>
    <s v="D:\images\2022-CHG-NLO-dutasteride\plaque 2/@18 testo + duta 0.1/A6_01.tif "/>
    <s v=" 1259.8089 "/>
    <s v=" 72.0283 "/>
    <x v="1"/>
    <n v="90742"/>
    <m/>
    <m/>
    <m/>
  </r>
  <r>
    <x v="18"/>
    <x v="1"/>
    <s v="D:\images\2022-CHG-NLO-dutasteride\plaque 2/@18 testo + duta 0.1/A6_02.tif "/>
    <s v=" 1484.7748 "/>
    <s v=" 71.7021 "/>
    <x v="1"/>
    <n v="106461"/>
    <m/>
    <m/>
    <m/>
  </r>
  <r>
    <x v="18"/>
    <x v="1"/>
    <s v="D:\images\2022-CHG-NLO-dutasteride\plaque 2/@18 testo + duta 0.1/A6_03.tif "/>
    <s v=" 1416.0117 "/>
    <s v=" 71.4155 "/>
    <x v="1"/>
    <n v="101125"/>
    <m/>
    <m/>
    <m/>
  </r>
  <r>
    <x v="18"/>
    <x v="2"/>
    <s v="D:\images\2022-CHG-NLO-dutasteride\plaque 2/@18 testo + duta 0.1/B6_01.tif "/>
    <s v=" 1112.9444 "/>
    <s v=" 69.7002 "/>
    <x v="1"/>
    <n v="77572"/>
    <m/>
    <m/>
    <m/>
  </r>
  <r>
    <x v="18"/>
    <x v="2"/>
    <s v="D:\images\2022-CHG-NLO-dutasteride\plaque 2/@18 testo + duta 0.1/B6_02.tif "/>
    <s v=" 1067.9512 "/>
    <s v=" 67.058 "/>
    <x v="1"/>
    <n v="71615"/>
    <m/>
    <m/>
    <m/>
  </r>
  <r>
    <x v="18"/>
    <x v="2"/>
    <s v="D:\images\2022-CHG-NLO-dutasteride\plaque 2/@18 testo + duta 0.1/B6_03.tif "/>
    <s v=" 975.4181 "/>
    <s v=" 67.0966 "/>
    <x v="1"/>
    <n v="65447"/>
    <m/>
    <m/>
    <m/>
  </r>
  <r>
    <x v="18"/>
    <x v="3"/>
    <s v="D:\images\2022-CHG-NLO-dutasteride\plaque 2/@18 testo + duta 0.1/C6_01.tif "/>
    <s v=" 1814.1588 "/>
    <s v=" 70.6055 "/>
    <x v="1"/>
    <n v="128090"/>
    <m/>
    <m/>
    <m/>
  </r>
  <r>
    <x v="18"/>
    <x v="3"/>
    <s v="D:\images\2022-CHG-NLO-dutasteride\plaque 2/@18 testo + duta 0.1/C6_02.tif "/>
    <s v=" 1251.3197 "/>
    <s v=" 67.7015 "/>
    <x v="1"/>
    <n v="84716"/>
    <m/>
    <m/>
    <m/>
  </r>
  <r>
    <x v="18"/>
    <x v="3"/>
    <s v="D:\images\2022-CHG-NLO-dutasteride\plaque 2/@18 testo + duta 0.1/C6_03.tif "/>
    <s v=" 2017.0526 "/>
    <s v=" 71.3695 "/>
    <x v="1"/>
    <n v="143956"/>
    <m/>
    <m/>
    <m/>
  </r>
  <r>
    <x v="18"/>
    <x v="4"/>
    <s v="D:\images\2022-CHG-NLO-dutasteride\plaque 2/@18 testo + duta 0.1/D6_01.tif "/>
    <s v=" 878.6403 "/>
    <s v=" 65.571 "/>
    <x v="1"/>
    <n v="57613"/>
    <m/>
    <m/>
    <m/>
  </r>
  <r>
    <x v="18"/>
    <x v="4"/>
    <s v="D:\images\2022-CHG-NLO-dutasteride\plaque 2/@18 testo + duta 0.1/D6_02.tif "/>
    <s v=" 1280.1832 "/>
    <s v=" 68.132 "/>
    <x v="1"/>
    <n v="87221"/>
    <m/>
    <m/>
    <m/>
  </r>
  <r>
    <x v="18"/>
    <x v="4"/>
    <s v="D:\images\2022-CHG-NLO-dutasteride\plaque 2/@18 testo + duta 0.1/D6_03.tif "/>
    <s v=" 1372.7163 "/>
    <s v=" 69.3958 "/>
    <x v="1"/>
    <n v="95261"/>
    <m/>
    <m/>
    <m/>
  </r>
  <r>
    <x v="18"/>
    <x v="5"/>
    <s v="D:\images\2022-CHG-NLO-dutasteride\plaque 2/@18 testo + duta 0.1/E6_01.tif "/>
    <s v=" 488.9824 "/>
    <s v=" 70.0799 "/>
    <x v="1"/>
    <n v="34268"/>
    <m/>
    <m/>
    <m/>
  </r>
  <r>
    <x v="18"/>
    <x v="5"/>
    <s v="D:\images\2022-CHG-NLO-dutasteride\plaque 2/@18 testo + duta 0.1/E6_02.tif "/>
    <s v=" 383.7154 "/>
    <s v=" 68.0863 "/>
    <x v="1"/>
    <n v="26126"/>
    <m/>
    <m/>
    <m/>
  </r>
  <r>
    <x v="18"/>
    <x v="5"/>
    <s v="D:\images\2022-CHG-NLO-dutasteride\plaque 2/@18 testo + duta 0.1/E6_03.tif "/>
    <s v=" 444.8382 "/>
    <s v=" 68.0439 "/>
    <x v="1"/>
    <n v="30269"/>
    <m/>
    <m/>
    <m/>
  </r>
  <r>
    <x v="18"/>
    <x v="6"/>
    <s v="D:\images\2022-CHG-NLO-dutasteride\plaque 2/@18 testo + duta 0.1/F6_01.tif "/>
    <s v=" 1326.0253 "/>
    <s v=" 71.8361 "/>
    <x v="1"/>
    <n v="95256"/>
    <m/>
    <m/>
    <m/>
  </r>
  <r>
    <x v="18"/>
    <x v="6"/>
    <s v="D:\images\2022-CHG-NLO-dutasteride\plaque 2/@18 testo + duta 0.1/F6_02.tif "/>
    <s v=" 1451.6666 "/>
    <s v=" 73.2667 "/>
    <x v="1"/>
    <n v="106359"/>
    <m/>
    <m/>
    <m/>
  </r>
  <r>
    <x v="18"/>
    <x v="6"/>
    <s v="D:\images\2022-CHG-NLO-dutasteride\plaque 2/@18 testo + duta 0.1/F6_03.tif "/>
    <s v=" 1472.0409 "/>
    <s v=" 71.8749 "/>
    <x v="1"/>
    <n v="105803"/>
    <m/>
    <m/>
    <m/>
  </r>
  <r>
    <x v="18"/>
    <x v="7"/>
    <s v="D:\images\2022-CHG-NLO-dutasteride\plaque 2/@18 testo + duta 0.1/G6_01.tif "/>
    <s v=" 28.0146 "/>
    <s v=" 64.4545 "/>
    <x v="1"/>
    <n v="1806"/>
    <m/>
    <m/>
    <m/>
  </r>
  <r>
    <x v="18"/>
    <x v="7"/>
    <s v="D:\images\2022-CHG-NLO-dutasteride\plaque 2/@18 testo + duta 0.1/G6_02.tif "/>
    <s v=" 30.5614 "/>
    <s v=" 62.7222 "/>
    <x v="1"/>
    <n v="1917"/>
    <m/>
    <m/>
    <m/>
  </r>
  <r>
    <x v="18"/>
    <x v="7"/>
    <s v="D:\images\2022-CHG-NLO-dutasteride\plaque 2/@18 testo + duta 0.1/G6_03.tif "/>
    <s v=" 99.3246 "/>
    <s v=" 64.7607 "/>
    <x v="1"/>
    <n v="6432"/>
    <m/>
    <m/>
    <m/>
  </r>
  <r>
    <x v="18"/>
    <x v="8"/>
    <s v="D:\images\2022-CHG-NLO-dutasteride\plaque 2/@18 testo + duta 0.1/H6_01.tif "/>
    <s v=" 373.5283 "/>
    <s v=" 66.2 "/>
    <x v="1"/>
    <n v="24728"/>
    <m/>
    <m/>
    <m/>
  </r>
  <r>
    <x v="18"/>
    <x v="8"/>
    <s v="D:\images\2022-CHG-NLO-dutasteride\plaque 2/@18 testo + duta 0.1/H6_02.tif "/>
    <s v=" 368.4347 "/>
    <s v=" 68.0922 "/>
    <x v="1"/>
    <n v="25088"/>
    <m/>
    <m/>
    <m/>
  </r>
  <r>
    <x v="18"/>
    <x v="8"/>
    <s v="D:\images\2022-CHG-NLO-dutasteride\plaque 2/@18 testo + duta 0.1/H6_03.tif "/>
    <s v=" 355.7008 "/>
    <s v=" 67.6969 "/>
    <x v="1"/>
    <n v="24080"/>
    <m/>
    <m/>
    <m/>
  </r>
  <r>
    <x v="0"/>
    <x v="0"/>
    <s v=" "/>
    <m/>
    <m/>
    <x v="0"/>
    <m/>
    <m/>
    <m/>
    <m/>
  </r>
  <r>
    <x v="0"/>
    <x v="0"/>
    <s v="group "/>
    <s v=" "/>
    <s v=" mean of mean fluo "/>
    <x v="2"/>
    <s v=" mean of total fluo "/>
    <s v=" SD total fluo "/>
    <s v=" n fluorescent "/>
    <s v=" n total"/>
  </r>
  <r>
    <x v="18"/>
    <x v="9"/>
    <s v="D:\images\2022-CHG-NLO-dutasteride\plaque 2/@18 testo + duta 0.1/ "/>
    <s v=" "/>
    <s v=" 68.7038 "/>
    <x v="20"/>
    <s v=" 66331.2917 "/>
    <s v=" 41785.4321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19"/>
    <x v="1"/>
    <s v="D:\images\2022-CHG-NLO-dutasteride\plaque 2/@19 testo + duta 0.25/A7_01.tif "/>
    <s v=" 1987.3401 "/>
    <s v=" 72.2567 "/>
    <x v="1"/>
    <n v="143599"/>
    <m/>
    <m/>
    <m/>
  </r>
  <r>
    <x v="19"/>
    <x v="1"/>
    <s v="D:\images\2022-CHG-NLO-dutasteride\plaque 2/@19 testo + duta 0.25/A7_02.tif "/>
    <s v=" 2035.729 "/>
    <s v=" 72.457 "/>
    <x v="1"/>
    <n v="147503"/>
    <m/>
    <m/>
    <m/>
  </r>
  <r>
    <x v="19"/>
    <x v="1"/>
    <s v="D:\images\2022-CHG-NLO-dutasteride\plaque 2/@19 testo + duta 0.25/A7_03.tif "/>
    <s v=" 1967.8148 "/>
    <s v=" 72.0871 "/>
    <x v="1"/>
    <n v="141854"/>
    <m/>
    <m/>
    <m/>
  </r>
  <r>
    <x v="19"/>
    <x v="2"/>
    <s v="D:\images\2022-CHG-NLO-dutasteride\plaque 2/@19 testo + duta 0.25/B7_01.tif "/>
    <s v=" 236.0019 "/>
    <s v=" 64.6115 "/>
    <x v="1"/>
    <n v="15248"/>
    <m/>
    <m/>
    <m/>
  </r>
  <r>
    <x v="19"/>
    <x v="2"/>
    <s v="D:\images\2022-CHG-NLO-dutasteride\plaque 2/@19 testo + duta 0.25/B7_02.tif "/>
    <s v=" 204.5916 "/>
    <s v=" 64.3693 "/>
    <x v="1"/>
    <n v="13169"/>
    <m/>
    <m/>
    <m/>
  </r>
  <r>
    <x v="19"/>
    <x v="2"/>
    <s v="D:\images\2022-CHG-NLO-dutasteride\plaque 2/@19 testo + duta 0.25/B7_03.tif "/>
    <s v=" 171.4834 "/>
    <s v=" 63.9059 "/>
    <x v="1"/>
    <n v="10959"/>
    <m/>
    <m/>
    <m/>
  </r>
  <r>
    <x v="19"/>
    <x v="3"/>
    <s v="D:\images\2022-CHG-NLO-dutasteride\plaque 2/@19 testo + duta 0.25/C7_01.tif "/>
    <s v=" 573.0263 "/>
    <s v=" 67.0356 "/>
    <x v="1"/>
    <n v="38413"/>
    <m/>
    <m/>
    <m/>
  </r>
  <r>
    <x v="19"/>
    <x v="3"/>
    <s v="D:\images\2022-CHG-NLO-dutasteride\plaque 2/@19 testo + duta 0.25/C7_02.tif "/>
    <s v=" 623.962 "/>
    <s v=" 69.815 "/>
    <x v="1"/>
    <n v="43562"/>
    <m/>
    <m/>
    <m/>
  </r>
  <r>
    <x v="19"/>
    <x v="3"/>
    <s v="D:\images\2022-CHG-NLO-dutasteride\plaque 2/@19 testo + duta 0.25/C7_03.tif "/>
    <s v=" 432.1043 "/>
    <s v=" 65.6267 "/>
    <x v="1"/>
    <n v="28358"/>
    <m/>
    <m/>
    <m/>
  </r>
  <r>
    <x v="19"/>
    <x v="4"/>
    <s v="D:\images\2022-CHG-NLO-dutasteride\plaque 2/@19 testo + duta 0.25/D7_01.tif "/>
    <s v=" 324.2904 "/>
    <s v=" 69.0942 "/>
    <x v="1"/>
    <n v="22407"/>
    <m/>
    <m/>
    <m/>
  </r>
  <r>
    <x v="19"/>
    <x v="4"/>
    <s v="D:\images\2022-CHG-NLO-dutasteride\plaque 2/@19 testo + duta 0.25/D7_02.tif "/>
    <s v=" 333.6286 "/>
    <s v=" 68.7048 "/>
    <x v="1"/>
    <n v="22922"/>
    <m/>
    <m/>
    <m/>
  </r>
  <r>
    <x v="19"/>
    <x v="4"/>
    <s v="D:\images\2022-CHG-NLO-dutasteride\plaque 2/@19 testo + duta 0.25/D7_03.tif "/>
    <s v=" 258.0741 "/>
    <s v=" 68.5888 "/>
    <x v="1"/>
    <n v="17701"/>
    <m/>
    <m/>
    <m/>
  </r>
  <r>
    <x v="19"/>
    <x v="5"/>
    <s v="D:\images\2022-CHG-NLO-dutasteride\plaque 2/@19 testo + duta 0.25/E7_01.tif "/>
    <s v=" 404.0897 "/>
    <s v=" 63.8718 "/>
    <x v="1"/>
    <n v="25810"/>
    <m/>
    <m/>
    <m/>
  </r>
  <r>
    <x v="19"/>
    <x v="5"/>
    <s v="D:\images\2022-CHG-NLO-dutasteride\plaque 2/@19 testo + duta 0.25/E7_02.tif "/>
    <s v=" 629.9045 "/>
    <s v=" 69.1914 "/>
    <x v="1"/>
    <n v="43584"/>
    <m/>
    <m/>
    <m/>
  </r>
  <r>
    <x v="19"/>
    <x v="5"/>
    <s v="D:\images\2022-CHG-NLO-dutasteride\plaque 2/@19 testo + duta 0.25/E7_03.tif "/>
    <s v=" 547.5585 "/>
    <s v=" 68.445 "/>
    <x v="1"/>
    <n v="37478"/>
    <m/>
    <m/>
    <m/>
  </r>
  <r>
    <x v="19"/>
    <x v="6"/>
    <s v="D:\images\2022-CHG-NLO-dutasteride\plaque 2/@19 testo + duta 0.25/F7_01.tif "/>
    <s v=" 275.0526 "/>
    <s v=" 65.4691 "/>
    <x v="1"/>
    <n v="18007"/>
    <m/>
    <m/>
    <m/>
  </r>
  <r>
    <x v="19"/>
    <x v="6"/>
    <s v="D:\images\2022-CHG-NLO-dutasteride\plaque 2/@19 testo + duta 0.25/F7_02.tif "/>
    <s v=" 255.5273 "/>
    <s v=" 64.7508 "/>
    <x v="1"/>
    <n v="16546"/>
    <m/>
    <m/>
    <m/>
  </r>
  <r>
    <x v="19"/>
    <x v="6"/>
    <s v="D:\images\2022-CHG-NLO-dutasteride\plaque 2/@19 testo + duta 0.25/F7_03.tif "/>
    <s v=" 207.9873 "/>
    <s v=" 64.8735 "/>
    <x v="1"/>
    <n v="13493"/>
    <m/>
    <m/>
    <m/>
  </r>
  <r>
    <x v="19"/>
    <x v="7"/>
    <s v="D:\images\2022-CHG-NLO-dutasteride\plaque 2/@19 testo + duta 0.25/G7_01.tif "/>
    <s v=" 1778.5039 "/>
    <s v=" 73.252 "/>
    <x v="1"/>
    <n v="130279"/>
    <m/>
    <m/>
    <m/>
  </r>
  <r>
    <x v="19"/>
    <x v="7"/>
    <s v="D:\images\2022-CHG-NLO-dutasteride\plaque 2/@19 testo + duta 0.25/G7_02.tif "/>
    <s v=" 1830.2884 "/>
    <s v=" 73.0895 "/>
    <x v="1"/>
    <n v="133775"/>
    <m/>
    <m/>
    <m/>
  </r>
  <r>
    <x v="19"/>
    <x v="7"/>
    <s v="D:\images\2022-CHG-NLO-dutasteride\plaque 2/@19 testo + duta 0.25/G7_03.tif "/>
    <s v=" 1566.2719 "/>
    <s v=" 70.5171 "/>
    <x v="1"/>
    <n v="110449"/>
    <m/>
    <m/>
    <m/>
  </r>
  <r>
    <x v="19"/>
    <x v="8"/>
    <s v="D:\images\2022-CHG-NLO-dutasteride\plaque 2/@19 testo + duta 0.25/H7_01.tif "/>
    <s v=" 1302.2553 "/>
    <s v=" 69.3383 "/>
    <x v="1"/>
    <n v="90296"/>
    <m/>
    <m/>
    <m/>
  </r>
  <r>
    <x v="19"/>
    <x v="8"/>
    <s v="D:\images\2022-CHG-NLO-dutasteride\plaque 2/@19 testo + duta 0.25/H7_02.tif "/>
    <s v=" 1243.6793 "/>
    <s v=" 69.4082 "/>
    <x v="1"/>
    <n v="86322"/>
    <m/>
    <m/>
    <m/>
  </r>
  <r>
    <x v="19"/>
    <x v="8"/>
    <s v="D:\images\2022-CHG-NLO-dutasteride\plaque 2/@19 testo + duta 0.25/H7_03.tif "/>
    <s v=" 1267.4493 "/>
    <s v=" 68.6932 "/>
    <x v="1"/>
    <n v="87065"/>
    <m/>
    <m/>
    <m/>
  </r>
  <r>
    <x v="0"/>
    <x v="0"/>
    <s v=" "/>
    <m/>
    <m/>
    <x v="0"/>
    <m/>
    <m/>
    <m/>
    <m/>
  </r>
  <r>
    <x v="0"/>
    <x v="0"/>
    <s v="group "/>
    <s v=" "/>
    <s v=" mean of mean fluo "/>
    <x v="2"/>
    <s v=" mean of total fluo "/>
    <s v=" SD total fluo "/>
    <s v=" n fluorescent "/>
    <s v=" n total"/>
  </r>
  <r>
    <x v="19"/>
    <x v="9"/>
    <s v="D:\images\2022-CHG-NLO-dutasteride\plaque 2/@19 testo + duta 0.25/ "/>
    <s v=" "/>
    <s v=" 68.3105 "/>
    <x v="21"/>
    <s v=" 59949.9583 "/>
    <s v=" 49909.2973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20"/>
    <x v="1"/>
    <s v="D:\images\2022-CHG-NLO-dutasteride\plaque 2/@20 testo + duta 0.5/A8_01- exclu.tif"/>
    <m/>
    <m/>
    <x v="0"/>
    <m/>
    <m/>
    <m/>
    <m/>
  </r>
  <r>
    <x v="20"/>
    <x v="1"/>
    <s v="D:\images\2022-CHG-NLO-dutasteride\plaque 2/@20 testo + duta 0.5/A8_02.tif "/>
    <s v=" 1730.115 "/>
    <s v=" 69.6879 "/>
    <x v="1"/>
    <n v="120568"/>
    <m/>
    <m/>
    <m/>
  </r>
  <r>
    <x v="20"/>
    <x v="1"/>
    <s v="D:\images\2022-CHG-NLO-dutasteride\plaque 2/@20 testo + duta 0.5/A8_03.tif "/>
    <s v=" 1786.1442 "/>
    <s v=" 75.1041 "/>
    <x v="1"/>
    <n v="134147"/>
    <m/>
    <m/>
    <m/>
  </r>
  <r>
    <x v="20"/>
    <x v="2"/>
    <s v="D:\images\2022-CHG-NLO-dutasteride\plaque 2/@20 testo + duta 0.5/B8_01.tif "/>
    <s v=" 1704.6471 "/>
    <s v=" 74.4258 "/>
    <x v="1"/>
    <n v="126870"/>
    <m/>
    <m/>
    <m/>
  </r>
  <r>
    <x v="20"/>
    <x v="2"/>
    <s v="D:\images\2022-CHG-NLO-dutasteride\plaque 2/@20 testo + duta 0.5/B8_02.tif "/>
    <s v=" 1872.7348 "/>
    <s v=" 74.9297 "/>
    <x v="1"/>
    <n v="140324"/>
    <m/>
    <m/>
    <m/>
  </r>
  <r>
    <x v="20"/>
    <x v="2"/>
    <s v="D:\images\2022-CHG-NLO-dutasteride\plaque 2/@20 testo + duta 0.5/B8_03.tif "/>
    <s v=" 1825.1949 "/>
    <s v=" 75.6284 "/>
    <x v="1"/>
    <n v="138037"/>
    <m/>
    <m/>
    <m/>
  </r>
  <r>
    <x v="20"/>
    <x v="3"/>
    <s v="D:\images\2022-CHG-NLO-dutasteride\plaque 2/@20 testo + duta 0.5/C8_01.tif "/>
    <s v=" 1026.3538 "/>
    <s v=" 67.3987 "/>
    <x v="1"/>
    <n v="69175"/>
    <m/>
    <m/>
    <m/>
  </r>
  <r>
    <x v="20"/>
    <x v="3"/>
    <s v="D:\images\2022-CHG-NLO-dutasteride\plaque 2/@20 testo + duta 0.5/C8_02.tif "/>
    <s v=" 1376.112 "/>
    <s v=" 68.6292 "/>
    <x v="1"/>
    <n v="94442"/>
    <m/>
    <m/>
    <m/>
  </r>
  <r>
    <x v="20"/>
    <x v="3"/>
    <s v="D:\images\2022-CHG-NLO-dutasteride\plaque 2/@20 testo + duta 0.5/C8_03.tif "/>
    <s v=" 1146.9015 "/>
    <s v=" 67.8934 "/>
    <x v="1"/>
    <n v="77867"/>
    <m/>
    <m/>
    <m/>
  </r>
  <r>
    <x v="20"/>
    <x v="4"/>
    <s v="D:\images\2022-CHG-NLO-dutasteride\plaque 2/@20 testo + duta 0.5/D8_01.tif "/>
    <s v=" 2169.0107 "/>
    <s v=" 72.1041 "/>
    <x v="1"/>
    <n v="156395"/>
    <m/>
    <m/>
    <m/>
  </r>
  <r>
    <x v="20"/>
    <x v="4"/>
    <s v="D:\images\2022-CHG-NLO-dutasteride\plaque 2/@20 testo + duta 0.5/D8_02.tif "/>
    <s v=" 2042.5204 "/>
    <s v=" 72.2066 "/>
    <x v="1"/>
    <n v="147483"/>
    <m/>
    <m/>
    <m/>
  </r>
  <r>
    <x v="20"/>
    <x v="4"/>
    <s v="D:\images\2022-CHG-NLO-dutasteride\plaque 2/@20 testo + duta 0.5/D8_03.tif "/>
    <s v=" 1851.5116 "/>
    <s v=" 71.431 "/>
    <x v="1"/>
    <n v="132255"/>
    <m/>
    <m/>
    <m/>
  </r>
  <r>
    <x v="20"/>
    <x v="5"/>
    <s v="D:\images\2022-CHG-NLO-dutasteride\plaque 2/@20 testo + duta 0.5/E8_01.tif "/>
    <s v=" 1184.2544 "/>
    <s v=" 69.1634 "/>
    <x v="1"/>
    <n v="81907"/>
    <m/>
    <m/>
    <m/>
  </r>
  <r>
    <x v="20"/>
    <x v="5"/>
    <s v="D:\images\2022-CHG-NLO-dutasteride\plaque 2/@20 testo + duta 0.5/E8_02.tif "/>
    <s v=" 1224.154 "/>
    <s v=" 69.1082 "/>
    <x v="1"/>
    <n v="84599"/>
    <m/>
    <m/>
    <m/>
  </r>
  <r>
    <x v="20"/>
    <x v="5"/>
    <s v="D:\images\2022-CHG-NLO-dutasteride\plaque 2/@20 testo + duta 0.5/E8_03.tif "/>
    <s v=" 1237.7368 "/>
    <s v=" 70.3196 "/>
    <x v="1"/>
    <n v="87037"/>
    <m/>
    <m/>
    <m/>
  </r>
  <r>
    <x v="20"/>
    <x v="6"/>
    <s v="D:\images\2022-CHG-NLO-dutasteride\plaque 2/@20 testo + duta 0.5/F8_01.tif "/>
    <s v=" 860.8128 "/>
    <s v=" 67.3442 "/>
    <x v="1"/>
    <n v="57971"/>
    <m/>
    <m/>
    <m/>
  </r>
  <r>
    <x v="20"/>
    <x v="6"/>
    <s v="D:\images\2022-CHG-NLO-dutasteride\plaque 2/@20 testo + duta 0.5/F8_02.tif "/>
    <s v=" 703.7612 "/>
    <s v=" 66.0302 "/>
    <x v="1"/>
    <n v="46469"/>
    <m/>
    <m/>
    <m/>
  </r>
  <r>
    <x v="20"/>
    <x v="6"/>
    <s v="D:\images\2022-CHG-NLO-dutasteride\plaque 2/@20 testo + duta 0.5/F8_03.tif "/>
    <s v=" 701.2144 "/>
    <s v=" 66.3547 "/>
    <x v="1"/>
    <n v="46529"/>
    <m/>
    <m/>
    <m/>
  </r>
  <r>
    <x v="20"/>
    <x v="7"/>
    <s v="D:\images\2022-CHG-NLO-dutasteride\plaque 2/@20 testo + duta 0.5/G8_01.tif "/>
    <s v=" 1764.921 "/>
    <s v=" 69.3689 "/>
    <x v="1"/>
    <n v="122431"/>
    <m/>
    <m/>
    <m/>
  </r>
  <r>
    <x v="20"/>
    <x v="7"/>
    <s v="D:\images\2022-CHG-NLO-dutasteride\plaque 2/@20 testo + duta 0.5/G8_02.tif "/>
    <s v=" 1772.5614 "/>
    <s v=" 70.5848 "/>
    <x v="1"/>
    <n v="125116"/>
    <m/>
    <m/>
    <m/>
  </r>
  <r>
    <x v="20"/>
    <x v="7"/>
    <s v="D:\images\2022-CHG-NLO-dutasteride\plaque 2/@20 testo + duta 0.5/G8_03.tif "/>
    <s v=" 1698.7046 "/>
    <s v=" 69.3688 "/>
    <x v="1"/>
    <n v="117837"/>
    <m/>
    <m/>
    <m/>
  </r>
  <r>
    <x v="20"/>
    <x v="8"/>
    <s v="D:\images\2022-CHG-NLO-dutasteride\plaque 2/@20 testo + duta 0.5/H8_01.tif "/>
    <s v=" 1349.7953 "/>
    <s v=" 68.7956 "/>
    <x v="1"/>
    <n v="92860"/>
    <m/>
    <m/>
    <m/>
  </r>
  <r>
    <x v="20"/>
    <x v="8"/>
    <s v="D:\images\2022-CHG-NLO-dutasteride\plaque 2/@20 testo + duta 0.5/H8_02.tif "/>
    <s v=" 1375.2631 "/>
    <s v=" 68.9049 "/>
    <x v="1"/>
    <n v="94762"/>
    <m/>
    <m/>
    <m/>
  </r>
  <r>
    <x v="20"/>
    <x v="8"/>
    <s v="D:\images\2022-CHG-NLO-dutasteride\plaque 2/@20 testo + duta 0.5/H8_03.tif "/>
    <s v=" 1466.9473 "/>
    <s v=" 69.8767 "/>
    <x v="1"/>
    <n v="102505"/>
    <m/>
    <m/>
    <m/>
  </r>
  <r>
    <x v="0"/>
    <x v="0"/>
    <s v=" "/>
    <m/>
    <m/>
    <x v="0"/>
    <m/>
    <m/>
    <m/>
    <m/>
  </r>
  <r>
    <x v="0"/>
    <x v="0"/>
    <s v="group "/>
    <s v=" "/>
    <s v=" mean of mean fluo "/>
    <x v="2"/>
    <s v=" mean of total fluo "/>
    <s v=" SD total fluo "/>
    <s v=" n fluorescent "/>
    <s v=" n total"/>
  </r>
  <r>
    <x v="20"/>
    <x v="9"/>
    <s v="D:\images\2022-CHG-NLO-dutasteride\plaque 2/@20 testo + duta 0.5/ "/>
    <s v=" "/>
    <s v=" 69.924 "/>
    <x v="22"/>
    <s v=" 100887.958 "/>
    <s v=" 35441.1689 "/>
    <n v="24"/>
    <n v="24"/>
  </r>
  <r>
    <x v="0"/>
    <x v="0"/>
    <s v=" "/>
    <m/>
    <m/>
    <x v="0"/>
    <m/>
    <m/>
    <m/>
    <m/>
  </r>
  <r>
    <x v="0"/>
    <x v="0"/>
    <s v=" "/>
    <m/>
    <m/>
    <x v="0"/>
    <m/>
    <m/>
    <m/>
    <m/>
  </r>
  <r>
    <x v="0"/>
    <x v="0"/>
    <s v=" "/>
    <m/>
    <m/>
    <x v="0"/>
    <m/>
    <m/>
    <m/>
    <m/>
  </r>
  <r>
    <x v="0"/>
    <x v="0"/>
    <s v=" "/>
    <m/>
    <m/>
    <x v="0"/>
    <m/>
    <m/>
    <m/>
    <m/>
  </r>
  <r>
    <x v="0"/>
    <x v="0"/>
    <s v=" "/>
    <m/>
    <m/>
    <x v="0"/>
    <m/>
    <m/>
    <m/>
    <m/>
  </r>
  <r>
    <x v="0"/>
    <x v="0"/>
    <s v="file name "/>
    <s v=" total area "/>
    <s v=" mean intensity "/>
    <x v="1"/>
    <s v=" total fluorescence"/>
    <m/>
    <m/>
    <m/>
  </r>
  <r>
    <x v="21"/>
    <x v="1"/>
    <s v="D:\images\2022-CHG-NLO-dutasteride\plaque 2/@21 testo + duta 1/A9_01.tif "/>
    <s v=" 1473.7388 "/>
    <s v=" 76.015 "/>
    <x v="1"/>
    <n v="112026"/>
    <m/>
    <m/>
    <m/>
  </r>
  <r>
    <x v="21"/>
    <x v="1"/>
    <s v="D:\images\2022-CHG-NLO-dutasteride\plaque 2/@21 testo + duta 1/A9_02.tif "/>
    <s v=" 1489.0195 "/>
    <s v=" 74.9829 "/>
    <x v="1"/>
    <n v="111651"/>
    <m/>
    <m/>
    <m/>
  </r>
  <r>
    <x v="21"/>
    <x v="1"/>
    <s v="D:\images\2022-CHG-NLO-dutasteride\plaque 2/@21 testo + duta 1/A9_03.tif "/>
    <s v=" 1562.8762 "/>
    <s v=" 74.9044 "/>
    <x v="1"/>
    <n v="117066"/>
    <m/>
    <m/>
    <m/>
  </r>
  <r>
    <x v="21"/>
    <x v="2"/>
    <s v="D:\images\2022-CHG-NLO-dutasteride\plaque 2/@21 testo + duta 1/B9_01.tif "/>
    <s v=" 1073.8937 "/>
    <s v=" 71.483 "/>
    <x v="1"/>
    <n v="76765"/>
    <m/>
    <m/>
    <m/>
  </r>
  <r>
    <x v="21"/>
    <x v="2"/>
    <s v="D:\images\2022-CHG-NLO-dutasteride\plaque 2/@21 testo + duta 1/B9_02.tif "/>
    <s v=" 1230.9454 "/>
    <s v=" 71.6359 "/>
    <x v="1"/>
    <n v="88180"/>
    <m/>
    <m/>
    <m/>
  </r>
  <r>
    <x v="21"/>
    <x v="2"/>
    <s v="D:\images\2022-CHG-NLO-dutasteride\plaque 2/@21 testo + duta 1/B9_03.tif "/>
    <s v=" 1084.0809 "/>
    <s v=" 73.6883 "/>
    <x v="1"/>
    <n v="79884"/>
    <m/>
    <m/>
    <m/>
  </r>
  <r>
    <x v="21"/>
    <x v="3"/>
    <s v="D:\images\2022-CHG-NLO-dutasteride\plaque 2/@21 testo + duta 1/C9_01.tif "/>
    <s v=" 1023.807 "/>
    <s v=" 75.4063 "/>
    <x v="1"/>
    <n v="77201"/>
    <m/>
    <m/>
    <m/>
  </r>
  <r>
    <x v="21"/>
    <x v="3"/>
    <s v="D:\images\2022-CHG-NLO-dutasteride\plaque 2/@21 testo + duta 1/C9_02.tif "/>
    <s v=" 972.8713 "/>
    <s v=" 76.0218 "/>
    <x v="1"/>
    <n v="73959"/>
    <m/>
    <m/>
    <m/>
  </r>
  <r>
    <x v="21"/>
    <x v="3"/>
    <s v="D:\images\2022-CHG-NLO-dutasteride\plaque 2/@21 testo + duta 1/C9_03.tif "/>
    <s v=" 1138.4123 "/>
    <s v=" 72.692 "/>
    <x v="1"/>
    <n v="82753"/>
    <m/>
    <m/>
    <m/>
  </r>
  <r>
    <x v="21"/>
    <x v="4"/>
    <s v="D:\images\2022-CHG-NLO-dutasteride\plaque 2/@21 testo + duta 1/D9_01.tif "/>
    <s v=" 1031.4473 "/>
    <s v=" 68.1547 "/>
    <x v="1"/>
    <n v="70298"/>
    <m/>
    <m/>
    <m/>
  </r>
  <r>
    <x v="21"/>
    <x v="4"/>
    <s v="D:\images\2022-CHG-NLO-dutasteride\plaque 2/@21 testo + duta 1/D9_02.tif "/>
    <s v=" 1065.4045 "/>
    <s v=" 70.4406 "/>
    <x v="1"/>
    <n v="75048"/>
    <m/>
    <m/>
    <m/>
  </r>
  <r>
    <x v="21"/>
    <x v="4"/>
    <s v="D:\images\2022-CHG-NLO-dutasteride\plaque 2/@21 testo + duta 1/D9_03.tif "/>
    <s v=" 981.3606 "/>
    <s v=" 67.6099 "/>
    <x v="1"/>
    <n v="66350"/>
    <m/>
    <m/>
    <m/>
  </r>
  <r>
    <x v="21"/>
    <x v="5"/>
    <s v="D:\images\2022-CHG-NLO-dutasteride\plaque 2/@21 testo + duta 1/E9_01.tif "/>
    <s v=" 44.9932 "/>
    <s v=" 64.1698 "/>
    <x v="1"/>
    <n v="2887"/>
    <m/>
    <m/>
    <m/>
  </r>
  <r>
    <x v="21"/>
    <x v="5"/>
    <s v="D:\images\2022-CHG-NLO-dutasteride\plaque 2/@21 testo + duta 1/E9_02.tif "/>
    <s v=" 48.3889 "/>
    <s v=" 63.1053 "/>
    <x v="1"/>
    <n v="3054"/>
    <m/>
    <m/>
    <m/>
  </r>
  <r>
    <x v="21"/>
    <x v="5"/>
    <s v="D:\images\2022-CHG-NLO-dutasteride\plaque 2/@21 testo + duta 1/E9_03.tif "/>
    <s v=" 28.8635 "/>
    <s v=" 62.7941 "/>
    <x v="1"/>
    <n v="1812"/>
    <m/>
    <m/>
    <m/>
  </r>
  <r>
    <x v="21"/>
    <x v="6"/>
    <s v="D:\images\2022-CHG-NLO-dutasteride\plaque 2/@21 testo + duta 1/F9_01.tif "/>
    <s v=" 550.1052 "/>
    <s v=" 68.8148 "/>
    <x v="1"/>
    <n v="37855"/>
    <m/>
    <m/>
    <m/>
  </r>
  <r>
    <x v="21"/>
    <x v="6"/>
    <s v="D:\images\2022-CHG-NLO-dutasteride\plaque 2/@21 testo + duta 1/F9_02.tif "/>
    <s v=" 222.4191 "/>
    <s v=" 66.6412 "/>
    <x v="1"/>
    <n v="14822"/>
    <m/>
    <m/>
    <m/>
  </r>
  <r>
    <x v="21"/>
    <x v="6"/>
    <s v="D:\images\2022-CHG-NLO-dutasteride\plaque 2/@21 testo + duta 1/F9_03.tif "/>
    <s v=" 510.2056 "/>
    <s v=" 70.7887 "/>
    <x v="1"/>
    <n v="36117"/>
    <m/>
    <m/>
    <m/>
  </r>
  <r>
    <x v="21"/>
    <x v="7"/>
    <s v="D:\images\2022-CHG-NLO-dutasteride\plaque 2/@21 testo + duta 1/G9_01.tif "/>
    <s v=" 175.7281 "/>
    <s v=" 63.3913 "/>
    <x v="1"/>
    <n v="11140"/>
    <m/>
    <m/>
    <m/>
  </r>
  <r>
    <x v="21"/>
    <x v="7"/>
    <s v="D:\images\2022-CHG-NLO-dutasteride\plaque 2/@21 testo + duta 1/G9_02.tif "/>
    <s v=" 316.6501 "/>
    <s v=" 63.9973 "/>
    <x v="1"/>
    <n v="20265"/>
    <m/>
    <m/>
    <m/>
  </r>
  <r>
    <x v="21"/>
    <x v="7"/>
    <s v="D:\images\2022-CHG-NLO-dutasteride\plaque 2/@21 testo + duta 1/G9_03.tif "/>
    <s v=" 204.5916 "/>
    <s v=" 63.9378 "/>
    <x v="1"/>
    <n v="13081"/>
    <m/>
    <m/>
    <m/>
  </r>
  <r>
    <x v="21"/>
    <x v="8"/>
    <s v="D:\images\2022-CHG-NLO-dutasteride\plaque 2/@21 testo + duta 1/H9_01.tif "/>
    <s v=" 591.7027 "/>
    <s v=" 65.3128 "/>
    <x v="1"/>
    <n v="38646"/>
    <m/>
    <m/>
    <m/>
  </r>
  <r>
    <x v="21"/>
    <x v="8"/>
    <s v="D:\images\2022-CHG-NLO-dutasteride\plaque 2/@21 testo + duta 1/H9_02.tif "/>
    <s v=" 463.5146 "/>
    <s v=" 64.7106 "/>
    <x v="1"/>
    <n v="29994"/>
    <m/>
    <m/>
    <m/>
  </r>
  <r>
    <x v="21"/>
    <x v="8"/>
    <s v="D:\images\2022-CHG-NLO-dutasteride\plaque 2/@21 testo + duta 1/H9_03.tif "/>
    <s v=" 388.809 "/>
    <s v=" 64.2467 "/>
    <x v="1"/>
    <n v="24980"/>
    <m/>
    <m/>
    <m/>
  </r>
  <r>
    <x v="0"/>
    <x v="0"/>
    <s v=" "/>
    <m/>
    <m/>
    <x v="0"/>
    <m/>
    <m/>
    <m/>
    <m/>
  </r>
  <r>
    <x v="0"/>
    <x v="0"/>
    <s v="group "/>
    <s v=" "/>
    <s v=" mean of mean fluo "/>
    <x v="2"/>
    <s v=" mean of total fluo "/>
    <s v=" SD total fluo "/>
    <s v=" n fluorescent "/>
    <s v=" n total"/>
  </r>
  <r>
    <x v="21"/>
    <x v="9"/>
    <s v="D:\images\2022-CHG-NLO-dutasteride\plaque 2/@21 testo + duta 1/ "/>
    <s v=" "/>
    <s v=" 68.9561 "/>
    <x v="23"/>
    <s v=" 52743.0833 "/>
    <s v=" 37277.8603 "/>
    <n v="24"/>
    <n v="24"/>
  </r>
  <r>
    <x v="0"/>
    <x v="0"/>
    <s v=" "/>
    <m/>
    <m/>
    <x v="0"/>
    <m/>
    <m/>
    <m/>
    <m/>
  </r>
  <r>
    <x v="0"/>
    <x v="0"/>
    <s v=" "/>
    <m/>
    <m/>
    <x v="0"/>
    <m/>
    <m/>
    <m/>
    <m/>
  </r>
  <r>
    <x v="0"/>
    <x v="0"/>
    <s v=" "/>
    <m/>
    <m/>
    <x v="0"/>
    <m/>
    <m/>
    <m/>
    <m/>
  </r>
  <r>
    <x v="0"/>
    <x v="0"/>
    <s v=" "/>
    <m/>
    <m/>
    <x v="0"/>
    <m/>
    <m/>
    <m/>
    <m/>
  </r>
  <r>
    <x v="0"/>
    <x v="0"/>
    <s v=" "/>
    <m/>
    <m/>
    <x v="0"/>
    <m/>
    <m/>
    <m/>
    <m/>
  </r>
  <r>
    <x v="0"/>
    <x v="0"/>
    <s v=" "/>
    <m/>
    <m/>
    <x v="0"/>
    <m/>
    <m/>
    <m/>
    <m/>
  </r>
  <r>
    <x v="0"/>
    <x v="0"/>
    <m/>
    <s v=" n total analysed"/>
    <m/>
    <x v="0"/>
    <m/>
    <m/>
    <m/>
    <m/>
  </r>
  <r>
    <x v="0"/>
    <x v="0"/>
    <m/>
    <n v="504"/>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r>
    <x v="0"/>
    <x v="0"/>
    <m/>
    <m/>
    <m/>
    <x v="0"/>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mages\2021-CHG-ACH-Dutasteride 2\plaque 1/@01 Evian + 0.2% DMSO/A1_01.tif "/>
    <s v=" 6142.8901 "/>
    <s v=" 67.5775 "/>
    <x v="0"/>
    <n v="415121"/>
    <m/>
    <m/>
    <m/>
  </r>
  <r>
    <x v="0"/>
    <x v="0"/>
    <s v="F:\images\2021-CHG-ACH-Dutasteride 2\plaque 1/@01 Evian + 0.2% DMSO/A1_02.tif "/>
    <s v=" 497.4876 "/>
    <s v=" 63.8261 "/>
    <x v="0"/>
    <n v="31753"/>
    <m/>
    <m/>
    <m/>
  </r>
  <r>
    <x v="0"/>
    <x v="0"/>
    <s v="F:\images\2021-CHG-ACH-Dutasteride 2\plaque 1/@01 Evian + 0.2% DMSO/A1_03.tif "/>
    <s v=" 2595.5874 "/>
    <s v=" 65.7 "/>
    <x v="0"/>
    <n v="170530"/>
    <m/>
    <m/>
    <m/>
  </r>
  <r>
    <x v="0"/>
    <x v="1"/>
    <s v="F:\images\2021-CHG-ACH-Dutasteride 2\plaque 1/@01 Evian + 0.2% DMSO/B1_01.tif "/>
    <s v=" 281.1886 "/>
    <s v=" 63.9231 "/>
    <x v="0"/>
    <n v="17974"/>
    <m/>
    <m/>
    <m/>
  </r>
  <r>
    <x v="0"/>
    <x v="1"/>
    <s v="F:\images\2021-CHG-ACH-Dutasteride 2\plaque 1/@01 Evian + 0.2% DMSO/B1_02.tif "/>
    <s v=" 367.7082 "/>
    <s v=" 64.4118 "/>
    <x v="0"/>
    <n v="23685"/>
    <m/>
    <m/>
    <m/>
  </r>
  <r>
    <x v="0"/>
    <x v="1"/>
    <s v="F:\images\2021-CHG-ACH-Dutasteride 2\plaque 1/@01 Evian + 0.2% DMSO/B1_03.tif "/>
    <s v=" 346.0783 "/>
    <s v=" 65.3125 "/>
    <x v="0"/>
    <n v="22603"/>
    <m/>
    <m/>
    <m/>
  </r>
  <r>
    <x v="0"/>
    <x v="2"/>
    <s v="F:\images\2021-CHG-ACH-Dutasteride 2\plaque 1/@01 Evian + 0.2% DMSO/C1_01.tif "/>
    <s v=" 5450.7334 "/>
    <s v=" 66.0794 "/>
    <x v="0"/>
    <n v="360181"/>
    <m/>
    <m/>
    <m/>
  </r>
  <r>
    <x v="0"/>
    <x v="2"/>
    <s v="F:\images\2021-CHG-ACH-Dutasteride 2\plaque 1/@01 Evian + 0.2% DMSO/C1_02.tif "/>
    <s v=" 3633.8223 "/>
    <s v=" 66.3095 "/>
    <x v="0"/>
    <n v="240957"/>
    <m/>
    <m/>
    <m/>
  </r>
  <r>
    <x v="0"/>
    <x v="2"/>
    <s v="F:\images\2021-CHG-ACH-Dutasteride 2\plaque 1/@01 Evian + 0.2% DMSO/C1_03.tif "/>
    <s v=" 2530.6977 "/>
    <s v=" 65.9744 "/>
    <x v="0"/>
    <n v="166961"/>
    <m/>
    <m/>
    <m/>
  </r>
  <r>
    <x v="0"/>
    <x v="3"/>
    <s v="F:\images\2021-CHG-ACH-Dutasteride 2\plaque 1/@01 Evian + 0.2% DMSO/D1_01.tif "/>
    <s v=" 1081.4947 "/>
    <s v=" 64.28 "/>
    <x v="0"/>
    <n v="69518"/>
    <m/>
    <m/>
    <m/>
  </r>
  <r>
    <x v="0"/>
    <x v="3"/>
    <s v="F:\images\2021-CHG-ACH-Dutasteride 2\plaque 1/@01 Evian + 0.2% DMSO/D1_02.tif "/>
    <s v=" 432.5979 "/>
    <s v=" 62.55 "/>
    <x v="0"/>
    <n v="27059"/>
    <m/>
    <m/>
    <m/>
  </r>
  <r>
    <x v="0"/>
    <x v="3"/>
    <s v="F:\images\2021-CHG-ACH-Dutasteride 2\plaque 1/@01 Evian + 0.2% DMSO/D1_03.tif "/>
    <s v=" 821.936 "/>
    <s v=" 63.1053 "/>
    <x v="0"/>
    <n v="51868"/>
    <m/>
    <m/>
    <m/>
  </r>
  <r>
    <x v="0"/>
    <x v="4"/>
    <s v="F:\images\2021-CHG-ACH-Dutasteride 2\plaque 1/@01 Evian + 0.2% DMSO/E1_01.tif "/>
    <s v=" 1514.0926 "/>
    <s v=" 64.4286 "/>
    <x v="0"/>
    <n v="97551"/>
    <m/>
    <m/>
    <m/>
  </r>
  <r>
    <x v="0"/>
    <x v="4"/>
    <s v="F:\images\2021-CHG-ACH-Dutasteride 2\plaque 1/@01 Evian + 0.2% DMSO/E1_02.tif "/>
    <s v=" 562.3773 "/>
    <s v=" 63.6154 "/>
    <x v="0"/>
    <n v="35776"/>
    <m/>
    <m/>
    <m/>
  </r>
  <r>
    <x v="0"/>
    <x v="4"/>
    <s v="F:\images\2021-CHG-ACH-Dutasteride 2\plaque 1/@01 Evian + 0.2% DMSO/E1_03.tif "/>
    <s v=" 1665.5019 "/>
    <s v=" 64.0649 "/>
    <x v="0"/>
    <n v="106700"/>
    <m/>
    <m/>
    <m/>
  </r>
  <r>
    <x v="0"/>
    <x v="5"/>
    <s v="F:\images\2021-CHG-ACH-Dutasteride 2\plaque 1/@01 Evian + 0.2% DMSO/F1_01.tif "/>
    <s v=" 8846.6269 "/>
    <s v=" 74.4841 "/>
    <x v="0"/>
    <n v="658933"/>
    <m/>
    <m/>
    <m/>
  </r>
  <r>
    <x v="0"/>
    <x v="5"/>
    <s v="F:\images\2021-CHG-ACH-Dutasteride 2\plaque 1/@01 Evian + 0.2% DMSO/F1_02.tif "/>
    <s v=" 4196.1996 "/>
    <s v=" 72.1392 "/>
    <x v="0"/>
    <n v="302710"/>
    <m/>
    <m/>
    <m/>
  </r>
  <r>
    <x v="0"/>
    <x v="5"/>
    <s v="F:\images\2021-CHG-ACH-Dutasteride 2\plaque 1/@01 Evian + 0.2% DMSO/F1_03.tif "/>
    <s v=" 302.8185 "/>
    <s v=" 64.7143 "/>
    <x v="0"/>
    <n v="19597"/>
    <m/>
    <m/>
    <m/>
  </r>
  <r>
    <x v="0"/>
    <x v="6"/>
    <s v="F:\images\2021-CHG-ACH-Dutasteride 2\plaque 1/@01 Evian + 0.2% DMSO/G1_01.tif "/>
    <s v=" 865.1958 "/>
    <s v=" 67.7 "/>
    <x v="0"/>
    <n v="58574"/>
    <m/>
    <m/>
    <m/>
  </r>
  <r>
    <x v="0"/>
    <x v="6"/>
    <s v="F:\images\2021-CHG-ACH-Dutasteride 2\plaque 1/@01 Evian + 0.2% DMSO/G1_02.tif "/>
    <s v=" 540.7474 "/>
    <s v=" 63.8 "/>
    <x v="0"/>
    <n v="34500"/>
    <m/>
    <m/>
    <m/>
  </r>
  <r>
    <x v="0"/>
    <x v="6"/>
    <s v="F:\images\2021-CHG-ACH-Dutasteride 2\plaque 1/@01 Evian + 0.2% DMSO/G1_03.tif "/>
    <s v=" 843.5659 "/>
    <s v=" 66.3333 "/>
    <x v="0"/>
    <n v="55957"/>
    <m/>
    <m/>
    <m/>
  </r>
  <r>
    <x v="0"/>
    <x v="7"/>
    <s v="F:\images\2021-CHG-ACH-Dutasteride 2\plaque 1/@01 Evian + 0.2% DMSO/H1_01.tif "/>
    <s v=" 8435.6589 "/>
    <s v=" 70.6538 "/>
    <x v="0"/>
    <n v="596012"/>
    <m/>
    <m/>
    <m/>
  </r>
  <r>
    <x v="0"/>
    <x v="7"/>
    <s v="F:\images\2021-CHG-ACH-Dutasteride 2\plaque 1/@01 Evian + 0.2% DMSO/H1_02.tif "/>
    <s v=" 7289.2745 "/>
    <s v=" 69.7181 "/>
    <x v="0"/>
    <n v="508194"/>
    <m/>
    <m/>
    <m/>
  </r>
  <r>
    <x v="0"/>
    <x v="7"/>
    <s v="F:\images\2021-CHG-ACH-Dutasteride 2\plaque 1/@01 Evian + 0.2% DMSO/H1_03.tif "/>
    <s v=" 648.8968 "/>
    <s v=" 63.3333 "/>
    <x v="0"/>
    <n v="41097"/>
    <m/>
    <m/>
    <m/>
  </r>
  <r>
    <x v="1"/>
    <x v="8"/>
    <s v=" "/>
    <m/>
    <m/>
    <x v="1"/>
    <m/>
    <m/>
    <m/>
    <m/>
  </r>
  <r>
    <x v="1"/>
    <x v="8"/>
    <s v="group "/>
    <s v=" "/>
    <s v=" mean of mean fluo "/>
    <x v="2"/>
    <s v=" mean of total fluo "/>
    <s v=" SD total fluo "/>
    <s v=" n fluorescent "/>
    <s v=" n total"/>
  </r>
  <r>
    <x v="0"/>
    <x v="9"/>
    <s v="F:\images\2021-CHG-ACH-Dutasteride 2\plaque 1/@01 Evian + 0.2% DMSO/ "/>
    <s v=" "/>
    <s v=" 66.0014 "/>
    <x v="3"/>
    <s v=" 171408.792 "/>
    <s v=" 197143.89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CHG-ACH-Dutasteride 2\plaque 1/@02 EE2 33.8/A2_01.tif "/>
    <s v=" 7981.4311 "/>
    <s v=" 71.2114 "/>
    <x v="0"/>
    <n v="568369"/>
    <m/>
    <m/>
    <m/>
  </r>
  <r>
    <x v="2"/>
    <x v="0"/>
    <s v="F:\images\2021-CHG-ACH-Dutasteride 2\plaque 1/@02 EE2 33.8/A2_02.tif "/>
    <s v=" 3395.8935 "/>
    <s v=" 67.8408 "/>
    <x v="0"/>
    <n v="230380"/>
    <m/>
    <m/>
    <m/>
  </r>
  <r>
    <x v="2"/>
    <x v="0"/>
    <s v="F:\images\2021-CHG-ACH-Dutasteride 2\plaque 1/@02 EE2 33.8/A2_03.tif "/>
    <s v=" 4131.3099 "/>
    <s v=" 65.3141 "/>
    <x v="0"/>
    <n v="269833"/>
    <m/>
    <m/>
    <m/>
  </r>
  <r>
    <x v="2"/>
    <x v="1"/>
    <s v="F:\images\2021-CHG-ACH-Dutasteride 2\plaque 1/@02 EE2 33.8/B2_01.tif "/>
    <s v=" 173.0392 "/>
    <n v="64"/>
    <x v="0"/>
    <n v="11075"/>
    <m/>
    <m/>
    <m/>
  </r>
  <r>
    <x v="2"/>
    <x v="1"/>
    <s v="F:\images\2021-CHG-ACH-Dutasteride 2\plaque 1/@02 EE2 33.8/B2_02.tif "/>
    <s v=" 281.1886 "/>
    <s v=" 64.0769 "/>
    <x v="0"/>
    <n v="18018"/>
    <m/>
    <m/>
    <m/>
  </r>
  <r>
    <x v="2"/>
    <x v="1"/>
    <s v="F:\images\2021-CHG-ACH-Dutasteride 2\plaque 1/@02 EE2 33.8/B2_03.tif "/>
    <s v=" 1427.573 "/>
    <s v=" 65.4091 "/>
    <x v="0"/>
    <n v="93376"/>
    <m/>
    <m/>
    <m/>
  </r>
  <r>
    <x v="2"/>
    <x v="2"/>
    <s v="F:\images\2021-CHG-ACH-Dutasteride 2\plaque 1/@02 EE2 33.8/C2_01.tif "/>
    <s v=" 4217.8295 "/>
    <s v=" 64.6154 "/>
    <x v="0"/>
    <n v="272537"/>
    <m/>
    <m/>
    <m/>
  </r>
  <r>
    <x v="2"/>
    <x v="2"/>
    <s v="F:\images\2021-CHG-ACH-Dutasteride 2\plaque 1/@02 EE2 33.8/C2_02.tif "/>
    <s v=" 3244.4842 "/>
    <s v=" 64.5867 "/>
    <x v="0"/>
    <n v="209550"/>
    <m/>
    <m/>
    <m/>
  </r>
  <r>
    <x v="2"/>
    <x v="2"/>
    <s v="F:\images\2021-CHG-ACH-Dutasteride 2\plaque 1/@02 EE2 33.8/C2_03.tif "/>
    <s v=" 5558.8829 "/>
    <s v=" 70.8988 "/>
    <x v="0"/>
    <n v="394118"/>
    <m/>
    <m/>
    <m/>
  </r>
  <r>
    <x v="2"/>
    <x v="3"/>
    <s v="F:\images\2021-CHG-ACH-Dutasteride 2\plaque 1/@02 EE2 33.8/D2_01.tif "/>
    <s v=" 5515.6231 "/>
    <s v=" 70.4588 "/>
    <x v="0"/>
    <n v="388624"/>
    <m/>
    <m/>
    <m/>
  </r>
  <r>
    <x v="2"/>
    <x v="3"/>
    <s v="F:\images\2021-CHG-ACH-Dutasteride 2\plaque 1/@02 EE2 33.8/D2_02.tif "/>
    <s v=" 4347.6088 "/>
    <n v="68"/>
    <x v="0"/>
    <n v="295637"/>
    <m/>
    <m/>
    <m/>
  </r>
  <r>
    <x v="2"/>
    <x v="3"/>
    <s v="F:\images\2021-CHG-ACH-Dutasteride 2\plaque 1/@02 EE2 33.8/D2_03.tif "/>
    <s v=" 3568.9326 "/>
    <s v=" 69.0121 "/>
    <x v="0"/>
    <n v="246300"/>
    <m/>
    <m/>
    <m/>
  </r>
  <r>
    <x v="2"/>
    <x v="4"/>
    <s v="F:\images\2021-CHG-ACH-Dutasteride 2\plaque 1/@02 EE2 33.8/E2_01.tif "/>
    <s v=" 584.0072 "/>
    <s v=" 62.4074 "/>
    <x v="0"/>
    <n v="36446"/>
    <m/>
    <m/>
    <m/>
  </r>
  <r>
    <x v="2"/>
    <x v="4"/>
    <s v="F:\images\2021-CHG-ACH-Dutasteride 2\plaque 1/@02 EE2 33.8/E2_02.tif "/>
    <s v=" 389.3381 "/>
    <s v=" 62.8889 "/>
    <x v="0"/>
    <n v="24485"/>
    <m/>
    <m/>
    <m/>
  </r>
  <r>
    <x v="2"/>
    <x v="4"/>
    <s v="F:\images\2021-CHG-ACH-Dutasteride 2\plaque 1/@02 EE2 33.8/E2_03.tif "/>
    <s v=" 151.4093 "/>
    <s v=" 62.7143 "/>
    <x v="0"/>
    <n v="9496"/>
    <m/>
    <m/>
    <m/>
  </r>
  <r>
    <x v="2"/>
    <x v="5"/>
    <s v="F:\images\2021-CHG-ACH-Dutasteride 2\plaque 1/@02 EE2 33.8/F2_01.tif "/>
    <s v=" 3785.2316 "/>
    <s v=" 65.0914 "/>
    <x v="0"/>
    <n v="246386"/>
    <m/>
    <m/>
    <m/>
  </r>
  <r>
    <x v="2"/>
    <x v="5"/>
    <s v="F:\images\2021-CHG-ACH-Dutasteride 2\plaque 1/@02 EE2 33.8/F2_02.tif "/>
    <s v=" 2920.0358 "/>
    <s v=" 64.1185 "/>
    <x v="0"/>
    <n v="187228"/>
    <m/>
    <m/>
    <m/>
  </r>
  <r>
    <x v="2"/>
    <x v="5"/>
    <s v="F:\images\2021-CHG-ACH-Dutasteride 2\plaque 1/@02 EE2 33.8/F2_03.tif "/>
    <s v=" 1319.4236 "/>
    <s v=" 63.918 "/>
    <x v="0"/>
    <n v="84335"/>
    <m/>
    <m/>
    <m/>
  </r>
  <r>
    <x v="2"/>
    <x v="6"/>
    <s v="F:\images\2021-CHG-ACH-Dutasteride 2\plaque 1/@02 EE2 33.8/G2_01.tif "/>
    <s v=" 4369.2387 "/>
    <s v=" 65.4802 "/>
    <x v="0"/>
    <n v="286099"/>
    <m/>
    <m/>
    <m/>
  </r>
  <r>
    <x v="2"/>
    <x v="6"/>
    <s v="F:\images\2021-CHG-ACH-Dutasteride 2\plaque 1/@02 EE2 33.8/G2_02.tif "/>
    <s v=" 2984.9255 "/>
    <s v=" 64.7971 "/>
    <x v="0"/>
    <n v="193415"/>
    <m/>
    <m/>
    <m/>
  </r>
  <r>
    <x v="2"/>
    <x v="6"/>
    <s v="F:\images\2021-CHG-ACH-Dutasteride 2\plaque 1/@02 EE2 33.8/G2_03.tif "/>
    <s v=" 4239.4593 "/>
    <s v=" 68.6786 "/>
    <x v="0"/>
    <n v="291160"/>
    <m/>
    <m/>
    <m/>
  </r>
  <r>
    <x v="2"/>
    <x v="7"/>
    <s v="F:\images\2021-CHG-ACH-Dutasteride 2\plaque 1/@02 EE2 33.8/H2_01.tif "/>
    <s v=" 7462.3136 "/>
    <s v=" 64.8522 "/>
    <x v="0"/>
    <n v="483947"/>
    <m/>
    <m/>
    <m/>
  </r>
  <r>
    <x v="2"/>
    <x v="7"/>
    <s v="F:\images\2021-CHG-ACH-Dutasteride 2\plaque 1/@02 EE2 33.8/H2_02.tif "/>
    <s v=" 886.8257 "/>
    <s v=" 62.4146 "/>
    <x v="0"/>
    <n v="55351"/>
    <m/>
    <m/>
    <m/>
  </r>
  <r>
    <x v="2"/>
    <x v="7"/>
    <s v="F:\images\2021-CHG-ACH-Dutasteride 2\plaque 1/@02 EE2 33.8/H2_03- exclu.tif"/>
    <m/>
    <m/>
    <x v="1"/>
    <m/>
    <m/>
    <m/>
    <m/>
  </r>
  <r>
    <x v="1"/>
    <x v="8"/>
    <s v=" "/>
    <m/>
    <m/>
    <x v="1"/>
    <m/>
    <m/>
    <m/>
    <m/>
  </r>
  <r>
    <x v="1"/>
    <x v="8"/>
    <s v="group "/>
    <s v=" "/>
    <s v=" mean of mean fluo "/>
    <x v="2"/>
    <s v=" mean of total fluo "/>
    <s v=" SD total fluo "/>
    <s v=" n fluorescent "/>
    <s v=" n total"/>
  </r>
  <r>
    <x v="2"/>
    <x v="9"/>
    <s v="F:\images\2021-CHG-ACH-Dutasteride 2\plaque 1/@02 EE2 33.8/ "/>
    <s v=" "/>
    <s v=" 65.7862 "/>
    <x v="4"/>
    <s v=" 211808.958 "/>
    <s v=" 152550.73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CHG-ACH-Dutasteride 2\plaque 1/@03 EE2 50.6/A3_01.tif "/>
    <s v=" 6207.7798 "/>
    <s v=" 67.6098 "/>
    <x v="0"/>
    <n v="419706"/>
    <m/>
    <m/>
    <m/>
  </r>
  <r>
    <x v="3"/>
    <x v="0"/>
    <s v="F:\images\2021-CHG-ACH-Dutasteride 2\plaque 1/@03 EE2 50.6/A3_02.tif "/>
    <s v=" 562.3773 "/>
    <s v=" 68.9231 "/>
    <x v="0"/>
    <n v="38761"/>
    <m/>
    <m/>
    <m/>
  </r>
  <r>
    <x v="3"/>
    <x v="0"/>
    <s v="F:\images\2021-CHG-ACH-Dutasteride 2\plaque 1/@03 EE2 50.6/A3_03.tif "/>
    <s v=" 4066.4202 "/>
    <s v=" 68.1489 "/>
    <x v="0"/>
    <n v="277122"/>
    <m/>
    <m/>
    <m/>
  </r>
  <r>
    <x v="3"/>
    <x v="1"/>
    <s v="F:\images\2021-CHG-ACH-Dutasteride 2\plaque 1/@03 EE2 50.6/B3_01.tif "/>
    <s v=" 1449.2029 "/>
    <s v=" 66.597 "/>
    <x v="0"/>
    <n v="96513"/>
    <m/>
    <m/>
    <m/>
  </r>
  <r>
    <x v="3"/>
    <x v="1"/>
    <s v="F:\images\2021-CHG-ACH-Dutasteride 2\plaque 1/@03 EE2 50.6/B3_02.tif "/>
    <s v=" 1492.4627 "/>
    <s v=" 64.6522 "/>
    <x v="0"/>
    <n v="96491"/>
    <m/>
    <m/>
    <m/>
  </r>
  <r>
    <x v="3"/>
    <x v="1"/>
    <s v="F:\images\2021-CHG-ACH-Dutasteride 2\plaque 1/@03 EE2 50.6/B3_03.tif "/>
    <s v=" 1103.1246 "/>
    <s v=" 64.5686 "/>
    <x v="0"/>
    <n v="71227"/>
    <m/>
    <m/>
    <m/>
  </r>
  <r>
    <x v="3"/>
    <x v="2"/>
    <s v="F:\images\2021-CHG-ACH-Dutasteride 2\plaque 1/@03 EE2 50.6/C3_01.tif "/>
    <s v=" 324.4484 "/>
    <s v=" 63.4 "/>
    <x v="0"/>
    <n v="20570"/>
    <m/>
    <m/>
    <m/>
  </r>
  <r>
    <x v="3"/>
    <x v="2"/>
    <s v="F:\images\2021-CHG-ACH-Dutasteride 2\plaque 1/@03 EE2 50.6/C3_02.tif "/>
    <s v=" 757.0463 "/>
    <s v=" 64.3429 "/>
    <x v="0"/>
    <n v="48711"/>
    <m/>
    <m/>
    <m/>
  </r>
  <r>
    <x v="3"/>
    <x v="2"/>
    <s v="F:\images\2021-CHG-ACH-Dutasteride 2\plaque 1/@03 EE2 50.6/C3_03.tif "/>
    <s v=" 562.3773 "/>
    <s v=" 65.2692 "/>
    <x v="0"/>
    <n v="36706"/>
    <m/>
    <m/>
    <m/>
  </r>
  <r>
    <x v="3"/>
    <x v="3"/>
    <s v="F:\images\2021-CHG-ACH-Dutasteride 2\plaque 1/@03 EE2 50.6/D3_01.tif "/>
    <s v=" 8262.6197 "/>
    <s v=" 65.4031 "/>
    <x v="0"/>
    <n v="540401"/>
    <m/>
    <m/>
    <m/>
  </r>
  <r>
    <x v="3"/>
    <x v="3"/>
    <s v="F:\images\2021-CHG-ACH-Dutasteride 2\plaque 1/@03 EE2 50.6/D3_02.tif "/>
    <s v=" 8824.997 "/>
    <s v=" 65.8897 "/>
    <x v="0"/>
    <n v="581476"/>
    <m/>
    <m/>
    <m/>
  </r>
  <r>
    <x v="3"/>
    <x v="3"/>
    <s v="F:\images\2021-CHG-ACH-Dutasteride 2\plaque 1/@03 EE2 50.6/D3_03.tif "/>
    <s v=" 8695.2176 "/>
    <s v=" 65.2637 "/>
    <x v="0"/>
    <n v="567482"/>
    <m/>
    <m/>
    <m/>
  </r>
  <r>
    <x v="3"/>
    <x v="4"/>
    <s v="F:\images\2021-CHG-ACH-Dutasteride 2\plaque 1/@03 EE2 50.6/E3_01.tif "/>
    <s v=" 627.2669 "/>
    <s v=" 63.1379 "/>
    <x v="0"/>
    <n v="39604"/>
    <m/>
    <m/>
    <m/>
  </r>
  <r>
    <x v="3"/>
    <x v="4"/>
    <s v="F:\images\2021-CHG-ACH-Dutasteride 2\plaque 1/@03 EE2 50.6/E3_02.tif "/>
    <s v=" 1773.6514 "/>
    <s v=" 64.0122 "/>
    <x v="0"/>
    <n v="113535"/>
    <m/>
    <m/>
    <m/>
  </r>
  <r>
    <x v="3"/>
    <x v="4"/>
    <s v="F:\images\2021-CHG-ACH-Dutasteride 2\plaque 1/@03 EE2 50.6/E3_03.tif "/>
    <s v=" 757.0463 "/>
    <s v=" 63.2571 "/>
    <x v="0"/>
    <n v="47889"/>
    <m/>
    <m/>
    <m/>
  </r>
  <r>
    <x v="3"/>
    <x v="5"/>
    <s v="F:\images\2021-CHG-ACH-Dutasteride 2\plaque 1/@03 EE2 50.6/F3_01.tif "/>
    <s v=" 43.2598 "/>
    <s v=" 62.5 "/>
    <x v="0"/>
    <n v="2704"/>
    <m/>
    <m/>
    <m/>
  </r>
  <r>
    <x v="3"/>
    <x v="5"/>
    <s v="F:\images\2021-CHG-ACH-Dutasteride 2\plaque 1/@03 EE2 50.6/F3_02.tif "/>
    <s v=" 108.1495 "/>
    <s v=" 62.4 "/>
    <x v="0"/>
    <n v="6749"/>
    <m/>
    <m/>
    <m/>
  </r>
  <r>
    <x v="3"/>
    <x v="5"/>
    <s v="F:\images\2021-CHG-ACH-Dutasteride 2\plaque 1/@03 EE2 50.6/F3_03.tif "/>
    <s v=" 237.9288 "/>
    <s v=" 62.8182 "/>
    <x v="0"/>
    <n v="14946"/>
    <m/>
    <m/>
    <m/>
  </r>
  <r>
    <x v="3"/>
    <x v="6"/>
    <s v="F:\images\2021-CHG-ACH-Dutasteride 2\plaque 1/@03 EE2 50.6/G3_01.tif "/>
    <s v=" 540.7474 "/>
    <s v=" 63.44 "/>
    <x v="0"/>
    <n v="34305"/>
    <m/>
    <m/>
    <m/>
  </r>
  <r>
    <x v="3"/>
    <x v="6"/>
    <s v="F:\images\2021-CHG-ACH-Dutasteride 2\plaque 1/@03 EE2 50.6/G3_02.tif "/>
    <s v=" 324.4484 "/>
    <s v=" 68.6667 "/>
    <x v="0"/>
    <n v="22279"/>
    <m/>
    <m/>
    <m/>
  </r>
  <r>
    <x v="3"/>
    <x v="6"/>
    <s v="F:\images\2021-CHG-ACH-Dutasteride 2\plaque 1/@03 EE2 50.6/G3_03.tif "/>
    <s v=" 86.5196 "/>
    <s v=" 65.5 "/>
    <x v="0"/>
    <n v="5667"/>
    <m/>
    <m/>
    <m/>
  </r>
  <r>
    <x v="3"/>
    <x v="7"/>
    <s v="F:\images\2021-CHG-ACH-Dutasteride 2\plaque 1/@03 EE2 50.6/H3_01.tif "/>
    <s v=" 973.3453 "/>
    <s v=" 65.4444 "/>
    <x v="0"/>
    <n v="63700"/>
    <m/>
    <m/>
    <m/>
  </r>
  <r>
    <x v="3"/>
    <x v="7"/>
    <s v="F:\images\2021-CHG-ACH-Dutasteride 2\plaque 1/@03 EE2 50.6/H3_02.tif "/>
    <s v=" 4304.349 "/>
    <s v=" 71.6985 "/>
    <x v="0"/>
    <n v="308615"/>
    <m/>
    <m/>
    <m/>
  </r>
  <r>
    <x v="3"/>
    <x v="7"/>
    <s v="F:\images\2021-CHG-ACH-Dutasteride 2\plaque 1/@03 EE2 50.6/H3_03.tif "/>
    <s v=" 1968.3204 "/>
    <s v=" 68.5495 "/>
    <x v="0"/>
    <n v="134927"/>
    <m/>
    <m/>
    <m/>
  </r>
  <r>
    <x v="1"/>
    <x v="8"/>
    <s v=" "/>
    <m/>
    <m/>
    <x v="1"/>
    <m/>
    <m/>
    <m/>
    <m/>
  </r>
  <r>
    <x v="1"/>
    <x v="8"/>
    <s v="group "/>
    <s v=" "/>
    <s v=" mean of mean fluo "/>
    <x v="2"/>
    <s v=" mean of total fluo "/>
    <s v=" SD total fluo "/>
    <s v=" n fluorescent "/>
    <s v=" n total"/>
  </r>
  <r>
    <x v="3"/>
    <x v="9"/>
    <s v="F:\images\2021-CHG-ACH-Dutasteride 2\plaque 1/@03 EE2 50.6/ "/>
    <s v=" "/>
    <s v=" 65.4789 "/>
    <x v="5"/>
    <s v=" 149586.917 "/>
    <s v=" 190387.15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CHG-ACH-Dutasteride 2\plaque 1/@04 EE2 76/A4_01.tif "/>
    <s v=" 1730.3916 "/>
    <s v=" 66.05 "/>
    <x v="0"/>
    <n v="114292"/>
    <m/>
    <m/>
    <m/>
  </r>
  <r>
    <x v="4"/>
    <x v="0"/>
    <s v="F:\images\2021-CHG-ACH-Dutasteride 2\plaque 1/@04 EE2 76/A4_02.tif "/>
    <s v=" 1081.4947 "/>
    <s v=" 64.72 "/>
    <x v="0"/>
    <n v="69994"/>
    <m/>
    <m/>
    <m/>
  </r>
  <r>
    <x v="4"/>
    <x v="0"/>
    <s v="F:\images\2021-CHG-ACH-Dutasteride 2\plaque 1/@04 EE2 76/A4_03.tif "/>
    <s v=" 2465.808 "/>
    <s v=" 67.6404 "/>
    <x v="0"/>
    <n v="166788"/>
    <m/>
    <m/>
    <m/>
  </r>
  <r>
    <x v="4"/>
    <x v="1"/>
    <s v="F:\images\2021-CHG-ACH-Dutasteride 2\plaque 1/@04 EE2 76/B4_01.tif "/>
    <s v=" 6359.189 "/>
    <s v=" 68.3197 "/>
    <x v="0"/>
    <n v="434458"/>
    <m/>
    <m/>
    <m/>
  </r>
  <r>
    <x v="4"/>
    <x v="1"/>
    <s v="F:\images\2021-CHG-ACH-Dutasteride 2\plaque 1/@04 EE2 76/B4_02.tif "/>
    <s v=" 7527.2033 "/>
    <s v=" 71.3247 "/>
    <x v="0"/>
    <n v="536876"/>
    <m/>
    <m/>
    <m/>
  </r>
  <r>
    <x v="4"/>
    <x v="1"/>
    <s v="F:\images\2021-CHG-ACH-Dutasteride 2\plaque 1/@04 EE2 76/B4_03.tif "/>
    <s v=" 7159.4951 "/>
    <s v=" 67.8066 "/>
    <x v="0"/>
    <n v="485461"/>
    <m/>
    <m/>
    <m/>
  </r>
  <r>
    <x v="4"/>
    <x v="2"/>
    <s v="F:\images\2021-CHG-ACH-Dutasteride 2\plaque 1/@04 EE2 76/C4_01.tif "/>
    <s v=" 389.3381 "/>
    <s v=" 64.2222 "/>
    <x v="0"/>
    <n v="25004"/>
    <m/>
    <m/>
    <m/>
  </r>
  <r>
    <x v="4"/>
    <x v="2"/>
    <s v="F:\images\2021-CHG-ACH-Dutasteride 2\plaque 1/@04 EE2 76/C4_02.tif "/>
    <s v=" 757.0463 "/>
    <s v=" 64.4571 "/>
    <x v="0"/>
    <n v="48797"/>
    <m/>
    <m/>
    <m/>
  </r>
  <r>
    <x v="4"/>
    <x v="2"/>
    <s v="F:\images\2021-CHG-ACH-Dutasteride 2\plaque 1/@04 EE2 76/C4_03.tif "/>
    <s v=" 410.968 "/>
    <s v=" 62.0526 "/>
    <x v="0"/>
    <n v="25502"/>
    <m/>
    <m/>
    <m/>
  </r>
  <r>
    <x v="4"/>
    <x v="3"/>
    <s v="F:\images\2021-CHG-ACH-Dutasteride 2\plaque 1/@04 EE2 76/D4_01.tif "/>
    <s v=" 14946.2572 "/>
    <s v=" 65.686 "/>
    <x v="0"/>
    <n v="981759"/>
    <m/>
    <m/>
    <m/>
  </r>
  <r>
    <x v="4"/>
    <x v="3"/>
    <s v="F:\images\2021-CHG-ACH-Dutasteride 2\plaque 1/@04 EE2 76/D4_02.tif "/>
    <s v=" 13194.2357 "/>
    <s v=" 66.4787 "/>
    <x v="0"/>
    <n v="877135"/>
    <m/>
    <m/>
    <m/>
  </r>
  <r>
    <x v="4"/>
    <x v="3"/>
    <s v="F:\images\2021-CHG-ACH-Dutasteride 2\plaque 1/@04 EE2 76/D4_03.tif "/>
    <s v=" 11290.805 "/>
    <s v=" 65.2433 "/>
    <x v="0"/>
    <n v="736649"/>
    <m/>
    <m/>
    <m/>
  </r>
  <r>
    <x v="4"/>
    <x v="4"/>
    <s v="F:\images\2021-CHG-ACH-Dutasteride 2\plaque 1/@04 EE2 76/E4_01.tif "/>
    <s v=" 1730.3916 "/>
    <s v=" 64.3625 "/>
    <x v="0"/>
    <n v="111372"/>
    <m/>
    <m/>
    <m/>
  </r>
  <r>
    <x v="4"/>
    <x v="4"/>
    <s v="F:\images\2021-CHG-ACH-Dutasteride 2\plaque 1/@04 EE2 76/E4_02.tif "/>
    <s v=" 3395.8935 "/>
    <s v=" 63.121 "/>
    <x v="0"/>
    <n v="214352"/>
    <m/>
    <m/>
    <m/>
  </r>
  <r>
    <x v="4"/>
    <x v="4"/>
    <s v="F:\images\2021-CHG-ACH-Dutasteride 2\plaque 1/@04 EE2 76/E4_03.tif "/>
    <s v=" 3374.2636 "/>
    <s v=" 63.8013 "/>
    <x v="0"/>
    <n v="215282"/>
    <m/>
    <m/>
    <m/>
  </r>
  <r>
    <x v="4"/>
    <x v="5"/>
    <s v="F:\images\2021-CHG-ACH-Dutasteride 2\plaque 1/@04 EE2 76/F4_01.tif "/>
    <s v=" 6964.8261 "/>
    <s v=" 63.6056 "/>
    <x v="0"/>
    <n v="443002"/>
    <m/>
    <m/>
    <m/>
  </r>
  <r>
    <x v="4"/>
    <x v="5"/>
    <s v="F:\images\2021-CHG-ACH-Dutasteride 2\plaque 1/@04 EE2 76/F4_02.tif "/>
    <s v=" 4758.5768 "/>
    <s v=" 63.9636 "/>
    <x v="0"/>
    <n v="304376"/>
    <m/>
    <m/>
    <m/>
  </r>
  <r>
    <x v="4"/>
    <x v="5"/>
    <s v="F:\images\2021-CHG-ACH-Dutasteride 2\plaque 1/@04 EE2 76/F4_03.tif "/>
    <s v=" 5407.4737 "/>
    <s v=" 63.76 "/>
    <x v="0"/>
    <n v="344781"/>
    <m/>
    <m/>
    <m/>
  </r>
  <r>
    <x v="4"/>
    <x v="6"/>
    <s v="F:\images\2021-CHG-ACH-Dutasteride 2\plaque 1/@04 EE2 76/G4_01.tif "/>
    <s v=" 7354.1642 "/>
    <s v=" 70.7059 "/>
    <x v="0"/>
    <n v="519983"/>
    <m/>
    <m/>
    <m/>
  </r>
  <r>
    <x v="4"/>
    <x v="6"/>
    <s v="F:\images\2021-CHG-ACH-Dutasteride 2\plaque 1/@04 EE2 76/G4_02.tif "/>
    <s v=" 4477.3882 "/>
    <s v=" 64.8454 "/>
    <x v="0"/>
    <n v="290338"/>
    <m/>
    <m/>
    <m/>
  </r>
  <r>
    <x v="4"/>
    <x v="6"/>
    <s v="F:\images\2021-CHG-ACH-Dutasteride 2\plaque 1/@04 EE2 76/G4_03.tif "/>
    <s v=" 5969.8509 "/>
    <s v=" 67.1703 "/>
    <x v="0"/>
    <n v="400997"/>
    <m/>
    <m/>
    <m/>
  </r>
  <r>
    <x v="4"/>
    <x v="7"/>
    <s v="F:\images\2021-CHG-ACH-Dutasteride 2\plaque 1/@04 EE2 76/H4_01- exclu.tif"/>
    <m/>
    <m/>
    <x v="1"/>
    <m/>
    <m/>
    <m/>
    <m/>
  </r>
  <r>
    <x v="4"/>
    <x v="7"/>
    <s v="F:\images\2021-CHG-ACH-Dutasteride 2\plaque 1/@04 EE2 76/H4_02- exclu.tif"/>
    <m/>
    <m/>
    <x v="1"/>
    <m/>
    <m/>
    <m/>
    <m/>
  </r>
  <r>
    <x v="4"/>
    <x v="7"/>
    <s v="F:\images\2021-CHG-ACH-Dutasteride 2\plaque 1/@04 EE2 76/H4_03- exclu.tif"/>
    <m/>
    <m/>
    <x v="1"/>
    <m/>
    <m/>
    <m/>
    <m/>
  </r>
  <r>
    <x v="1"/>
    <x v="8"/>
    <s v=" "/>
    <m/>
    <m/>
    <x v="1"/>
    <m/>
    <m/>
    <m/>
    <m/>
  </r>
  <r>
    <x v="1"/>
    <x v="8"/>
    <s v="group "/>
    <s v=" "/>
    <s v=" mean of mean fluo "/>
    <x v="2"/>
    <s v=" mean of total fluo "/>
    <s v=" SD total fluo "/>
    <s v=" n fluorescent "/>
    <s v=" n total"/>
  </r>
  <r>
    <x v="4"/>
    <x v="9"/>
    <s v="F:\images\2021-CHG-ACH-Dutasteride 2\plaque 1/@04 EE2 76/ "/>
    <s v=" "/>
    <s v=" 65.5354 "/>
    <x v="6"/>
    <s v=" 306946.167 "/>
    <s v=" 280129.7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CHG-ACH-Dutasteride 2\plaque 1/@05 EE2 114/A5_01- exclu.tif"/>
    <m/>
    <m/>
    <x v="1"/>
    <m/>
    <m/>
    <m/>
    <m/>
  </r>
  <r>
    <x v="5"/>
    <x v="0"/>
    <s v="F:\images\2021-CHG-ACH-Dutasteride 2\plaque 1/@05 EE2 114/A5_02.tif "/>
    <s v=" 36727.5611 "/>
    <s v=" 69.4953 "/>
    <x v="0"/>
    <n v="2552392"/>
    <m/>
    <m/>
    <m/>
  </r>
  <r>
    <x v="5"/>
    <x v="0"/>
    <s v="F:\images\2021-CHG-ACH-Dutasteride 2\plaque 1/@05 EE2 114/A5_03.tif "/>
    <s v=" 37809.0558 "/>
    <s v=" 68.4777 "/>
    <x v="0"/>
    <n v="2589077"/>
    <m/>
    <m/>
    <m/>
  </r>
  <r>
    <x v="5"/>
    <x v="1"/>
    <s v="F:\images\2021-CHG-ACH-Dutasteride 2\plaque 1/@05 EE2 114/B5_01.tif "/>
    <s v=" 7570.4631 "/>
    <s v=" 63.9943 "/>
    <x v="0"/>
    <n v="484466"/>
    <m/>
    <m/>
    <m/>
  </r>
  <r>
    <x v="5"/>
    <x v="1"/>
    <s v="F:\images\2021-CHG-ACH-Dutasteride 2\plaque 1/@05 EE2 114/B5_02.tif "/>
    <s v=" 6921.5663 "/>
    <s v=" 64.3219 "/>
    <x v="0"/>
    <n v="445208"/>
    <m/>
    <m/>
    <m/>
  </r>
  <r>
    <x v="5"/>
    <x v="1"/>
    <s v="F:\images\2021-CHG-ACH-Dutasteride 2\plaque 1/@05 EE2 114/B5_03.tif "/>
    <s v=" 4066.4202 "/>
    <s v=" 63.7234 "/>
    <x v="0"/>
    <n v="259126"/>
    <m/>
    <m/>
    <m/>
  </r>
  <r>
    <x v="5"/>
    <x v="2"/>
    <s v="F:\images\2021-CHG-ACH-Dutasteride 2\plaque 1/@05 EE2 114/C5_01.tif "/>
    <s v=" 6553.8581 "/>
    <s v=" 65.5347 "/>
    <x v="0"/>
    <n v="429505"/>
    <m/>
    <m/>
    <m/>
  </r>
  <r>
    <x v="5"/>
    <x v="2"/>
    <s v="F:\images\2021-CHG-ACH-Dutasteride 2\plaque 1/@05 EE2 114/C5_02.tif "/>
    <s v=" 1016.605 "/>
    <s v=" 62.1064 "/>
    <x v="0"/>
    <n v="63138"/>
    <m/>
    <m/>
    <m/>
  </r>
  <r>
    <x v="5"/>
    <x v="2"/>
    <s v="F:\images\2021-CHG-ACH-Dutasteride 2\plaque 1/@05 EE2 114/C5_03.tif "/>
    <s v=" 1427.573 "/>
    <s v=" 62.9848 "/>
    <x v="0"/>
    <n v="89915"/>
    <m/>
    <m/>
    <m/>
  </r>
  <r>
    <x v="5"/>
    <x v="3"/>
    <s v="F:\images\2021-CHG-ACH-Dutasteride 2\plaque 1/@05 EE2 114/D5_01.tif "/>
    <s v=" 39279.8886 "/>
    <s v=" 81.8976 "/>
    <x v="0"/>
    <n v="3216928"/>
    <m/>
    <m/>
    <m/>
  </r>
  <r>
    <x v="5"/>
    <x v="3"/>
    <s v="F:\images\2021-CHG-ACH-Dutasteride 2\plaque 1/@05 EE2 114/D5_02.tif "/>
    <s v=" 41399.6183 "/>
    <s v=" 80.687 "/>
    <x v="0"/>
    <n v="3340413"/>
    <m/>
    <m/>
    <m/>
  </r>
  <r>
    <x v="5"/>
    <x v="3"/>
    <s v="F:\images\2021-CHG-ACH-Dutasteride 2\plaque 1/@05 EE2 114/D5_03.tif "/>
    <s v=" 47910.2166 "/>
    <s v=" 78.7264 "/>
    <x v="0"/>
    <n v="3771799"/>
    <m/>
    <m/>
    <m/>
  </r>
  <r>
    <x v="5"/>
    <x v="4"/>
    <s v="F:\images\2021-CHG-ACH-Dutasteride 2\plaque 1/@05 EE2 114/E5_01.tif "/>
    <s v=" 692.1566 "/>
    <s v=" 64.2188 "/>
    <x v="0"/>
    <n v="44449"/>
    <m/>
    <m/>
    <m/>
  </r>
  <r>
    <x v="5"/>
    <x v="4"/>
    <s v="F:\images\2021-CHG-ACH-Dutasteride 2\plaque 1/@05 EE2 114/E5_02.tif "/>
    <s v=" 800.3061 "/>
    <s v=" 64.5946 "/>
    <x v="0"/>
    <n v="51695"/>
    <m/>
    <m/>
    <m/>
  </r>
  <r>
    <x v="5"/>
    <x v="4"/>
    <s v="F:\images\2021-CHG-ACH-Dutasteride 2\plaque 1/@05 EE2 114/E5_03.tif "/>
    <s v=" 432.5979 "/>
    <s v=" 62.35 "/>
    <x v="0"/>
    <n v="26972"/>
    <m/>
    <m/>
    <m/>
  </r>
  <r>
    <x v="5"/>
    <x v="5"/>
    <s v="F:\images\2021-CHG-ACH-Dutasteride 2\plaque 1/@05 EE2 114/F5_01.tif "/>
    <s v=" 14383.8799 "/>
    <s v=" 65.8842 "/>
    <x v="0"/>
    <n v="947671"/>
    <m/>
    <m/>
    <m/>
  </r>
  <r>
    <x v="5"/>
    <x v="5"/>
    <s v="F:\images\2021-CHG-ACH-Dutasteride 2\plaque 1/@05 EE2 114/F5_02.tif "/>
    <s v=" 20288.8412 "/>
    <s v=" 66.6162 "/>
    <x v="0"/>
    <n v="1351566"/>
    <m/>
    <m/>
    <m/>
  </r>
  <r>
    <x v="5"/>
    <x v="5"/>
    <s v="F:\images\2021-CHG-ACH-Dutasteride 2\plaque 1/@05 EE2 114/F5_03.tif "/>
    <s v=" 15227.4458 "/>
    <s v=" 67.2827 "/>
    <x v="0"/>
    <n v="1024543"/>
    <m/>
    <m/>
    <m/>
  </r>
  <r>
    <x v="5"/>
    <x v="6"/>
    <s v="F:\images\2021-CHG-ACH-Dutasteride 2\plaque 1/@05 EE2 114/G5_01.tif "/>
    <s v=" 9625.3031 "/>
    <s v=" 65.2022 "/>
    <x v="0"/>
    <n v="627591"/>
    <m/>
    <m/>
    <m/>
  </r>
  <r>
    <x v="5"/>
    <x v="6"/>
    <s v="F:\images\2021-CHG-ACH-Dutasteride 2\plaque 1/@05 EE2 114/G5_02.tif "/>
    <s v=" 13518.6841 "/>
    <s v=" 66.0992 "/>
    <x v="0"/>
    <n v="893574"/>
    <m/>
    <m/>
    <m/>
  </r>
  <r>
    <x v="5"/>
    <x v="6"/>
    <s v="F:\images\2021-CHG-ACH-Dutasteride 2\plaque 1/@05 EE2 114/G5_03.tif "/>
    <s v=" 6337.5591 "/>
    <s v=" 64.4505 "/>
    <x v="0"/>
    <n v="408459"/>
    <m/>
    <m/>
    <m/>
  </r>
  <r>
    <x v="5"/>
    <x v="7"/>
    <s v="F:\images\2021-CHG-ACH-Dutasteride 2\plaque 1/@05 EE2 114/H5_01.tif "/>
    <s v=" 9041.296 "/>
    <s v=" 64.5742 "/>
    <x v="0"/>
    <n v="583834"/>
    <m/>
    <m/>
    <m/>
  </r>
  <r>
    <x v="5"/>
    <x v="7"/>
    <s v="F:\images\2021-CHG-ACH-Dutasteride 2\plaque 1/@05 EE2 114/H5_02.tif "/>
    <s v=" 6532.2282 "/>
    <s v=" 64.5993 "/>
    <x v="0"/>
    <n v="421978"/>
    <m/>
    <m/>
    <m/>
  </r>
  <r>
    <x v="5"/>
    <x v="7"/>
    <s v="F:\images\2021-CHG-ACH-Dutasteride 2\plaque 1/@05 EE2 114/H5_03.tif "/>
    <s v=" 9279.2248 "/>
    <s v=" 65.028 "/>
    <x v="0"/>
    <n v="603409"/>
    <m/>
    <m/>
    <m/>
  </r>
  <r>
    <x v="1"/>
    <x v="8"/>
    <s v=" "/>
    <m/>
    <m/>
    <x v="1"/>
    <m/>
    <m/>
    <m/>
    <m/>
  </r>
  <r>
    <x v="1"/>
    <x v="8"/>
    <s v="group "/>
    <s v=" "/>
    <s v=" mean of mean fluo "/>
    <x v="2"/>
    <s v=" mean of total fluo "/>
    <s v=" SD total fluo "/>
    <s v=" n fluorescent "/>
    <s v=" n total"/>
  </r>
  <r>
    <x v="5"/>
    <x v="9"/>
    <s v="F:\images\2021-CHG-ACH-Dutasteride 2\plaque 1/@05 EE2 114/ "/>
    <s v=" "/>
    <s v=" 67.2016 "/>
    <x v="7"/>
    <s v=" 1104607.08 "/>
    <s v=" 1172100.8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CHG-ACH-Dutasteride 2\plaque 1/@06 EE2 170.9/A6_01.tif "/>
    <s v=" 10057.901 "/>
    <s v=" 76.5075 "/>
    <x v="0"/>
    <n v="769505"/>
    <m/>
    <m/>
    <m/>
  </r>
  <r>
    <x v="6"/>
    <x v="0"/>
    <s v="F:\images\2021-CHG-ACH-Dutasteride 2\plaque 1/@06 EE2 170.9/A6_02.tif "/>
    <s v=" 10403.9793 "/>
    <s v=" 74.896 "/>
    <x v="0"/>
    <n v="779217"/>
    <m/>
    <m/>
    <m/>
  </r>
  <r>
    <x v="6"/>
    <x v="0"/>
    <s v="F:\images\2021-CHG-ACH-Dutasteride 2\plaque 1/@06 EE2 170.9/A6_03.tif "/>
    <s v=" 9127.8155 "/>
    <s v=" 73.827 "/>
    <x v="0"/>
    <n v="673879"/>
    <m/>
    <m/>
    <m/>
  </r>
  <r>
    <x v="6"/>
    <x v="1"/>
    <s v="F:\images\2021-CHG-ACH-Dutasteride 2\plaque 1/@06 EE2 170.9/B6_01.tif "/>
    <s v=" 51760.3378 "/>
    <s v=" 77.2691 "/>
    <x v="0"/>
    <n v="3999476"/>
    <m/>
    <m/>
    <m/>
  </r>
  <r>
    <x v="6"/>
    <x v="1"/>
    <s v="F:\images\2021-CHG-ACH-Dutasteride 2\plaque 1/@06 EE2 170.9/B6_02.tif "/>
    <s v=" 50657.2132 "/>
    <s v=" 75.6319 "/>
    <x v="0"/>
    <n v="3831303"/>
    <m/>
    <m/>
    <m/>
  </r>
  <r>
    <x v="6"/>
    <x v="1"/>
    <s v="F:\images\2021-CHG-ACH-Dutasteride 2\plaque 1/@06 EE2 170.9/B6_03.tif "/>
    <s v=" 50830.2524 "/>
    <s v=" 76.7511 "/>
    <x v="0"/>
    <n v="3901276"/>
    <m/>
    <m/>
    <m/>
  </r>
  <r>
    <x v="6"/>
    <x v="2"/>
    <s v="F:\images\2021-CHG-ACH-Dutasteride 2\plaque 1/@06 EE2 170.9/C6_01.tif "/>
    <s v=" 23533.3254 "/>
    <s v=" 71.6535 "/>
    <x v="0"/>
    <n v="1686245"/>
    <m/>
    <m/>
    <m/>
  </r>
  <r>
    <x v="6"/>
    <x v="2"/>
    <s v="F:\images\2021-CHG-ACH-Dutasteride 2\plaque 1/@06 EE2 170.9/C6_02.tif "/>
    <s v=" 23857.7738 "/>
    <s v=" 70.2194 "/>
    <x v="0"/>
    <n v="1675279"/>
    <m/>
    <m/>
    <m/>
  </r>
  <r>
    <x v="6"/>
    <x v="2"/>
    <s v="F:\images\2021-CHG-ACH-Dutasteride 2\plaque 1/@06 EE2 170.9/C6_03.tif "/>
    <s v=" 22084.1224 "/>
    <s v=" 71.3222 "/>
    <x v="0"/>
    <n v="1575089"/>
    <m/>
    <m/>
    <m/>
  </r>
  <r>
    <x v="6"/>
    <x v="3"/>
    <s v="F:\images\2021-CHG-ACH-Dutasteride 2\plaque 1/@06 EE2 170.9/D6_01.tif "/>
    <s v=" 2314.3987 "/>
    <s v=" 67.6729 "/>
    <x v="0"/>
    <n v="156622"/>
    <m/>
    <m/>
    <m/>
  </r>
  <r>
    <x v="6"/>
    <x v="3"/>
    <s v="F:\images\2021-CHG-ACH-Dutasteride 2\plaque 1/@06 EE2 170.9/D6_02.tif "/>
    <s v=" 14492.0294 "/>
    <s v=" 69.6776 "/>
    <x v="0"/>
    <n v="1009770"/>
    <m/>
    <m/>
    <m/>
  </r>
  <r>
    <x v="6"/>
    <x v="3"/>
    <s v="F:\images\2021-CHG-ACH-Dutasteride 2\plaque 1/@06 EE2 170.9/D6_03.tif "/>
    <s v=" 22581.61 "/>
    <s v=" 73.0402 "/>
    <x v="0"/>
    <n v="1649366"/>
    <m/>
    <m/>
    <m/>
  </r>
  <r>
    <x v="6"/>
    <x v="4"/>
    <s v="F:\images\2021-CHG-ACH-Dutasteride 2\plaque 1/@06 EE2 170.9/E6_01.tif "/>
    <s v=" 51068.1812 "/>
    <s v=" 71.1923 "/>
    <x v="0"/>
    <n v="3635661"/>
    <m/>
    <m/>
    <m/>
  </r>
  <r>
    <x v="6"/>
    <x v="4"/>
    <s v="F:\images\2021-CHG-ACH-Dutasteride 2\plaque 1/@06 EE2 170.9/E6_02.tif "/>
    <s v=" 45898.6364 "/>
    <s v=" 71.1013 "/>
    <x v="0"/>
    <n v="3263454"/>
    <m/>
    <m/>
    <m/>
  </r>
  <r>
    <x v="6"/>
    <x v="4"/>
    <s v="F:\images\2021-CHG-ACH-Dutasteride 2\plaque 1/@06 EE2 170.9/E6_03.tif "/>
    <s v=" 42524.3728 "/>
    <s v=" 70.4715 "/>
    <x v="0"/>
    <n v="2996757"/>
    <m/>
    <m/>
    <m/>
  </r>
  <r>
    <x v="6"/>
    <x v="5"/>
    <s v="F:\images\2021-CHG-ACH-Dutasteride 2\plaque 1/@06 EE2 170.9/F6_01.tif "/>
    <s v=" 28875.9093 "/>
    <s v=" 83.4172 "/>
    <x v="0"/>
    <n v="2408748"/>
    <m/>
    <m/>
    <m/>
  </r>
  <r>
    <x v="6"/>
    <x v="5"/>
    <s v="F:\images\2021-CHG-ACH-Dutasteride 2\plaque 1/@06 EE2 170.9/F6_02.tif "/>
    <s v=" 32185.2832 "/>
    <s v=" 81.3192 "/>
    <x v="0"/>
    <n v="2617282"/>
    <m/>
    <m/>
    <m/>
  </r>
  <r>
    <x v="6"/>
    <x v="5"/>
    <s v="F:\images\2021-CHG-ACH-Dutasteride 2\plaque 1/@06 EE2 170.9/F6_03.tif "/>
    <s v=" 28335.162 "/>
    <s v=" 83.8427 "/>
    <x v="0"/>
    <n v="2375698"/>
    <m/>
    <m/>
    <m/>
  </r>
  <r>
    <x v="6"/>
    <x v="6"/>
    <s v="F:\images\2021-CHG-ACH-Dutasteride 2\plaque 1/@06 EE2 170.9/G6_01.tif "/>
    <s v=" 27102.258 "/>
    <s v=" 74.1006 "/>
    <x v="0"/>
    <n v="2008292"/>
    <m/>
    <m/>
    <m/>
  </r>
  <r>
    <x v="6"/>
    <x v="6"/>
    <s v="F:\images\2021-CHG-ACH-Dutasteride 2\plaque 1/@06 EE2 170.9/G6_02.tif "/>
    <s v=" 24939.2685 "/>
    <s v=" 73.6843 "/>
    <x v="0"/>
    <n v="1837633"/>
    <m/>
    <m/>
    <m/>
  </r>
  <r>
    <x v="6"/>
    <x v="6"/>
    <s v="F:\images\2021-CHG-ACH-Dutasteride 2\plaque 1/@06 EE2 170.9/G6_03.tif "/>
    <s v=" 25804.4643 "/>
    <s v=" 73.2196 "/>
    <x v="0"/>
    <n v="1889393"/>
    <m/>
    <m/>
    <m/>
  </r>
  <r>
    <x v="6"/>
    <x v="7"/>
    <s v="F:\images\2021-CHG-ACH-Dutasteride 2\plaque 1/@06 EE2 170.9/H6_01.tif "/>
    <s v=" 37311.5682 "/>
    <s v=" 67.8365 "/>
    <x v="0"/>
    <n v="2531087"/>
    <m/>
    <m/>
    <m/>
  </r>
  <r>
    <x v="6"/>
    <x v="7"/>
    <s v="F:\images\2021-CHG-ACH-Dutasteride 2\plaque 1/@06 EE2 170.9/H6_02.tif "/>
    <s v=" 37744.1661 "/>
    <s v=" 68.1559 "/>
    <x v="0"/>
    <n v="2572487"/>
    <m/>
    <m/>
    <m/>
  </r>
  <r>
    <x v="6"/>
    <x v="7"/>
    <s v="F:\images\2021-CHG-ACH-Dutasteride 2\plaque 1/@06 EE2 170.9/H6_03.tif "/>
    <s v=" 33677.7459 "/>
    <s v=" 68.1015 "/>
    <x v="0"/>
    <n v="2293504"/>
    <m/>
    <m/>
    <m/>
  </r>
  <r>
    <x v="1"/>
    <x v="8"/>
    <s v=" "/>
    <m/>
    <m/>
    <x v="1"/>
    <m/>
    <m/>
    <m/>
    <m/>
  </r>
  <r>
    <x v="1"/>
    <x v="8"/>
    <s v="group "/>
    <s v=" "/>
    <s v=" mean of mean fluo "/>
    <x v="2"/>
    <s v=" mean of total fluo "/>
    <s v=" SD total fluo "/>
    <s v=" n fluorescent "/>
    <s v=" n total"/>
  </r>
  <r>
    <x v="6"/>
    <x v="9"/>
    <s v="F:\images\2021-CHG-ACH-Dutasteride 2\plaque 1/@06 EE2 170.9/ "/>
    <s v=" "/>
    <s v=" 73.538 "/>
    <x v="8"/>
    <s v=" 2172375.96 "/>
    <s v=" 1075243.1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CHG-ACH-Dutasteride 2\plaque 1/@07 EE2 488/A7_01.tif "/>
    <s v=" 48126.5155 "/>
    <s v=" 88.9838 "/>
    <x v="0"/>
    <n v="4282481"/>
    <m/>
    <m/>
    <m/>
  </r>
  <r>
    <x v="7"/>
    <x v="0"/>
    <s v="F:\images\2021-CHG-ACH-Dutasteride 2\plaque 1/@07 EE2 488/A7_02.tif "/>
    <s v=" 51327.74 "/>
    <s v=" 89.6882 "/>
    <x v="0"/>
    <n v="4603490"/>
    <m/>
    <m/>
    <m/>
  </r>
  <r>
    <x v="7"/>
    <x v="0"/>
    <s v="F:\images\2021-CHG-ACH-Dutasteride 2\plaque 1/@07 EE2 488/A7_03.tif "/>
    <s v=" 51176.3307 "/>
    <s v=" 90.5123 "/>
    <x v="0"/>
    <n v="4632085"/>
    <m/>
    <m/>
    <m/>
  </r>
  <r>
    <x v="7"/>
    <x v="1"/>
    <s v="F:\images\2021-CHG-ACH-Dutasteride 2\plaque 1/@07 EE2 488/B7_01.tif "/>
    <s v=" 13194.2357 "/>
    <s v=" 76.1279 "/>
    <x v="0"/>
    <n v="1004449"/>
    <m/>
    <m/>
    <m/>
  </r>
  <r>
    <x v="7"/>
    <x v="1"/>
    <s v="F:\images\2021-CHG-ACH-Dutasteride 2\plaque 1/@07 EE2 488/B7_02.tif "/>
    <s v=" 12913.0471 "/>
    <s v=" 75.1457 "/>
    <x v="0"/>
    <n v="970360"/>
    <m/>
    <m/>
    <m/>
  </r>
  <r>
    <x v="7"/>
    <x v="1"/>
    <s v="F:\images\2021-CHG-ACH-Dutasteride 2\plaque 1/@07 EE2 488/B7_03.tif "/>
    <s v=" 11312.4349 "/>
    <s v=" 72.2275 "/>
    <x v="0"/>
    <n v="817069"/>
    <m/>
    <m/>
    <m/>
  </r>
  <r>
    <x v="7"/>
    <x v="2"/>
    <s v="F:\images\2021-CHG-ACH-Dutasteride 2\plaque 1/@07 EE2 488/C7_01.tif "/>
    <s v=" 51392.6296 "/>
    <s v=" 95.9217 "/>
    <x v="0"/>
    <n v="4929669"/>
    <m/>
    <m/>
    <m/>
  </r>
  <r>
    <x v="7"/>
    <x v="2"/>
    <s v="F:\images\2021-CHG-ACH-Dutasteride 2\plaque 1/@07 EE2 488/C7_02.tif "/>
    <s v=" 54875.0427 "/>
    <s v=" 86.0378 "/>
    <x v="0"/>
    <n v="4721330"/>
    <m/>
    <m/>
    <m/>
  </r>
  <r>
    <x v="7"/>
    <x v="2"/>
    <s v="F:\images\2021-CHG-ACH-Dutasteride 2\plaque 1/@07 EE2 488/C7_03.tif "/>
    <s v=" 54117.9964 "/>
    <s v=" 90.9281 "/>
    <x v="0"/>
    <n v="4920844"/>
    <m/>
    <m/>
    <m/>
  </r>
  <r>
    <x v="7"/>
    <x v="3"/>
    <s v="F:\images\2021-CHG-ACH-Dutasteride 2\plaque 1/@07 EE2 488/D7_01.tif "/>
    <s v=" 38760.7712 "/>
    <s v=" 91.8756 "/>
    <x v="0"/>
    <n v="3561167"/>
    <m/>
    <m/>
    <m/>
  </r>
  <r>
    <x v="7"/>
    <x v="3"/>
    <s v="F:\images\2021-CHG-ACH-Dutasteride 2\plaque 1/@07 EE2 488/D7_02.tif "/>
    <s v=" 42610.8924 "/>
    <s v=" 87.5015 "/>
    <x v="0"/>
    <n v="3728518"/>
    <m/>
    <m/>
    <m/>
  </r>
  <r>
    <x v="7"/>
    <x v="3"/>
    <s v="F:\images\2021-CHG-ACH-Dutasteride 2\plaque 1/@07 EE2 488/D7_03- exclu.tif"/>
    <m/>
    <m/>
    <x v="1"/>
    <m/>
    <m/>
    <m/>
    <m/>
  </r>
  <r>
    <x v="7"/>
    <x v="4"/>
    <s v="F:\images\2021-CHG-ACH-Dutasteride 2\plaque 1/@07 EE2 488/E7_01.tif "/>
    <s v=" 33894.0449 "/>
    <s v=" 82.1819 "/>
    <x v="0"/>
    <n v="2785476"/>
    <m/>
    <m/>
    <m/>
  </r>
  <r>
    <x v="7"/>
    <x v="4"/>
    <s v="F:\images\2021-CHG-ACH-Dutasteride 2\plaque 1/@07 EE2 488/E7_02.tif "/>
    <s v=" 34910.6499 "/>
    <s v=" 83.6035 "/>
    <x v="0"/>
    <n v="2918651"/>
    <m/>
    <m/>
    <m/>
  </r>
  <r>
    <x v="7"/>
    <x v="4"/>
    <s v="F:\images\2021-CHG-ACH-Dutasteride 2\plaque 1/@07 EE2 488/E7_03.tif "/>
    <s v=" 35213.4685 "/>
    <s v=" 82.5952 "/>
    <x v="0"/>
    <n v="2908464"/>
    <m/>
    <m/>
    <m/>
  </r>
  <r>
    <x v="7"/>
    <x v="5"/>
    <s v="F:\images\2021-CHG-ACH-Dutasteride 2\plaque 1/@07 EE2 488/F7_01.tif "/>
    <s v=" 31017.2689 "/>
    <s v=" 86.9596 "/>
    <x v="0"/>
    <n v="2697248"/>
    <m/>
    <m/>
    <m/>
  </r>
  <r>
    <x v="7"/>
    <x v="5"/>
    <s v="F:\images\2021-CHG-ACH-Dutasteride 2\plaque 1/@07 EE2 488/F7_02.tif "/>
    <s v=" 28681.2403 "/>
    <s v=" 83.7172 "/>
    <x v="0"/>
    <n v="2401113"/>
    <m/>
    <m/>
    <m/>
  </r>
  <r>
    <x v="7"/>
    <x v="5"/>
    <s v="F:\images\2021-CHG-ACH-Dutasteride 2\plaque 1/@07 EE2 488/F7_03.tif "/>
    <s v=" 28400.0516 "/>
    <s v=" 92.0937 "/>
    <x v="0"/>
    <n v="2615465"/>
    <m/>
    <m/>
    <m/>
  </r>
  <r>
    <x v="7"/>
    <x v="6"/>
    <s v="F:\images\2021-CHG-ACH-Dutasteride 2\plaque 1/@07 EE2 488/G7_01.tif "/>
    <s v=" 13021.1966 "/>
    <s v=" 72.9867 "/>
    <x v="0"/>
    <n v="950374"/>
    <m/>
    <m/>
    <m/>
  </r>
  <r>
    <x v="7"/>
    <x v="6"/>
    <s v="F:\images\2021-CHG-ACH-Dutasteride 2\plaque 1/@07 EE2 488/G7_02.tif "/>
    <s v=" 12631.8585 "/>
    <s v=" 72.6473 "/>
    <x v="0"/>
    <n v="917670"/>
    <m/>
    <m/>
    <m/>
  </r>
  <r>
    <x v="7"/>
    <x v="6"/>
    <s v="F:\images\2021-CHG-ACH-Dutasteride 2\plaque 1/@07 EE2 488/G7_03.tif "/>
    <s v=" 16438.7199 "/>
    <s v=" 75.5066 "/>
    <x v="0"/>
    <n v="1241232"/>
    <m/>
    <m/>
    <m/>
  </r>
  <r>
    <x v="7"/>
    <x v="7"/>
    <s v="F:\images\2021-CHG-ACH-Dutasteride 2\plaque 1/@07 EE2 488/H7_01.tif "/>
    <s v=" 33288.4078 "/>
    <s v=" 85.3392 "/>
    <x v="0"/>
    <n v="2840805"/>
    <m/>
    <m/>
    <m/>
  </r>
  <r>
    <x v="7"/>
    <x v="7"/>
    <s v="F:\images\2021-CHG-ACH-Dutasteride 2\plaque 1/@07 EE2 488/H7_02.tif "/>
    <s v=" 34780.8706 "/>
    <s v=" 87.5796 "/>
    <x v="0"/>
    <n v="3046095"/>
    <m/>
    <m/>
    <m/>
  </r>
  <r>
    <x v="7"/>
    <x v="7"/>
    <s v="F:\images\2021-CHG-ACH-Dutasteride 2\plaque 1/@07 EE2 488/H7_03.tif "/>
    <s v=" 33353.2975 "/>
    <s v=" 86.7996 "/>
    <x v="0"/>
    <n v="2895053"/>
    <m/>
    <m/>
    <m/>
  </r>
  <r>
    <x v="1"/>
    <x v="8"/>
    <s v=" "/>
    <m/>
    <m/>
    <x v="1"/>
    <m/>
    <m/>
    <m/>
    <m/>
  </r>
  <r>
    <x v="1"/>
    <x v="8"/>
    <s v="group "/>
    <s v=" "/>
    <s v=" mean of mean fluo "/>
    <x v="2"/>
    <s v=" mean of total fluo "/>
    <s v=" SD total fluo "/>
    <s v=" n fluorescent "/>
    <s v=" n total"/>
  </r>
  <r>
    <x v="7"/>
    <x v="9"/>
    <s v="F:\images\2021-CHG-ACH-Dutasteride 2\plaque 1/@07 EE2 488/ "/>
    <s v=" "/>
    <s v=" 84.4878 "/>
    <x v="9"/>
    <s v=" 2917352.62 "/>
    <s v=" 1375658.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CHG-ACH-Dutasteride 2\plaque 1/@08 Dutastéride 0.01mg_L/A8_01.tif "/>
    <s v=" 6402.4488 "/>
    <s v=" 70.8007 "/>
    <x v="0"/>
    <n v="453298"/>
    <m/>
    <m/>
    <m/>
  </r>
  <r>
    <x v="8"/>
    <x v="0"/>
    <s v="F:\images\2021-CHG-ACH-Dutasteride 2\plaque 1/@08 Dutastéride 0.01mg_L/A8_02.tif "/>
    <s v=" 3266.1141 "/>
    <s v=" 66.3775 "/>
    <x v="0"/>
    <n v="216796"/>
    <m/>
    <m/>
    <m/>
  </r>
  <r>
    <x v="8"/>
    <x v="0"/>
    <s v="F:\images\2021-CHG-ACH-Dutasteride 2\plaque 1/@08 Dutastéride 0.01mg_L/A8_03.tif "/>
    <s v=" 3785.2316 "/>
    <s v=" 66.1143 "/>
    <x v="0"/>
    <n v="250258"/>
    <m/>
    <m/>
    <m/>
  </r>
  <r>
    <x v="8"/>
    <x v="1"/>
    <s v="F:\images\2021-CHG-ACH-Dutasteride 2\plaque 1/@08 Dutastéride 0.01mg_L/B8_01.tif "/>
    <s v=" 4347.6088 "/>
    <s v=" 68.3483 "/>
    <x v="0"/>
    <n v="297151"/>
    <m/>
    <m/>
    <m/>
  </r>
  <r>
    <x v="8"/>
    <x v="1"/>
    <s v="F:\images\2021-CHG-ACH-Dutasteride 2\plaque 1/@08 Dutastéride 0.01mg_L/B8_02.tif "/>
    <s v=" 475.8577 "/>
    <s v=" 62.8636 "/>
    <x v="0"/>
    <n v="29914"/>
    <m/>
    <m/>
    <m/>
  </r>
  <r>
    <x v="8"/>
    <x v="1"/>
    <s v="F:\images\2021-CHG-ACH-Dutasteride 2\plaque 1/@08 Dutastéride 0.01mg_L/B8_03.tif "/>
    <s v=" 843.5659 "/>
    <s v=" 64.8205 "/>
    <x v="0"/>
    <n v="54680"/>
    <m/>
    <m/>
    <m/>
  </r>
  <r>
    <x v="8"/>
    <x v="2"/>
    <s v="F:\images\2021-CHG-ACH-Dutasteride 2\plaque 1/@08 Dutastéride 0.01mg_L/C8_01.tif "/>
    <s v=" 389.3381 "/>
    <s v=" 63.9444 "/>
    <x v="0"/>
    <n v="24896"/>
    <m/>
    <m/>
    <m/>
  </r>
  <r>
    <x v="8"/>
    <x v="2"/>
    <s v="F:\images\2021-CHG-ACH-Dutasteride 2\plaque 1/@08 Dutastéride 0.01mg_L/C8_02.tif "/>
    <s v=" 216.2989 "/>
    <s v=" 64.4 "/>
    <x v="0"/>
    <n v="13930"/>
    <m/>
    <m/>
    <m/>
  </r>
  <r>
    <x v="8"/>
    <x v="2"/>
    <s v="F:\images\2021-CHG-ACH-Dutasteride 2\plaque 1/@08 Dutastéride 0.01mg_L/C8_03.tif "/>
    <s v=" 216.2989 "/>
    <s v=" 64.1 "/>
    <x v="0"/>
    <n v="13865"/>
    <m/>
    <m/>
    <m/>
  </r>
  <r>
    <x v="8"/>
    <x v="3"/>
    <s v="F:\images\2021-CHG-ACH-Dutasteride 2\plaque 1/@08 Dutastéride 0.01mg_L/D8_01.tif "/>
    <s v=" 1816.9111 "/>
    <s v=" 64.5 "/>
    <x v="0"/>
    <n v="117191"/>
    <m/>
    <m/>
    <m/>
  </r>
  <r>
    <x v="8"/>
    <x v="3"/>
    <s v="F:\images\2021-CHG-ACH-Dutasteride 2\plaque 1/@08 Dutastéride 0.01mg_L/D8_02.tif "/>
    <s v=" 1103.1246 "/>
    <s v=" 63.3137 "/>
    <x v="0"/>
    <n v="69843"/>
    <m/>
    <m/>
    <m/>
  </r>
  <r>
    <x v="8"/>
    <x v="3"/>
    <s v="F:\images\2021-CHG-ACH-Dutasteride 2\plaque 1/@08 Dutastéride 0.01mg_L/D8_03.tif "/>
    <s v=" 2984.9255 "/>
    <s v=" 64.1884 "/>
    <x v="0"/>
    <n v="191598"/>
    <m/>
    <m/>
    <m/>
  </r>
  <r>
    <x v="8"/>
    <x v="4"/>
    <s v="F:\images\2021-CHG-ACH-Dutasteride 2\plaque 1/@08 Dutastéride 0.01mg_L/E8_01.tif "/>
    <s v=" 3028.1852 "/>
    <s v=" 64.8643 "/>
    <x v="0"/>
    <n v="196421"/>
    <m/>
    <m/>
    <m/>
  </r>
  <r>
    <x v="8"/>
    <x v="4"/>
    <s v="F:\images\2021-CHG-ACH-Dutasteride 2\plaque 1/@08 Dutastéride 0.01mg_L/E8_02.tif "/>
    <s v=" 1168.0143 "/>
    <s v=" 64.0926 "/>
    <x v="0"/>
    <n v="74861"/>
    <m/>
    <m/>
    <m/>
  </r>
  <r>
    <x v="8"/>
    <x v="4"/>
    <s v="F:\images\2021-CHG-ACH-Dutasteride 2\plaque 1/@08 Dutastéride 0.01mg_L/E8_03.tif "/>
    <s v=" 1211.2741 "/>
    <s v=" 62.7857 "/>
    <x v="0"/>
    <n v="76051"/>
    <m/>
    <m/>
    <m/>
  </r>
  <r>
    <x v="8"/>
    <x v="5"/>
    <s v="F:\images\2021-CHG-ACH-Dutasteride 2\plaque 1/@08 Dutastéride 0.01mg_L/F8_01.tif "/>
    <s v=" 1016.605 "/>
    <s v=" 65.234 "/>
    <x v="0"/>
    <n v="66317"/>
    <m/>
    <m/>
    <m/>
  </r>
  <r>
    <x v="8"/>
    <x v="5"/>
    <s v="F:\images\2021-CHG-ACH-Dutasteride 2\plaque 1/@08 Dutastéride 0.01mg_L/F8_02.tif "/>
    <s v=" 713.7865 "/>
    <s v=" 65.0909 "/>
    <x v="0"/>
    <n v="46461"/>
    <m/>
    <m/>
    <m/>
  </r>
  <r>
    <x v="8"/>
    <x v="5"/>
    <s v="F:\images\2021-CHG-ACH-Dutasteride 2\plaque 1/@08 Dutastéride 0.01mg_L/F8_03.tif "/>
    <s v=" 324.4484 "/>
    <s v=" 62.3333 "/>
    <x v="0"/>
    <n v="20224"/>
    <m/>
    <m/>
    <m/>
  </r>
  <r>
    <x v="8"/>
    <x v="6"/>
    <s v="F:\images\2021-CHG-ACH-Dutasteride 2\plaque 1/@08 Dutastéride 0.01mg_L/G8_01.tif "/>
    <s v=" 173.0392 "/>
    <s v=" 66.75 "/>
    <x v="0"/>
    <n v="11550"/>
    <m/>
    <m/>
    <m/>
  </r>
  <r>
    <x v="8"/>
    <x v="6"/>
    <s v="F:\images\2021-CHG-ACH-Dutasteride 2\plaque 1/@08 Dutastéride 0.01mg_L/G8_02.tif "/>
    <s v=" 713.7865 "/>
    <s v=" 66.0303 "/>
    <x v="0"/>
    <n v="47132"/>
    <m/>
    <m/>
    <m/>
  </r>
  <r>
    <x v="8"/>
    <x v="6"/>
    <s v="F:\images\2021-CHG-ACH-Dutasteride 2\plaque 1/@08 Dutastéride 0.01mg_L/G8_03.tif "/>
    <s v=" 324.4484 "/>
    <s v=" 63.1333 "/>
    <x v="0"/>
    <n v="20484"/>
    <m/>
    <m/>
    <m/>
  </r>
  <r>
    <x v="8"/>
    <x v="7"/>
    <s v="F:\images\2021-CHG-ACH-Dutasteride 2\plaque 1/@08 Dutastéride 0.01mg_L/H8_01.tif "/>
    <s v=" 3958.2707 "/>
    <s v=" 69.9781 "/>
    <x v="0"/>
    <n v="276992"/>
    <m/>
    <m/>
    <m/>
  </r>
  <r>
    <x v="8"/>
    <x v="7"/>
    <s v="F:\images\2021-CHG-ACH-Dutasteride 2\plaque 1/@08 Dutastéride 0.01mg_L/H8_02.tif "/>
    <s v=" 2638.8471 "/>
    <s v=" 66.9754 "/>
    <x v="0"/>
    <n v="176738"/>
    <m/>
    <m/>
    <m/>
  </r>
  <r>
    <x v="8"/>
    <x v="7"/>
    <s v="F:\images\2021-CHG-ACH-Dutasteride 2\plaque 1/@08 Dutastéride 0.01mg_L/H8_03.tif "/>
    <s v=" 324.4484 "/>
    <n v="64"/>
    <x v="0"/>
    <n v="20765"/>
    <m/>
    <m/>
    <m/>
  </r>
  <r>
    <x v="1"/>
    <x v="8"/>
    <s v=" "/>
    <m/>
    <m/>
    <x v="1"/>
    <m/>
    <m/>
    <m/>
    <m/>
  </r>
  <r>
    <x v="1"/>
    <x v="8"/>
    <s v="group "/>
    <s v=" "/>
    <s v=" mean of mean fluo "/>
    <x v="2"/>
    <s v=" mean of total fluo "/>
    <s v=" SD total fluo "/>
    <s v=" n fluorescent "/>
    <s v=" n total"/>
  </r>
  <r>
    <x v="8"/>
    <x v="9"/>
    <s v="F:\images\2021-CHG-ACH-Dutasteride 2\plaque 1/@08 Dutastéride 0.01mg_L/ "/>
    <s v=" "/>
    <s v=" 65.21 "/>
    <x v="10"/>
    <n v="115309"/>
    <s v=" 116584.17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CHG-ACH-Dutasteride 2\plaque 1/@09 Dutastéride 0.1mg_L/A9_01.tif "/>
    <s v=" 886.8257 "/>
    <s v=" 65.0732 "/>
    <x v="0"/>
    <n v="57709"/>
    <m/>
    <m/>
    <m/>
  </r>
  <r>
    <x v="9"/>
    <x v="0"/>
    <s v="F:\images\2021-CHG-ACH-Dutasteride 2\plaque 1/@09 Dutastéride 0.1mg_L/A9_02.tif "/>
    <s v=" 973.3453 "/>
    <s v=" 63.3778 "/>
    <x v="0"/>
    <n v="61688"/>
    <m/>
    <m/>
    <m/>
  </r>
  <r>
    <x v="9"/>
    <x v="0"/>
    <s v="F:\images\2021-CHG-ACH-Dutasteride 2\plaque 1/@09 Dutastéride 0.1mg_L/A9_03.tif "/>
    <s v=" 432.5979 "/>
    <s v=" 65.5 "/>
    <x v="0"/>
    <n v="28335"/>
    <m/>
    <m/>
    <m/>
  </r>
  <r>
    <x v="9"/>
    <x v="1"/>
    <s v="F:\images\2021-CHG-ACH-Dutasteride 2\plaque 1/@09 Dutastéride 0.1mg_L/B9_01.tif "/>
    <s v=" 1881.8008 "/>
    <s v=" 64.4828 "/>
    <x v="0"/>
    <n v="121344"/>
    <m/>
    <m/>
    <m/>
  </r>
  <r>
    <x v="9"/>
    <x v="1"/>
    <s v="F:\images\2021-CHG-ACH-Dutasteride 2\plaque 1/@09 Dutastéride 0.1mg_L/B9_02.tif "/>
    <s v=" 2249.509 "/>
    <s v=" 65.6538 "/>
    <x v="0"/>
    <n v="147689"/>
    <m/>
    <m/>
    <m/>
  </r>
  <r>
    <x v="9"/>
    <x v="1"/>
    <s v="F:\images\2021-CHG-ACH-Dutasteride 2\plaque 1/@09 Dutastéride 0.1mg_L/B9_03.tif "/>
    <s v=" 454.2278 "/>
    <s v=" 63.9048 "/>
    <x v="0"/>
    <n v="29027"/>
    <m/>
    <m/>
    <m/>
  </r>
  <r>
    <x v="9"/>
    <x v="2"/>
    <s v="F:\images\2021-CHG-ACH-Dutasteride 2\plaque 1/@09 Dutastéride 0.1mg_L/C9_01.tif "/>
    <s v=" 7072.9755 "/>
    <s v=" 70.9174 "/>
    <x v="0"/>
    <n v="501597"/>
    <m/>
    <m/>
    <m/>
  </r>
  <r>
    <x v="9"/>
    <x v="2"/>
    <s v="F:\images\2021-CHG-ACH-Dutasteride 2\plaque 1/@09 Dutastéride 0.1mg_L/C9_02.tif "/>
    <s v=" 4650.4273 "/>
    <s v=" 70.7209 "/>
    <x v="0"/>
    <n v="328883"/>
    <m/>
    <m/>
    <m/>
  </r>
  <r>
    <x v="9"/>
    <x v="2"/>
    <s v="F:\images\2021-CHG-ACH-Dutasteride 2\plaque 1/@09 Dutastéride 0.1mg_L/C9_03.tif "/>
    <s v=" 1816.9111 "/>
    <s v=" 63.7619 "/>
    <x v="0"/>
    <n v="115850"/>
    <m/>
    <m/>
    <m/>
  </r>
  <r>
    <x v="9"/>
    <x v="3"/>
    <s v="F:\images\2021-CHG-ACH-Dutasteride 2\plaque 1/@09 Dutastéride 0.1mg_L/D9_01.tif "/>
    <s v=" 410.968 "/>
    <s v=" 62.5789 "/>
    <x v="0"/>
    <n v="25718"/>
    <m/>
    <m/>
    <m/>
  </r>
  <r>
    <x v="9"/>
    <x v="3"/>
    <s v="F:\images\2021-CHG-ACH-Dutasteride 2\plaque 1/@09 Dutastéride 0.1mg_L/D9_02.tif "/>
    <s v=" 216.2989 "/>
    <s v=" 62.6 "/>
    <x v="0"/>
    <n v="13540"/>
    <m/>
    <m/>
    <m/>
  </r>
  <r>
    <x v="9"/>
    <x v="3"/>
    <s v="F:\images\2021-CHG-ACH-Dutasteride 2\plaque 1/@09 Dutastéride 0.1mg_L/D9_03.tif "/>
    <s v=" 281.1886 "/>
    <s v=" 62.9231 "/>
    <x v="0"/>
    <n v="17693"/>
    <m/>
    <m/>
    <m/>
  </r>
  <r>
    <x v="9"/>
    <x v="4"/>
    <s v="F:\images\2021-CHG-ACH-Dutasteride 2\plaque 1/@09 Dutastéride 0.1mg_L/E9_01.tif "/>
    <s v=" 173.0392 "/>
    <s v=" 64.25 "/>
    <x v="0"/>
    <n v="11118"/>
    <m/>
    <m/>
    <m/>
  </r>
  <r>
    <x v="9"/>
    <x v="4"/>
    <s v="F:\images\2021-CHG-ACH-Dutasteride 2\plaque 1/@09 Dutastéride 0.1mg_L/E9_02.tif "/>
    <s v=" 237.9288 "/>
    <s v=" 64.4545 "/>
    <x v="0"/>
    <n v="15336"/>
    <m/>
    <m/>
    <m/>
  </r>
  <r>
    <x v="9"/>
    <x v="4"/>
    <s v="F:\images\2021-CHG-ACH-Dutasteride 2\plaque 1/@09 Dutastéride 0.1mg_L/E9_03.tif "/>
    <s v=" 194.6691 "/>
    <s v=" 61.7778 "/>
    <x v="0"/>
    <n v="12026"/>
    <m/>
    <m/>
    <m/>
  </r>
  <r>
    <x v="9"/>
    <x v="5"/>
    <s v="F:\images\2021-CHG-ACH-Dutasteride 2\plaque 1/@09 Dutastéride 0.1mg_L/F9_01.tif "/>
    <s v=" 3720.3419 "/>
    <s v=" 68.5872 "/>
    <x v="0"/>
    <n v="255168"/>
    <m/>
    <m/>
    <m/>
  </r>
  <r>
    <x v="9"/>
    <x v="5"/>
    <s v="F:\images\2021-CHG-ACH-Dutasteride 2\plaque 1/@09 Dutastéride 0.1mg_L/F9_02.tif "/>
    <s v=" 151.4093 "/>
    <s v=" 62.4286 "/>
    <x v="0"/>
    <n v="9452"/>
    <m/>
    <m/>
    <m/>
  </r>
  <r>
    <x v="9"/>
    <x v="5"/>
    <s v="F:\images\2021-CHG-ACH-Dutasteride 2\plaque 1/@09 Dutastéride 0.1mg_L/F9_03.tif "/>
    <s v=" 713.7865 "/>
    <s v=" 63.303 "/>
    <x v="0"/>
    <n v="45185"/>
    <m/>
    <m/>
    <m/>
  </r>
  <r>
    <x v="9"/>
    <x v="6"/>
    <s v="F:\images\2021-CHG-ACH-Dutasteride 2\plaque 1/@09 Dutastéride 0.1mg_L/G9_01.tif "/>
    <s v=" 10166.0505 "/>
    <s v=" 83.4702 "/>
    <x v="0"/>
    <n v="848562"/>
    <m/>
    <m/>
    <m/>
  </r>
  <r>
    <x v="9"/>
    <x v="6"/>
    <s v="F:\images\2021-CHG-ACH-Dutasteride 2\plaque 1/@09 Dutastéride 0.1mg_L/G9_02.tif "/>
    <s v=" 6683.6374 "/>
    <s v=" 67.9968 "/>
    <x v="0"/>
    <n v="454466"/>
    <m/>
    <m/>
    <m/>
  </r>
  <r>
    <x v="9"/>
    <x v="6"/>
    <s v="F:\images\2021-CHG-ACH-Dutasteride 2\plaque 1/@09 Dutastéride 0.1mg_L/G9_03.tif "/>
    <s v=" 4217.8295 "/>
    <s v=" 65.6564 "/>
    <x v="0"/>
    <n v="276928"/>
    <m/>
    <m/>
    <m/>
  </r>
  <r>
    <x v="9"/>
    <x v="7"/>
    <s v="F:\images\2021-CHG-ACH-Dutasteride 2\plaque 1/@09 Dutastéride 0.1mg_L/H9_01.tif "/>
    <s v=" 3763.6017 "/>
    <s v=" 67.7644 "/>
    <x v="0"/>
    <n v="255038"/>
    <m/>
    <m/>
    <m/>
  </r>
  <r>
    <x v="9"/>
    <x v="7"/>
    <s v="F:\images\2021-CHG-ACH-Dutasteride 2\plaque 1/@09 Dutastéride 0.1mg_L/H9_02.tif "/>
    <s v=" 3331.0038 "/>
    <s v=" 66.9935 "/>
    <x v="0"/>
    <n v="223156"/>
    <m/>
    <m/>
    <m/>
  </r>
  <r>
    <x v="9"/>
    <x v="7"/>
    <s v="F:\images\2021-CHG-ACH-Dutasteride 2\plaque 1/@09 Dutastéride 0.1mg_L/H9_03.tif "/>
    <s v=" 540.7474 "/>
    <s v=" 63.12 "/>
    <x v="0"/>
    <n v="34132"/>
    <m/>
    <m/>
    <m/>
  </r>
  <r>
    <x v="1"/>
    <x v="8"/>
    <s v=" "/>
    <m/>
    <m/>
    <x v="1"/>
    <m/>
    <m/>
    <m/>
    <m/>
  </r>
  <r>
    <x v="1"/>
    <x v="8"/>
    <s v="group "/>
    <s v=" "/>
    <s v=" mean of mean fluo "/>
    <x v="2"/>
    <s v=" mean of total fluo "/>
    <s v=" SD total fluo "/>
    <s v=" n fluorescent "/>
    <s v=" n total"/>
  </r>
  <r>
    <x v="9"/>
    <x v="9"/>
    <s v="F:\images\2021-CHG-ACH-Dutasteride 2\plaque 1/@09 Dutastéride 0.1mg_L/ "/>
    <s v=" "/>
    <s v=" 65.8874 "/>
    <x v="11"/>
    <s v=" 162068.333 "/>
    <s v=" 206029.94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CHG-ACH-Dutasteride 2\plaque 1/@10 Dutastéride 0.25mg_L/A10_01.tif "/>
    <s v=" 237.9288 "/>
    <s v=" 63.8182 "/>
    <x v="0"/>
    <n v="15184"/>
    <m/>
    <m/>
    <m/>
  </r>
  <r>
    <x v="10"/>
    <x v="0"/>
    <s v="F:\images\2021-CHG-ACH-Dutasteride 2\plaque 1/@10 Dutastéride 0.25mg_L/A10_02.tif "/>
    <s v=" 108.1495 "/>
    <s v=" 64.8 "/>
    <x v="0"/>
    <n v="7008"/>
    <m/>
    <m/>
    <m/>
  </r>
  <r>
    <x v="10"/>
    <x v="0"/>
    <s v="F:\images\2021-CHG-ACH-Dutasteride 2\plaque 1/@10 Dutastéride 0.25mg_L/A10_03.tif "/>
    <s v=" 237.9288 "/>
    <s v=" 62.5455 "/>
    <x v="0"/>
    <n v="14881"/>
    <m/>
    <m/>
    <m/>
  </r>
  <r>
    <x v="10"/>
    <x v="1"/>
    <s v="F:\images\2021-CHG-ACH-Dutasteride 2\plaque 1/@10 Dutastéride 0.25mg_L/B10_01.tif "/>
    <s v=" 2119.7297 "/>
    <s v=" 64.6122 "/>
    <x v="0"/>
    <n v="136960"/>
    <m/>
    <m/>
    <m/>
  </r>
  <r>
    <x v="10"/>
    <x v="1"/>
    <s v="F:\images\2021-CHG-ACH-Dutasteride 2\plaque 1/@10 Dutastéride 0.25mg_L/B10_02- exclu.tif"/>
    <m/>
    <m/>
    <x v="1"/>
    <m/>
    <m/>
    <m/>
    <m/>
  </r>
  <r>
    <x v="10"/>
    <x v="1"/>
    <s v="F:\images\2021-CHG-ACH-Dutasteride 2\plaque 1/@10 Dutastéride 0.25mg_L/B10_03.tif "/>
    <s v=" 3287.744 "/>
    <s v=" 68.2237 "/>
    <x v="0"/>
    <n v="224302"/>
    <m/>
    <m/>
    <m/>
  </r>
  <r>
    <x v="10"/>
    <x v="2"/>
    <s v="F:\images\2021-CHG-ACH-Dutasteride 2\plaque 1/@10 Dutastéride 0.25mg_L/C10_01.tif "/>
    <s v=" 584.0072 "/>
    <s v=" 64.037 "/>
    <x v="0"/>
    <n v="37398"/>
    <m/>
    <m/>
    <m/>
  </r>
  <r>
    <x v="10"/>
    <x v="2"/>
    <s v="F:\images\2021-CHG-ACH-Dutasteride 2\plaque 1/@10 Dutastéride 0.25mg_L/C10_02.tif "/>
    <s v=" 108.1495 "/>
    <n v="65"/>
    <x v="0"/>
    <n v="7030"/>
    <m/>
    <m/>
    <m/>
  </r>
  <r>
    <x v="10"/>
    <x v="2"/>
    <s v="F:\images\2021-CHG-ACH-Dutasteride 2\plaque 1/@10 Dutastéride 0.25mg_L/C10_03.tif "/>
    <s v=" 389.3381 "/>
    <s v=" 63.7778 "/>
    <x v="0"/>
    <n v="24831"/>
    <m/>
    <m/>
    <m/>
  </r>
  <r>
    <x v="10"/>
    <x v="3"/>
    <s v="F:\images\2021-CHG-ACH-Dutasteride 2\plaque 1/@10 Dutastéride 0.25mg_L/D10_01.tif "/>
    <s v=" 2465.808 "/>
    <s v=" 66.4211 "/>
    <x v="0"/>
    <n v="163782"/>
    <m/>
    <m/>
    <m/>
  </r>
  <r>
    <x v="10"/>
    <x v="3"/>
    <s v="F:\images\2021-CHG-ACH-Dutasteride 2\plaque 1/@10 Dutastéride 0.25mg_L/D10_02.tif "/>
    <s v=" 908.4556 "/>
    <s v=" 63.0476 "/>
    <x v="0"/>
    <n v="57276"/>
    <m/>
    <m/>
    <m/>
  </r>
  <r>
    <x v="10"/>
    <x v="3"/>
    <s v="F:\images\2021-CHG-ACH-Dutasteride 2\plaque 1/@10 Dutastéride 0.25mg_L/D10_03.tif "/>
    <s v=" 2725.3667 "/>
    <s v=" 64.4762 "/>
    <x v="0"/>
    <n v="175721"/>
    <m/>
    <m/>
    <m/>
  </r>
  <r>
    <x v="10"/>
    <x v="4"/>
    <s v="F:\images\2021-CHG-ACH-Dutasteride 2\plaque 1/@10 Dutastéride 0.25mg_L/E10_01.tif "/>
    <s v=" 4909.9861 "/>
    <s v=" 67.9471 "/>
    <x v="0"/>
    <n v="333619"/>
    <m/>
    <m/>
    <m/>
  </r>
  <r>
    <x v="10"/>
    <x v="4"/>
    <s v="F:\images\2021-CHG-ACH-Dutasteride 2\plaque 1/@10 Dutastéride 0.25mg_L/E10_02.tif "/>
    <s v=" 2703.7368 "/>
    <s v=" 65.4 "/>
    <x v="0"/>
    <n v="176824"/>
    <m/>
    <m/>
    <m/>
  </r>
  <r>
    <x v="10"/>
    <x v="4"/>
    <s v="F:\images\2021-CHG-ACH-Dutasteride 2\plaque 1/@10 Dutastéride 0.25mg_L/E10_03.tif "/>
    <s v=" 1427.573 "/>
    <s v=" 63.5 "/>
    <x v="0"/>
    <n v="90651"/>
    <m/>
    <m/>
    <m/>
  </r>
  <r>
    <x v="10"/>
    <x v="5"/>
    <s v="F:\images\2021-CHG-ACH-Dutasteride 2\plaque 1/@10 Dutastéride 0.25mg_L/F10_01.tif "/>
    <s v=" 7592.093 "/>
    <s v=" 71.8405 "/>
    <x v="0"/>
    <n v="545419"/>
    <m/>
    <m/>
    <m/>
  </r>
  <r>
    <x v="10"/>
    <x v="5"/>
    <s v="F:\images\2021-CHG-ACH-Dutasteride 2\plaque 1/@10 Dutastéride 0.25mg_L/F10_02.tif "/>
    <s v=" 5926.5911 "/>
    <s v=" 68.6204 "/>
    <x v="0"/>
    <n v="406685"/>
    <m/>
    <m/>
    <m/>
  </r>
  <r>
    <x v="10"/>
    <x v="5"/>
    <s v="F:\images\2021-CHG-ACH-Dutasteride 2\plaque 1/@10 Dutastéride 0.25mg_L/F10_03.tif "/>
    <s v=" 11161.0256 "/>
    <s v=" 79.1957 "/>
    <x v="0"/>
    <n v="883906"/>
    <m/>
    <m/>
    <m/>
  </r>
  <r>
    <x v="10"/>
    <x v="6"/>
    <s v="F:\images\2021-CHG-ACH-Dutasteride 2\plaque 1/@10 Dutastéride 0.25mg_L/G10_01.tif "/>
    <s v=" 562.3773 "/>
    <s v=" 64.4231 "/>
    <x v="0"/>
    <n v="36230"/>
    <m/>
    <m/>
    <m/>
  </r>
  <r>
    <x v="10"/>
    <x v="6"/>
    <s v="F:\images\2021-CHG-ACH-Dutasteride 2\plaque 1/@10 Dutastéride 0.25mg_L/G10_02.tif "/>
    <s v=" 302.8185 "/>
    <s v=" 63.2857 "/>
    <x v="0"/>
    <n v="19164"/>
    <m/>
    <m/>
    <m/>
  </r>
  <r>
    <x v="10"/>
    <x v="6"/>
    <s v="F:\images\2021-CHG-ACH-Dutasteride 2\plaque 1/@10 Dutastéride 0.25mg_L/G10_03.tif "/>
    <s v=" 281.1886 "/>
    <s v=" 62.1538 "/>
    <x v="0"/>
    <n v="17477"/>
    <m/>
    <m/>
    <m/>
  </r>
  <r>
    <x v="10"/>
    <x v="7"/>
    <s v="F:\images\2021-CHG-ACH-Dutasteride 2\plaque 1/@10 Dutastéride 0.25mg_L/H10_01.tif "/>
    <s v=" 1276.1638 "/>
    <s v=" 65.2542 "/>
    <x v="0"/>
    <n v="83275"/>
    <m/>
    <m/>
    <m/>
  </r>
  <r>
    <x v="10"/>
    <x v="7"/>
    <s v="F:\images\2021-CHG-ACH-Dutasteride 2\plaque 1/@10 Dutastéride 0.25mg_L/H10_02.tif "/>
    <s v=" 1622.2421 "/>
    <s v=" 63.2667 "/>
    <x v="0"/>
    <n v="102634"/>
    <m/>
    <m/>
    <m/>
  </r>
  <r>
    <x v="10"/>
    <x v="7"/>
    <s v="F:\images\2021-CHG-ACH-Dutasteride 2\plaque 1/@10 Dutastéride 0.25mg_L/H10_03.tif "/>
    <s v=" 1124.7545 "/>
    <s v=" 63.7115 "/>
    <x v="0"/>
    <n v="71660"/>
    <m/>
    <m/>
    <m/>
  </r>
  <r>
    <x v="1"/>
    <x v="8"/>
    <s v=" "/>
    <m/>
    <m/>
    <x v="1"/>
    <m/>
    <m/>
    <m/>
    <m/>
  </r>
  <r>
    <x v="1"/>
    <x v="8"/>
    <s v="group "/>
    <s v=" "/>
    <s v=" mean of mean fluo "/>
    <x v="2"/>
    <s v=" mean of total fluo "/>
    <s v=" SD total fluo "/>
    <s v=" n fluorescent "/>
    <s v=" n total"/>
  </r>
  <r>
    <x v="10"/>
    <x v="9"/>
    <s v="F:\images\2021-CHG-ACH-Dutasteride 2\plaque 1/@10 Dutastéride 0.25mg_L/ "/>
    <s v=" "/>
    <s v=" 65.5263 "/>
    <x v="12"/>
    <s v=" 152584.417 "/>
    <s v=" 207918.86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CHG-ACH-Dutasteride 2\plaque 1/@11 Dutastéride 0.5mg_L/A11_01.tif "/>
    <s v=" 1622.2421 "/>
    <s v=" 64.76 "/>
    <x v="0"/>
    <n v="105056"/>
    <m/>
    <m/>
    <m/>
  </r>
  <r>
    <x v="11"/>
    <x v="0"/>
    <s v="F:\images\2021-CHG-ACH-Dutasteride 2\plaque 1/@11 Dutastéride 0.5mg_L/A11_02.tif "/>
    <s v=" 454.2278 "/>
    <s v=" 62.6667 "/>
    <x v="0"/>
    <n v="28465"/>
    <m/>
    <m/>
    <m/>
  </r>
  <r>
    <x v="11"/>
    <x v="0"/>
    <s v="F:\images\2021-CHG-ACH-Dutasteride 2\plaque 1/@11 Dutastéride 0.5mg_L/A11_03.tif "/>
    <s v=" 951.7154 "/>
    <s v=" 65.6818 "/>
    <x v="0"/>
    <n v="62510"/>
    <m/>
    <m/>
    <m/>
  </r>
  <r>
    <x v="11"/>
    <x v="1"/>
    <s v="F:\images\2021-CHG-ACH-Dutasteride 2\plaque 1/@11 Dutastéride 0.5mg_L/B11_01.tif "/>
    <s v=" 735.4164 "/>
    <s v=" 63.1471 "/>
    <x v="0"/>
    <n v="46439"/>
    <m/>
    <m/>
    <m/>
  </r>
  <r>
    <x v="11"/>
    <x v="1"/>
    <s v="F:\images\2021-CHG-ACH-Dutasteride 2\plaque 1/@11 Dutastéride 0.5mg_L/B11_02.tif "/>
    <s v=" 194.6691 "/>
    <s v=" 63.4444 "/>
    <x v="0"/>
    <n v="12351"/>
    <m/>
    <m/>
    <m/>
  </r>
  <r>
    <x v="11"/>
    <x v="1"/>
    <s v="F:\images\2021-CHG-ACH-Dutasteride 2\plaque 1/@11 Dutastéride 0.5mg_L/B11_03.tif "/>
    <s v=" 324.4484 "/>
    <s v=" 62.8667 "/>
    <x v="0"/>
    <n v="20397"/>
    <m/>
    <m/>
    <m/>
  </r>
  <r>
    <x v="11"/>
    <x v="2"/>
    <s v="F:\images\2021-CHG-ACH-Dutasteride 2\plaque 1/@11 Dutastéride 0.5mg_L/C11_01.tif "/>
    <s v=" 281.1886 "/>
    <s v=" 63.2308 "/>
    <x v="0"/>
    <n v="17780"/>
    <m/>
    <m/>
    <m/>
  </r>
  <r>
    <x v="11"/>
    <x v="2"/>
    <s v="F:\images\2021-CHG-ACH-Dutasteride 2\plaque 1/@11 Dutastéride 0.5mg_L/C11_02.tif "/>
    <s v=" 1535.7225 "/>
    <s v=" 63.6197 "/>
    <x v="0"/>
    <n v="97702"/>
    <m/>
    <m/>
    <m/>
  </r>
  <r>
    <x v="11"/>
    <x v="2"/>
    <s v="F:\images\2021-CHG-ACH-Dutasteride 2\plaque 1/@11 Dutastéride 0.5mg_L/C11_03.tif "/>
    <s v=" 410.968 "/>
    <s v=" 64.1579 "/>
    <x v="0"/>
    <n v="26367"/>
    <m/>
    <m/>
    <m/>
  </r>
  <r>
    <x v="11"/>
    <x v="3"/>
    <s v="F:\images\2021-CHG-ACH-Dutasteride 2\plaque 1/@11 Dutastéride 0.5mg_L/D11_01.tif "/>
    <s v=" 670.5267 "/>
    <s v=" 63.1935 "/>
    <x v="0"/>
    <n v="42373"/>
    <m/>
    <m/>
    <m/>
  </r>
  <r>
    <x v="11"/>
    <x v="3"/>
    <s v="F:\images\2021-CHG-ACH-Dutasteride 2\plaque 1/@11 Dutastéride 0.5mg_L/D11_02.tif "/>
    <s v=" 1168.0143 "/>
    <s v=" 63.4074 "/>
    <x v="0"/>
    <n v="74061"/>
    <m/>
    <m/>
    <m/>
  </r>
  <r>
    <x v="11"/>
    <x v="3"/>
    <s v="F:\images\2021-CHG-ACH-Dutasteride 2\plaque 1/@11 Dutastéride 0.5mg_L/D11_03.tif "/>
    <s v=" 346.0783 "/>
    <s v=" 62.6875 "/>
    <x v="0"/>
    <n v="21695"/>
    <m/>
    <m/>
    <m/>
  </r>
  <r>
    <x v="11"/>
    <x v="4"/>
    <s v="F:\images\2021-CHG-ACH-Dutasteride 2\plaque 1/@11 Dutastéride 0.5mg_L/E11_01.tif "/>
    <s v=" 259.5587 "/>
    <n v="64"/>
    <x v="0"/>
    <n v="16612"/>
    <m/>
    <m/>
    <m/>
  </r>
  <r>
    <x v="11"/>
    <x v="4"/>
    <s v="F:\images\2021-CHG-ACH-Dutasteride 2\plaque 1/@11 Dutastéride 0.5mg_L/E11_02.tif "/>
    <s v=" 129.7794 "/>
    <s v=" 62.3333 "/>
    <x v="0"/>
    <n v="8090"/>
    <m/>
    <m/>
    <m/>
  </r>
  <r>
    <x v="11"/>
    <x v="4"/>
    <s v="F:\images\2021-CHG-ACH-Dutasteride 2\plaque 1/@11 Dutastéride 0.5mg_L/E11_03.tif "/>
    <s v=" 129.7794 "/>
    <s v=" 64.6667 "/>
    <x v="0"/>
    <n v="8392"/>
    <m/>
    <m/>
    <m/>
  </r>
  <r>
    <x v="11"/>
    <x v="5"/>
    <s v="F:\images\2021-CHG-ACH-Dutasteride 2\plaque 1/@11 Dutastéride 0.5mg_L/F11_01.tif "/>
    <s v=" 735.4164 "/>
    <s v=" 67.8824 "/>
    <x v="0"/>
    <n v="49922"/>
    <m/>
    <m/>
    <m/>
  </r>
  <r>
    <x v="11"/>
    <x v="5"/>
    <s v="F:\images\2021-CHG-ACH-Dutasteride 2\plaque 1/@11 Dutastéride 0.5mg_L/F11_02.tif "/>
    <s v=" 1578.9823 "/>
    <s v=" 65.1918 "/>
    <x v="0"/>
    <n v="102937"/>
    <m/>
    <m/>
    <m/>
  </r>
  <r>
    <x v="11"/>
    <x v="5"/>
    <s v="F:\images\2021-CHG-ACH-Dutasteride 2\plaque 1/@11 Dutastéride 0.5mg_L/F11_03.tif "/>
    <s v=" 1622.2421 "/>
    <s v=" 65.7867 "/>
    <x v="0"/>
    <n v="106722"/>
    <m/>
    <m/>
    <m/>
  </r>
  <r>
    <x v="11"/>
    <x v="6"/>
    <s v="F:\images\2021-CHG-ACH-Dutasteride 2\plaque 1/@11 Dutastéride 0.5mg_L/G11_01- exclu.tif"/>
    <m/>
    <m/>
    <x v="1"/>
    <m/>
    <m/>
    <m/>
    <m/>
  </r>
  <r>
    <x v="11"/>
    <x v="6"/>
    <s v="F:\images\2021-CHG-ACH-Dutasteride 2\plaque 1/@11 Dutastéride 0.5mg_L/G11_02.tif "/>
    <s v=" 259.5587 "/>
    <s v=" 64.5833 "/>
    <x v="0"/>
    <n v="16763"/>
    <m/>
    <m/>
    <m/>
  </r>
  <r>
    <x v="11"/>
    <x v="6"/>
    <s v="F:\images\2021-CHG-ACH-Dutasteride 2\plaque 1/@11 Dutastéride 0.5mg_L/G11_03.tif "/>
    <s v=" 324.4484 "/>
    <s v=" 62.5333 "/>
    <x v="0"/>
    <n v="20289"/>
    <m/>
    <m/>
    <m/>
  </r>
  <r>
    <x v="11"/>
    <x v="7"/>
    <s v="F:\images\2021-CHG-ACH-Dutasteride 2\plaque 1/@11 Dutastéride 0.5mg_L/H11_01.tif "/>
    <s v=" 6510.5983 "/>
    <s v=" 72.6213 "/>
    <x v="0"/>
    <n v="472808"/>
    <m/>
    <m/>
    <m/>
  </r>
  <r>
    <x v="11"/>
    <x v="7"/>
    <s v="F:\images\2021-CHG-ACH-Dutasteride 2\plaque 1/@11 Dutastéride 0.5mg_L/H11_02.tif "/>
    <s v=" 6251.0395 "/>
    <s v=" 72.5571 "/>
    <x v="0"/>
    <n v="453557"/>
    <m/>
    <m/>
    <m/>
  </r>
  <r>
    <x v="11"/>
    <x v="7"/>
    <s v="F:\images\2021-CHG-ACH-Dutasteride 2\plaque 1/@11 Dutastéride 0.5mg_L/H11_03.tif "/>
    <s v=" 8067.9507 "/>
    <s v=" 72.0724 "/>
    <x v="0"/>
    <n v="581476"/>
    <m/>
    <m/>
    <m/>
  </r>
  <r>
    <x v="1"/>
    <x v="8"/>
    <s v=" "/>
    <m/>
    <m/>
    <x v="1"/>
    <m/>
    <m/>
    <m/>
    <m/>
  </r>
  <r>
    <x v="1"/>
    <x v="8"/>
    <s v="group "/>
    <s v=" "/>
    <s v=" mean of mean fluo "/>
    <x v="2"/>
    <s v=" mean of total fluo "/>
    <s v=" SD total fluo "/>
    <s v=" n fluorescent "/>
    <s v=" n total"/>
  </r>
  <r>
    <x v="11"/>
    <x v="9"/>
    <s v="F:\images\2021-CHG-ACH-Dutasteride 2\plaque 1/@11 Dutastéride 0.5mg_L/ "/>
    <s v=" "/>
    <s v=" 65.1025 "/>
    <x v="13"/>
    <s v=" 100817.833 "/>
    <s v=" 159690.7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CHG-ACH-Dutasteride 2\plaque 1/@12 Dutastéride 1mg_L/A12_01.tif "/>
    <s v=" 4390.8686 "/>
    <s v=" 68.7488 "/>
    <x v="0"/>
    <n v="301867"/>
    <m/>
    <m/>
    <m/>
  </r>
  <r>
    <x v="12"/>
    <x v="0"/>
    <s v="F:\images\2021-CHG-ACH-Dutasteride 2\plaque 1/@12 Dutastéride 1mg_L/A12_02.tif "/>
    <s v=" 3093.0749 "/>
    <s v=" 67.5664 "/>
    <x v="0"/>
    <n v="208988"/>
    <m/>
    <m/>
    <m/>
  </r>
  <r>
    <x v="12"/>
    <x v="0"/>
    <s v="F:\images\2021-CHG-ACH-Dutasteride 2\plaque 1/@12 Dutastéride 1mg_L/A12_03.tif "/>
    <s v=" 5537.253 "/>
    <s v=" 69.9141 "/>
    <x v="0"/>
    <n v="387132"/>
    <m/>
    <m/>
    <m/>
  </r>
  <r>
    <x v="12"/>
    <x v="1"/>
    <s v="F:\images\2021-CHG-ACH-Dutasteride 2\plaque 1/@12 Dutastéride 1mg_L/B12_01.tif "/>
    <s v=" 1903.4307 "/>
    <s v=" 65.4318 "/>
    <x v="0"/>
    <n v="124545"/>
    <m/>
    <m/>
    <m/>
  </r>
  <r>
    <x v="12"/>
    <x v="1"/>
    <s v="F:\images\2021-CHG-ACH-Dutasteride 2\plaque 1/@12 Dutastéride 1mg_L/B12_02.tif "/>
    <s v=" 1297.7937 "/>
    <s v=" 63.9667 "/>
    <x v="0"/>
    <n v="83016"/>
    <m/>
    <m/>
    <m/>
  </r>
  <r>
    <x v="12"/>
    <x v="1"/>
    <s v="F:\images\2021-CHG-ACH-Dutasteride 2\plaque 1/@12 Dutastéride 1mg_L/B12_03.tif "/>
    <s v=" 497.4876 "/>
    <s v=" 62.1739 "/>
    <x v="0"/>
    <n v="30931"/>
    <m/>
    <m/>
    <m/>
  </r>
  <r>
    <x v="12"/>
    <x v="2"/>
    <s v="F:\images\2021-CHG-ACH-Dutasteride 2\plaque 1/@12 Dutastéride 1mg_L/C12_01.tif "/>
    <s v=" 194.6691 "/>
    <s v=" 64.4444 "/>
    <x v="0"/>
    <n v="12545"/>
    <m/>
    <m/>
    <m/>
  </r>
  <r>
    <x v="12"/>
    <x v="2"/>
    <s v="F:\images\2021-CHG-ACH-Dutasteride 2\plaque 1/@12 Dutastéride 1mg_L/C12_02.tif "/>
    <s v=" 194.6691 "/>
    <s v=" 63.5556 "/>
    <x v="0"/>
    <n v="12372"/>
    <m/>
    <m/>
    <m/>
  </r>
  <r>
    <x v="12"/>
    <x v="2"/>
    <s v="F:\images\2021-CHG-ACH-Dutasteride 2\plaque 1/@12 Dutastéride 1mg_L/C12_03.tif "/>
    <s v=" 497.4876 "/>
    <s v=" 62.1739 "/>
    <x v="0"/>
    <n v="30931"/>
    <m/>
    <m/>
    <m/>
  </r>
  <r>
    <x v="12"/>
    <x v="3"/>
    <s v="F:\images\2021-CHG-ACH-Dutasteride 2\plaque 1/@12 Dutastéride 1mg_L/D12_01.tif "/>
    <s v=" 3590.5625 "/>
    <s v=" 65.1024 "/>
    <x v="0"/>
    <n v="233754"/>
    <m/>
    <m/>
    <m/>
  </r>
  <r>
    <x v="12"/>
    <x v="3"/>
    <s v="F:\images\2021-CHG-ACH-Dutasteride 2\plaque 1/@12 Dutastéride 1mg_L/D12_02.tif "/>
    <s v=" 3006.5554 "/>
    <s v=" 63.9137 "/>
    <x v="0"/>
    <n v="192160"/>
    <m/>
    <m/>
    <m/>
  </r>
  <r>
    <x v="12"/>
    <x v="3"/>
    <s v="F:\images\2021-CHG-ACH-Dutasteride 2\plaque 1/@12 Dutastéride 1mg_L/D12_03.tif "/>
    <s v=" 778.6762 "/>
    <s v=" 63.1389 "/>
    <x v="0"/>
    <n v="49165"/>
    <m/>
    <m/>
    <m/>
  </r>
  <r>
    <x v="12"/>
    <x v="4"/>
    <s v="F:\images\2021-CHG-ACH-Dutasteride 2\plaque 1/@12 Dutastéride 1mg_L/E12_01.tif "/>
    <s v=" 713.7865 "/>
    <s v=" 62.3333 "/>
    <x v="0"/>
    <n v="44493"/>
    <m/>
    <m/>
    <m/>
  </r>
  <r>
    <x v="12"/>
    <x v="4"/>
    <s v="F:\images\2021-CHG-ACH-Dutasteride 2\plaque 1/@12 Dutastéride 1mg_L/E12_02.tif "/>
    <s v=" 324.4484 "/>
    <s v=" 64.1333 "/>
    <x v="0"/>
    <n v="20808"/>
    <m/>
    <m/>
    <m/>
  </r>
  <r>
    <x v="12"/>
    <x v="4"/>
    <s v="F:\images\2021-CHG-ACH-Dutasteride 2\plaque 1/@12 Dutastéride 1mg_L/E12_03.tif "/>
    <s v=" 1968.3204 "/>
    <s v=" 64.1758 "/>
    <x v="0"/>
    <n v="126319"/>
    <m/>
    <m/>
    <m/>
  </r>
  <r>
    <x v="12"/>
    <x v="5"/>
    <s v="F:\images\2021-CHG-ACH-Dutasteride 2\plaque 1/@12 Dutastéride 1mg_L/F12_01.tif "/>
    <s v=" 281.1886 "/>
    <s v=" 64.3846 "/>
    <x v="0"/>
    <n v="18104"/>
    <m/>
    <m/>
    <m/>
  </r>
  <r>
    <x v="12"/>
    <x v="5"/>
    <s v="F:\images\2021-CHG-ACH-Dutasteride 2\plaque 1/@12 Dutastéride 1mg_L/F12_02.tif "/>
    <s v=" 151.4093 "/>
    <s v=" 62.8571 "/>
    <x v="0"/>
    <n v="9517"/>
    <m/>
    <m/>
    <m/>
  </r>
  <r>
    <x v="12"/>
    <x v="5"/>
    <s v="F:\images\2021-CHG-ACH-Dutasteride 2\plaque 1/@12 Dutastéride 1mg_L/F12_03.tif "/>
    <s v=" 994.9752 "/>
    <s v=" 64.4783 "/>
    <x v="0"/>
    <n v="64154"/>
    <m/>
    <m/>
    <m/>
  </r>
  <r>
    <x v="12"/>
    <x v="6"/>
    <s v="F:\images\2021-CHG-ACH-Dutasteride 2\plaque 1/@12 Dutastéride 1mg_L/G12_01.tif "/>
    <s v=" 540.7474 "/>
    <s v=" 65.64 "/>
    <x v="0"/>
    <n v="35495"/>
    <m/>
    <m/>
    <m/>
  </r>
  <r>
    <x v="12"/>
    <x v="6"/>
    <s v="F:\images\2021-CHG-ACH-Dutasteride 2\plaque 1/@12 Dutastéride 1mg_L/G12_02.tif "/>
    <s v=" 129.7794 "/>
    <s v=" 61.5 "/>
    <x v="0"/>
    <n v="7981"/>
    <m/>
    <m/>
    <m/>
  </r>
  <r>
    <x v="12"/>
    <x v="6"/>
    <s v="F:\images\2021-CHG-ACH-Dutasteride 2\plaque 1/@12 Dutastéride 1mg_L/G12_03.tif "/>
    <s v=" 2162.9895 "/>
    <s v=" 65.15 "/>
    <x v="0"/>
    <n v="140919"/>
    <m/>
    <m/>
    <m/>
  </r>
  <r>
    <x v="12"/>
    <x v="7"/>
    <s v="F:\images\2021-CHG-ACH-Dutasteride 2\plaque 1/@12 Dutastéride 1mg_L/H12_01- exclu.tif"/>
    <m/>
    <m/>
    <x v="1"/>
    <m/>
    <m/>
    <m/>
    <m/>
  </r>
  <r>
    <x v="12"/>
    <x v="7"/>
    <s v="F:\images\2021-CHG-ACH-Dutasteride 2\plaque 1/@12 Dutastéride 1mg_L/H12_02- exclu.tif"/>
    <m/>
    <m/>
    <x v="1"/>
    <m/>
    <m/>
    <m/>
    <m/>
  </r>
  <r>
    <x v="12"/>
    <x v="7"/>
    <s v="F:\images\2021-CHG-ACH-Dutasteride 2\plaque 1/@12 Dutastéride 1mg_L/H12_03- exclu.tif"/>
    <m/>
    <m/>
    <x v="1"/>
    <m/>
    <m/>
    <m/>
    <m/>
  </r>
  <r>
    <x v="1"/>
    <x v="8"/>
    <s v=" "/>
    <m/>
    <m/>
    <x v="1"/>
    <m/>
    <m/>
    <m/>
    <m/>
  </r>
  <r>
    <x v="1"/>
    <x v="8"/>
    <s v="group "/>
    <s v=" "/>
    <s v=" mean of mean fluo "/>
    <x v="2"/>
    <s v=" mean of total fluo "/>
    <s v=" SD total fluo "/>
    <s v=" n fluorescent "/>
    <s v=" n total"/>
  </r>
  <r>
    <x v="12"/>
    <x v="9"/>
    <s v="F:\images\2021-CHG-ACH-Dutasteride 2\plaque 1/@12 Dutastéride 1mg_L/ "/>
    <s v=" "/>
    <s v=" 64.6229 "/>
    <x v="14"/>
    <s v=" 89559.5417 "/>
    <s v=" 105285.69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CHG-ACH-Dutasteride 2\plaque 2/@01 Testo 30/A1_01.tif "/>
    <s v=" 48688.8928 "/>
    <s v=" 69.1817 "/>
    <x v="0"/>
    <n v="3368380"/>
    <m/>
    <m/>
    <m/>
  </r>
  <r>
    <x v="13"/>
    <x v="0"/>
    <s v="F:\images\2021-CHG-ACH-Dutasteride 2\plaque 2/@01 Testo 30/A1_02.tif "/>
    <s v=" 43735.6469 "/>
    <s v=" 68.8239 "/>
    <x v="0"/>
    <n v="3010059"/>
    <m/>
    <m/>
    <m/>
  </r>
  <r>
    <x v="13"/>
    <x v="0"/>
    <s v="F:\images\2021-CHG-ACH-Dutasteride 2\plaque 2/@01 Testo 30/A1_03.tif "/>
    <s v=" 40101.8246 "/>
    <s v=" 68.2665 "/>
    <x v="0"/>
    <n v="2737609"/>
    <m/>
    <m/>
    <m/>
  </r>
  <r>
    <x v="13"/>
    <x v="1"/>
    <s v="F:\images\2021-CHG-ACH-Dutasteride 2\plaque 2/@01 Testo 30/B1_01.tif "/>
    <s v=" 36186.8137 "/>
    <s v=" 70.2098 "/>
    <x v="0"/>
    <n v="2540669"/>
    <m/>
    <m/>
    <m/>
  </r>
  <r>
    <x v="13"/>
    <x v="1"/>
    <s v="F:\images\2021-CHG-ACH-Dutasteride 2\plaque 2/@01 Testo 30/B1_02.tif "/>
    <s v=" 35343.2478 "/>
    <s v=" 70.2375 "/>
    <x v="0"/>
    <n v="2482420"/>
    <m/>
    <m/>
    <m/>
  </r>
  <r>
    <x v="13"/>
    <x v="1"/>
    <s v="F:\images\2021-CHG-ACH-Dutasteride 2\plaque 2/@01 Testo 30/B1_03.tif "/>
    <s v=" 32293.4327 "/>
    <s v=" 69.8908 "/>
    <x v="0"/>
    <n v="2257015"/>
    <m/>
    <m/>
    <m/>
  </r>
  <r>
    <x v="13"/>
    <x v="2"/>
    <s v="F:\images\2021-CHG-ACH-Dutasteride 2\plaque 2/@01 Testo 30/C1_01.tif "/>
    <s v=" 39431.2979 "/>
    <s v=" 74.0708 "/>
    <x v="0"/>
    <n v="2920706"/>
    <m/>
    <m/>
    <m/>
  </r>
  <r>
    <x v="13"/>
    <x v="2"/>
    <s v="F:\images\2021-CHG-ACH-Dutasteride 2\plaque 2/@01 Testo 30/C1_02.tif "/>
    <s v=" 35386.5076 "/>
    <s v=" 72.5104 "/>
    <x v="0"/>
    <n v="2565890"/>
    <m/>
    <m/>
    <m/>
  </r>
  <r>
    <x v="13"/>
    <x v="2"/>
    <s v="F:\images\2021-CHG-ACH-Dutasteride 2\plaque 2/@01 Testo 30/C1_03.tif "/>
    <s v=" 29459.9165 "/>
    <s v=" 74.9185 "/>
    <x v="0"/>
    <n v="2207093"/>
    <m/>
    <m/>
    <m/>
  </r>
  <r>
    <x v="13"/>
    <x v="3"/>
    <s v="F:\images\2021-CHG-ACH-Dutasteride 2\plaque 2/@01 Testo 30/D1_01.tif "/>
    <s v=" 7938.1713 "/>
    <s v=" 70.3079 "/>
    <x v="0"/>
    <n v="558116"/>
    <m/>
    <m/>
    <m/>
  </r>
  <r>
    <x v="13"/>
    <x v="3"/>
    <s v="F:\images\2021-CHG-ACH-Dutasteride 2\plaque 2/@01 Testo 30/D1_02.tif "/>
    <s v=" 2487.4379 "/>
    <s v=" 63.7391 "/>
    <x v="0"/>
    <n v="158547"/>
    <m/>
    <m/>
    <m/>
  </r>
  <r>
    <x v="13"/>
    <x v="3"/>
    <s v="F:\images\2021-CHG-ACH-Dutasteride 2\plaque 2/@01 Testo 30/D1_03- exclu.tif"/>
    <m/>
    <m/>
    <x v="1"/>
    <m/>
    <m/>
    <m/>
    <m/>
  </r>
  <r>
    <x v="13"/>
    <x v="4"/>
    <s v="F:\images\2021-CHG-ACH-Dutasteride 2\plaque 2/@01 Testo 30/E1_01.tif "/>
    <s v=" 37246.6786 "/>
    <s v=" 73.4791 "/>
    <x v="0"/>
    <n v="2736852"/>
    <m/>
    <m/>
    <m/>
  </r>
  <r>
    <x v="13"/>
    <x v="4"/>
    <s v="F:\images\2021-CHG-ACH-Dutasteride 2\plaque 2/@01 Testo 30/E1_02.tif "/>
    <s v=" 41140.0596 "/>
    <s v=" 72.2681 "/>
    <x v="0"/>
    <n v="2973116"/>
    <m/>
    <m/>
    <m/>
  </r>
  <r>
    <x v="13"/>
    <x v="4"/>
    <s v="F:\images\2021-CHG-ACH-Dutasteride 2\plaque 2/@01 Testo 30/E1_03.tif "/>
    <s v=" 41464.508 "/>
    <s v=" 73.4731 "/>
    <x v="0"/>
    <n v="3046527"/>
    <m/>
    <m/>
    <m/>
  </r>
  <r>
    <x v="13"/>
    <x v="5"/>
    <s v="F:\images\2021-CHG-ACH-Dutasteride 2\plaque 2/@01 Testo 30/F1_01.tif "/>
    <s v=" 59265.9113 "/>
    <s v=" 74.112 "/>
    <x v="0"/>
    <n v="4392318"/>
    <m/>
    <m/>
    <m/>
  </r>
  <r>
    <x v="13"/>
    <x v="5"/>
    <s v="F:\images\2021-CHG-ACH-Dutasteride 2\plaque 2/@01 Testo 30/F1_02.tif "/>
    <s v=" 53079.7614 "/>
    <s v=" 74.5652 "/>
    <x v="0"/>
    <n v="3957903"/>
    <m/>
    <m/>
    <m/>
  </r>
  <r>
    <x v="13"/>
    <x v="5"/>
    <s v="F:\images\2021-CHG-ACH-Dutasteride 2\plaque 2/@01 Testo 30/F1_03.tif "/>
    <s v=" 50700.473 "/>
    <s v=" 72.1237 "/>
    <x v="0"/>
    <n v="3656707"/>
    <m/>
    <m/>
    <m/>
  </r>
  <r>
    <x v="13"/>
    <x v="6"/>
    <s v="F:\images\2021-CHG-ACH-Dutasteride 2\plaque 2/@01 Testo 30/G1_01.tif "/>
    <s v=" 11139.3957 "/>
    <s v=" 65.8544 "/>
    <x v="0"/>
    <n v="733578"/>
    <m/>
    <m/>
    <m/>
  </r>
  <r>
    <x v="13"/>
    <x v="6"/>
    <s v="F:\images\2021-CHG-ACH-Dutasteride 2\plaque 2/@01 Testo 30/G1_02.tif "/>
    <s v=" 8976.4063 "/>
    <s v=" 65.4145 "/>
    <x v="0"/>
    <n v="587187"/>
    <m/>
    <m/>
    <m/>
  </r>
  <r>
    <x v="13"/>
    <x v="6"/>
    <s v="F:\images\2021-CHG-ACH-Dutasteride 2\plaque 2/@01 Testo 30/G1_03- exclu.tif"/>
    <m/>
    <m/>
    <x v="1"/>
    <m/>
    <m/>
    <m/>
    <m/>
  </r>
  <r>
    <x v="13"/>
    <x v="7"/>
    <s v="F:\images\2021-CHG-ACH-Dutasteride 2\plaque 2/@01 Testo 30/H1_01.tif "/>
    <s v=" 1427.573 "/>
    <s v=" 62.8182 "/>
    <x v="0"/>
    <n v="89678"/>
    <m/>
    <m/>
    <m/>
  </r>
  <r>
    <x v="13"/>
    <x v="7"/>
    <s v="F:\images\2021-CHG-ACH-Dutasteride 2\plaque 2/@01 Testo 30/H1_02- exclu.tif"/>
    <m/>
    <m/>
    <x v="1"/>
    <m/>
    <m/>
    <m/>
    <m/>
  </r>
  <r>
    <x v="13"/>
    <x v="7"/>
    <s v="F:\images\2021-CHG-ACH-Dutasteride 2\plaque 2/@01 Testo 30/H1_03.tif "/>
    <s v=" 1492.4627 "/>
    <s v=" 63.1304 "/>
    <x v="0"/>
    <n v="94220"/>
    <m/>
    <m/>
    <m/>
  </r>
  <r>
    <x v="1"/>
    <x v="8"/>
    <s v=" "/>
    <m/>
    <m/>
    <x v="1"/>
    <m/>
    <m/>
    <m/>
    <m/>
  </r>
  <r>
    <x v="1"/>
    <x v="8"/>
    <s v="group "/>
    <s v=" "/>
    <s v=" mean of mean fluo "/>
    <x v="2"/>
    <s v=" mean of total fluo "/>
    <s v=" SD total fluo "/>
    <s v=" n fluorescent "/>
    <s v=" n total"/>
  </r>
  <r>
    <x v="13"/>
    <x v="9"/>
    <s v="F:\images\2021-CHG-ACH-Dutasteride 2\plaque 2/@01 Testo 30/ "/>
    <s v=" "/>
    <s v=" 69.2729 "/>
    <x v="15"/>
    <s v=" 1996826.83 "/>
    <s v=" 1406358.1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CHG-ACH-Dutasteride 2\plaque 2/@02 Testo 30/A2_01.tif "/>
    <s v=" 4304.349 "/>
    <s v=" 64.3668 "/>
    <x v="0"/>
    <n v="277057"/>
    <m/>
    <m/>
    <m/>
  </r>
  <r>
    <x v="14"/>
    <x v="0"/>
    <s v="F:\images\2021-CHG-ACH-Dutasteride 2\plaque 2/@02 Testo 30/A2_02.tif "/>
    <s v=" 3698.712 "/>
    <s v=" 65.1988 "/>
    <x v="0"/>
    <n v="241152"/>
    <m/>
    <m/>
    <m/>
  </r>
  <r>
    <x v="14"/>
    <x v="0"/>
    <s v="F:\images\2021-CHG-ACH-Dutasteride 2\plaque 2/@02 Testo 30/A2_03.tif "/>
    <s v=" 2227.8791 "/>
    <s v=" 65.8447 "/>
    <x v="0"/>
    <n v="146694"/>
    <m/>
    <m/>
    <m/>
  </r>
  <r>
    <x v="14"/>
    <x v="1"/>
    <s v="F:\images\2021-CHG-ACH-Dutasteride 2\plaque 2/@02 Testo 30/B2_01.tif "/>
    <s v=" 41615.9173 "/>
    <s v=" 70.8857 "/>
    <x v="0"/>
    <n v="2949972"/>
    <m/>
    <m/>
    <m/>
  </r>
  <r>
    <x v="14"/>
    <x v="1"/>
    <s v="F:\images\2021-CHG-ACH-Dutasteride 2\plaque 2/@02 Testo 30/B2_02.tif "/>
    <s v=" 40404.6432 "/>
    <s v=" 68.7752 "/>
    <x v="0"/>
    <n v="2778836"/>
    <m/>
    <m/>
    <m/>
  </r>
  <r>
    <x v="14"/>
    <x v="1"/>
    <s v="F:\images\2021-CHG-ACH-Dutasteride 2\plaque 2/@02 Testo 30/B2_03.tif "/>
    <s v=" 39496.1876 "/>
    <s v=" 69.6851 "/>
    <x v="0"/>
    <n v="2752296"/>
    <m/>
    <m/>
    <m/>
  </r>
  <r>
    <x v="14"/>
    <x v="2"/>
    <s v="F:\images\2021-CHG-ACH-Dutasteride 2\plaque 2/@02 Testo 30/C2_01.tif "/>
    <s v=" 41832.2162 "/>
    <s v=" 73.6929 "/>
    <x v="0"/>
    <n v="3082736"/>
    <m/>
    <m/>
    <m/>
  </r>
  <r>
    <x v="14"/>
    <x v="2"/>
    <s v="F:\images\2021-CHG-ACH-Dutasteride 2\plaque 2/@02 Testo 30/C2_02.tif "/>
    <s v=" 41486.1379 "/>
    <s v=" 73.1856 "/>
    <x v="0"/>
    <n v="3036188"/>
    <m/>
    <m/>
    <m/>
  </r>
  <r>
    <x v="14"/>
    <x v="2"/>
    <s v="F:\images\2021-CHG-ACH-Dutasteride 2\plaque 2/@02 Testo 30/C2_03.tif "/>
    <s v=" 42005.2554 "/>
    <s v=" 72.6056 "/>
    <x v="0"/>
    <n v="3049815"/>
    <m/>
    <m/>
    <m/>
  </r>
  <r>
    <x v="14"/>
    <x v="3"/>
    <s v="F:\images\2021-CHG-ACH-Dutasteride 2\plaque 2/@02 Testo 30/D2_01.tif "/>
    <s v=" 45487.6684 "/>
    <s v=" 72.9572 "/>
    <x v="0"/>
    <n v="3318653"/>
    <m/>
    <m/>
    <m/>
  </r>
  <r>
    <x v="14"/>
    <x v="3"/>
    <s v="F:\images\2021-CHG-ACH-Dutasteride 2\plaque 2/@02 Testo 30/D2_02.tif "/>
    <s v=" 49251.2701 "/>
    <s v=" 73.1489 "/>
    <x v="0"/>
    <n v="3602675"/>
    <m/>
    <m/>
    <m/>
  </r>
  <r>
    <x v="14"/>
    <x v="3"/>
    <s v="F:\images\2021-CHG-ACH-Dutasteride 2\plaque 2/@02 Testo 30/D2_03.tif "/>
    <s v=" 43173.2697 "/>
    <s v=" 74.7059 "/>
    <x v="0"/>
    <n v="3225298"/>
    <m/>
    <m/>
    <m/>
  </r>
  <r>
    <x v="14"/>
    <x v="4"/>
    <s v="F:\images\2021-CHG-ACH-Dutasteride 2\plaque 2/@02 Testo 30/E2_01.tif "/>
    <s v=" 22149.0121 "/>
    <s v=" 68.1924 "/>
    <x v="0"/>
    <n v="1510394"/>
    <m/>
    <m/>
    <m/>
  </r>
  <r>
    <x v="14"/>
    <x v="4"/>
    <s v="F:\images\2021-CHG-ACH-Dutasteride 2\plaque 2/@02 Testo 30/E2_02.tif "/>
    <s v=" 16763.1683 "/>
    <s v=" 65.6594 "/>
    <x v="0"/>
    <n v="1100659"/>
    <m/>
    <m/>
    <m/>
  </r>
  <r>
    <x v="14"/>
    <x v="4"/>
    <s v="F:\images\2021-CHG-ACH-Dutasteride 2\plaque 2/@02 Testo 30/E2_03.tif "/>
    <s v=" 19986.0226 "/>
    <s v=" 67.6266 "/>
    <x v="0"/>
    <n v="1351587"/>
    <m/>
    <m/>
    <m/>
  </r>
  <r>
    <x v="14"/>
    <x v="5"/>
    <s v="F:\images\2021-CHG-ACH-Dutasteride 2\plaque 2/@02 Testo 30/F2_01.tif "/>
    <s v=" 1341.0535 "/>
    <s v=" 63.7419 "/>
    <x v="0"/>
    <n v="85481"/>
    <m/>
    <m/>
    <m/>
  </r>
  <r>
    <x v="14"/>
    <x v="5"/>
    <s v="F:\images\2021-CHG-ACH-Dutasteride 2\plaque 2/@02 Testo 30/F2_02.tif "/>
    <s v=" 432.5979 "/>
    <s v=" 63.9 "/>
    <x v="0"/>
    <n v="27643"/>
    <m/>
    <m/>
    <m/>
  </r>
  <r>
    <x v="14"/>
    <x v="5"/>
    <s v="F:\images\2021-CHG-ACH-Dutasteride 2\plaque 2/@02 Testo 30/F2_03.tif "/>
    <s v=" 432.5979 "/>
    <n v="64"/>
    <x v="0"/>
    <n v="27686"/>
    <m/>
    <m/>
    <m/>
  </r>
  <r>
    <x v="14"/>
    <x v="6"/>
    <s v="F:\images\2021-CHG-ACH-Dutasteride 2\plaque 2/@02 Testo 30/G2_01.tif "/>
    <s v=" 41529.3977 "/>
    <s v=" 74.1755 "/>
    <x v="0"/>
    <n v="3080465"/>
    <m/>
    <m/>
    <m/>
  </r>
  <r>
    <x v="14"/>
    <x v="6"/>
    <s v="F:\images\2021-CHG-ACH-Dutasteride 2\plaque 2/@02 Testo 30/G2_02.tif "/>
    <s v=" 42762.3017 "/>
    <s v=" 76.2833 "/>
    <x v="0"/>
    <n v="3262048"/>
    <m/>
    <m/>
    <m/>
  </r>
  <r>
    <x v="14"/>
    <x v="6"/>
    <s v="F:\images\2021-CHG-ACH-Dutasteride 2\plaque 2/@02 Testo 30/G2_03.tif "/>
    <s v=" 41832.2162 "/>
    <s v=" 74.2368 "/>
    <x v="0"/>
    <n v="3105490"/>
    <m/>
    <m/>
    <m/>
  </r>
  <r>
    <x v="14"/>
    <x v="7"/>
    <s v="F:\images\2021-CHG-ACH-Dutasteride 2\plaque 2/@02 Testo 30/H2_01.tif "/>
    <s v=" 37398.0878 "/>
    <s v=" 70.1307 "/>
    <x v="0"/>
    <n v="2622755"/>
    <m/>
    <m/>
    <m/>
  </r>
  <r>
    <x v="14"/>
    <x v="7"/>
    <s v="F:\images\2021-CHG-ACH-Dutasteride 2\plaque 2/@02 Testo 30/H2_02.tif "/>
    <s v=" 41269.839 "/>
    <s v=" 71.0183 "/>
    <x v="0"/>
    <n v="2930916"/>
    <m/>
    <m/>
    <m/>
  </r>
  <r>
    <x v="14"/>
    <x v="7"/>
    <s v="F:\images\2021-CHG-ACH-Dutasteride 2\plaque 2/@02 Testo 30/H2_03.tif "/>
    <s v=" 30152.0731 "/>
    <s v=" 70.2166 "/>
    <x v="0"/>
    <n v="2117177"/>
    <m/>
    <m/>
    <m/>
  </r>
  <r>
    <x v="1"/>
    <x v="8"/>
    <s v=" "/>
    <m/>
    <m/>
    <x v="1"/>
    <m/>
    <m/>
    <m/>
    <m/>
  </r>
  <r>
    <x v="1"/>
    <x v="8"/>
    <s v="group "/>
    <s v=" "/>
    <s v=" mean of mean fluo "/>
    <x v="2"/>
    <s v=" mean of total fluo "/>
    <s v=" SD total fluo "/>
    <s v=" n fluorescent "/>
    <s v=" n total"/>
  </r>
  <r>
    <x v="14"/>
    <x v="9"/>
    <s v="F:\images\2021-CHG-ACH-Dutasteride 2\plaque 2/@02 Testo 30/ "/>
    <s v=" "/>
    <s v=" 69.7597 "/>
    <x v="16"/>
    <s v=" 2070153.04 "/>
    <n v="1298420"/>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CHG-ACH-Dutasteride 2\plaque 2/@03 Testo+ EE2 64/A3_01.tif "/>
    <s v=" 2573.9575 "/>
    <s v=" 65.3782 "/>
    <x v="0"/>
    <n v="168281"/>
    <m/>
    <m/>
    <m/>
  </r>
  <r>
    <x v="15"/>
    <x v="0"/>
    <s v="F:\images\2021-CHG-ACH-Dutasteride 2\plaque 2/@03 Testo+ EE2 64/A3_02.tif "/>
    <s v=" 7029.7158 "/>
    <s v=" 80.0277 "/>
    <x v="0"/>
    <n v="562572"/>
    <m/>
    <m/>
    <m/>
  </r>
  <r>
    <x v="15"/>
    <x v="0"/>
    <s v="F:\images\2021-CHG-ACH-Dutasteride 2\plaque 2/@03 Testo+ EE2 64/A3_03.tif "/>
    <s v=" 9733.4526 "/>
    <s v=" 83.7822 "/>
    <x v="0"/>
    <n v="815490"/>
    <m/>
    <m/>
    <m/>
  </r>
  <r>
    <x v="15"/>
    <x v="1"/>
    <s v="F:\images\2021-CHG-ACH-Dutasteride 2\plaque 2/@03 Testo+ EE2 64/B3_01.tif "/>
    <s v=" 32963.9594 "/>
    <s v=" 73.7067 "/>
    <x v="0"/>
    <n v="2429664"/>
    <m/>
    <m/>
    <m/>
  </r>
  <r>
    <x v="15"/>
    <x v="1"/>
    <s v="F:\images\2021-CHG-ACH-Dutasteride 2\plaque 2/@03 Testo+ EE2 64/B3_02.tif "/>
    <s v=" 31731.0554 "/>
    <s v=" 73.5235 "/>
    <x v="0"/>
    <n v="2332979"/>
    <m/>
    <m/>
    <m/>
  </r>
  <r>
    <x v="15"/>
    <x v="1"/>
    <s v="F:\images\2021-CHG-ACH-Dutasteride 2\plaque 2/@03 Testo+ EE2 64/B3_03.tif "/>
    <s v=" 30822.5998 "/>
    <s v=" 72.0484 "/>
    <x v="0"/>
    <n v="2220720"/>
    <m/>
    <m/>
    <m/>
  </r>
  <r>
    <x v="15"/>
    <x v="2"/>
    <s v="F:\images\2021-CHG-ACH-Dutasteride 2\plaque 2/@03 Testo+ EE2 64/C3_01.tif "/>
    <s v=" 18601.7094 "/>
    <s v=" 74.7093 "/>
    <x v="0"/>
    <n v="1389721"/>
    <m/>
    <m/>
    <m/>
  </r>
  <r>
    <x v="15"/>
    <x v="2"/>
    <s v="F:\images\2021-CHG-ACH-Dutasteride 2\plaque 2/@03 Testo+ EE2 64/C3_02.tif "/>
    <s v=" 16438.7199 "/>
    <s v=" 72.5053 "/>
    <x v="0"/>
    <n v="1191894"/>
    <m/>
    <m/>
    <m/>
  </r>
  <r>
    <x v="15"/>
    <x v="2"/>
    <s v="F:\images\2021-CHG-ACH-Dutasteride 2\plaque 2/@03 Testo+ EE2 64/C3_03.tif "/>
    <s v=" 17801.4033 "/>
    <s v=" 69.4083 "/>
    <x v="0"/>
    <n v="1235564"/>
    <m/>
    <m/>
    <m/>
  </r>
  <r>
    <x v="15"/>
    <x v="3"/>
    <s v="F:\images\2021-CHG-ACH-Dutasteride 2\plaque 2/@03 Testo+ EE2 64/D3_01.tif "/>
    <s v=" 19012.6774 "/>
    <s v=" 69.653 "/>
    <x v="0"/>
    <n v="1324290"/>
    <m/>
    <m/>
    <m/>
  </r>
  <r>
    <x v="15"/>
    <x v="3"/>
    <s v="F:\images\2021-CHG-ACH-Dutasteride 2\plaque 2/@03 Testo+ EE2 64/D3_02.tif "/>
    <s v=" 14989.517 "/>
    <s v=" 72.6147 "/>
    <x v="0"/>
    <n v="1088460"/>
    <m/>
    <m/>
    <m/>
  </r>
  <r>
    <x v="15"/>
    <x v="3"/>
    <s v="F:\images\2021-CHG-ACH-Dutasteride 2\plaque 2/@03 Testo+ EE2 64/D3_03.tif "/>
    <s v=" 20050.9123 "/>
    <s v=" 68.6688 "/>
    <x v="0"/>
    <n v="1376873"/>
    <m/>
    <m/>
    <m/>
  </r>
  <r>
    <x v="15"/>
    <x v="4"/>
    <s v="F:\images\2021-CHG-ACH-Dutasteride 2\plaque 2/@03 Testo+ EE2 64/E3_01.tif "/>
    <s v=" 31363.3472 "/>
    <s v=" 80.8924 "/>
    <x v="0"/>
    <n v="2537057"/>
    <m/>
    <m/>
    <m/>
  </r>
  <r>
    <x v="15"/>
    <x v="4"/>
    <s v="F:\images\2021-CHG-ACH-Dutasteride 2\plaque 2/@03 Testo+ EE2 64/E3_02.tif "/>
    <s v=" 38868.9206 "/>
    <s v=" 70.054 "/>
    <x v="0"/>
    <n v="2722923"/>
    <m/>
    <m/>
    <m/>
  </r>
  <r>
    <x v="15"/>
    <x v="4"/>
    <s v="F:\images\2021-CHG-ACH-Dutasteride 2\plaque 2/@03 Testo+ EE2 64/E3_03.tif "/>
    <s v=" 35191.8386 "/>
    <s v=" 68.9398 "/>
    <x v="0"/>
    <n v="2426117"/>
    <m/>
    <m/>
    <m/>
  </r>
  <r>
    <x v="15"/>
    <x v="5"/>
    <s v="F:\images\2021-CHG-ACH-Dutasteride 2\plaque 2/@03 Testo+ EE2 64/F3_01.tif "/>
    <s v=" 46396.124 "/>
    <s v=" 77.3818 "/>
    <x v="0"/>
    <n v="3590216"/>
    <m/>
    <m/>
    <m/>
  </r>
  <r>
    <x v="15"/>
    <x v="5"/>
    <s v="F:\images\2021-CHG-ACH-Dutasteride 2\plaque 2/@03 Testo+ EE2 64/F3_02.tif "/>
    <s v=" 35429.7674 "/>
    <s v=" 79.4219 "/>
    <x v="0"/>
    <n v="2813898"/>
    <m/>
    <m/>
    <m/>
  </r>
  <r>
    <x v="15"/>
    <x v="5"/>
    <s v="F:\images\2021-CHG-ACH-Dutasteride 2\plaque 2/@03 Testo+ EE2 64/F3_03.tif "/>
    <s v=" 30736.0803 "/>
    <s v=" 72.9374 "/>
    <x v="0"/>
    <n v="2241809"/>
    <m/>
    <m/>
    <m/>
  </r>
  <r>
    <x v="15"/>
    <x v="6"/>
    <s v="F:\images\2021-CHG-ACH-Dutasteride 2\plaque 2/@03 Testo+ EE2 64/G3_01.tif "/>
    <s v=" 76483.3074 "/>
    <s v=" 78.1883 "/>
    <x v="0"/>
    <n v="5980103"/>
    <m/>
    <m/>
    <m/>
  </r>
  <r>
    <x v="15"/>
    <x v="6"/>
    <s v="F:\images\2021-CHG-ACH-Dutasteride 2\plaque 2/@03 Testo+ EE2 64/G3_02.tif "/>
    <s v=" 61061.1925 "/>
    <s v=" 79.5112 "/>
    <x v="0"/>
    <n v="4855046"/>
    <m/>
    <m/>
    <m/>
  </r>
  <r>
    <x v="15"/>
    <x v="6"/>
    <s v="F:\images\2021-CHG-ACH-Dutasteride 2\plaque 2/@03 Testo+ EE2 64/G3_03.tif "/>
    <s v=" 66966.1538 "/>
    <s v=" 79.0946 "/>
    <x v="0"/>
    <n v="5296664"/>
    <m/>
    <m/>
    <m/>
  </r>
  <r>
    <x v="15"/>
    <x v="7"/>
    <s v="F:\images\2021-CHG-ACH-Dutasteride 2\plaque 2/@03 Testo+ EE2 64/H3_01.tif "/>
    <s v=" 12134.3709 "/>
    <s v=" 72.3244 "/>
    <x v="0"/>
    <n v="877611"/>
    <m/>
    <m/>
    <m/>
  </r>
  <r>
    <x v="15"/>
    <x v="7"/>
    <s v="F:\images\2021-CHG-ACH-Dutasteride 2\plaque 2/@03 Testo+ EE2 64/H3_02.tif "/>
    <s v=" 10144.4206 "/>
    <s v=" 71.7079 "/>
    <x v="0"/>
    <n v="727435"/>
    <m/>
    <m/>
    <m/>
  </r>
  <r>
    <x v="15"/>
    <x v="7"/>
    <s v="F:\images\2021-CHG-ACH-Dutasteride 2\plaque 2/@03 Testo+ EE2 64/H3_03.tif "/>
    <s v=" 12329.0399 "/>
    <s v=" 71.6035 "/>
    <x v="0"/>
    <n v="882803"/>
    <m/>
    <m/>
    <m/>
  </r>
  <r>
    <x v="1"/>
    <x v="8"/>
    <s v=" "/>
    <m/>
    <m/>
    <x v="1"/>
    <m/>
    <m/>
    <m/>
    <m/>
  </r>
  <r>
    <x v="1"/>
    <x v="8"/>
    <s v="group "/>
    <s v=" "/>
    <s v=" mean of mean fluo "/>
    <x v="2"/>
    <s v=" mean of total fluo "/>
    <s v=" SD total fluo "/>
    <s v=" n fluorescent "/>
    <s v=" n total"/>
  </r>
  <r>
    <x v="15"/>
    <x v="9"/>
    <s v="F:\images\2021-CHG-ACH-Dutasteride 2\plaque 2/@03 Testo+ EE2 64/ "/>
    <s v=" "/>
    <s v=" 74.0868 "/>
    <x v="17"/>
    <s v=" 2128674.58 "/>
    <s v=" 1522112.7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CHG-ACH-Dutasteride 2\plaque 2/@04 Testo+ FAD/A4_01.tif "/>
    <s v=" 302.8185 "/>
    <s v=" 64.8571 "/>
    <x v="0"/>
    <n v="19640"/>
    <m/>
    <m/>
    <m/>
  </r>
  <r>
    <x v="16"/>
    <x v="0"/>
    <s v="F:\images\2021-CHG-ACH-Dutasteride 2\plaque 2/@04 Testo+ FAD/A4_02.tif "/>
    <s v=" 367.7082 "/>
    <n v="64"/>
    <x v="0"/>
    <n v="23533"/>
    <m/>
    <m/>
    <m/>
  </r>
  <r>
    <x v="16"/>
    <x v="0"/>
    <s v="F:\images\2021-CHG-ACH-Dutasteride 2\plaque 2/@04 Testo+ FAD/A4_03.tif "/>
    <s v=" 281.1886 "/>
    <s v=" 65.7692 "/>
    <x v="0"/>
    <n v="18494"/>
    <m/>
    <m/>
    <m/>
  </r>
  <r>
    <x v="16"/>
    <x v="1"/>
    <s v="F:\images\2021-CHG-ACH-Dutasteride 2\plaque 2/@04 Testo+ FAD/B4_01.tif "/>
    <s v=" 1211.2741 "/>
    <s v=" 66.4643 "/>
    <x v="0"/>
    <n v="80506"/>
    <m/>
    <m/>
    <m/>
  </r>
  <r>
    <x v="16"/>
    <x v="1"/>
    <s v="F:\images\2021-CHG-ACH-Dutasteride 2\plaque 2/@04 Testo+ FAD/B4_02.tif "/>
    <s v=" 865.1958 "/>
    <s v=" 65.3 "/>
    <x v="0"/>
    <n v="56497"/>
    <m/>
    <m/>
    <m/>
  </r>
  <r>
    <x v="16"/>
    <x v="1"/>
    <s v="F:\images\2021-CHG-ACH-Dutasteride 2\plaque 2/@04 Testo+ FAD/B4_03- exclu.tif"/>
    <m/>
    <m/>
    <x v="1"/>
    <m/>
    <m/>
    <m/>
    <m/>
  </r>
  <r>
    <x v="16"/>
    <x v="2"/>
    <s v="F:\images\2021-CHG-ACH-Dutasteride 2\plaque 2/@04 Testo+ FAD/C4_01.tif "/>
    <s v=" 1622.2421 "/>
    <s v=" 65.48 "/>
    <x v="0"/>
    <n v="106224"/>
    <m/>
    <m/>
    <m/>
  </r>
  <r>
    <x v="16"/>
    <x v="2"/>
    <s v="F:\images\2021-CHG-ACH-Dutasteride 2\plaque 2/@04 Testo+ FAD/C4_02.tif "/>
    <s v=" 973.3453 "/>
    <s v=" 67.2444 "/>
    <x v="0"/>
    <n v="65452"/>
    <m/>
    <m/>
    <m/>
  </r>
  <r>
    <x v="16"/>
    <x v="2"/>
    <s v="F:\images\2021-CHG-ACH-Dutasteride 2\plaque 2/@04 Testo+ FAD/C4_03.tif "/>
    <s v=" 930.0855 "/>
    <s v=" 64.7442 "/>
    <x v="0"/>
    <n v="60218"/>
    <m/>
    <m/>
    <m/>
  </r>
  <r>
    <x v="16"/>
    <x v="3"/>
    <s v="F:\images\2021-CHG-ACH-Dutasteride 2\plaque 2/@04 Testo+ FAD/D4_01.tif "/>
    <s v=" 3850.1212 "/>
    <s v=" 67.3146 "/>
    <x v="0"/>
    <n v="259169"/>
    <m/>
    <m/>
    <m/>
  </r>
  <r>
    <x v="16"/>
    <x v="3"/>
    <s v="F:\images\2021-CHG-ACH-Dutasteride 2\plaque 2/@04 Testo+ FAD/D4_02.tif "/>
    <s v=" 2963.2956 "/>
    <s v=" 67.6934 "/>
    <x v="0"/>
    <n v="200596"/>
    <m/>
    <m/>
    <m/>
  </r>
  <r>
    <x v="16"/>
    <x v="3"/>
    <s v="F:\images\2021-CHG-ACH-Dutasteride 2\plaque 2/@04 Testo+ FAD/D4_03.tif "/>
    <s v=" 2595.5874 "/>
    <s v=" 65.55 "/>
    <x v="0"/>
    <n v="170141"/>
    <m/>
    <m/>
    <m/>
  </r>
  <r>
    <x v="16"/>
    <x v="4"/>
    <s v="F:\images\2021-CHG-ACH-Dutasteride 2\plaque 2/@04 Testo+ FAD/E4_01.tif "/>
    <s v=" 5450.7334 "/>
    <s v=" 67.3452 "/>
    <x v="0"/>
    <n v="367081"/>
    <m/>
    <m/>
    <m/>
  </r>
  <r>
    <x v="16"/>
    <x v="4"/>
    <s v="F:\images\2021-CHG-ACH-Dutasteride 2\plaque 2/@04 Testo+ FAD/E4_02.tif "/>
    <s v=" 3871.7511 "/>
    <s v=" 65.8156 "/>
    <x v="0"/>
    <n v="254822"/>
    <m/>
    <m/>
    <m/>
  </r>
  <r>
    <x v="16"/>
    <x v="4"/>
    <s v="F:\images\2021-CHG-ACH-Dutasteride 2\plaque 2/@04 Testo+ FAD/E4_03.tif "/>
    <s v=" 2746.9966 "/>
    <s v=" 67.2756 "/>
    <x v="0"/>
    <n v="184806"/>
    <m/>
    <m/>
    <m/>
  </r>
  <r>
    <x v="16"/>
    <x v="5"/>
    <s v="F:\images\2021-CHG-ACH-Dutasteride 2\plaque 2/@04 Testo+ FAD/F4_01.tif "/>
    <s v=" 3093.0749 "/>
    <s v=" 69.1678 "/>
    <x v="0"/>
    <n v="213941"/>
    <m/>
    <m/>
    <m/>
  </r>
  <r>
    <x v="16"/>
    <x v="5"/>
    <s v="F:\images\2021-CHG-ACH-Dutasteride 2\plaque 2/@04 Testo+ FAD/F4_02.tif "/>
    <s v=" 3655.4522 "/>
    <s v=" 72.3609 "/>
    <x v="0"/>
    <n v="264512"/>
    <m/>
    <m/>
    <m/>
  </r>
  <r>
    <x v="16"/>
    <x v="5"/>
    <s v="F:\images\2021-CHG-ACH-Dutasteride 2\plaque 2/@04 Testo+ FAD/F4_03.tif "/>
    <s v=" 3720.3419 "/>
    <s v=" 70.8547 "/>
    <x v="0"/>
    <n v="263604"/>
    <m/>
    <m/>
    <m/>
  </r>
  <r>
    <x v="16"/>
    <x v="6"/>
    <s v="F:\images\2021-CHG-ACH-Dutasteride 2\plaque 2/@04 Testo+ FAD/G4_01.tif "/>
    <s v=" 1643.872 "/>
    <s v=" 68.5395 "/>
    <x v="0"/>
    <n v="112670"/>
    <m/>
    <m/>
    <m/>
  </r>
  <r>
    <x v="16"/>
    <x v="6"/>
    <s v="F:\images\2021-CHG-ACH-Dutasteride 2\plaque 2/@04 Testo+ FAD/G4_02.tif "/>
    <s v=" 3504.0429 "/>
    <s v=" 67.5494 "/>
    <x v="0"/>
    <n v="236696"/>
    <m/>
    <m/>
    <m/>
  </r>
  <r>
    <x v="16"/>
    <x v="6"/>
    <s v="F:\images\2021-CHG-ACH-Dutasteride 2\plaque 2/@04 Testo+ FAD/G4_03.tif "/>
    <s v=" 692.1566 "/>
    <s v=" 66.3438 "/>
    <x v="0"/>
    <n v="45920"/>
    <m/>
    <m/>
    <m/>
  </r>
  <r>
    <x v="16"/>
    <x v="7"/>
    <s v="F:\images\2021-CHG-ACH-Dutasteride 2\plaque 2/@04 Testo+ FAD/H4_01.tif "/>
    <s v=" 1687.1318 "/>
    <s v=" 64.7949 "/>
    <x v="0"/>
    <n v="109317"/>
    <m/>
    <m/>
    <m/>
  </r>
  <r>
    <x v="16"/>
    <x v="7"/>
    <s v="F:\images\2021-CHG-ACH-Dutasteride 2\plaque 2/@04 Testo+ FAD/H4_02.tif "/>
    <s v=" 757.0463 "/>
    <s v=" 62.3429 "/>
    <x v="0"/>
    <n v="47196"/>
    <m/>
    <m/>
    <m/>
  </r>
  <r>
    <x v="16"/>
    <x v="7"/>
    <s v="F:\images\2021-CHG-ACH-Dutasteride 2\plaque 2/@04 Testo+ FAD/H4_03.tif "/>
    <s v=" 2400.9183 "/>
    <s v=" 66.2432 "/>
    <x v="0"/>
    <n v="159045"/>
    <m/>
    <m/>
    <m/>
  </r>
  <r>
    <x v="1"/>
    <x v="8"/>
    <s v=" "/>
    <m/>
    <m/>
    <x v="1"/>
    <m/>
    <m/>
    <m/>
    <m/>
  </r>
  <r>
    <x v="1"/>
    <x v="8"/>
    <s v="group "/>
    <s v=" "/>
    <s v=" mean of mean fluo "/>
    <x v="2"/>
    <s v=" mean of total fluo "/>
    <s v=" SD total fluo "/>
    <s v=" n fluorescent "/>
    <s v=" n total"/>
  </r>
  <r>
    <x v="16"/>
    <x v="9"/>
    <s v="F:\images\2021-CHG-ACH-Dutasteride 2\plaque 2/@04 Testo+ FAD/ "/>
    <s v=" "/>
    <s v=" 66.5874 "/>
    <x v="18"/>
    <s v=" 144609.333 "/>
    <s v=" 97053.122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CHG-ACH-Dutasteride 2\plaque 2/@05 Dutastéride 0.01mg_L Dopé/A5_01.tif "/>
    <s v=" 19877.8732 "/>
    <s v=" 66.0435 "/>
    <x v="0"/>
    <n v="1312805"/>
    <m/>
    <m/>
    <m/>
  </r>
  <r>
    <x v="17"/>
    <x v="0"/>
    <s v="F:\images\2021-CHG-ACH-Dutasteride 2\plaque 2/@05 Dutastéride 0.01mg_L Dopé/A5_02.tif "/>
    <s v=" 19531.7948 "/>
    <s v=" 65.6833 "/>
    <x v="0"/>
    <n v="1282912"/>
    <m/>
    <m/>
    <m/>
  </r>
  <r>
    <x v="17"/>
    <x v="0"/>
    <s v="F:\images\2021-CHG-ACH-Dutasteride 2\plaque 2/@05 Dutastéride 0.01mg_L Dopé/A5_03.tif "/>
    <s v=" 20656.5494 "/>
    <s v=" 65.4817 "/>
    <x v="0"/>
    <n v="1352625"/>
    <m/>
    <m/>
    <m/>
  </r>
  <r>
    <x v="17"/>
    <x v="1"/>
    <s v="F:\images\2021-CHG-ACH-Dutasteride 2\plaque 2/@05 Dutastéride 0.01mg_L Dopé/B5_01- exclu.tif"/>
    <m/>
    <m/>
    <x v="1"/>
    <m/>
    <m/>
    <m/>
    <m/>
  </r>
  <r>
    <x v="17"/>
    <x v="1"/>
    <s v="F:\images\2021-CHG-ACH-Dutasteride 2\plaque 2/@05 Dutastéride 0.01mg_L Dopé/B5_02.tif "/>
    <s v=" 2595.5874 "/>
    <s v=" 66.3083 "/>
    <x v="0"/>
    <n v="172109"/>
    <m/>
    <m/>
    <m/>
  </r>
  <r>
    <x v="17"/>
    <x v="1"/>
    <s v="F:\images\2021-CHG-ACH-Dutasteride 2\plaque 2/@05 Dutastéride 0.01mg_L Dopé/B5_03.tif "/>
    <s v=" 886.8257 "/>
    <s v=" 62.6098 "/>
    <x v="0"/>
    <n v="55524"/>
    <m/>
    <m/>
    <m/>
  </r>
  <r>
    <x v="17"/>
    <x v="2"/>
    <s v="F:\images\2021-CHG-ACH-Dutasteride 2\plaque 2/@05 Dutastéride 0.01mg_L Dopé/C5_01.tif "/>
    <s v=" 3309.3739 "/>
    <s v=" 67.3725 "/>
    <x v="0"/>
    <n v="222961"/>
    <m/>
    <m/>
    <m/>
  </r>
  <r>
    <x v="17"/>
    <x v="2"/>
    <s v="F:\images\2021-CHG-ACH-Dutasteride 2\plaque 2/@05 Dutastéride 0.01mg_L Dopé/C5_02.tif "/>
    <s v=" 2595.5874 "/>
    <s v=" 64.85 "/>
    <x v="0"/>
    <n v="168324"/>
    <m/>
    <m/>
    <m/>
  </r>
  <r>
    <x v="17"/>
    <x v="2"/>
    <s v="F:\images\2021-CHG-ACH-Dutasteride 2\plaque 2/@05 Dutastéride 0.01mg_L Dopé/C5_03.tif "/>
    <s v=" 1968.3204 "/>
    <s v=" 66.4725 "/>
    <x v="0"/>
    <n v="130839"/>
    <m/>
    <m/>
    <m/>
  </r>
  <r>
    <x v="17"/>
    <x v="3"/>
    <s v="F:\images\2021-CHG-ACH-Dutasteride 2\plaque 2/@05 Dutastéride 0.01mg_L Dopé/D5_01.tif "/>
    <s v=" 15746.5633 "/>
    <s v=" 69.8723 "/>
    <x v="0"/>
    <n v="1100248"/>
    <m/>
    <m/>
    <m/>
  </r>
  <r>
    <x v="17"/>
    <x v="3"/>
    <s v="F:\images\2021-CHG-ACH-Dutasteride 2\plaque 2/@05 Dutastéride 0.01mg_L Dopé/D5_02.tif "/>
    <s v=" 5883.3313 "/>
    <s v=" 64.8713 "/>
    <x v="0"/>
    <n v="381659"/>
    <m/>
    <m/>
    <m/>
  </r>
  <r>
    <x v="17"/>
    <x v="3"/>
    <s v="F:\images\2021-CHG-ACH-Dutasteride 2\plaque 2/@05 Dutastéride 0.01mg_L Dopé/D5_03.tif "/>
    <s v=" 14189.2109 "/>
    <s v=" 69.3841 "/>
    <x v="0"/>
    <n v="984506"/>
    <m/>
    <m/>
    <m/>
  </r>
  <r>
    <x v="17"/>
    <x v="4"/>
    <s v="F:\images\2021-CHG-ACH-Dutasteride 2\plaque 2/@05 Dutastéride 0.01mg_L Dopé/E5_01.tif "/>
    <s v=" 42199.9244 "/>
    <s v=" 74.9554 "/>
    <x v="0"/>
    <n v="3163113"/>
    <m/>
    <m/>
    <m/>
  </r>
  <r>
    <x v="17"/>
    <x v="4"/>
    <s v="F:\images\2021-CHG-ACH-Dutasteride 2\plaque 2/@05 Dutastéride 0.01mg_L Dopé/E5_02.tif "/>
    <s v=" 40750.7215 "/>
    <s v=" 74.3885 "/>
    <x v="0"/>
    <n v="3031386"/>
    <m/>
    <m/>
    <m/>
  </r>
  <r>
    <x v="17"/>
    <x v="4"/>
    <s v="F:\images\2021-CHG-ACH-Dutasteride 2\plaque 2/@05 Dutastéride 0.01mg_L Dopé/E5_03.tif "/>
    <s v=" 38349.8032 "/>
    <s v=" 73.7986 "/>
    <x v="0"/>
    <n v="2830164"/>
    <m/>
    <m/>
    <m/>
  </r>
  <r>
    <x v="17"/>
    <x v="5"/>
    <s v="F:\images\2021-CHG-ACH-Dutasteride 2\plaque 2/@05 Dutastéride 0.01mg_L Dopé/F5_01.tif "/>
    <s v=" 51414.2595 "/>
    <s v=" 73.7577 "/>
    <x v="0"/>
    <n v="3792196"/>
    <m/>
    <m/>
    <m/>
  </r>
  <r>
    <x v="17"/>
    <x v="5"/>
    <s v="F:\images\2021-CHG-ACH-Dutasteride 2\plaque 2/@05 Dutastéride 0.01mg_L Dopé/F5_02.tif "/>
    <s v=" 44146.6149 "/>
    <s v=" 72.3444 "/>
    <x v="0"/>
    <n v="3193762"/>
    <m/>
    <m/>
    <m/>
  </r>
  <r>
    <x v="17"/>
    <x v="5"/>
    <s v="F:\images\2021-CHG-ACH-Dutasteride 2\plaque 2/@05 Dutastéride 0.01mg_L Dopé/F5_03.tif "/>
    <s v=" 44492.6933 "/>
    <s v=" 73.0384 "/>
    <x v="0"/>
    <n v="3249675"/>
    <m/>
    <m/>
    <m/>
  </r>
  <r>
    <x v="17"/>
    <x v="6"/>
    <s v="F:\images\2021-CHG-ACH-Dutasteride 2\plaque 2/@05 Dutastéride 0.01mg_L Dopé/G5_01.tif "/>
    <s v=" 23771.2542 "/>
    <s v=" 67.9554 "/>
    <x v="0"/>
    <n v="1615385"/>
    <m/>
    <m/>
    <m/>
  </r>
  <r>
    <x v="17"/>
    <x v="6"/>
    <s v="F:\images\2021-CHG-ACH-Dutasteride 2\plaque 2/@05 Dutastéride 0.01mg_L Dopé/G5_02.tif "/>
    <s v=" 29070.5784 "/>
    <s v=" 75.1466 "/>
    <x v="0"/>
    <n v="2184554"/>
    <m/>
    <m/>
    <m/>
  </r>
  <r>
    <x v="17"/>
    <x v="6"/>
    <s v="F:\images\2021-CHG-ACH-Dutasteride 2\plaque 2/@05 Dutastéride 0.01mg_L Dopé/G5_03.tif "/>
    <s v=" 26929.2188 "/>
    <s v=" 71.9743 "/>
    <x v="0"/>
    <n v="1938212"/>
    <m/>
    <m/>
    <m/>
  </r>
  <r>
    <x v="17"/>
    <x v="7"/>
    <s v="F:\images\2021-CHG-ACH-Dutasteride 2\plaque 2/@05 Dutastéride 0.01mg_L Dopé/H5_01.tif "/>
    <s v=" 1600.6122 "/>
    <s v=" 63.7432 "/>
    <x v="0"/>
    <n v="102028"/>
    <m/>
    <m/>
    <m/>
  </r>
  <r>
    <x v="17"/>
    <x v="7"/>
    <s v="F:\images\2021-CHG-ACH-Dutasteride 2\plaque 2/@05 Dutastéride 0.01mg_L Dopé/H5_02.tif "/>
    <s v=" 627.2669 "/>
    <s v=" 63.6207 "/>
    <x v="0"/>
    <n v="39907"/>
    <m/>
    <m/>
    <m/>
  </r>
  <r>
    <x v="17"/>
    <x v="7"/>
    <s v="F:\images\2021-CHG-ACH-Dutasteride 2\plaque 2/@05 Dutastéride 0.01mg_L Dopé/H5_03.tif "/>
    <s v=" 1687.1318 "/>
    <s v=" 63.8718 "/>
    <x v="0"/>
    <n v="107760"/>
    <m/>
    <m/>
    <m/>
  </r>
  <r>
    <x v="1"/>
    <x v="8"/>
    <s v=" "/>
    <m/>
    <m/>
    <x v="1"/>
    <m/>
    <m/>
    <m/>
    <m/>
  </r>
  <r>
    <x v="1"/>
    <x v="8"/>
    <s v="group "/>
    <s v=" "/>
    <s v=" mean of mean fluo "/>
    <x v="2"/>
    <s v=" mean of total fluo "/>
    <s v=" SD total fluo "/>
    <s v=" n fluorescent "/>
    <s v=" n total"/>
  </r>
  <r>
    <x v="17"/>
    <x v="9"/>
    <s v="F:\images\2021-CHG-ACH-Dutasteride 2\plaque 2/@05 Dutastéride 0.01mg_L Dopé/ "/>
    <s v=" "/>
    <s v=" 68.3873 "/>
    <x v="19"/>
    <s v=" 1352135.96 "/>
    <s v=" 1273183.3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CHG-ACH-Dutasteride 2\plaque 2/@06 Dutastéride 0.1mg_L Dopé/A6_01.tif "/>
    <s v=" 865.1958 "/>
    <s v=" 63.675 "/>
    <x v="0"/>
    <n v="55091"/>
    <m/>
    <m/>
    <m/>
  </r>
  <r>
    <x v="18"/>
    <x v="0"/>
    <s v="F:\images\2021-CHG-ACH-Dutasteride 2\plaque 2/@06 Dutastéride 0.1mg_L Dopé/A6_02.tif "/>
    <s v=" 886.8257 "/>
    <s v=" 65.5854 "/>
    <x v="0"/>
    <n v="58163"/>
    <m/>
    <m/>
    <m/>
  </r>
  <r>
    <x v="18"/>
    <x v="0"/>
    <s v="F:\images\2021-CHG-ACH-Dutasteride 2\plaque 2/@06 Dutastéride 0.1mg_L Dopé/A6_03.tif "/>
    <s v=" 1081.4947 "/>
    <s v=" 64.02 "/>
    <x v="0"/>
    <n v="69237"/>
    <m/>
    <m/>
    <m/>
  </r>
  <r>
    <x v="18"/>
    <x v="1"/>
    <s v="F:\images\2021-CHG-ACH-Dutasteride 2\plaque 2/@06 Dutastéride 0.1mg_L Dopé/B6_01.tif "/>
    <s v=" 2033.2101 "/>
    <s v=" 65.6383 "/>
    <x v="0"/>
    <n v="133456"/>
    <m/>
    <m/>
    <m/>
  </r>
  <r>
    <x v="18"/>
    <x v="1"/>
    <s v="F:\images\2021-CHG-ACH-Dutasteride 2\plaque 2/@06 Dutastéride 0.1mg_L Dopé/B6_02.tif "/>
    <s v=" 994.9752 "/>
    <s v=" 65.8913 "/>
    <x v="0"/>
    <n v="65560"/>
    <m/>
    <m/>
    <m/>
  </r>
  <r>
    <x v="18"/>
    <x v="1"/>
    <s v="F:\images\2021-CHG-ACH-Dutasteride 2\plaque 2/@06 Dutastéride 0.1mg_L Dopé/B6_03.tif "/>
    <s v=" 1427.573 "/>
    <s v=" 65.3485 "/>
    <x v="0"/>
    <n v="93290"/>
    <m/>
    <m/>
    <m/>
  </r>
  <r>
    <x v="18"/>
    <x v="2"/>
    <s v="F:\images\2021-CHG-ACH-Dutasteride 2\plaque 2/@06 Dutastéride 0.1mg_L Dopé/C6_01.tif "/>
    <s v=" 40577.6823 "/>
    <s v=" 72.3204 "/>
    <x v="0"/>
    <n v="2934593"/>
    <m/>
    <m/>
    <m/>
  </r>
  <r>
    <x v="18"/>
    <x v="2"/>
    <s v="F:\images\2021-CHG-ACH-Dutasteride 2\plaque 2/@06 Dutastéride 0.1mg_L Dopé/C6_02.tif "/>
    <s v=" 28551.4609 "/>
    <s v=" 71.8083 "/>
    <x v="0"/>
    <n v="2050233"/>
    <m/>
    <m/>
    <m/>
  </r>
  <r>
    <x v="18"/>
    <x v="2"/>
    <s v="F:\images\2021-CHG-ACH-Dutasteride 2\plaque 2/@06 Dutastéride 0.1mg_L Dopé/C6_03.tif "/>
    <s v=" 37354.828 "/>
    <s v=" 71.4615 "/>
    <x v="0"/>
    <n v="2669432"/>
    <m/>
    <m/>
    <m/>
  </r>
  <r>
    <x v="18"/>
    <x v="3"/>
    <s v="F:\images\2021-CHG-ACH-Dutasteride 2\plaque 2/@06 Dutastéride 0.1mg_L Dopé/D6_01.tif "/>
    <s v=" 5493.9932 "/>
    <s v=" 66.9882 "/>
    <x v="0"/>
    <n v="368033"/>
    <m/>
    <m/>
    <m/>
  </r>
  <r>
    <x v="18"/>
    <x v="3"/>
    <s v="F:\images\2021-CHG-ACH-Dutasteride 2\plaque 2/@06 Dutastéride 0.1mg_L Dopé/D6_02.tif "/>
    <s v=" 7181.125 "/>
    <s v=" 65.7952 "/>
    <x v="0"/>
    <n v="472483"/>
    <m/>
    <m/>
    <m/>
  </r>
  <r>
    <x v="18"/>
    <x v="3"/>
    <s v="F:\images\2021-CHG-ACH-Dutasteride 2\plaque 2/@06 Dutastéride 0.1mg_L Dopé/D6_03.tif "/>
    <s v=" 8565.4383 "/>
    <s v=" 66.0278 "/>
    <x v="0"/>
    <n v="565557"/>
    <m/>
    <m/>
    <m/>
  </r>
  <r>
    <x v="18"/>
    <x v="4"/>
    <s v="F:\images\2021-CHG-ACH-Dutasteride 2\plaque 2/@06 Dutastéride 0.1mg_L Dopé/E6_01.tif "/>
    <s v=" 2227.8791 "/>
    <s v=" 64.2136 "/>
    <x v="0"/>
    <n v="143060"/>
    <m/>
    <m/>
    <m/>
  </r>
  <r>
    <x v="18"/>
    <x v="4"/>
    <s v="F:\images\2021-CHG-ACH-Dutasteride 2\plaque 2/@06 Dutastéride 0.1mg_L Dopé/E6_02.tif "/>
    <s v=" 2963.2956 "/>
    <s v=" 63.8613 "/>
    <x v="0"/>
    <n v="189240"/>
    <m/>
    <m/>
    <m/>
  </r>
  <r>
    <x v="18"/>
    <x v="4"/>
    <s v="F:\images\2021-CHG-ACH-Dutasteride 2\plaque 2/@06 Dutastéride 0.1mg_L Dopé/E6_03.tif "/>
    <s v=" 4369.2387 "/>
    <s v=" 63.7871 "/>
    <x v="0"/>
    <n v="278701"/>
    <m/>
    <m/>
    <m/>
  </r>
  <r>
    <x v="18"/>
    <x v="5"/>
    <s v="F:\images\2021-CHG-ACH-Dutasteride 2\plaque 2/@06 Dutastéride 0.1mg_L Dopé/F6_01.tif "/>
    <s v=" 36381.4828 "/>
    <s v=" 71.6546 "/>
    <x v="0"/>
    <n v="2606900"/>
    <m/>
    <m/>
    <m/>
  </r>
  <r>
    <x v="18"/>
    <x v="5"/>
    <s v="F:\images\2021-CHG-ACH-Dutasteride 2\plaque 2/@06 Dutastéride 0.1mg_L Dopé/F6_02.tif "/>
    <s v=" 34499.6819 "/>
    <s v=" 71.0376 "/>
    <x v="0"/>
    <n v="2450775"/>
    <m/>
    <m/>
    <m/>
  </r>
  <r>
    <x v="18"/>
    <x v="5"/>
    <s v="F:\images\2021-CHG-ACH-Dutasteride 2\plaque 2/@06 Dutastéride 0.1mg_L Dopé/F6_03.tif "/>
    <s v=" 39020.3299 "/>
    <s v=" 72.418 "/>
    <x v="0"/>
    <n v="2825773"/>
    <m/>
    <m/>
    <m/>
  </r>
  <r>
    <x v="18"/>
    <x v="6"/>
    <s v="F:\images\2021-CHG-ACH-Dutasteride 2\plaque 2/@06 Dutastéride 0.1mg_L Dopé/G6_01.tif "/>
    <s v=" 16114.2715 "/>
    <s v=" 69.6832 "/>
    <x v="0"/>
    <n v="1122894"/>
    <m/>
    <m/>
    <m/>
  </r>
  <r>
    <x v="18"/>
    <x v="6"/>
    <s v="F:\images\2021-CHG-ACH-Dutasteride 2\plaque 2/@06 Dutastéride 0.1mg_L Dopé/G6_02.tif "/>
    <s v=" 14989.517 "/>
    <s v=" 68.8009 "/>
    <x v="0"/>
    <n v="1031292"/>
    <m/>
    <m/>
    <m/>
  </r>
  <r>
    <x v="18"/>
    <x v="6"/>
    <s v="F:\images\2021-CHG-ACH-Dutasteride 2\plaque 2/@06 Dutastéride 0.1mg_L Dopé/G6_03.tif "/>
    <s v=" 16027.7519 "/>
    <s v=" 67.691 "/>
    <x v="0"/>
    <n v="1084934"/>
    <m/>
    <m/>
    <m/>
  </r>
  <r>
    <x v="18"/>
    <x v="7"/>
    <s v="F:\images\2021-CHG-ACH-Dutasteride 2\plaque 2/@06 Dutastéride 0.1mg_L Dopé/H6_01.tif "/>
    <s v=" 1708.7617 "/>
    <s v=" 63.6329 "/>
    <x v="0"/>
    <n v="108733"/>
    <m/>
    <m/>
    <m/>
  </r>
  <r>
    <x v="18"/>
    <x v="7"/>
    <s v="F:\images\2021-CHG-ACH-Dutasteride 2\plaque 2/@06 Dutastéride 0.1mg_L Dopé/H6_02.tif "/>
    <s v=" 1341.0535 "/>
    <s v=" 64.0806 "/>
    <x v="0"/>
    <n v="85936"/>
    <m/>
    <m/>
    <m/>
  </r>
  <r>
    <x v="18"/>
    <x v="7"/>
    <s v="F:\images\2021-CHG-ACH-Dutasteride 2\plaque 2/@06 Dutastéride 0.1mg_L Dopé/H6_03.tif "/>
    <s v=" 2379.2884 "/>
    <s v=" 65.7455 "/>
    <x v="0"/>
    <n v="156427"/>
    <m/>
    <m/>
    <m/>
  </r>
  <r>
    <x v="1"/>
    <x v="8"/>
    <s v=" "/>
    <m/>
    <m/>
    <x v="1"/>
    <m/>
    <m/>
    <m/>
    <m/>
  </r>
  <r>
    <x v="1"/>
    <x v="8"/>
    <s v="group "/>
    <s v=" "/>
    <s v=" mean of mean fluo "/>
    <x v="2"/>
    <s v=" mean of total fluo "/>
    <s v=" SD total fluo "/>
    <s v=" n fluorescent "/>
    <s v=" n total"/>
  </r>
  <r>
    <x v="18"/>
    <x v="9"/>
    <s v="F:\images\2021-CHG-ACH-Dutasteride 2\plaque 2/@06 Dutastéride 0.1mg_L Dopé/ "/>
    <s v=" "/>
    <s v=" 67.1319 "/>
    <x v="20"/>
    <s v=" 900824.708 "/>
    <s v=" 1056089.2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CHG-ACH-Dutasteride 2\plaque 2/@07  Dutastéride 0.25mg_L Dopé/A7_01.tif "/>
    <s v=" 713.7865 "/>
    <s v=" 63.5455 "/>
    <x v="0"/>
    <n v="45358"/>
    <m/>
    <m/>
    <m/>
  </r>
  <r>
    <x v="19"/>
    <x v="0"/>
    <s v="F:\images\2021-CHG-ACH-Dutasteride 2\plaque 2/@07  Dutastéride 0.25mg_L Dopé/A7_02.tif "/>
    <s v=" 713.7865 "/>
    <s v=" 63.0606 "/>
    <x v="0"/>
    <n v="45012"/>
    <m/>
    <m/>
    <m/>
  </r>
  <r>
    <x v="19"/>
    <x v="0"/>
    <s v="F:\images\2021-CHG-ACH-Dutasteride 2\plaque 2/@07  Dutastéride 0.25mg_L Dopé/A7_03.tif "/>
    <s v=" 519.1175 "/>
    <s v=" 62.4583 "/>
    <x v="0"/>
    <n v="32423"/>
    <m/>
    <m/>
    <m/>
  </r>
  <r>
    <x v="19"/>
    <x v="1"/>
    <s v="F:\images\2021-CHG-ACH-Dutasteride 2\plaque 2/@07  Dutastéride 0.25mg_L Dopé/B7_01- exclu.tif"/>
    <m/>
    <m/>
    <x v="1"/>
    <m/>
    <m/>
    <m/>
    <m/>
  </r>
  <r>
    <x v="19"/>
    <x v="1"/>
    <s v="F:\images\2021-CHG-ACH-Dutasteride 2\plaque 2/@07  Dutastéride 0.25mg_L Dopé/B7_02.tif "/>
    <s v=" 6662.0075 "/>
    <s v=" 69.263 "/>
    <x v="0"/>
    <n v="461431"/>
    <m/>
    <m/>
    <m/>
  </r>
  <r>
    <x v="19"/>
    <x v="1"/>
    <s v="F:\images\2021-CHG-ACH-Dutasteride 2\plaque 2/@07  Dutastéride 0.25mg_L Dopé/B7_03.tif "/>
    <s v=" 151.4093 "/>
    <s v=" 65.1429 "/>
    <x v="0"/>
    <n v="9863"/>
    <m/>
    <m/>
    <m/>
  </r>
  <r>
    <x v="19"/>
    <x v="2"/>
    <s v="F:\images\2021-CHG-ACH-Dutasteride 2\plaque 2/@07  Dutastéride 0.25mg_L Dopé/C7_01.tif "/>
    <s v=" 26626.4003 "/>
    <s v=" 70.4509 "/>
    <x v="0"/>
    <n v="1875853"/>
    <m/>
    <m/>
    <m/>
  </r>
  <r>
    <x v="19"/>
    <x v="2"/>
    <s v="F:\images\2021-CHG-ACH-Dutasteride 2\plaque 2/@07  Dutastéride 0.25mg_L Dopé/C7_02.tif "/>
    <s v=" 22062.4925 "/>
    <s v=" 68.2716 "/>
    <x v="0"/>
    <n v="1506241"/>
    <m/>
    <m/>
    <m/>
  </r>
  <r>
    <x v="19"/>
    <x v="2"/>
    <s v="F:\images\2021-CHG-ACH-Dutasteride 2\plaque 2/@07  Dutastéride 0.25mg_L Dopé/C7_03.tif "/>
    <s v=" 23576.5851 "/>
    <s v=" 67.433 "/>
    <x v="0"/>
    <n v="1589841"/>
    <m/>
    <m/>
    <m/>
  </r>
  <r>
    <x v="19"/>
    <x v="3"/>
    <s v="F:\images\2021-CHG-ACH-Dutasteride 2\plaque 2/@07  Dutastéride 0.25mg_L Dopé/D7_01.tif "/>
    <s v=" 48061.6259 "/>
    <s v=" 78.2111 "/>
    <x v="0"/>
    <n v="3758951"/>
    <m/>
    <m/>
    <m/>
  </r>
  <r>
    <x v="19"/>
    <x v="3"/>
    <s v="F:\images\2021-CHG-ACH-Dutasteride 2\plaque 2/@07  Dutastéride 0.25mg_L Dopé/D7_02.tif "/>
    <s v=" 44319.6541 "/>
    <s v=" 75.6408 "/>
    <x v="0"/>
    <n v="3352374"/>
    <m/>
    <m/>
    <m/>
  </r>
  <r>
    <x v="19"/>
    <x v="3"/>
    <s v="F:\images\2021-CHG-ACH-Dutasteride 2\plaque 2/@07  Dutastéride 0.25mg_L Dopé/D7_03.tif "/>
    <s v=" 45466.0385 "/>
    <s v=" 77.784 "/>
    <x v="0"/>
    <n v="3536531"/>
    <m/>
    <m/>
    <m/>
  </r>
  <r>
    <x v="19"/>
    <x v="4"/>
    <s v="F:\images\2021-CHG-ACH-Dutasteride 2\plaque 2/@07  Dutastéride 0.25mg_L Dopé/E7_01.tif "/>
    <s v=" 34932.2798 "/>
    <s v=" 81.2446 "/>
    <x v="0"/>
    <n v="2838058"/>
    <m/>
    <m/>
    <m/>
  </r>
  <r>
    <x v="19"/>
    <x v="4"/>
    <s v="F:\images\2021-CHG-ACH-Dutasteride 2\plaque 2/@07  Dutastéride 0.25mg_L Dopé/E7_02.tif "/>
    <s v=" 29784.3649 "/>
    <s v=" 85.9005 "/>
    <x v="0"/>
    <n v="2558492"/>
    <m/>
    <m/>
    <m/>
  </r>
  <r>
    <x v="19"/>
    <x v="4"/>
    <s v="F:\images\2021-CHG-ACH-Dutasteride 2\plaque 2/@07  Dutastéride 0.25mg_L Dopé/E7_03.tif "/>
    <s v=" 44406.1737 "/>
    <s v=" 87.0706 "/>
    <x v="0"/>
    <n v="3866473"/>
    <m/>
    <m/>
    <m/>
  </r>
  <r>
    <x v="19"/>
    <x v="5"/>
    <s v="F:\images\2021-CHG-ACH-Dutasteride 2\plaque 2/@07  Dutastéride 0.25mg_L Dopé/F7_01.tif "/>
    <s v=" 31363.3472 "/>
    <s v=" 67.7393 "/>
    <x v="0"/>
    <n v="2124532"/>
    <m/>
    <m/>
    <m/>
  </r>
  <r>
    <x v="19"/>
    <x v="5"/>
    <s v="F:\images\2021-CHG-ACH-Dutasteride 2\plaque 2/@07  Dutastéride 0.25mg_L Dopé/F7_02.tif "/>
    <s v=" 28919.1691 "/>
    <s v=" 67.6111 "/>
    <x v="0"/>
    <n v="1955256"/>
    <m/>
    <m/>
    <m/>
  </r>
  <r>
    <x v="19"/>
    <x v="5"/>
    <s v="F:\images\2021-CHG-ACH-Dutasteride 2\plaque 2/@07  Dutastéride 0.25mg_L Dopé/F7_03.tif "/>
    <s v=" 27924.194 "/>
    <s v=" 67.426 "/>
    <x v="0"/>
    <n v="1882817"/>
    <m/>
    <m/>
    <m/>
  </r>
  <r>
    <x v="19"/>
    <x v="6"/>
    <s v="F:\images\2021-CHG-ACH-Dutasteride 2\plaque 2/@07  Dutastéride 0.25mg_L Dopé/G7_01.tif "/>
    <s v=" 56929.8827 "/>
    <s v=" 81.3351 "/>
    <x v="0"/>
    <n v="4630398"/>
    <m/>
    <m/>
    <m/>
  </r>
  <r>
    <x v="19"/>
    <x v="6"/>
    <s v="F:\images\2021-CHG-ACH-Dutasteride 2\plaque 2/@07  Dutastéride 0.25mg_L Dopé/G7_02.tif "/>
    <s v=" 57578.7795 "/>
    <s v=" 79.3403 "/>
    <x v="0"/>
    <n v="4568320"/>
    <m/>
    <m/>
    <m/>
  </r>
  <r>
    <x v="19"/>
    <x v="6"/>
    <s v="F:\images\2021-CHG-ACH-Dutasteride 2\plaque 2/@07  Dutastéride 0.25mg_L Dopé/G7_03.tif "/>
    <s v=" 53339.3202 "/>
    <s v=" 78.6127 "/>
    <x v="0"/>
    <n v="4193150"/>
    <m/>
    <m/>
    <m/>
  </r>
  <r>
    <x v="19"/>
    <x v="7"/>
    <s v="F:\images\2021-CHG-ACH-Dutasteride 2\plaque 2/@07  Dutastéride 0.25mg_L Dopé/H7_01.tif "/>
    <s v=" 48256.2949 "/>
    <s v=" 74.6741 "/>
    <x v="0"/>
    <n v="3603497"/>
    <m/>
    <m/>
    <m/>
  </r>
  <r>
    <x v="19"/>
    <x v="7"/>
    <s v="F:\images\2021-CHG-ACH-Dutasteride 2\plaque 2/@07  Dutastéride 0.25mg_L Dopé/H7_02.tif "/>
    <s v=" 47282.9497 "/>
    <s v=" 73.9666 "/>
    <x v="0"/>
    <n v="3497359"/>
    <m/>
    <m/>
    <m/>
  </r>
  <r>
    <x v="19"/>
    <x v="7"/>
    <s v="F:\images\2021-CHG-ACH-Dutasteride 2\plaque 2/@07  Dutastéride 0.25mg_L Dopé/H7_03.tif "/>
    <s v=" 40383.0133 "/>
    <s v=" 72.647 "/>
    <x v="0"/>
    <n v="2933706"/>
    <m/>
    <m/>
    <m/>
  </r>
  <r>
    <x v="1"/>
    <x v="8"/>
    <s v=" "/>
    <m/>
    <m/>
    <x v="1"/>
    <m/>
    <m/>
    <m/>
    <m/>
  </r>
  <r>
    <x v="1"/>
    <x v="8"/>
    <s v="group "/>
    <s v=" "/>
    <s v=" mean of mean fluo "/>
    <x v="2"/>
    <s v=" mean of total fluo "/>
    <s v=" SD total fluo "/>
    <s v=" n fluorescent "/>
    <s v=" n total"/>
  </r>
  <r>
    <x v="19"/>
    <x v="9"/>
    <s v="F:\images\2021-CHG-ACH-Dutasteride 2\plaque 2/@07  Dutastéride 0.25mg_L Dopé/ "/>
    <s v=" "/>
    <s v=" 72.6846 "/>
    <x v="21"/>
    <s v=" 2286671.88 "/>
    <s v=" 1561264.5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CHG-ACH-Dutasteride 2\plaque 2/@08 Dutastéride 0.5 mg_L Dopé/A8_01.tif "/>
    <s v=" 1124.7545 "/>
    <s v=" 63.4423 "/>
    <x v="0"/>
    <n v="71357"/>
    <m/>
    <m/>
    <m/>
  </r>
  <r>
    <x v="20"/>
    <x v="0"/>
    <s v="F:\images\2021-CHG-ACH-Dutasteride 2\plaque 2/@08 Dutastéride 0.5 mg_L Dopé/A8_02.tif "/>
    <s v=" 2617.2173 "/>
    <s v=" 65.4132 "/>
    <x v="0"/>
    <n v="171201"/>
    <m/>
    <m/>
    <m/>
  </r>
  <r>
    <x v="20"/>
    <x v="0"/>
    <s v="F:\images\2021-CHG-ACH-Dutasteride 2\plaque 2/@08 Dutastéride 0.5 mg_L Dopé/A8_03.tif "/>
    <s v=" 324.4484 "/>
    <s v=" 61.5333 "/>
    <x v="0"/>
    <n v="19964"/>
    <m/>
    <m/>
    <m/>
  </r>
  <r>
    <x v="20"/>
    <x v="1"/>
    <s v="F:\images\2021-CHG-ACH-Dutasteride 2\plaque 2/@08 Dutastéride 0.5 mg_L Dopé/B8_01.tif "/>
    <s v=" 13345.645 "/>
    <s v=" 71.06 "/>
    <x v="0"/>
    <n v="948341"/>
    <m/>
    <m/>
    <m/>
  </r>
  <r>
    <x v="20"/>
    <x v="1"/>
    <s v="F:\images\2021-CHG-ACH-Dutasteride 2\plaque 2/@08 Dutastéride 0.5 mg_L Dopé/B8_02.tif "/>
    <s v=" 4088.0501 "/>
    <s v=" 63.4497 "/>
    <x v="0"/>
    <n v="259386"/>
    <m/>
    <m/>
    <m/>
  </r>
  <r>
    <x v="20"/>
    <x v="1"/>
    <s v="F:\images\2021-CHG-ACH-Dutasteride 2\plaque 2/@08 Dutastéride 0.5 mg_L Dopé/B8_03.tif "/>
    <s v=" 11377.3246 "/>
    <s v=" 71.8156 "/>
    <x v="0"/>
    <n v="817069"/>
    <m/>
    <m/>
    <m/>
  </r>
  <r>
    <x v="20"/>
    <x v="2"/>
    <s v="F:\images\2021-CHG-ACH-Dutasteride 2\plaque 2/@08 Dutastéride 0.5 mg_L Dopé/C8_01.tif "/>
    <s v=" 3114.7048 "/>
    <s v=" 65.1528 "/>
    <x v="0"/>
    <n v="202932"/>
    <m/>
    <m/>
    <m/>
  </r>
  <r>
    <x v="20"/>
    <x v="2"/>
    <s v="F:\images\2021-CHG-ACH-Dutasteride 2\plaque 2/@08 Dutastéride 0.5 mg_L Dopé/C8_02.tif "/>
    <s v=" 3049.8151 "/>
    <s v=" 64.6596 "/>
    <x v="0"/>
    <n v="197200"/>
    <m/>
    <m/>
    <m/>
  </r>
  <r>
    <x v="20"/>
    <x v="2"/>
    <s v="F:\images\2021-CHG-ACH-Dutasteride 2\plaque 2/@08 Dutastéride 0.5 mg_L Dopé/C8_03.tif "/>
    <s v=" 3309.3739 "/>
    <s v=" 66.451 "/>
    <x v="0"/>
    <n v="219911"/>
    <m/>
    <m/>
    <m/>
  </r>
  <r>
    <x v="20"/>
    <x v="3"/>
    <s v="F:\images\2021-CHG-ACH-Dutasteride 2\plaque 2/@08 Dutastéride 0.5 mg_L Dopé/D8_01.tif "/>
    <s v=" 10555.3886 "/>
    <s v=" 86.5451 "/>
    <x v="0"/>
    <n v="913517"/>
    <m/>
    <m/>
    <m/>
  </r>
  <r>
    <x v="20"/>
    <x v="3"/>
    <s v="F:\images\2021-CHG-ACH-Dutasteride 2\plaque 2/@08 Dutastéride 0.5 mg_L Dopé/D8_02.tif "/>
    <s v=" 11874.8122 "/>
    <s v=" 95.0893 "/>
    <x v="0"/>
    <n v="1129167"/>
    <m/>
    <m/>
    <m/>
  </r>
  <r>
    <x v="20"/>
    <x v="3"/>
    <s v="F:\images\2021-CHG-ACH-Dutasteride 2\plaque 2/@08 Dutastéride 0.5 mg_L Dopé/D8_03- exclu.tif"/>
    <m/>
    <m/>
    <x v="1"/>
    <m/>
    <m/>
    <m/>
    <m/>
  </r>
  <r>
    <x v="20"/>
    <x v="4"/>
    <s v="F:\images\2021-CHG-ACH-Dutasteride 2\plaque 2/@08 Dutastéride 0.5 mg_L Dopé/E8_01.tif "/>
    <s v=" 12891.4172 "/>
    <s v=" 66.3943 "/>
    <x v="0"/>
    <n v="855917"/>
    <m/>
    <m/>
    <m/>
  </r>
  <r>
    <x v="20"/>
    <x v="4"/>
    <s v="F:\images\2021-CHG-ACH-Dutasteride 2\plaque 2/@08 Dutastéride 0.5 mg_L Dopé/E8_02.tif "/>
    <s v=" 9949.7515 "/>
    <s v=" 64.6652 "/>
    <x v="0"/>
    <n v="643403"/>
    <m/>
    <m/>
    <m/>
  </r>
  <r>
    <x v="20"/>
    <x v="4"/>
    <s v="F:\images\2021-CHG-ACH-Dutasteride 2\plaque 2/@08 Dutastéride 0.5 mg_L Dopé/E8_03.tif "/>
    <s v=" 10923.0968 "/>
    <s v=" 64.9228 "/>
    <x v="0"/>
    <n v="709158"/>
    <m/>
    <m/>
    <m/>
  </r>
  <r>
    <x v="20"/>
    <x v="5"/>
    <s v="F:\images\2021-CHG-ACH-Dutasteride 2\plaque 2/@08 Dutastéride 0.5 mg_L Dopé/F8_01.tif "/>
    <s v=" 410.968 "/>
    <s v=" 63.3684 "/>
    <x v="0"/>
    <n v="26042"/>
    <m/>
    <m/>
    <m/>
  </r>
  <r>
    <x v="20"/>
    <x v="5"/>
    <s v="F:\images\2021-CHG-ACH-Dutasteride 2\plaque 2/@08 Dutastéride 0.5 mg_L Dopé/F8_02.tif "/>
    <s v=" 821.936 "/>
    <s v=" 62.8158 "/>
    <x v="0"/>
    <n v="51631"/>
    <m/>
    <m/>
    <m/>
  </r>
  <r>
    <x v="20"/>
    <x v="5"/>
    <s v="F:\images\2021-CHG-ACH-Dutasteride 2\plaque 2/@08 Dutastéride 0.5 mg_L Dopé/F8_03.tif "/>
    <s v=" 389.3381 "/>
    <s v=" 62.9444 "/>
    <x v="0"/>
    <n v="24507"/>
    <m/>
    <m/>
    <m/>
  </r>
  <r>
    <x v="20"/>
    <x v="6"/>
    <s v="F:\images\2021-CHG-ACH-Dutasteride 2\plaque 2/@08 Dutastéride 0.5 mg_L Dopé/G8_01.tif "/>
    <s v=" 2638.8471 "/>
    <s v=" 63.918 "/>
    <x v="0"/>
    <n v="168670"/>
    <m/>
    <m/>
    <m/>
  </r>
  <r>
    <x v="20"/>
    <x v="6"/>
    <s v="F:\images\2021-CHG-ACH-Dutasteride 2\plaque 2/@08 Dutastéride 0.5 mg_L Dopé/G8_02.tif "/>
    <s v=" 3266.1141 "/>
    <s v=" 63.8477 "/>
    <x v="0"/>
    <n v="208534"/>
    <m/>
    <m/>
    <m/>
  </r>
  <r>
    <x v="20"/>
    <x v="6"/>
    <s v="F:\images\2021-CHG-ACH-Dutasteride 2\plaque 2/@08 Dutastéride 0.5 mg_L Dopé/G8_03.tif "/>
    <s v=" 346.0783 "/>
    <s v=" 62.625 "/>
    <x v="0"/>
    <n v="21673"/>
    <m/>
    <m/>
    <m/>
  </r>
  <r>
    <x v="20"/>
    <x v="7"/>
    <s v="F:\images\2021-CHG-ACH-Dutasteride 2\plaque 2/@08 Dutastéride 0.5 mg_L Dopé/H8_01.tif "/>
    <s v=" 26626.4003 "/>
    <s v=" 73.5361 "/>
    <x v="0"/>
    <n v="1958003"/>
    <m/>
    <m/>
    <m/>
  </r>
  <r>
    <x v="20"/>
    <x v="7"/>
    <s v="F:\images\2021-CHG-ACH-Dutasteride 2\plaque 2/@08 Dutastéride 0.5 mg_L Dopé/H8_02.tif "/>
    <s v=" 28767.7599 "/>
    <s v=" 73.8323 "/>
    <x v="0"/>
    <n v="2123991"/>
    <m/>
    <m/>
    <m/>
  </r>
  <r>
    <x v="20"/>
    <x v="7"/>
    <s v="F:\images\2021-CHG-ACH-Dutasteride 2\plaque 2/@08 Dutastéride 0.5 mg_L Dopé/H8_03.tif "/>
    <s v=" 27513.226 "/>
    <s v=" 73.5794 "/>
    <x v="0"/>
    <n v="2024407"/>
    <m/>
    <m/>
    <m/>
  </r>
  <r>
    <x v="1"/>
    <x v="8"/>
    <s v=" "/>
    <m/>
    <m/>
    <x v="1"/>
    <m/>
    <m/>
    <m/>
    <m/>
  </r>
  <r>
    <x v="1"/>
    <x v="8"/>
    <s v="group "/>
    <s v=" "/>
    <s v=" mean of mean fluo "/>
    <x v="2"/>
    <s v=" mean of total fluo "/>
    <s v=" SD total fluo "/>
    <s v=" n fluorescent "/>
    <s v=" n total"/>
  </r>
  <r>
    <x v="20"/>
    <x v="9"/>
    <s v="F:\images\2021-CHG-ACH-Dutasteride 2\plaque 2/@08 Dutastéride 0.5 mg_L Dopé/ "/>
    <s v=" "/>
    <s v=" 68.2192 "/>
    <x v="22"/>
    <s v=" 574775.792 "/>
    <s v=" 664247.07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CHG-ACH-Dutasteride 2\plaque 2/@09 Dutastéride 1mg_L Dopé/A9_01.tif "/>
    <s v=" 2703.7368 "/>
    <s v=" 65.344 "/>
    <x v="0"/>
    <n v="176673"/>
    <m/>
    <m/>
    <m/>
  </r>
  <r>
    <x v="21"/>
    <x v="0"/>
    <s v="F:\images\2021-CHG-ACH-Dutasteride 2\plaque 2/@09 Dutastéride 1mg_L Dopé/A9_02.tif "/>
    <s v=" 1405.9432 "/>
    <s v=" 63.1077 "/>
    <x v="0"/>
    <n v="88726"/>
    <m/>
    <m/>
    <m/>
  </r>
  <r>
    <x v="21"/>
    <x v="0"/>
    <s v="F:\images\2021-CHG-ACH-Dutasteride 2\plaque 2/@09 Dutastéride 1mg_L Dopé/A9_03.tif "/>
    <s v=" 2941.6657 "/>
    <s v=" 68.9632 "/>
    <x v="0"/>
    <n v="202867"/>
    <m/>
    <m/>
    <m/>
  </r>
  <r>
    <x v="21"/>
    <x v="1"/>
    <s v="F:\images\2021-CHG-ACH-Dutasteride 2\plaque 2/@09 Dutastéride 1mg_L Dopé/B9_01.tif "/>
    <s v=" 43497.7181 "/>
    <s v=" 73.812 "/>
    <x v="0"/>
    <n v="3210655"/>
    <m/>
    <m/>
    <m/>
  </r>
  <r>
    <x v="21"/>
    <x v="1"/>
    <s v="F:\images\2021-CHG-ACH-Dutasteride 2\plaque 2/@09 Dutastéride 1mg_L Dopé/B9_02.tif "/>
    <s v=" 44427.8036 "/>
    <s v=" 71.3257 "/>
    <x v="0"/>
    <n v="3168844"/>
    <m/>
    <m/>
    <m/>
  </r>
  <r>
    <x v="21"/>
    <x v="1"/>
    <s v="F:\images\2021-CHG-ACH-Dutasteride 2\plaque 2/@09 Dutastéride 1mg_L Dopé/B9_03.tif "/>
    <s v=" 44471.0634 "/>
    <s v=" 69.4134 "/>
    <x v="0"/>
    <n v="3086889"/>
    <m/>
    <m/>
    <m/>
  </r>
  <r>
    <x v="21"/>
    <x v="2"/>
    <s v="F:\images\2021-CHG-ACH-Dutasteride 2\plaque 2/@09 Dutastéride 1mg_L Dopé/C9_01.tif "/>
    <s v=" 40967.0204 "/>
    <s v=" 71.8105 "/>
    <x v="0"/>
    <n v="2941860"/>
    <m/>
    <m/>
    <m/>
  </r>
  <r>
    <x v="21"/>
    <x v="2"/>
    <s v="F:\images\2021-CHG-ACH-Dutasteride 2\plaque 2/@09 Dutastéride 1mg_L Dopé/C9_02.tif "/>
    <s v=" 42827.1914 "/>
    <s v=" 71.7677 "/>
    <x v="0"/>
    <n v="3073608"/>
    <m/>
    <m/>
    <m/>
  </r>
  <r>
    <x v="21"/>
    <x v="2"/>
    <s v="F:\images\2021-CHG-ACH-Dutasteride 2\plaque 2/@09 Dutastéride 1mg_L Dopé/C9_03.tif "/>
    <s v=" 38630.9918 "/>
    <s v=" 70.9754 "/>
    <x v="0"/>
    <n v="2741849"/>
    <m/>
    <m/>
    <m/>
  </r>
  <r>
    <x v="21"/>
    <x v="3"/>
    <s v="F:\images\2021-CHG-ACH-Dutasteride 2\plaque 2/@09 Dutastéride 1mg_L Dopé/D9_01.tif "/>
    <s v=" 4455.7583 "/>
    <s v=" 66.3738 "/>
    <x v="0"/>
    <n v="295746"/>
    <m/>
    <m/>
    <m/>
  </r>
  <r>
    <x v="21"/>
    <x v="3"/>
    <s v="F:\images\2021-CHG-ACH-Dutasteride 2\plaque 2/@09 Dutastéride 1mg_L Dopé/D9_02.tif "/>
    <s v=" 3374.2636 "/>
    <s v=" 65.8013 "/>
    <x v="0"/>
    <n v="222031"/>
    <m/>
    <m/>
    <m/>
  </r>
  <r>
    <x v="21"/>
    <x v="3"/>
    <s v="F:\images\2021-CHG-ACH-Dutasteride 2\plaque 2/@09 Dutastéride 1mg_L Dopé/D9_03.tif "/>
    <s v=" 5147.9149 "/>
    <s v=" 67.458 "/>
    <x v="0"/>
    <n v="347268"/>
    <m/>
    <m/>
    <m/>
  </r>
  <r>
    <x v="21"/>
    <x v="4"/>
    <s v="F:\images\2021-CHG-ACH-Dutasteride 2\plaque 2/@09 Dutastéride 1mg_L Dopé/E9_01.tif "/>
    <s v=" 40318.1236 "/>
    <s v=" 74.8927 "/>
    <x v="0"/>
    <n v="3019533"/>
    <m/>
    <m/>
    <m/>
  </r>
  <r>
    <x v="21"/>
    <x v="4"/>
    <s v="F:\images\2021-CHG-ACH-Dutasteride 2\plaque 2/@09 Dutastéride 1mg_L Dopé/E9_02.tif "/>
    <s v=" 36619.4116 "/>
    <s v=" 73.3656 "/>
    <x v="0"/>
    <n v="2686606"/>
    <m/>
    <m/>
    <m/>
  </r>
  <r>
    <x v="21"/>
    <x v="4"/>
    <s v="F:\images\2021-CHG-ACH-Dutasteride 2\plaque 2/@09 Dutastéride 1mg_L Dopé/E9_03.tif "/>
    <s v=" 33591.2264 "/>
    <s v=" 74.915 "/>
    <x v="0"/>
    <n v="2516487"/>
    <m/>
    <m/>
    <m/>
  </r>
  <r>
    <x v="21"/>
    <x v="5"/>
    <s v="F:\images\2021-CHG-ACH-Dutasteride 2\plaque 2/@09 Dutastéride 1mg_L Dopé/F9_01.tif "/>
    <s v=" 35105.319 "/>
    <s v=" 70.6839 "/>
    <x v="0"/>
    <n v="2481382"/>
    <m/>
    <m/>
    <m/>
  </r>
  <r>
    <x v="21"/>
    <x v="5"/>
    <s v="F:\images\2021-CHG-ACH-Dutasteride 2\plaque 2/@09 Dutastéride 1mg_L Dopé/F9_02.tif "/>
    <s v=" 39799.0061 "/>
    <s v=" 71.006 "/>
    <x v="0"/>
    <n v="2825967"/>
    <m/>
    <m/>
    <m/>
  </r>
  <r>
    <x v="21"/>
    <x v="5"/>
    <s v="F:\images\2021-CHG-ACH-Dutasteride 2\plaque 2/@09 Dutastéride 1mg_L Dopé/F9_03.tif "/>
    <s v=" 28616.3506 "/>
    <s v=" 66.2003 "/>
    <x v="0"/>
    <n v="1894411"/>
    <m/>
    <m/>
    <m/>
  </r>
  <r>
    <x v="21"/>
    <x v="6"/>
    <s v="F:\images\2021-CHG-ACH-Dutasteride 2\plaque 2/@09 Dutastéride 1mg_L Dopé/G9_01.tif "/>
    <s v=" 47564.1383 "/>
    <s v=" 71.6653 "/>
    <x v="0"/>
    <n v="3408698"/>
    <m/>
    <m/>
    <m/>
  </r>
  <r>
    <x v="21"/>
    <x v="6"/>
    <s v="F:\images\2021-CHG-ACH-Dutasteride 2\plaque 2/@09 Dutastéride 1mg_L Dopé/G9_02.tif "/>
    <s v=" 46266.3446 "/>
    <s v=" 72.619 "/>
    <x v="0"/>
    <n v="3359815"/>
    <m/>
    <m/>
    <m/>
  </r>
  <r>
    <x v="21"/>
    <x v="6"/>
    <s v="F:\images\2021-CHG-ACH-Dutasteride 2\plaque 2/@09 Dutastéride 1mg_L Dopé/G9_03.tif "/>
    <s v=" 40599.3122 "/>
    <s v=" 71.8348 "/>
    <x v="0"/>
    <n v="2916445"/>
    <m/>
    <m/>
    <m/>
  </r>
  <r>
    <x v="21"/>
    <x v="7"/>
    <s v="F:\images\2021-CHG-ACH-Dutasteride 2\plaque 2/@09 Dutastéride 1mg_L Dopé/H9_01.tif "/>
    <s v=" 19337.1258 "/>
    <s v=" 68.7506 "/>
    <x v="0"/>
    <n v="1329438"/>
    <m/>
    <m/>
    <m/>
  </r>
  <r>
    <x v="21"/>
    <x v="7"/>
    <s v="F:\images\2021-CHG-ACH-Dutasteride 2\plaque 2/@09 Dutastéride 1mg_L Dopé/H9_02.tif "/>
    <s v=" 17368.8054 "/>
    <s v=" 67.5031 "/>
    <x v="0"/>
    <n v="1172448"/>
    <m/>
    <m/>
    <m/>
  </r>
  <r>
    <x v="21"/>
    <x v="7"/>
    <s v="F:\images\2021-CHG-ACH-Dutasteride 2\plaque 2/@09 Dutastéride 1mg_L Dopé/H9_03.tif "/>
    <s v=" 12177.6307 "/>
    <s v=" 65.8597 "/>
    <x v="0"/>
    <n v="802015"/>
    <m/>
    <m/>
    <m/>
  </r>
  <r>
    <x v="1"/>
    <x v="8"/>
    <s v=" "/>
    <m/>
    <m/>
    <x v="1"/>
    <m/>
    <m/>
    <m/>
    <m/>
  </r>
  <r>
    <x v="1"/>
    <x v="8"/>
    <s v="group "/>
    <s v=" "/>
    <s v=" mean of mean fluo "/>
    <x v="2"/>
    <s v=" mean of total fluo "/>
    <s v=" SD total fluo "/>
    <s v=" n fluorescent "/>
    <s v=" n total"/>
  </r>
  <r>
    <x v="21"/>
    <x v="9"/>
    <s v="F:\images\2021-CHG-ACH-Dutasteride 2\plaque 2/@09 Dutastéride 1mg_L Dopé/ "/>
    <s v=" "/>
    <s v=" 69.8104 "/>
    <x v="23"/>
    <s v=" 1998760.88 "/>
    <s v=" 1243302.01 "/>
    <n v="24"/>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images\2021-CHG-ACH-Dutasteride 3\plaque 1/@01 Evian + 0.2% DMSO/A1_01.tif "/>
    <s v=" 4499.0181 "/>
    <s v=" 70.5673 "/>
    <x v="0"/>
    <n v="317484"/>
    <m/>
    <m/>
    <m/>
  </r>
  <r>
    <x v="0"/>
    <x v="0"/>
    <s v="F:\images\2021-CHG-ACH-Dutasteride 3\plaque 1/@01 Evian + 0.2% DMSO/A1_02.tif "/>
    <s v=" 7570.4631 "/>
    <s v=" 74.0314 "/>
    <x v="0"/>
    <n v="560452"/>
    <m/>
    <m/>
    <m/>
  </r>
  <r>
    <x v="0"/>
    <x v="0"/>
    <s v="F:\images\2021-CHG-ACH-Dutasteride 3\plaque 1/@01 Evian + 0.2% DMSO/A1_03.tif "/>
    <s v=" 8067.9507 "/>
    <s v=" 74.6488 "/>
    <x v="0"/>
    <n v="602263"/>
    <m/>
    <m/>
    <m/>
  </r>
  <r>
    <x v="0"/>
    <x v="1"/>
    <s v="F:\images\2021-CHG-ACH-Dutasteride 3\plaque 1/@01 Evian + 0.2% DMSO/B1_01.tif "/>
    <s v=" 1124.7545 "/>
    <s v=" 66.2115 "/>
    <x v="0"/>
    <n v="74472"/>
    <m/>
    <m/>
    <m/>
  </r>
  <r>
    <x v="0"/>
    <x v="1"/>
    <s v="F:\images\2021-CHG-ACH-Dutasteride 3\plaque 1/@01 Evian + 0.2% DMSO/B1_02.tif "/>
    <s v=" 519.1175 "/>
    <s v=" 67.5417 "/>
    <x v="0"/>
    <n v="35062"/>
    <m/>
    <m/>
    <m/>
  </r>
  <r>
    <x v="0"/>
    <x v="1"/>
    <s v="F:\images\2021-CHG-ACH-Dutasteride 3\plaque 1/@01 Evian + 0.2% DMSO/B1_03.tif "/>
    <s v=" 2725.3667 "/>
    <s v=" 66.3413 "/>
    <x v="0"/>
    <n v="180804"/>
    <m/>
    <m/>
    <m/>
  </r>
  <r>
    <x v="0"/>
    <x v="2"/>
    <s v="F:\images\2021-CHG-ACH-Dutasteride 3\plaque 1/@01 Evian + 0.2% DMSO/C1_01.tif "/>
    <s v=" 4347.6088 "/>
    <s v=" 66.3433 "/>
    <x v="0"/>
    <n v="288435"/>
    <m/>
    <m/>
    <m/>
  </r>
  <r>
    <x v="0"/>
    <x v="2"/>
    <s v="F:\images\2021-CHG-ACH-Dutasteride 3\plaque 1/@01 Evian + 0.2% DMSO/C1_02.tif "/>
    <s v=" 2033.2101 "/>
    <s v=" 64.0851 "/>
    <x v="0"/>
    <n v="130298"/>
    <m/>
    <m/>
    <m/>
  </r>
  <r>
    <x v="0"/>
    <x v="2"/>
    <s v="F:\images\2021-CHG-ACH-Dutasteride 3\plaque 1/@01 Evian + 0.2% DMSO/C1_03.tif "/>
    <s v=" 5775.1819 "/>
    <s v=" 67.0787 "/>
    <x v="0"/>
    <n v="387391"/>
    <m/>
    <m/>
    <m/>
  </r>
  <r>
    <x v="0"/>
    <x v="3"/>
    <s v="F:\images\2021-CHG-ACH-Dutasteride 3\plaque 1/@01 Evian + 0.2% DMSO/D1_01.tif "/>
    <s v=" 1557.3524 "/>
    <s v=" 69.1389 "/>
    <x v="0"/>
    <n v="107674"/>
    <m/>
    <m/>
    <m/>
  </r>
  <r>
    <x v="0"/>
    <x v="3"/>
    <s v="F:\images\2021-CHG-ACH-Dutasteride 3\plaque 1/@01 Evian + 0.2% DMSO/D1_02.tif "/>
    <s v=" 1449.2029 "/>
    <s v=" 65.3582 "/>
    <x v="0"/>
    <n v="94717"/>
    <m/>
    <m/>
    <m/>
  </r>
  <r>
    <x v="0"/>
    <x v="3"/>
    <s v="F:\images\2021-CHG-ACH-Dutasteride 3\plaque 1/@01 Evian + 0.2% DMSO/D1_03.tif "/>
    <s v=" 778.6762 "/>
    <s v=" 62.6111 "/>
    <x v="0"/>
    <n v="48754"/>
    <m/>
    <m/>
    <m/>
  </r>
  <r>
    <x v="0"/>
    <x v="4"/>
    <s v="F:\images\2021-CHG-ACH-Dutasteride 3\plaque 1/@01 Evian + 0.2% DMSO/E1_01.tif "/>
    <s v=" 64.8897 "/>
    <s v=" 65.3333 "/>
    <x v="0"/>
    <n v="4239"/>
    <m/>
    <m/>
    <m/>
  </r>
  <r>
    <x v="0"/>
    <x v="4"/>
    <s v="F:\images\2021-CHG-ACH-Dutasteride 3\plaque 1/@01 Evian + 0.2% DMSO/E1_02.tif "/>
    <s v=" 151.4093 "/>
    <s v=" 65.1429 "/>
    <x v="0"/>
    <n v="9863"/>
    <m/>
    <m/>
    <m/>
  </r>
  <r>
    <x v="0"/>
    <x v="4"/>
    <s v="F:\images\2021-CHG-ACH-Dutasteride 3\plaque 1/@01 Evian + 0.2% DMSO/E1_03.tif "/>
    <s v=" 1146.3844 "/>
    <s v=" 67.8113 "/>
    <x v="0"/>
    <n v="77738"/>
    <m/>
    <m/>
    <m/>
  </r>
  <r>
    <x v="0"/>
    <x v="5"/>
    <s v="F:\images\2021-CHG-ACH-Dutasteride 3\plaque 1/@01 Evian + 0.2% DMSO/F1_01.tif "/>
    <s v=" 237.9288 "/>
    <s v=" 61.9091 "/>
    <x v="0"/>
    <n v="14730"/>
    <m/>
    <m/>
    <m/>
  </r>
  <r>
    <x v="0"/>
    <x v="5"/>
    <s v="F:\images\2021-CHG-ACH-Dutasteride 3\plaque 1/@01 Evian + 0.2% DMSO/F1_02.tif "/>
    <s v=" 540.7474 "/>
    <s v=" 66.12 "/>
    <x v="0"/>
    <n v="35754"/>
    <m/>
    <m/>
    <m/>
  </r>
  <r>
    <x v="0"/>
    <x v="5"/>
    <s v="F:\images\2021-CHG-ACH-Dutasteride 3\plaque 1/@01 Evian + 0.2% DMSO/F1_03.tif "/>
    <s v=" 237.9288 "/>
    <s v=" 66.0909 "/>
    <x v="0"/>
    <n v="15725"/>
    <m/>
    <m/>
    <m/>
  </r>
  <r>
    <x v="0"/>
    <x v="6"/>
    <s v="F:\images\2021-CHG-ACH-Dutasteride 3\plaque 1/@01 Evian + 0.2% DMSO/G1_01.tif "/>
    <s v=" 1232.904 "/>
    <s v=" 63.8246 "/>
    <x v="0"/>
    <n v="78690"/>
    <m/>
    <m/>
    <m/>
  </r>
  <r>
    <x v="0"/>
    <x v="6"/>
    <s v="F:\images\2021-CHG-ACH-Dutasteride 3\plaque 1/@01 Evian + 0.2% DMSO/G1_02.tif "/>
    <s v=" 237.9288 "/>
    <s v=" 61.7273 "/>
    <x v="0"/>
    <n v="14687"/>
    <m/>
    <m/>
    <m/>
  </r>
  <r>
    <x v="0"/>
    <x v="6"/>
    <s v="F:\images\2021-CHG-ACH-Dutasteride 3\plaque 1/@01 Evian + 0.2% DMSO/G1_03.tif "/>
    <s v=" 584.0072 "/>
    <s v=" 62.8519 "/>
    <x v="0"/>
    <n v="36706"/>
    <m/>
    <m/>
    <m/>
  </r>
  <r>
    <x v="0"/>
    <x v="7"/>
    <s v="F:\images\2021-CHG-ACH-Dutasteride 3\plaque 1/@01 Evian + 0.2% DMSO/H1_01.tif "/>
    <s v=" 1081.4947 "/>
    <s v=" 65.16 "/>
    <x v="0"/>
    <n v="70470"/>
    <m/>
    <m/>
    <m/>
  </r>
  <r>
    <x v="0"/>
    <x v="7"/>
    <s v="F:\images\2021-CHG-ACH-Dutasteride 3\plaque 1/@01 Evian + 0.2% DMSO/H1_02.tif "/>
    <s v=" 1038.2349 "/>
    <s v=" 67.7917 "/>
    <x v="0"/>
    <n v="70384"/>
    <m/>
    <m/>
    <m/>
  </r>
  <r>
    <x v="0"/>
    <x v="7"/>
    <s v="F:\images\2021-CHG-ACH-Dutasteride 3\plaque 1/@01 Evian + 0.2% DMSO/H1_03.tif "/>
    <s v=" 86.5196 "/>
    <n v="63"/>
    <x v="0"/>
    <n v="5451"/>
    <m/>
    <m/>
    <m/>
  </r>
  <r>
    <x v="1"/>
    <x v="8"/>
    <s v=" "/>
    <m/>
    <m/>
    <x v="1"/>
    <m/>
    <m/>
    <m/>
    <m/>
  </r>
  <r>
    <x v="1"/>
    <x v="8"/>
    <s v="group "/>
    <s v=" "/>
    <s v=" mean of mean fluo "/>
    <x v="2"/>
    <s v=" mean of total fluo "/>
    <s v=" SD total fluo "/>
    <s v=" n fluorescent "/>
    <s v=" n total"/>
  </r>
  <r>
    <x v="0"/>
    <x v="9"/>
    <s v="F:\images\2021-CHG-ACH-Dutasteride 3\plaque 1/@01 Evian + 0.2% DMSO/ "/>
    <s v=" "/>
    <s v=" 66.28 "/>
    <x v="3"/>
    <s v=" 135926.792 "/>
    <s v=" 170988.74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CHG-ACH-Dutasteride 3\plaque 1/@02 EE2 33.8/A2_01.tif "/>
    <s v=" 1146.3844 "/>
    <s v=" 64.717 "/>
    <x v="0"/>
    <n v="74191"/>
    <m/>
    <m/>
    <m/>
  </r>
  <r>
    <x v="2"/>
    <x v="0"/>
    <s v="F:\images\2021-CHG-ACH-Dutasteride 3\plaque 1/@02 EE2 33.8/A2_02.tif "/>
    <s v=" 302.8185 "/>
    <s v=" 63.5714 "/>
    <x v="0"/>
    <n v="19251"/>
    <m/>
    <m/>
    <m/>
  </r>
  <r>
    <x v="2"/>
    <x v="0"/>
    <s v="F:\images\2021-CHG-ACH-Dutasteride 3\plaque 1/@02 EE2 33.8/A2_03.tif "/>
    <s v=" 3309.3739 "/>
    <s v=" 70.3464 "/>
    <x v="0"/>
    <n v="232803"/>
    <m/>
    <m/>
    <m/>
  </r>
  <r>
    <x v="2"/>
    <x v="1"/>
    <s v="F:\images\2021-CHG-ACH-Dutasteride 3\plaque 1/@02 EE2 33.8/B2_01.tif "/>
    <s v=" 5342.584 "/>
    <s v=" 69.1053 "/>
    <x v="0"/>
    <n v="369201"/>
    <m/>
    <m/>
    <m/>
  </r>
  <r>
    <x v="2"/>
    <x v="1"/>
    <s v="F:\images\2021-CHG-ACH-Dutasteride 3\plaque 1/@02 EE2 33.8/B2_02.tif "/>
    <s v=" 6164.52 "/>
    <s v=" 71.1474 "/>
    <x v="0"/>
    <n v="438589"/>
    <m/>
    <m/>
    <m/>
  </r>
  <r>
    <x v="2"/>
    <x v="1"/>
    <s v="F:\images\2021-CHG-ACH-Dutasteride 3\plaque 1/@02 EE2 33.8/B2_03.tif "/>
    <s v=" 6770.157 "/>
    <s v=" 71.5655 "/>
    <x v="0"/>
    <n v="484510"/>
    <m/>
    <m/>
    <m/>
  </r>
  <r>
    <x v="2"/>
    <x v="2"/>
    <s v="F:\images\2021-CHG-ACH-Dutasteride 3\plaque 1/@02 EE2 33.8/C2_01.tif "/>
    <s v=" 2617.2173 "/>
    <s v=" 65.1736 "/>
    <x v="0"/>
    <n v="170573"/>
    <m/>
    <m/>
    <m/>
  </r>
  <r>
    <x v="2"/>
    <x v="2"/>
    <s v="F:\images\2021-CHG-ACH-Dutasteride 3\plaque 1/@02 EE2 33.8/C2_02.tif "/>
    <s v=" 6921.5663 "/>
    <s v=" 73.0469 "/>
    <x v="0"/>
    <n v="505599"/>
    <m/>
    <m/>
    <m/>
  </r>
  <r>
    <x v="2"/>
    <x v="2"/>
    <s v="F:\images\2021-CHG-ACH-Dutasteride 3\plaque 1/@02 EE2 33.8/C2_03.tif "/>
    <s v=" 4261.0892 "/>
    <n v="69"/>
    <x v="0"/>
    <n v="294015"/>
    <m/>
    <m/>
    <m/>
  </r>
  <r>
    <x v="2"/>
    <x v="3"/>
    <s v="F:\images\2021-CHG-ACH-Dutasteride 3\plaque 1/@02 EE2 33.8/D2_01.tif "/>
    <s v=" 1124.7545 "/>
    <s v=" 64.0577 "/>
    <x v="0"/>
    <n v="72049"/>
    <m/>
    <m/>
    <m/>
  </r>
  <r>
    <x v="2"/>
    <x v="3"/>
    <s v="F:\images\2021-CHG-ACH-Dutasteride 3\plaque 1/@02 EE2 33.8/D2_02.tif "/>
    <s v=" 778.6762 "/>
    <s v=" 64.8611 "/>
    <x v="0"/>
    <n v="50506"/>
    <m/>
    <m/>
    <m/>
  </r>
  <r>
    <x v="2"/>
    <x v="3"/>
    <s v="F:\images\2021-CHG-ACH-Dutasteride 3\plaque 1/@02 EE2 33.8/D2_03.tif "/>
    <s v=" 1903.4307 "/>
    <s v=" 63.6023 "/>
    <x v="0"/>
    <n v="121063"/>
    <m/>
    <m/>
    <m/>
  </r>
  <r>
    <x v="2"/>
    <x v="4"/>
    <s v="F:\images\2021-CHG-ACH-Dutasteride 3\plaque 1/@02 EE2 33.8/E2_01.tif "/>
    <s v=" 194.6691 "/>
    <n v="64"/>
    <x v="0"/>
    <n v="12459"/>
    <m/>
    <m/>
    <m/>
  </r>
  <r>
    <x v="2"/>
    <x v="4"/>
    <s v="F:\images\2021-CHG-ACH-Dutasteride 3\plaque 1/@02 EE2 33.8/E2_02.tif "/>
    <s v=" 173.0392 "/>
    <s v=" 65.25 "/>
    <x v="0"/>
    <n v="11291"/>
    <m/>
    <m/>
    <m/>
  </r>
  <r>
    <x v="2"/>
    <x v="4"/>
    <s v="F:\images\2021-CHG-ACH-Dutasteride 3\plaque 1/@02 EE2 33.8/E2_03.tif "/>
    <s v=" 129.7794 "/>
    <s v=" 63.1667 "/>
    <x v="0"/>
    <n v="8198"/>
    <m/>
    <m/>
    <m/>
  </r>
  <r>
    <x v="2"/>
    <x v="5"/>
    <s v="F:\images\2021-CHG-ACH-Dutasteride 3\plaque 1/@02 EE2 33.8/F2_01.tif "/>
    <s v=" 5796.8118 "/>
    <s v=" 77.6679 "/>
    <x v="0"/>
    <n v="450226"/>
    <m/>
    <m/>
    <m/>
  </r>
  <r>
    <x v="2"/>
    <x v="5"/>
    <s v="F:\images\2021-CHG-ACH-Dutasteride 3\plaque 1/@02 EE2 33.8/F2_02.tif "/>
    <s v=" 3049.8151 "/>
    <s v=" 69.4043 "/>
    <x v="0"/>
    <n v="211670"/>
    <m/>
    <m/>
    <m/>
  </r>
  <r>
    <x v="2"/>
    <x v="5"/>
    <s v="F:\images\2021-CHG-ACH-Dutasteride 3\plaque 1/@02 EE2 33.8/F2_03.tif "/>
    <s v=" 3936.6408 "/>
    <s v=" 71.9396 "/>
    <x v="0"/>
    <n v="283200"/>
    <m/>
    <m/>
    <m/>
  </r>
  <r>
    <x v="2"/>
    <x v="6"/>
    <s v="F:\images\2021-CHG-ACH-Dutasteride 3\plaque 1/@02 EE2 33.8/G2_01- exclu.tif"/>
    <m/>
    <m/>
    <x v="1"/>
    <m/>
    <m/>
    <m/>
    <m/>
  </r>
  <r>
    <x v="2"/>
    <x v="6"/>
    <s v="F:\images\2021-CHG-ACH-Dutasteride 3\plaque 1/@02 EE2 33.8/G2_02- exclu.tif"/>
    <m/>
    <m/>
    <x v="1"/>
    <m/>
    <m/>
    <m/>
    <m/>
  </r>
  <r>
    <x v="2"/>
    <x v="6"/>
    <s v="F:\images\2021-CHG-ACH-Dutasteride 3\plaque 1/@02 EE2 33.8/G2_03.tif "/>
    <s v=" 151.4093 "/>
    <s v=" 63.2857 "/>
    <x v="0"/>
    <n v="9582"/>
    <m/>
    <m/>
    <m/>
  </r>
  <r>
    <x v="2"/>
    <x v="7"/>
    <s v="F:\images\2021-CHG-ACH-Dutasteride 3\plaque 1/@02 EE2 33.8/H2_01.tif "/>
    <s v=" 302.8185 "/>
    <s v=" 62.8571 "/>
    <x v="0"/>
    <n v="19034"/>
    <m/>
    <m/>
    <m/>
  </r>
  <r>
    <x v="2"/>
    <x v="7"/>
    <s v="F:\images\2021-CHG-ACH-Dutasteride 3\plaque 1/@02 EE2 33.8/H2_02.tif "/>
    <s v=" 216.2989 "/>
    <s v=" 64.7 "/>
    <x v="0"/>
    <n v="13995"/>
    <m/>
    <m/>
    <m/>
  </r>
  <r>
    <x v="2"/>
    <x v="7"/>
    <s v="F:\images\2021-CHG-ACH-Dutasteride 3\plaque 1/@02 EE2 33.8/H2_03.tif "/>
    <s v=" 475.8577 "/>
    <s v=" 63.2727 "/>
    <x v="0"/>
    <n v="30109"/>
    <m/>
    <m/>
    <m/>
  </r>
  <r>
    <x v="1"/>
    <x v="8"/>
    <s v=" "/>
    <m/>
    <m/>
    <x v="1"/>
    <m/>
    <m/>
    <m/>
    <m/>
  </r>
  <r>
    <x v="1"/>
    <x v="8"/>
    <s v="group "/>
    <s v=" "/>
    <s v=" mean of mean fluo "/>
    <x v="2"/>
    <s v=" mean of total fluo "/>
    <s v=" SD total fluo "/>
    <s v=" n fluorescent "/>
    <s v=" n total"/>
  </r>
  <r>
    <x v="2"/>
    <x v="9"/>
    <s v="F:\images\2021-CHG-ACH-Dutasteride 3\plaque 1/@02 EE2 33.8/ "/>
    <s v=" "/>
    <s v=" 66.6974 "/>
    <x v="4"/>
    <s v=" 163104.833 "/>
    <s v=" 175541.18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CHG-ACH-Dutasteride 3\plaque 1/@03 EE2 50.6/A3_01.tif "/>
    <s v=" 886.8257 "/>
    <s v=" 65.0244 "/>
    <x v="0"/>
    <n v="57665"/>
    <m/>
    <m/>
    <m/>
  </r>
  <r>
    <x v="3"/>
    <x v="0"/>
    <s v="F:\images\2021-CHG-ACH-Dutasteride 3\plaque 1/@03 EE2 50.6/A3_02.tif "/>
    <s v=" 1341.0535 "/>
    <s v=" 64.3871 "/>
    <x v="0"/>
    <n v="86347"/>
    <m/>
    <m/>
    <m/>
  </r>
  <r>
    <x v="3"/>
    <x v="0"/>
    <s v="F:\images\2021-CHG-ACH-Dutasteride 3\plaque 1/@03 EE2 50.6/A3_03.tif "/>
    <s v=" 1016.605 "/>
    <s v=" 64.2553 "/>
    <x v="0"/>
    <n v="65322"/>
    <m/>
    <m/>
    <m/>
  </r>
  <r>
    <x v="3"/>
    <x v="1"/>
    <s v="F:\images\2021-CHG-ACH-Dutasteride 3\plaque 1/@03 EE2 50.6/B3_01.tif "/>
    <s v=" 36035.4045 "/>
    <s v=" 105.4424 "/>
    <x v="0"/>
    <n v="3799659"/>
    <m/>
    <m/>
    <m/>
  </r>
  <r>
    <x v="3"/>
    <x v="1"/>
    <s v="F:\images\2021-CHG-ACH-Dutasteride 3\plaque 1/@03 EE2 50.6/B3_02.tif "/>
    <s v=" 52885.0924 "/>
    <s v=" 109.7121 "/>
    <x v="0"/>
    <n v="5802133"/>
    <m/>
    <m/>
    <m/>
  </r>
  <r>
    <x v="3"/>
    <x v="1"/>
    <s v="F:\images\2021-CHG-ACH-Dutasteride 3\plaque 1/@03 EE2 50.6/B3_03.tif "/>
    <s v=" 562.3773 "/>
    <s v=" 64.3077 "/>
    <x v="0"/>
    <n v="36165"/>
    <m/>
    <m/>
    <m/>
  </r>
  <r>
    <x v="3"/>
    <x v="2"/>
    <s v="F:\images\2021-CHG-ACH-Dutasteride 3\plaque 1/@03 EE2 50.6/C3_01.tif "/>
    <s v=" 540.7474 "/>
    <s v=" 63.12 "/>
    <x v="0"/>
    <n v="34132"/>
    <m/>
    <m/>
    <m/>
  </r>
  <r>
    <x v="3"/>
    <x v="2"/>
    <s v="F:\images\2021-CHG-ACH-Dutasteride 3\plaque 1/@03 EE2 50.6/C3_02.tif "/>
    <s v=" 1860.1709 "/>
    <s v=" 64.5 "/>
    <x v="0"/>
    <n v="119981"/>
    <m/>
    <m/>
    <m/>
  </r>
  <r>
    <x v="3"/>
    <x v="2"/>
    <s v="F:\images\2021-CHG-ACH-Dutasteride 3\plaque 1/@03 EE2 50.6/C3_03.tif "/>
    <s v=" 1535.7225 "/>
    <s v=" 65.493 "/>
    <x v="0"/>
    <n v="100579"/>
    <m/>
    <m/>
    <m/>
  </r>
  <r>
    <x v="3"/>
    <x v="3"/>
    <s v="F:\images\2021-CHG-ACH-Dutasteride 3\plaque 1/@03 EE2 50.6/D3_01.tif "/>
    <s v=" 5299.3242 "/>
    <s v=" 79.3469 "/>
    <x v="0"/>
    <n v="420485"/>
    <m/>
    <m/>
    <m/>
  </r>
  <r>
    <x v="3"/>
    <x v="3"/>
    <s v="F:\images\2021-CHG-ACH-Dutasteride 3\plaque 1/@03 EE2 50.6/D3_02.tif "/>
    <s v=" 713.7865 "/>
    <s v=" 62.5455 "/>
    <x v="0"/>
    <n v="44644"/>
    <m/>
    <m/>
    <m/>
  </r>
  <r>
    <x v="3"/>
    <x v="3"/>
    <s v="F:\images\2021-CHG-ACH-Dutasteride 3\plaque 1/@03 EE2 50.6/D3_03.tif "/>
    <s v=" 454.2278 "/>
    <s v=" 64.0476 "/>
    <x v="0"/>
    <n v="29092"/>
    <m/>
    <m/>
    <m/>
  </r>
  <r>
    <x v="3"/>
    <x v="4"/>
    <s v="F:\images\2021-CHG-ACH-Dutasteride 3\plaque 1/@03 EE2 50.6/E3_01.tif "/>
    <s v=" 886.8257 "/>
    <s v=" 65.5854 "/>
    <x v="0"/>
    <n v="58163"/>
    <m/>
    <m/>
    <m/>
  </r>
  <r>
    <x v="3"/>
    <x v="4"/>
    <s v="F:\images\2021-CHG-ACH-Dutasteride 3\plaque 1/@03 EE2 50.6/E3_02.tif "/>
    <s v=" 648.8968 "/>
    <s v=" 63.9 "/>
    <x v="0"/>
    <n v="41465"/>
    <m/>
    <m/>
    <m/>
  </r>
  <r>
    <x v="3"/>
    <x v="4"/>
    <s v="F:\images\2021-CHG-ACH-Dutasteride 3\plaque 1/@03 EE2 50.6/E3_03.tif "/>
    <s v=" 454.2278 "/>
    <s v=" 62.2857 "/>
    <x v="0"/>
    <n v="28292"/>
    <m/>
    <m/>
    <m/>
  </r>
  <r>
    <x v="3"/>
    <x v="5"/>
    <s v="F:\images\2021-CHG-ACH-Dutasteride 3\plaque 1/@03 EE2 50.6/F3_01.tif "/>
    <s v=" 886.8257 "/>
    <s v=" 66.8049 "/>
    <x v="0"/>
    <n v="59244"/>
    <m/>
    <m/>
    <m/>
  </r>
  <r>
    <x v="3"/>
    <x v="5"/>
    <s v="F:\images\2021-CHG-ACH-Dutasteride 3\plaque 1/@03 EE2 50.6/F3_02.tif "/>
    <s v=" 1925.0606 "/>
    <s v=" 67.4607 "/>
    <x v="0"/>
    <n v="129866"/>
    <m/>
    <m/>
    <m/>
  </r>
  <r>
    <x v="3"/>
    <x v="5"/>
    <s v="F:\images\2021-CHG-ACH-Dutasteride 3\plaque 1/@03 EE2 50.6/F3_03.tif "/>
    <s v=" 908.4556 "/>
    <s v=" 64.0714 "/>
    <x v="0"/>
    <n v="58206"/>
    <m/>
    <m/>
    <m/>
  </r>
  <r>
    <x v="3"/>
    <x v="6"/>
    <s v="F:\images\2021-CHG-ACH-Dutasteride 3\plaque 1/@03 EE2 50.6/G3_01.tif "/>
    <s v=" 10295.8298 "/>
    <s v=" 77.687 "/>
    <x v="0"/>
    <n v="799852"/>
    <m/>
    <m/>
    <m/>
  </r>
  <r>
    <x v="3"/>
    <x v="6"/>
    <s v="F:\images\2021-CHG-ACH-Dutasteride 3\plaque 1/@03 EE2 50.6/G3_02.tif "/>
    <s v=" 9776.7124 "/>
    <s v=" 68.6571 "/>
    <x v="0"/>
    <n v="671241"/>
    <m/>
    <m/>
    <m/>
  </r>
  <r>
    <x v="3"/>
    <x v="6"/>
    <s v="F:\images\2021-CHG-ACH-Dutasteride 3\plaque 1/@03 EE2 50.6/G3_03.tif "/>
    <s v=" 4217.8295 "/>
    <s v=" 67.4821 "/>
    <x v="0"/>
    <n v="284628"/>
    <m/>
    <m/>
    <m/>
  </r>
  <r>
    <x v="3"/>
    <x v="7"/>
    <s v="F:\images\2021-CHG-ACH-Dutasteride 3\plaque 1/@03 EE2 50.6/H3_01.tif "/>
    <s v=" 1427.573 "/>
    <s v=" 65.0455 "/>
    <x v="0"/>
    <n v="92857"/>
    <m/>
    <m/>
    <m/>
  </r>
  <r>
    <x v="3"/>
    <x v="7"/>
    <s v="F:\images\2021-CHG-ACH-Dutasteride 3\plaque 1/@03 EE2 50.6/H3_02.tif "/>
    <s v=" 3741.9718 "/>
    <s v=" 68.1792 "/>
    <x v="0"/>
    <n v="255125"/>
    <m/>
    <m/>
    <m/>
  </r>
  <r>
    <x v="3"/>
    <x v="7"/>
    <s v="F:\images\2021-CHG-ACH-Dutasteride 3\plaque 1/@03 EE2 50.6/H3_03.tif "/>
    <s v=" 1492.4627 "/>
    <s v=" 64.5652 "/>
    <x v="0"/>
    <n v="96361"/>
    <m/>
    <m/>
    <m/>
  </r>
  <r>
    <x v="1"/>
    <x v="8"/>
    <s v=" "/>
    <m/>
    <m/>
    <x v="1"/>
    <m/>
    <m/>
    <m/>
    <m/>
  </r>
  <r>
    <x v="1"/>
    <x v="8"/>
    <s v="group "/>
    <s v=" "/>
    <s v=" mean of mean fluo "/>
    <x v="2"/>
    <s v=" mean of total fluo "/>
    <s v=" SD total fluo "/>
    <s v=" n fluorescent "/>
    <s v=" n total"/>
  </r>
  <r>
    <x v="3"/>
    <x v="9"/>
    <s v="F:\images\2021-CHG-ACH-Dutasteride 3\plaque 1/@03 EE2 50.6/ "/>
    <s v=" "/>
    <s v=" 69.7461 "/>
    <x v="5"/>
    <s v=" 548812.667 "/>
    <s v=" 1357413.6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CHG-ACH-Dutasteride 3\plaque 1/@04 EE2 76/A4_01.tif "/>
    <s v=" 2790.2564 "/>
    <s v=" 65.4186 "/>
    <x v="0"/>
    <n v="182535"/>
    <m/>
    <m/>
    <m/>
  </r>
  <r>
    <x v="4"/>
    <x v="0"/>
    <s v="F:\images\2021-CHG-ACH-Dutasteride 3\plaque 1/@04 EE2 76/A4_02.tif "/>
    <s v=" 562.3773 "/>
    <s v=" 63.0769 "/>
    <x v="0"/>
    <n v="35473"/>
    <m/>
    <m/>
    <m/>
  </r>
  <r>
    <x v="4"/>
    <x v="0"/>
    <s v="F:\images\2021-CHG-ACH-Dutasteride 3\plaque 1/@04 EE2 76/A4_03.tif "/>
    <s v=" 3049.8151 "/>
    <s v=" 65.9007 "/>
    <x v="0"/>
    <n v="200985"/>
    <m/>
    <m/>
    <m/>
  </r>
  <r>
    <x v="4"/>
    <x v="1"/>
    <s v="F:\images\2021-CHG-ACH-Dutasteride 3\plaque 1/@04 EE2 76/B4_01.tif "/>
    <s v=" 2941.6657 "/>
    <s v=" 64.8824 "/>
    <x v="0"/>
    <n v="190862"/>
    <m/>
    <m/>
    <m/>
  </r>
  <r>
    <x v="4"/>
    <x v="1"/>
    <s v="F:\images\2021-CHG-ACH-Dutasteride 3\plaque 1/@04 EE2 76/B4_02.tif "/>
    <s v=" 2054.84 "/>
    <s v=" 64.7368 "/>
    <x v="0"/>
    <n v="133024"/>
    <m/>
    <m/>
    <m/>
  </r>
  <r>
    <x v="4"/>
    <x v="1"/>
    <s v="F:\images\2021-CHG-ACH-Dutasteride 3\plaque 1/@04 EE2 76/B4_03.tif "/>
    <s v=" 3352.6337 "/>
    <s v=" 66.0645 "/>
    <x v="0"/>
    <n v="221490"/>
    <m/>
    <m/>
    <m/>
  </r>
  <r>
    <x v="4"/>
    <x v="2"/>
    <s v="F:\images\2021-CHG-ACH-Dutasteride 3\plaque 1/@04 EE2 76/C4_01.tif "/>
    <s v=" 1146.3844 "/>
    <s v=" 63.6038 "/>
    <x v="0"/>
    <n v="72914"/>
    <m/>
    <m/>
    <m/>
  </r>
  <r>
    <x v="4"/>
    <x v="2"/>
    <s v="F:\images\2021-CHG-ACH-Dutasteride 3\plaque 1/@04 EE2 76/C4_02.tif "/>
    <s v=" 3287.744 "/>
    <s v=" 63.5066 "/>
    <x v="0"/>
    <n v="208793"/>
    <m/>
    <m/>
    <m/>
  </r>
  <r>
    <x v="4"/>
    <x v="2"/>
    <s v="F:\images\2021-CHG-ACH-Dutasteride 3\plaque 1/@04 EE2 76/C4_03.tif "/>
    <s v=" 5277.6943 "/>
    <s v=" 69.1844 "/>
    <x v="0"/>
    <n v="365134"/>
    <m/>
    <m/>
    <m/>
  </r>
  <r>
    <x v="4"/>
    <x v="3"/>
    <s v="F:\images\2021-CHG-ACH-Dutasteride 3\plaque 1/@04 EE2 76/D4_01.tif "/>
    <s v=" 9560.4134 "/>
    <s v=" 64.2624 "/>
    <x v="0"/>
    <n v="614376"/>
    <m/>
    <m/>
    <m/>
  </r>
  <r>
    <x v="4"/>
    <x v="3"/>
    <s v="F:\images\2021-CHG-ACH-Dutasteride 3\plaque 1/@04 EE2 76/D4_02.tif "/>
    <s v=" 13194.2357 "/>
    <s v=" 66.8213 "/>
    <x v="0"/>
    <n v="881656"/>
    <m/>
    <m/>
    <m/>
  </r>
  <r>
    <x v="4"/>
    <x v="3"/>
    <s v="F:\images\2021-CHG-ACH-Dutasteride 3\plaque 1/@04 EE2 76/D4_03.tif "/>
    <s v=" 9149.4454 "/>
    <s v=" 64.7139 "/>
    <x v="0"/>
    <n v="592097"/>
    <m/>
    <m/>
    <m/>
  </r>
  <r>
    <x v="4"/>
    <x v="4"/>
    <s v="F:\images\2021-CHG-ACH-Dutasteride 3\plaque 1/@04 EE2 76/E4_01.tif "/>
    <s v=" 12026.2214 "/>
    <s v=" 73.1601 "/>
    <x v="0"/>
    <n v="879839"/>
    <m/>
    <m/>
    <m/>
  </r>
  <r>
    <x v="4"/>
    <x v="4"/>
    <s v="F:\images\2021-CHG-ACH-Dutasteride 3\plaque 1/@04 EE2 76/E4_02.tif "/>
    <s v=" 10706.7978 "/>
    <s v=" 70.3778 "/>
    <x v="0"/>
    <n v="753521"/>
    <m/>
    <m/>
    <m/>
  </r>
  <r>
    <x v="4"/>
    <x v="4"/>
    <s v="F:\images\2021-CHG-ACH-Dutasteride 3\plaque 1/@04 EE2 76/E4_03.tif "/>
    <s v=" 6380.8189 "/>
    <s v=" 73.0983 "/>
    <x v="0"/>
    <n v="466427"/>
    <m/>
    <m/>
    <m/>
  </r>
  <r>
    <x v="4"/>
    <x v="5"/>
    <s v="F:\images\2021-CHG-ACH-Dutasteride 3\plaque 1/@04 EE2 76/F4_01.tif "/>
    <s v=" 7851.6518 "/>
    <s v=" 72.8264 "/>
    <x v="0"/>
    <n v="571808"/>
    <m/>
    <m/>
    <m/>
  </r>
  <r>
    <x v="4"/>
    <x v="5"/>
    <s v="F:\images\2021-CHG-ACH-Dutasteride 3\plaque 1/@04 EE2 76/F4_02.tif "/>
    <s v=" 7116.2353 "/>
    <s v=" 71.7508 "/>
    <x v="0"/>
    <n v="510595"/>
    <m/>
    <m/>
    <m/>
  </r>
  <r>
    <x v="4"/>
    <x v="5"/>
    <s v="F:\images\2021-CHG-ACH-Dutasteride 3\plaque 1/@04 EE2 76/F4_03.tif "/>
    <s v=" 6597.1179 "/>
    <s v=" 68.0492 "/>
    <x v="0"/>
    <n v="448928"/>
    <m/>
    <m/>
    <m/>
  </r>
  <r>
    <x v="4"/>
    <x v="6"/>
    <s v="F:\images\2021-CHG-ACH-Dutasteride 3\plaque 1/@04 EE2 76/G4_01.tif "/>
    <s v=" 8630.328 "/>
    <s v=" 66.4887 "/>
    <x v="0"/>
    <n v="573819"/>
    <m/>
    <m/>
    <m/>
  </r>
  <r>
    <x v="4"/>
    <x v="6"/>
    <s v="F:\images\2021-CHG-ACH-Dutasteride 3\plaque 1/@04 EE2 76/G4_02.tif "/>
    <s v=" 6013.1107 "/>
    <s v=" 64.7014 "/>
    <x v="0"/>
    <n v="389057"/>
    <m/>
    <m/>
    <m/>
  </r>
  <r>
    <x v="4"/>
    <x v="6"/>
    <s v="F:\images\2021-CHG-ACH-Dutasteride 3\plaque 1/@04 EE2 76/G4_03.tif "/>
    <s v=" 4909.9861 "/>
    <s v=" 63.9736 "/>
    <x v="0"/>
    <n v="314109"/>
    <m/>
    <m/>
    <m/>
  </r>
  <r>
    <x v="4"/>
    <x v="7"/>
    <s v="F:\images\2021-CHG-ACH-Dutasteride 3\plaque 1/@04 EE2 76/H4_01.tif "/>
    <s v=" 5385.8438 "/>
    <s v=" 63.6827 "/>
    <x v="0"/>
    <n v="342985"/>
    <m/>
    <m/>
    <m/>
  </r>
  <r>
    <x v="4"/>
    <x v="7"/>
    <s v="F:\images\2021-CHG-ACH-Dutasteride 3\plaque 1/@04 EE2 76/H4_02.tif "/>
    <s v=" 5731.9221 "/>
    <s v=" 64.117 "/>
    <x v="0"/>
    <n v="367514"/>
    <m/>
    <m/>
    <m/>
  </r>
  <r>
    <x v="4"/>
    <x v="7"/>
    <s v="F:\images\2021-CHG-ACH-Dutasteride 3\plaque 1/@04 EE2 76/H4_03.tif "/>
    <s v=" 5667.0324 "/>
    <s v=" 64.3931 "/>
    <x v="0"/>
    <n v="364918"/>
    <m/>
    <m/>
    <m/>
  </r>
  <r>
    <x v="1"/>
    <x v="8"/>
    <s v=" "/>
    <m/>
    <m/>
    <x v="1"/>
    <m/>
    <m/>
    <m/>
    <m/>
  </r>
  <r>
    <x v="1"/>
    <x v="8"/>
    <s v="group "/>
    <s v=" "/>
    <s v=" mean of mean fluo "/>
    <x v="2"/>
    <s v=" mean of total fluo "/>
    <s v=" SD total fluo "/>
    <s v=" n fluorescent "/>
    <s v=" n total"/>
  </r>
  <r>
    <x v="4"/>
    <x v="9"/>
    <s v="F:\images\2021-CHG-ACH-Dutasteride 3\plaque 1/@04 EE2 76/ "/>
    <s v=" "/>
    <s v=" 66.6163 "/>
    <x v="6"/>
    <s v=" 403452.458 "/>
    <s v=" 235262.07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CHG-ACH-Dutasteride 3\plaque 1/@05 EE2 114/A5_01.tif "/>
    <s v=" 22040.8626 "/>
    <s v=" 67.4357 "/>
    <x v="0"/>
    <n v="1486341"/>
    <m/>
    <m/>
    <m/>
  </r>
  <r>
    <x v="5"/>
    <x v="0"/>
    <s v="F:\images\2021-CHG-ACH-Dutasteride 3\plaque 1/@05 EE2 114/A5_02.tif "/>
    <s v=" 23922.6635 "/>
    <s v=" 67.6157 "/>
    <x v="0"/>
    <n v="1617548"/>
    <m/>
    <m/>
    <m/>
  </r>
  <r>
    <x v="5"/>
    <x v="0"/>
    <s v="F:\images\2021-CHG-ACH-Dutasteride 3\plaque 1/@05 EE2 114/A5_03.tif "/>
    <s v=" 17866.293 "/>
    <s v=" 66.5182 "/>
    <x v="0"/>
    <n v="1188433"/>
    <m/>
    <m/>
    <m/>
  </r>
  <r>
    <x v="5"/>
    <x v="1"/>
    <s v="F:\images\2021-CHG-ACH-Dutasteride 3\plaque 1/@05 EE2 114/B5_01.tif "/>
    <s v=" 15768.1932 "/>
    <s v=" 81.7503 "/>
    <x v="0"/>
    <n v="1289055"/>
    <m/>
    <m/>
    <m/>
  </r>
  <r>
    <x v="5"/>
    <x v="1"/>
    <s v="F:\images\2021-CHG-ACH-Dutasteride 3\plaque 1/@05 EE2 114/B5_02.tif "/>
    <s v=" 10360.7195 "/>
    <s v=" 65.5929 "/>
    <x v="0"/>
    <n v="679590"/>
    <m/>
    <m/>
    <m/>
  </r>
  <r>
    <x v="5"/>
    <x v="1"/>
    <s v="F:\images\2021-CHG-ACH-Dutasteride 3\plaque 1/@05 EE2 114/B5_03.tif "/>
    <s v=" 13691.7233 "/>
    <s v=" 67.782 "/>
    <x v="0"/>
    <n v="928052"/>
    <m/>
    <m/>
    <m/>
  </r>
  <r>
    <x v="5"/>
    <x v="2"/>
    <s v="F:\images\2021-CHG-ACH-Dutasteride 3\plaque 1/@05 EE2 114/C5_01.tif "/>
    <s v=" 20678.1793 "/>
    <s v=" 65.3253 "/>
    <x v="0"/>
    <n v="1350809"/>
    <m/>
    <m/>
    <m/>
  </r>
  <r>
    <x v="5"/>
    <x v="2"/>
    <s v="F:\images\2021-CHG-ACH-Dutasteride 3\plaque 1/@05 EE2 114/C5_02.tif "/>
    <s v=" 18493.5599 "/>
    <s v=" 65.5848 "/>
    <x v="0"/>
    <n v="1212896"/>
    <m/>
    <m/>
    <m/>
  </r>
  <r>
    <x v="5"/>
    <x v="2"/>
    <s v="F:\images\2021-CHG-ACH-Dutasteride 3\plaque 1/@05 EE2 114/C5_03.tif "/>
    <s v=" 24333.6315 "/>
    <s v=" 65.6018 "/>
    <x v="0"/>
    <n v="1596329"/>
    <m/>
    <m/>
    <m/>
  </r>
  <r>
    <x v="5"/>
    <x v="3"/>
    <s v="F:\images\2021-CHG-ACH-Dutasteride 3\plaque 1/@05 EE2 114/D5_01.tif "/>
    <s v=" 19877.8732 "/>
    <s v=" 72.3852 "/>
    <x v="0"/>
    <n v="1438864"/>
    <m/>
    <m/>
    <m/>
  </r>
  <r>
    <x v="5"/>
    <x v="3"/>
    <s v="F:\images\2021-CHG-ACH-Dutasteride 3\plaque 1/@05 EE2 114/D5_02.tif "/>
    <s v=" 22192.2719 "/>
    <s v=" 70.8899 "/>
    <x v="0"/>
    <n v="1573207"/>
    <m/>
    <m/>
    <m/>
  </r>
  <r>
    <x v="5"/>
    <x v="3"/>
    <s v="F:\images\2021-CHG-ACH-Dutasteride 3\plaque 1/@05 EE2 114/D5_03.tif "/>
    <s v=" 17649.994 "/>
    <s v=" 72.6532 "/>
    <x v="0"/>
    <n v="1282328"/>
    <m/>
    <m/>
    <m/>
  </r>
  <r>
    <x v="5"/>
    <x v="4"/>
    <s v="F:\images\2021-CHG-ACH-Dutasteride 3\plaque 1/@05 EE2 114/E5_01.tif "/>
    <s v=" 2098.0998 "/>
    <s v=" 63.5876 "/>
    <x v="0"/>
    <n v="133413"/>
    <m/>
    <m/>
    <m/>
  </r>
  <r>
    <x v="5"/>
    <x v="4"/>
    <s v="F:\images\2021-CHG-ACH-Dutasteride 3\plaque 1/@05 EE2 114/E5_02.tif "/>
    <s v=" 2227.8791 "/>
    <s v=" 62.5631 "/>
    <x v="0"/>
    <n v="139383"/>
    <m/>
    <m/>
    <m/>
  </r>
  <r>
    <x v="5"/>
    <x v="4"/>
    <s v="F:\images\2021-CHG-ACH-Dutasteride 3\plaque 1/@05 EE2 114/E5_03.tif "/>
    <s v=" 5991.4808 "/>
    <s v=" 67.361 "/>
    <x v="0"/>
    <n v="403592"/>
    <m/>
    <m/>
    <m/>
  </r>
  <r>
    <x v="5"/>
    <x v="5"/>
    <s v="F:\images\2021-CHG-ACH-Dutasteride 3\plaque 1/@05 EE2 114/F5_01.tif "/>
    <s v=" 18558.4496 "/>
    <s v=" 71.1725 "/>
    <x v="0"/>
    <n v="1320851"/>
    <m/>
    <m/>
    <m/>
  </r>
  <r>
    <x v="5"/>
    <x v="5"/>
    <s v="F:\images\2021-CHG-ACH-Dutasteride 3\plaque 1/@05 EE2 114/F5_02- exclu.tif"/>
    <m/>
    <m/>
    <x v="1"/>
    <m/>
    <m/>
    <m/>
    <m/>
  </r>
  <r>
    <x v="5"/>
    <x v="5"/>
    <s v="F:\images\2021-CHG-ACH-Dutasteride 3\plaque 1/@05 EE2 114/F5_03- exclu.tif"/>
    <m/>
    <m/>
    <x v="1"/>
    <m/>
    <m/>
    <m/>
    <m/>
  </r>
  <r>
    <x v="5"/>
    <x v="6"/>
    <s v="F:\images\2021-CHG-ACH-Dutasteride 3\plaque 1/@05 EE2 114/G5_01.tif "/>
    <s v=" 23836.1439 "/>
    <s v=" 65.7314 "/>
    <x v="0"/>
    <n v="1566783"/>
    <m/>
    <m/>
    <m/>
  </r>
  <r>
    <x v="5"/>
    <x v="6"/>
    <s v="F:\images\2021-CHG-ACH-Dutasteride 3\plaque 1/@05 EE2 114/G5_02.tif "/>
    <s v=" 35343.2478 "/>
    <s v=" 66.5581 "/>
    <x v="0"/>
    <n v="2352381"/>
    <m/>
    <m/>
    <m/>
  </r>
  <r>
    <x v="5"/>
    <x v="6"/>
    <s v="F:\images\2021-CHG-ACH-Dutasteride 3\plaque 1/@05 EE2 114/G5_03.tif "/>
    <s v=" 22711.3894 "/>
    <s v=" 65.2486 "/>
    <x v="0"/>
    <n v="1481886"/>
    <m/>
    <m/>
    <m/>
  </r>
  <r>
    <x v="5"/>
    <x v="7"/>
    <s v="F:\images\2021-CHG-ACH-Dutasteride 3\plaque 1/@05 EE2 114/H5_01.tif "/>
    <s v=" 32855.8099 "/>
    <s v=" 72.0783 "/>
    <x v="0"/>
    <n v="2368192"/>
    <m/>
    <m/>
    <m/>
  </r>
  <r>
    <x v="5"/>
    <x v="7"/>
    <s v="F:\images\2021-CHG-ACH-Dutasteride 3\plaque 1/@05 EE2 114/H5_02.tif "/>
    <s v=" 38522.8423 "/>
    <s v=" 72.8321 "/>
    <x v="0"/>
    <n v="2805700"/>
    <m/>
    <m/>
    <m/>
  </r>
  <r>
    <x v="5"/>
    <x v="7"/>
    <s v="F:\images\2021-CHG-ACH-Dutasteride 3\plaque 1/@05 EE2 114/H5_03.tif "/>
    <s v=" 33872.415 "/>
    <s v=" 69.9464 "/>
    <x v="0"/>
    <n v="2369252"/>
    <m/>
    <m/>
    <m/>
  </r>
  <r>
    <x v="1"/>
    <x v="8"/>
    <s v=" "/>
    <m/>
    <m/>
    <x v="1"/>
    <m/>
    <m/>
    <m/>
    <m/>
  </r>
  <r>
    <x v="1"/>
    <x v="8"/>
    <s v="group "/>
    <s v=" "/>
    <s v=" mean of mean fluo "/>
    <x v="2"/>
    <s v=" mean of total fluo "/>
    <s v=" SD total fluo "/>
    <s v=" n fluorescent "/>
    <s v=" n total"/>
  </r>
  <r>
    <x v="5"/>
    <x v="9"/>
    <s v="F:\images\2021-CHG-ACH-Dutasteride 3\plaque 1/@05 EE2 114/ "/>
    <s v=" "/>
    <s v=" 68.7183 "/>
    <x v="7"/>
    <s v=" 1405626.71 "/>
    <s v=" 795577.60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CHG-ACH-Dutasteride 3\plaque 1/@06 EE2 170.9/A6_01.tif "/>
    <s v=" 37873.9455 "/>
    <s v=" 68.835 "/>
    <x v="0"/>
    <n v="2607051"/>
    <m/>
    <m/>
    <m/>
  </r>
  <r>
    <x v="6"/>
    <x v="0"/>
    <s v="F:\images\2021-CHG-ACH-Dutasteride 3\plaque 1/@06 EE2 170.9/A6_02.tif "/>
    <s v=" 36316.5931 "/>
    <s v=" 68.3776 "/>
    <x v="0"/>
    <n v="2483242"/>
    <m/>
    <m/>
    <m/>
  </r>
  <r>
    <x v="6"/>
    <x v="0"/>
    <s v="F:\images\2021-CHG-ACH-Dutasteride 3\plaque 1/@06 EE2 170.9/A6_03.tif "/>
    <s v=" 34196.8634 "/>
    <s v=" 68.1784 "/>
    <x v="0"/>
    <n v="2331486"/>
    <m/>
    <m/>
    <m/>
  </r>
  <r>
    <x v="6"/>
    <x v="1"/>
    <s v="F:\images\2021-CHG-ACH-Dutasteride 3\plaque 1/@06 EE2 170.9/B6_01.tif "/>
    <s v=" 25890.9839 "/>
    <s v=" 77.2013 "/>
    <x v="0"/>
    <n v="1998819"/>
    <m/>
    <m/>
    <m/>
  </r>
  <r>
    <x v="6"/>
    <x v="1"/>
    <s v="F:\images\2021-CHG-ACH-Dutasteride 3\plaque 1/@06 EE2 170.9/B6_02- exclu.tif"/>
    <m/>
    <m/>
    <x v="1"/>
    <m/>
    <m/>
    <m/>
    <m/>
  </r>
  <r>
    <x v="6"/>
    <x v="1"/>
    <s v="F:\images\2021-CHG-ACH-Dutasteride 3\plaque 1/@06 EE2 170.9/B6_03- exclu.tif"/>
    <m/>
    <m/>
    <x v="1"/>
    <m/>
    <m/>
    <m/>
    <m/>
  </r>
  <r>
    <x v="6"/>
    <x v="2"/>
    <s v="F:\images\2021-CHG-ACH-Dutasteride 3\plaque 1/@06 EE2 170.9/C6_01.tif "/>
    <s v=" 62813.214 "/>
    <s v=" 74.6942 "/>
    <x v="0"/>
    <n v="4691784"/>
    <m/>
    <m/>
    <m/>
  </r>
  <r>
    <x v="6"/>
    <x v="2"/>
    <s v="F:\images\2021-CHG-ACH-Dutasteride 3\plaque 1/@06 EE2 170.9/C6_02.tif "/>
    <s v=" 60390.6658 "/>
    <s v=" 75.4402 "/>
    <x v="0"/>
    <n v="4555883"/>
    <m/>
    <m/>
    <m/>
  </r>
  <r>
    <x v="6"/>
    <x v="2"/>
    <s v="F:\images\2021-CHG-ACH-Dutasteride 3\plaque 1/@06 EE2 170.9/C6_03.tif "/>
    <s v=" 59936.438 "/>
    <s v=" 73.7001 "/>
    <x v="0"/>
    <n v="4417322"/>
    <m/>
    <m/>
    <m/>
  </r>
  <r>
    <x v="6"/>
    <x v="3"/>
    <s v="F:\images\2021-CHG-ACH-Dutasteride 3\plaque 1/@06 EE2 170.9/D6_01.tif "/>
    <s v=" 17779.7734 "/>
    <s v=" 69.5973 "/>
    <x v="0"/>
    <n v="1237425"/>
    <m/>
    <m/>
    <m/>
  </r>
  <r>
    <x v="6"/>
    <x v="3"/>
    <s v="F:\images\2021-CHG-ACH-Dutasteride 3\plaque 1/@06 EE2 170.9/D6_02.tif "/>
    <s v=" 14362.25 "/>
    <s v=" 69.5587 "/>
    <x v="0"/>
    <n v="999020"/>
    <m/>
    <m/>
    <m/>
  </r>
  <r>
    <x v="6"/>
    <x v="3"/>
    <s v="F:\images\2021-CHG-ACH-Dutasteride 3\plaque 1/@06 EE2 170.9/D6_03.tif "/>
    <s v=" 11961.3317 "/>
    <s v=" 71.2351 "/>
    <x v="0"/>
    <n v="852066"/>
    <m/>
    <m/>
    <m/>
  </r>
  <r>
    <x v="6"/>
    <x v="4"/>
    <s v="F:\images\2021-CHG-ACH-Dutasteride 3\plaque 1/@06 EE2 170.9/E6_01.tif "/>
    <s v=" 15984.4921 "/>
    <s v=" 72.7118 "/>
    <x v="0"/>
    <n v="1162261"/>
    <m/>
    <m/>
    <m/>
  </r>
  <r>
    <x v="6"/>
    <x v="4"/>
    <s v="F:\images\2021-CHG-ACH-Dutasteride 3\plaque 1/@06 EE2 170.9/E6_02- exclu.tif"/>
    <m/>
    <m/>
    <x v="1"/>
    <m/>
    <m/>
    <m/>
    <m/>
  </r>
  <r>
    <x v="6"/>
    <x v="4"/>
    <s v="F:\images\2021-CHG-ACH-Dutasteride 3\plaque 1/@06 EE2 170.9/E6_03.tif "/>
    <s v=" 12415.5595 "/>
    <s v=" 71.3589 "/>
    <x v="0"/>
    <n v="885960"/>
    <m/>
    <m/>
    <m/>
  </r>
  <r>
    <x v="6"/>
    <x v="5"/>
    <s v="F:\images\2021-CHG-ACH-Dutasteride 3\plaque 1/@06 EE2 170.9/F6_01.tif "/>
    <s v=" 14556.9191 "/>
    <s v=" 69.2585 "/>
    <x v="0"/>
    <n v="1008191"/>
    <m/>
    <m/>
    <m/>
  </r>
  <r>
    <x v="6"/>
    <x v="5"/>
    <s v="F:\images\2021-CHG-ACH-Dutasteride 3\plaque 1/@06 EE2 170.9/F6_02.tif "/>
    <s v=" 13648.4635 "/>
    <s v=" 70.2345 "/>
    <x v="0"/>
    <n v="958594"/>
    <m/>
    <m/>
    <m/>
  </r>
  <r>
    <x v="6"/>
    <x v="5"/>
    <s v="F:\images\2021-CHG-ACH-Dutasteride 3\plaque 1/@06 EE2 170.9/F6_03.tif "/>
    <s v=" 12588.5987 "/>
    <s v=" 69.5086 "/>
    <x v="0"/>
    <n v="875016"/>
    <m/>
    <m/>
    <m/>
  </r>
  <r>
    <x v="6"/>
    <x v="6"/>
    <s v="F:\images\2021-CHG-ACH-Dutasteride 3\plaque 1/@06 EE2 170.9/G6_01.tif "/>
    <s v=" 35732.5859 "/>
    <s v=" 67.684 "/>
    <x v="0"/>
    <n v="2418525"/>
    <m/>
    <m/>
    <m/>
  </r>
  <r>
    <x v="6"/>
    <x v="6"/>
    <s v="F:\images\2021-CHG-ACH-Dutasteride 3\plaque 1/@06 EE2 170.9/G6_02.tif "/>
    <s v=" 34045.4541 "/>
    <s v=" 69.054 "/>
    <x v="0"/>
    <n v="2350975"/>
    <m/>
    <m/>
    <m/>
  </r>
  <r>
    <x v="6"/>
    <x v="6"/>
    <s v="F:\images\2021-CHG-ACH-Dutasteride 3\plaque 1/@06 EE2 170.9/G6_03.tif "/>
    <s v=" 36143.5539 "/>
    <s v=" 67.5272 "/>
    <x v="0"/>
    <n v="2440674"/>
    <m/>
    <m/>
    <m/>
  </r>
  <r>
    <x v="6"/>
    <x v="7"/>
    <s v="F:\images\2021-CHG-ACH-Dutasteride 3\plaque 1/@06 EE2 170.9/H6_01.tif "/>
    <s v=" 28270.2723 "/>
    <s v=" 73.5807 "/>
    <x v="0"/>
    <n v="2080147"/>
    <m/>
    <m/>
    <m/>
  </r>
  <r>
    <x v="6"/>
    <x v="7"/>
    <s v="F:\images\2021-CHG-ACH-Dutasteride 3\plaque 1/@06 EE2 170.9/H6_02.tif "/>
    <s v=" 32682.7708 "/>
    <s v=" 72.4712 "/>
    <x v="0"/>
    <n v="2368560"/>
    <m/>
    <m/>
    <m/>
  </r>
  <r>
    <x v="6"/>
    <x v="7"/>
    <s v="F:\images\2021-CHG-ACH-Dutasteride 3\plaque 1/@06 EE2 170.9/H6_03.tif "/>
    <s v=" 29762.735 "/>
    <s v=" 72.657 "/>
    <x v="0"/>
    <n v="2162470"/>
    <m/>
    <m/>
    <m/>
  </r>
  <r>
    <x v="1"/>
    <x v="8"/>
    <s v=" "/>
    <m/>
    <m/>
    <x v="1"/>
    <m/>
    <m/>
    <m/>
    <m/>
  </r>
  <r>
    <x v="1"/>
    <x v="8"/>
    <s v="group "/>
    <s v=" "/>
    <s v=" mean of mean fluo "/>
    <x v="2"/>
    <s v=" mean of total fluo "/>
    <s v=" SD total fluo "/>
    <s v=" n fluorescent "/>
    <s v=" n total"/>
  </r>
  <r>
    <x v="6"/>
    <x v="9"/>
    <s v="F:\images\2021-CHG-ACH-Dutasteride 3\plaque 1/@06 EE2 170.9/ "/>
    <s v=" "/>
    <s v=" 71.4081 "/>
    <x v="8"/>
    <s v=" 1999932.54 "/>
    <s v=" 1191732.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CHG-ACH-Dutasteride 3\plaque 1/@07 EE2 488/A7_01.tif "/>
    <s v=" 19921.133 "/>
    <s v=" 72.7329 "/>
    <x v="0"/>
    <n v="1448922"/>
    <m/>
    <m/>
    <m/>
  </r>
  <r>
    <x v="7"/>
    <x v="0"/>
    <s v="F:\images\2021-CHG-ACH-Dutasteride 3\plaque 1/@07 EE2 488/A7_02.tif "/>
    <s v=" 17693.2538 "/>
    <s v=" 70.7738 "/>
    <x v="0"/>
    <n v="1252219"/>
    <m/>
    <m/>
    <m/>
  </r>
  <r>
    <x v="7"/>
    <x v="0"/>
    <s v="F:\images\2021-CHG-ACH-Dutasteride 3\plaque 1/@07 EE2 488/A7_03.tif "/>
    <s v=" 14838.1077 "/>
    <s v=" 73.016 "/>
    <x v="0"/>
    <n v="1083420"/>
    <m/>
    <m/>
    <m/>
  </r>
  <r>
    <x v="7"/>
    <x v="1"/>
    <s v="F:\images\2021-CHG-ACH-Dutasteride 3\plaque 1/@07 EE2 488/B7_01.tif "/>
    <s v=" 14686.6985 "/>
    <s v=" 67.3623 "/>
    <x v="0"/>
    <n v="989330"/>
    <m/>
    <m/>
    <m/>
  </r>
  <r>
    <x v="7"/>
    <x v="1"/>
    <s v="F:\images\2021-CHG-ACH-Dutasteride 3\plaque 1/@07 EE2 488/B7_02.tif "/>
    <s v=" 18255.6311 "/>
    <s v=" 68.3661 "/>
    <x v="0"/>
    <n v="1248067"/>
    <m/>
    <m/>
    <m/>
  </r>
  <r>
    <x v="7"/>
    <x v="1"/>
    <s v="F:\images\2021-CHG-ACH-Dutasteride 3\plaque 1/@07 EE2 488/B7_03.tif "/>
    <s v=" 20310.4711 "/>
    <s v=" 80.6145 "/>
    <x v="0"/>
    <n v="1637318"/>
    <m/>
    <m/>
    <m/>
  </r>
  <r>
    <x v="7"/>
    <x v="2"/>
    <s v="F:\images\2021-CHG-ACH-Dutasteride 3\plaque 1/@07 EE2 488/C7_01.tif "/>
    <s v=" 39561.0773 "/>
    <s v=" 83.965 "/>
    <x v="0"/>
    <n v="3321746"/>
    <m/>
    <m/>
    <m/>
  </r>
  <r>
    <x v="7"/>
    <x v="2"/>
    <s v="F:\images\2021-CHG-ACH-Dutasteride 3\plaque 1/@07 EE2 488/C7_02- exclu.tif"/>
    <m/>
    <m/>
    <x v="1"/>
    <m/>
    <m/>
    <m/>
    <m/>
  </r>
  <r>
    <x v="7"/>
    <x v="2"/>
    <s v="F:\images\2021-CHG-ACH-Dutasteride 3\plaque 1/@07 EE2 488/C7_03.tif "/>
    <s v=" 38328.1733 "/>
    <s v=" 84.4058 "/>
    <x v="0"/>
    <n v="3235118"/>
    <m/>
    <m/>
    <m/>
  </r>
  <r>
    <x v="7"/>
    <x v="3"/>
    <s v="F:\images\2021-CHG-ACH-Dutasteride 3\plaque 1/@07 EE2 488/D7_01.tif "/>
    <s v=" 54723.6334 "/>
    <s v=" 93.2672 "/>
    <x v="0"/>
    <n v="5103920"/>
    <m/>
    <m/>
    <m/>
  </r>
  <r>
    <x v="7"/>
    <x v="3"/>
    <s v="F:\images\2021-CHG-ACH-Dutasteride 3\plaque 1/@07 EE2 488/D7_02.tif "/>
    <s v=" 52495.7543 "/>
    <s v=" 95.9345 "/>
    <x v="0"/>
    <n v="5036153"/>
    <m/>
    <m/>
    <m/>
  </r>
  <r>
    <x v="7"/>
    <x v="3"/>
    <s v="F:\images\2021-CHG-ACH-Dutasteride 3\plaque 1/@07 EE2 488/D7_03.tif "/>
    <s v=" 54875.0427 "/>
    <s v=" 91.4501 "/>
    <x v="0"/>
    <n v="5018330"/>
    <m/>
    <m/>
    <m/>
  </r>
  <r>
    <x v="7"/>
    <x v="4"/>
    <s v="F:\images\2021-CHG-ACH-Dutasteride 3\plaque 1/@07 EE2 488/E7_01.tif "/>
    <s v=" 59547.0999 "/>
    <s v=" 83.6121 "/>
    <x v="0"/>
    <n v="4978856"/>
    <m/>
    <m/>
    <m/>
  </r>
  <r>
    <x v="7"/>
    <x v="4"/>
    <s v="F:\images\2021-CHG-ACH-Dutasteride 3\plaque 1/@07 EE2 488/E7_02.tif "/>
    <s v=" 45379.5189 "/>
    <s v=" 88.734 "/>
    <x v="0"/>
    <n v="4026708"/>
    <m/>
    <m/>
    <m/>
  </r>
  <r>
    <x v="7"/>
    <x v="4"/>
    <s v="F:\images\2021-CHG-ACH-Dutasteride 3\plaque 1/@07 EE2 488/E7_03.tif "/>
    <s v=" 60412.2957 "/>
    <s v=" 81.8622 "/>
    <x v="0"/>
    <n v="4945481"/>
    <m/>
    <m/>
    <m/>
  </r>
  <r>
    <x v="7"/>
    <x v="5"/>
    <s v="F:\images\2021-CHG-ACH-Dutasteride 3\plaque 1/@07 EE2 488/F7_01.tif "/>
    <s v=" 65084.3529 "/>
    <s v=" 86.7434 "/>
    <x v="0"/>
    <n v="5645640"/>
    <m/>
    <m/>
    <m/>
  </r>
  <r>
    <x v="7"/>
    <x v="5"/>
    <s v="F:\images\2021-CHG-ACH-Dutasteride 3\plaque 1/@07 EE2 488/F7_02.tif "/>
    <s v=" 60953.0431 "/>
    <s v=" 84.1856 "/>
    <x v="0"/>
    <n v="5131368"/>
    <m/>
    <m/>
    <m/>
  </r>
  <r>
    <x v="7"/>
    <x v="5"/>
    <s v="F:\images\2021-CHG-ACH-Dutasteride 3\plaque 1/@07 EE2 488/F7_03.tif "/>
    <s v=" 58941.4629 "/>
    <s v=" 85.5105 "/>
    <x v="0"/>
    <n v="5040112"/>
    <m/>
    <m/>
    <m/>
  </r>
  <r>
    <x v="7"/>
    <x v="6"/>
    <s v="F:\images\2021-CHG-ACH-Dutasteride 3\plaque 1/@07 EE2 488/G7_01.tif "/>
    <s v=" 42113.4048 "/>
    <s v=" 81.9733 "/>
    <x v="0"/>
    <n v="3452174"/>
    <m/>
    <m/>
    <m/>
  </r>
  <r>
    <x v="7"/>
    <x v="6"/>
    <s v="F:\images\2021-CHG-ACH-Dutasteride 3\plaque 1/@07 EE2 488/G7_02.tif "/>
    <s v=" 42005.2554 "/>
    <s v=" 78.723 "/>
    <x v="0"/>
    <n v="3306778"/>
    <m/>
    <m/>
    <m/>
  </r>
  <r>
    <x v="7"/>
    <x v="6"/>
    <s v="F:\images\2021-CHG-ACH-Dutasteride 3\plaque 1/@07 EE2 488/G7_03.tif "/>
    <s v=" 42935.3408 "/>
    <s v=" 81.7169 "/>
    <x v="0"/>
    <n v="3508542"/>
    <m/>
    <m/>
    <m/>
  </r>
  <r>
    <x v="7"/>
    <x v="7"/>
    <s v="F:\images\2021-CHG-ACH-Dutasteride 3\plaque 1/@07 EE2 488/H7_01.tif "/>
    <s v=" 39366.4082 "/>
    <s v=" 75.4264 "/>
    <x v="0"/>
    <n v="2969265"/>
    <m/>
    <m/>
    <m/>
  </r>
  <r>
    <x v="7"/>
    <x v="7"/>
    <s v="F:\images\2021-CHG-ACH-Dutasteride 3\plaque 1/@07 EE2 488/H7_02.tif "/>
    <s v=" 35364.8777 "/>
    <s v=" 76.6593 "/>
    <x v="0"/>
    <n v="2711048"/>
    <m/>
    <m/>
    <m/>
  </r>
  <r>
    <x v="7"/>
    <x v="7"/>
    <s v="F:\images\2021-CHG-ACH-Dutasteride 3\plaque 1/@07 EE2 488/H7_03.tif "/>
    <s v=" 33699.3758 "/>
    <s v=" 74.6502 "/>
    <x v="0"/>
    <n v="2515665"/>
    <m/>
    <m/>
    <m/>
  </r>
  <r>
    <x v="1"/>
    <x v="8"/>
    <s v=" "/>
    <m/>
    <m/>
    <x v="1"/>
    <m/>
    <m/>
    <m/>
    <m/>
  </r>
  <r>
    <x v="1"/>
    <x v="8"/>
    <s v="group "/>
    <s v=" "/>
    <s v=" mean of mean fluo "/>
    <x v="2"/>
    <s v=" mean of total fluo "/>
    <s v=" SD total fluo "/>
    <s v=" n fluorescent "/>
    <s v=" n total"/>
  </r>
  <r>
    <x v="7"/>
    <x v="9"/>
    <s v="F:\images\2021-CHG-ACH-Dutasteride 3\plaque 1/@07 EE2 488/ "/>
    <s v=" "/>
    <s v=" 81.0129 "/>
    <x v="9"/>
    <s v=" 3361300.04 "/>
    <s v=" 1519643.9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CHG-ACH-Dutasteride 3\plaque 1/@08 Dutastéride 0.01mg_L/A8_01.tif "/>
    <s v=" 389.3381 "/>
    <s v=" 63.7222 "/>
    <x v="0"/>
    <n v="24809"/>
    <m/>
    <m/>
    <m/>
  </r>
  <r>
    <x v="8"/>
    <x v="0"/>
    <s v="F:\images\2021-CHG-ACH-Dutasteride 3\plaque 1/@08 Dutastéride 0.01mg_L/A8_02.tif "/>
    <s v=" 2530.6977 "/>
    <s v=" 65.4872 "/>
    <x v="0"/>
    <n v="165728"/>
    <m/>
    <m/>
    <m/>
  </r>
  <r>
    <x v="8"/>
    <x v="0"/>
    <s v="F:\images\2021-CHG-ACH-Dutasteride 3\plaque 1/@08 Dutastéride 0.01mg_L/A8_03.tif "/>
    <s v=" 302.8185 "/>
    <s v=" 62.7143 "/>
    <x v="0"/>
    <n v="18991"/>
    <m/>
    <m/>
    <m/>
  </r>
  <r>
    <x v="8"/>
    <x v="1"/>
    <s v="F:\images\2021-CHG-ACH-Dutasteride 3\plaque 1/@08 Dutastéride 0.01mg_L/B8_01.tif "/>
    <s v=" 648.8968 "/>
    <s v=" 62.8667 "/>
    <x v="0"/>
    <n v="40794"/>
    <m/>
    <m/>
    <m/>
  </r>
  <r>
    <x v="8"/>
    <x v="1"/>
    <s v="F:\images\2021-CHG-ACH-Dutasteride 3\plaque 1/@08 Dutastéride 0.01mg_L/B8_02.tif "/>
    <s v=" 800.3061 "/>
    <s v=" 62.7027 "/>
    <x v="0"/>
    <n v="50181"/>
    <m/>
    <m/>
    <m/>
  </r>
  <r>
    <x v="8"/>
    <x v="1"/>
    <s v="F:\images\2021-CHG-ACH-Dutasteride 3\plaque 1/@08 Dutastéride 0.01mg_L/B8_03- exclu.tif"/>
    <m/>
    <m/>
    <x v="1"/>
    <m/>
    <m/>
    <m/>
    <m/>
  </r>
  <r>
    <x v="8"/>
    <x v="2"/>
    <s v="F:\images\2021-CHG-ACH-Dutasteride 3\plaque 1/@08 Dutastéride 0.01mg_L/C8_01.tif "/>
    <s v=" 7808.392 "/>
    <s v=" 74.6066 "/>
    <x v="0"/>
    <n v="582558"/>
    <m/>
    <m/>
    <m/>
  </r>
  <r>
    <x v="8"/>
    <x v="2"/>
    <s v="F:\images\2021-CHG-ACH-Dutasteride 3\plaque 1/@08 Dutastéride 0.01mg_L/C8_02.tif "/>
    <s v=" 6835.0467 "/>
    <s v=" 76.8323 "/>
    <x v="0"/>
    <n v="525152"/>
    <m/>
    <m/>
    <m/>
  </r>
  <r>
    <x v="8"/>
    <x v="2"/>
    <s v="F:\images\2021-CHG-ACH-Dutasteride 3\plaque 1/@08 Dutastéride 0.01mg_L/C8_03.tif "/>
    <s v=" 6121.2602 "/>
    <s v=" 76.6219 "/>
    <x v="0"/>
    <n v="469023"/>
    <m/>
    <m/>
    <m/>
  </r>
  <r>
    <x v="8"/>
    <x v="3"/>
    <s v="F:\images\2021-CHG-ACH-Dutasteride 3\plaque 1/@08 Dutastéride 0.01mg_L/D8_01.tif "/>
    <s v=" 1989.9503 "/>
    <s v=" 63.1522 "/>
    <x v="0"/>
    <n v="125670"/>
    <m/>
    <m/>
    <m/>
  </r>
  <r>
    <x v="8"/>
    <x v="3"/>
    <s v="F:\images\2021-CHG-ACH-Dutasteride 3\plaque 1/@08 Dutastéride 0.01mg_L/D8_02.tif "/>
    <s v=" 2098.0998 "/>
    <s v=" 65.9278 "/>
    <x v="0"/>
    <n v="138323"/>
    <m/>
    <m/>
    <m/>
  </r>
  <r>
    <x v="8"/>
    <x v="3"/>
    <s v="F:\images\2021-CHG-ACH-Dutasteride 3\plaque 1/@08 Dutastéride 0.01mg_L/D8_03.tif "/>
    <s v=" 1752.0215 "/>
    <s v=" 67.2099 "/>
    <x v="0"/>
    <n v="117753"/>
    <m/>
    <m/>
    <m/>
  </r>
  <r>
    <x v="8"/>
    <x v="4"/>
    <s v="F:\images\2021-CHG-ACH-Dutasteride 3\plaque 1/@08 Dutastéride 0.01mg_L/E8_01.tif "/>
    <s v=" 2011.5802 "/>
    <s v=" 65.4301 "/>
    <x v="0"/>
    <n v="131618"/>
    <m/>
    <m/>
    <m/>
  </r>
  <r>
    <x v="8"/>
    <x v="4"/>
    <s v="F:\images\2021-CHG-ACH-Dutasteride 3\plaque 1/@08 Dutastéride 0.01mg_L/E8_02.tif "/>
    <s v=" 3309.3739 "/>
    <s v=" 66.2026 "/>
    <x v="0"/>
    <n v="219089"/>
    <m/>
    <m/>
    <m/>
  </r>
  <r>
    <x v="8"/>
    <x v="4"/>
    <s v="F:\images\2021-CHG-ACH-Dutasteride 3\plaque 1/@08 Dutastéride 0.01mg_L/E8_03.tif "/>
    <s v=" 584.0072 "/>
    <s v=" 65.1111 "/>
    <x v="0"/>
    <n v="38025"/>
    <m/>
    <m/>
    <m/>
  </r>
  <r>
    <x v="8"/>
    <x v="5"/>
    <s v="F:\images\2021-CHG-ACH-Dutasteride 3\plaque 1/@08 Dutastéride 0.01mg_L/F8_01.tif "/>
    <s v=" 5580.5128 "/>
    <s v=" 65.2984 "/>
    <x v="0"/>
    <n v="364399"/>
    <m/>
    <m/>
    <m/>
  </r>
  <r>
    <x v="8"/>
    <x v="5"/>
    <s v="F:\images\2021-CHG-ACH-Dutasteride 3\plaque 1/@08 Dutastéride 0.01mg_L/F8_02.tif "/>
    <s v=" 5039.7654 "/>
    <s v=" 66.3176 "/>
    <x v="0"/>
    <n v="334225"/>
    <m/>
    <m/>
    <m/>
  </r>
  <r>
    <x v="8"/>
    <x v="5"/>
    <s v="F:\images\2021-CHG-ACH-Dutasteride 3\plaque 1/@08 Dutastéride 0.01mg_L/F8_03.tif "/>
    <s v=" 4304.349 "/>
    <s v=" 65.6482 "/>
    <x v="0"/>
    <n v="282573"/>
    <m/>
    <m/>
    <m/>
  </r>
  <r>
    <x v="8"/>
    <x v="6"/>
    <s v="F:\images\2021-CHG-ACH-Dutasteride 3\plaque 1/@08 Dutastéride 0.01mg_L/G8_01.tif "/>
    <s v=" 7462.3136 "/>
    <s v=" 71.5159 "/>
    <x v="0"/>
    <n v="533674"/>
    <m/>
    <m/>
    <m/>
  </r>
  <r>
    <x v="8"/>
    <x v="6"/>
    <s v="F:\images\2021-CHG-ACH-Dutasteride 3\plaque 1/@08 Dutastéride 0.01mg_L/G8_02.tif "/>
    <s v=" 5299.3242 "/>
    <s v=" 71.8 "/>
    <x v="0"/>
    <n v="380491"/>
    <m/>
    <m/>
    <m/>
  </r>
  <r>
    <x v="8"/>
    <x v="6"/>
    <s v="F:\images\2021-CHG-ACH-Dutasteride 3\plaque 1/@08 Dutastéride 0.01mg_L/G8_03.tif "/>
    <s v=" 2941.6657 "/>
    <s v=" 64.7279 "/>
    <x v="0"/>
    <n v="190408"/>
    <m/>
    <m/>
    <m/>
  </r>
  <r>
    <x v="8"/>
    <x v="7"/>
    <s v="F:\images\2021-CHG-ACH-Dutasteride 3\plaque 1/@08 Dutastéride 0.01mg_L/H8_01- exclu.tif"/>
    <m/>
    <m/>
    <x v="1"/>
    <m/>
    <m/>
    <m/>
    <m/>
  </r>
  <r>
    <x v="8"/>
    <x v="7"/>
    <s v="F:\images\2021-CHG-ACH-Dutasteride 3\plaque 1/@08 Dutastéride 0.01mg_L/H8_02- exclu.tif"/>
    <m/>
    <m/>
    <x v="1"/>
    <m/>
    <m/>
    <m/>
    <m/>
  </r>
  <r>
    <x v="8"/>
    <x v="7"/>
    <s v="F:\images\2021-CHG-ACH-Dutasteride 3\plaque 1/@08 Dutastéride 0.01mg_L/H8_03- exclu.tif"/>
    <m/>
    <m/>
    <x v="1"/>
    <m/>
    <m/>
    <m/>
    <m/>
  </r>
  <r>
    <x v="1"/>
    <x v="8"/>
    <s v=" "/>
    <m/>
    <m/>
    <x v="1"/>
    <m/>
    <m/>
    <m/>
    <m/>
  </r>
  <r>
    <x v="1"/>
    <x v="8"/>
    <s v="group "/>
    <s v=" "/>
    <s v=" mean of mean fluo "/>
    <x v="2"/>
    <s v=" mean of total fluo "/>
    <s v=" SD total fluo "/>
    <s v=" n fluorescent "/>
    <s v=" n total"/>
  </r>
  <r>
    <x v="8"/>
    <x v="9"/>
    <s v="F:\images\2021-CHG-ACH-Dutasteride 3\plaque 1/@08 Dutastéride 0.01mg_L/ "/>
    <s v=" "/>
    <s v=" 66.6258 "/>
    <x v="10"/>
    <s v=" 203137.042 "/>
    <s v=" 186119.16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CHG-ACH-Dutasteride 3\plaque 1/@09 Dutastéride 0.1mg_L/A9_01.tif "/>
    <s v=" 11463.8442 "/>
    <s v=" 66.0057 "/>
    <x v="0"/>
    <n v="756679"/>
    <m/>
    <m/>
    <m/>
  </r>
  <r>
    <x v="9"/>
    <x v="0"/>
    <s v="F:\images\2021-CHG-ACH-Dutasteride 3\plaque 1/@09 Dutastéride 0.1mg_L/A9_02.tif "/>
    <s v=" 3287.744 "/>
    <s v=" 65.6908 "/>
    <x v="0"/>
    <n v="215974"/>
    <m/>
    <m/>
    <m/>
  </r>
  <r>
    <x v="9"/>
    <x v="0"/>
    <s v="F:\images\2021-CHG-ACH-Dutasteride 3\plaque 1/@09 Dutastéride 0.1mg_L/A9_03.tif "/>
    <s v=" 4996.5057 "/>
    <s v=" 65.8485 "/>
    <x v="0"/>
    <n v="329012"/>
    <m/>
    <m/>
    <m/>
  </r>
  <r>
    <x v="9"/>
    <x v="1"/>
    <s v="F:\images\2021-CHG-ACH-Dutasteride 3\plaque 1/@09 Dutastéride 0.1mg_L/B9_01.tif "/>
    <s v=" 994.9752 "/>
    <s v=" 65.7609 "/>
    <x v="0"/>
    <n v="65430"/>
    <m/>
    <m/>
    <m/>
  </r>
  <r>
    <x v="9"/>
    <x v="1"/>
    <s v="F:\images\2021-CHG-ACH-Dutasteride 3\plaque 1/@09 Dutastéride 0.1mg_L/B9_02.tif "/>
    <s v=" 14686.6985 "/>
    <s v=" 98.3446 "/>
    <x v="0"/>
    <n v="1444358"/>
    <m/>
    <m/>
    <m/>
  </r>
  <r>
    <x v="9"/>
    <x v="1"/>
    <s v="F:\images\2021-CHG-ACH-Dutasteride 3\plaque 1/@09 Dutastéride 0.1mg_L/B9_03.tif "/>
    <s v=" 7786.7621 "/>
    <s v=" 75.6889 "/>
    <x v="0"/>
    <n v="589371"/>
    <m/>
    <m/>
    <m/>
  </r>
  <r>
    <x v="9"/>
    <x v="2"/>
    <s v="F:\images\2021-CHG-ACH-Dutasteride 3\plaque 1/@09 Dutastéride 0.1mg_L/C9_01.tif "/>
    <s v=" 302.8185 "/>
    <s v=" 63.9286 "/>
    <x v="0"/>
    <n v="19359"/>
    <m/>
    <m/>
    <m/>
  </r>
  <r>
    <x v="9"/>
    <x v="2"/>
    <s v="F:\images\2021-CHG-ACH-Dutasteride 3\plaque 1/@09 Dutastéride 0.1mg_L/C9_02.tif "/>
    <s v=" 13583.5738 "/>
    <s v=" 93.2213 "/>
    <x v="0"/>
    <n v="1266279"/>
    <m/>
    <m/>
    <m/>
  </r>
  <r>
    <x v="9"/>
    <x v="2"/>
    <s v="F:\images\2021-CHG-ACH-Dutasteride 3\plaque 1/@09 Dutastéride 0.1mg_L/C9_03.tif "/>
    <s v=" 13670.0934 "/>
    <s v=" 91.606 "/>
    <x v="0"/>
    <n v="1252263"/>
    <m/>
    <m/>
    <m/>
  </r>
  <r>
    <x v="9"/>
    <x v="3"/>
    <s v="F:\images\2021-CHG-ACH-Dutasteride 3\plaque 1/@09 Dutastéride 0.1mg_L/D9_01.tif "/>
    <s v=" 6488.9684 "/>
    <s v=" 75.3333 "/>
    <x v="0"/>
    <n v="488836"/>
    <m/>
    <m/>
    <m/>
  </r>
  <r>
    <x v="9"/>
    <x v="3"/>
    <s v="F:\images\2021-CHG-ACH-Dutasteride 3\plaque 1/@09 Dutastéride 0.1mg_L/D9_02.tif "/>
    <s v=" 2292.7688 "/>
    <s v=" 65.3585 "/>
    <x v="0"/>
    <n v="149852"/>
    <m/>
    <m/>
    <m/>
  </r>
  <r>
    <x v="9"/>
    <x v="3"/>
    <s v="F:\images\2021-CHG-ACH-Dutasteride 3\plaque 1/@09 Dutastéride 0.1mg_L/D9_03.tif "/>
    <s v=" 843.5659 "/>
    <s v=" 65.5385 "/>
    <x v="0"/>
    <n v="55286"/>
    <m/>
    <m/>
    <m/>
  </r>
  <r>
    <x v="9"/>
    <x v="4"/>
    <s v="F:\images\2021-CHG-ACH-Dutasteride 3\plaque 1/@09 Dutastéride 0.1mg_L/E9_01.tif "/>
    <s v=" 4499.0181 "/>
    <s v=" 70.0529 "/>
    <x v="0"/>
    <n v="315169"/>
    <m/>
    <m/>
    <m/>
  </r>
  <r>
    <x v="9"/>
    <x v="4"/>
    <s v="F:\images\2021-CHG-ACH-Dutasteride 3\plaque 1/@09 Dutastéride 0.1mg_L/E9_02.tif "/>
    <s v=" 3157.9646 "/>
    <s v=" 67.4863 "/>
    <x v="0"/>
    <n v="213119"/>
    <m/>
    <m/>
    <m/>
  </r>
  <r>
    <x v="9"/>
    <x v="4"/>
    <s v="F:\images\2021-CHG-ACH-Dutasteride 3\plaque 1/@09 Dutastéride 0.1mg_L/E9_03.tif "/>
    <s v=" 1557.3524 "/>
    <s v=" 67.125 "/>
    <x v="0"/>
    <n v="104537"/>
    <m/>
    <m/>
    <m/>
  </r>
  <r>
    <x v="9"/>
    <x v="5"/>
    <s v="F:\images\2021-CHG-ACH-Dutasteride 3\plaque 1/@09 Dutastéride 0.1mg_L/F9_01.tif "/>
    <s v=" 3633.8223 "/>
    <s v=" 65.506 "/>
    <x v="0"/>
    <n v="238037"/>
    <m/>
    <m/>
    <m/>
  </r>
  <r>
    <x v="9"/>
    <x v="5"/>
    <s v="F:\images\2021-CHG-ACH-Dutasteride 3\plaque 1/@09 Dutastéride 0.1mg_L/F9_02.tif "/>
    <s v=" 562.3773 "/>
    <s v=" 62.3846 "/>
    <x v="0"/>
    <n v="35084"/>
    <m/>
    <m/>
    <m/>
  </r>
  <r>
    <x v="9"/>
    <x v="5"/>
    <s v="F:\images\2021-CHG-ACH-Dutasteride 3\plaque 1/@09 Dutastéride 0.1mg_L/F9_03.tif "/>
    <s v=" 5602.1427 "/>
    <s v=" 66.4479 "/>
    <x v="0"/>
    <n v="372250"/>
    <m/>
    <m/>
    <m/>
  </r>
  <r>
    <x v="9"/>
    <x v="6"/>
    <s v="F:\images\2021-CHG-ACH-Dutasteride 3\plaque 1/@09 Dutastéride 0.1mg_L/G9_01.tif "/>
    <s v=" 4347.6088 "/>
    <s v=" 69.0846 "/>
    <x v="0"/>
    <n v="300353"/>
    <m/>
    <m/>
    <m/>
  </r>
  <r>
    <x v="9"/>
    <x v="6"/>
    <s v="F:\images\2021-CHG-ACH-Dutasteride 3\plaque 1/@09 Dutastéride 0.1mg_L/G9_02.tif "/>
    <s v=" 1319.4236 "/>
    <s v=" 63.1148 "/>
    <x v="0"/>
    <n v="83275"/>
    <m/>
    <m/>
    <m/>
  </r>
  <r>
    <x v="9"/>
    <x v="6"/>
    <s v="F:\images\2021-CHG-ACH-Dutasteride 3\plaque 1/@09 Dutastéride 0.1mg_L/G9_03.tif "/>
    <s v=" 1297.7937 "/>
    <s v=" 66.05 "/>
    <x v="0"/>
    <n v="85719"/>
    <m/>
    <m/>
    <m/>
  </r>
  <r>
    <x v="9"/>
    <x v="7"/>
    <s v="F:\images\2021-CHG-ACH-Dutasteride 3\plaque 1/@09 Dutastéride 0.1mg_L/H9_01.tif "/>
    <s v=" 994.9752 "/>
    <s v=" 63.087 "/>
    <x v="0"/>
    <n v="62770"/>
    <m/>
    <m/>
    <m/>
  </r>
  <r>
    <x v="9"/>
    <x v="7"/>
    <s v="F:\images\2021-CHG-ACH-Dutasteride 3\plaque 1/@09 Dutastéride 0.1mg_L/H9_02.tif "/>
    <s v=" 1622.2421 "/>
    <s v=" 64.36 "/>
    <x v="0"/>
    <n v="104408"/>
    <m/>
    <m/>
    <m/>
  </r>
  <r>
    <x v="9"/>
    <x v="7"/>
    <s v="F:\images\2021-CHG-ACH-Dutasteride 3\plaque 1/@09 Dutastéride 0.1mg_L/H9_03.tif "/>
    <s v=" 1211.2741 "/>
    <s v=" 63.3929 "/>
    <x v="0"/>
    <n v="76786"/>
    <m/>
    <m/>
    <m/>
  </r>
  <r>
    <x v="1"/>
    <x v="8"/>
    <s v=" "/>
    <m/>
    <m/>
    <x v="1"/>
    <m/>
    <m/>
    <m/>
    <m/>
  </r>
  <r>
    <x v="1"/>
    <x v="8"/>
    <s v="group "/>
    <s v=" "/>
    <s v=" mean of mean fluo "/>
    <x v="2"/>
    <s v=" mean of total fluo "/>
    <s v=" SD total fluo "/>
    <s v=" n fluorescent "/>
    <s v=" n total"/>
  </r>
  <r>
    <x v="9"/>
    <x v="9"/>
    <s v="F:\images\2021-CHG-ACH-Dutasteride 3\plaque 1/@09 Dutastéride 0.1mg_L/ "/>
    <s v=" "/>
    <s v=" 70.0174 "/>
    <x v="11"/>
    <s v=" 359341.917 "/>
    <s v=" 415988.7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CHG-ACH-Dutasteride 3\plaque 1/@10 Dutastéride 0.25mg_L/A10_01.tif "/>
    <s v=" 367.7082 "/>
    <s v=" 65.0588 "/>
    <x v="0"/>
    <n v="23923"/>
    <m/>
    <m/>
    <m/>
  </r>
  <r>
    <x v="10"/>
    <x v="0"/>
    <s v="F:\images\2021-CHG-ACH-Dutasteride 3\plaque 1/@10 Dutastéride 0.25mg_L/A10_02.tif "/>
    <s v=" 194.6691 "/>
    <s v=" 64.3333 "/>
    <x v="0"/>
    <n v="12524"/>
    <m/>
    <m/>
    <m/>
  </r>
  <r>
    <x v="10"/>
    <x v="0"/>
    <s v="F:\images\2021-CHG-ACH-Dutasteride 3\plaque 1/@10 Dutastéride 0.25mg_L/A10_03.tif "/>
    <s v=" 216.2989 "/>
    <s v=" 62.7 "/>
    <x v="0"/>
    <n v="13562"/>
    <m/>
    <m/>
    <m/>
  </r>
  <r>
    <x v="10"/>
    <x v="1"/>
    <s v="F:\images\2021-CHG-ACH-Dutasteride 3\plaque 1/@10 Dutastéride 0.25mg_L/B10_01.tif "/>
    <s v=" 1124.7545 "/>
    <s v=" 62.3846 "/>
    <x v="0"/>
    <n v="70167"/>
    <m/>
    <m/>
    <m/>
  </r>
  <r>
    <x v="10"/>
    <x v="1"/>
    <s v="F:\images\2021-CHG-ACH-Dutasteride 3\plaque 1/@10 Dutastéride 0.25mg_L/B10_02.tif "/>
    <s v=" 519.1175 "/>
    <s v=" 63.7083 "/>
    <x v="0"/>
    <n v="33072"/>
    <m/>
    <m/>
    <m/>
  </r>
  <r>
    <x v="10"/>
    <x v="1"/>
    <s v="F:\images\2021-CHG-ACH-Dutasteride 3\plaque 1/@10 Dutastéride 0.25mg_L/B10_03.tif "/>
    <s v=" 1860.1709 "/>
    <s v=" 65.314 "/>
    <x v="0"/>
    <n v="121495"/>
    <m/>
    <m/>
    <m/>
  </r>
  <r>
    <x v="10"/>
    <x v="2"/>
    <s v="F:\images\2021-CHG-ACH-Dutasteride 3\plaque 1/@10 Dutastéride 0.25mg_L/C10_01.tif "/>
    <s v=" 3720.3419 "/>
    <s v=" 66.4826 "/>
    <x v="0"/>
    <n v="247338"/>
    <m/>
    <m/>
    <m/>
  </r>
  <r>
    <x v="10"/>
    <x v="2"/>
    <s v="F:\images\2021-CHG-ACH-Dutasteride 3\plaque 1/@10 Dutastéride 0.25mg_L/C10_02.tif "/>
    <s v=" 454.2278 "/>
    <s v=" 66.7619 "/>
    <x v="0"/>
    <n v="30325"/>
    <m/>
    <m/>
    <m/>
  </r>
  <r>
    <x v="10"/>
    <x v="2"/>
    <s v="F:\images\2021-CHG-ACH-Dutasteride 3\plaque 1/@10 Dutastéride 0.25mg_L/C10_03.tif "/>
    <s v=" 410.968 "/>
    <s v=" 63.8947 "/>
    <x v="0"/>
    <n v="26259"/>
    <m/>
    <m/>
    <m/>
  </r>
  <r>
    <x v="10"/>
    <x v="3"/>
    <s v="F:\images\2021-CHG-ACH-Dutasteride 3\plaque 1/@10 Dutastéride 0.25mg_L/D10_01.tif "/>
    <s v=" 9344.1145 "/>
    <s v=" 74.3843 "/>
    <x v="0"/>
    <n v="695055"/>
    <m/>
    <m/>
    <m/>
  </r>
  <r>
    <x v="10"/>
    <x v="3"/>
    <s v="F:\images\2021-CHG-ACH-Dutasteride 3\plaque 1/@10 Dutastéride 0.25mg_L/D10_02.tif "/>
    <s v=" 6791.7869 "/>
    <s v=" 68.535 "/>
    <x v="0"/>
    <n v="465475"/>
    <m/>
    <m/>
    <m/>
  </r>
  <r>
    <x v="10"/>
    <x v="3"/>
    <s v="F:\images\2021-CHG-ACH-Dutasteride 3\plaque 1/@10 Dutastéride 0.25mg_L/D10_03.tif "/>
    <s v=" 3222.8543 "/>
    <s v=" 66.302 "/>
    <x v="0"/>
    <n v="213682"/>
    <m/>
    <m/>
    <m/>
  </r>
  <r>
    <x v="10"/>
    <x v="4"/>
    <s v="F:\images\2021-CHG-ACH-Dutasteride 3\plaque 1/@10 Dutastéride 0.25mg_L/E10_01.tif "/>
    <s v=" 540.7474 "/>
    <s v=" 66.28 "/>
    <x v="0"/>
    <n v="35841"/>
    <m/>
    <m/>
    <m/>
  </r>
  <r>
    <x v="10"/>
    <x v="4"/>
    <s v="F:\images\2021-CHG-ACH-Dutasteride 3\plaque 1/@10 Dutastéride 0.25mg_L/E10_02.tif "/>
    <s v=" 194.6691 "/>
    <s v=" 67.7778 "/>
    <x v="0"/>
    <n v="13194"/>
    <m/>
    <m/>
    <m/>
  </r>
  <r>
    <x v="10"/>
    <x v="4"/>
    <s v="F:\images\2021-CHG-ACH-Dutasteride 3\plaque 1/@10 Dutastéride 0.25mg_L/E10_03.tif "/>
    <s v=" 692.1566 "/>
    <s v=" 68.2812 "/>
    <x v="0"/>
    <n v="47261"/>
    <m/>
    <m/>
    <m/>
  </r>
  <r>
    <x v="10"/>
    <x v="5"/>
    <s v="F:\images\2021-CHG-ACH-Dutasteride 3\plaque 1/@10 Dutastéride 0.25mg_L/F10_01.tif "/>
    <s v=" 324.4484 "/>
    <s v=" 62.8 "/>
    <x v="0"/>
    <n v="20375"/>
    <m/>
    <m/>
    <m/>
  </r>
  <r>
    <x v="10"/>
    <x v="5"/>
    <s v="F:\images\2021-CHG-ACH-Dutasteride 3\plaque 1/@10 Dutastéride 0.25mg_L/F10_02.tif "/>
    <s v=" 324.4484 "/>
    <s v=" 64.7333 "/>
    <x v="0"/>
    <n v="21003"/>
    <m/>
    <m/>
    <m/>
  </r>
  <r>
    <x v="10"/>
    <x v="5"/>
    <s v="F:\images\2021-CHG-ACH-Dutasteride 3\plaque 1/@10 Dutastéride 0.25mg_L/F10_03.tif "/>
    <s v=" 302.8185 "/>
    <s v=" 63.2857 "/>
    <x v="0"/>
    <n v="19164"/>
    <m/>
    <m/>
    <m/>
  </r>
  <r>
    <x v="10"/>
    <x v="6"/>
    <s v="F:\images\2021-CHG-ACH-Dutasteride 3\plaque 1/@10 Dutastéride 0.25mg_L/G10_01.tif "/>
    <s v=" 2509.0678 "/>
    <s v=" 71.2241 "/>
    <x v="0"/>
    <n v="178706"/>
    <m/>
    <m/>
    <m/>
  </r>
  <r>
    <x v="10"/>
    <x v="6"/>
    <s v="F:\images\2021-CHG-ACH-Dutasteride 3\plaque 1/@10 Dutastéride 0.25mg_L/G10_02.tif "/>
    <s v=" 648.8968 "/>
    <s v=" 64.1 "/>
    <x v="0"/>
    <n v="41594"/>
    <m/>
    <m/>
    <m/>
  </r>
  <r>
    <x v="10"/>
    <x v="6"/>
    <s v="F:\images\2021-CHG-ACH-Dutasteride 3\plaque 1/@10 Dutastéride 0.25mg_L/G10_03.tif "/>
    <s v=" 302.8185 "/>
    <s v=" 62.7857 "/>
    <x v="0"/>
    <n v="19013"/>
    <m/>
    <m/>
    <m/>
  </r>
  <r>
    <x v="10"/>
    <x v="7"/>
    <s v="F:\images\2021-CHG-ACH-Dutasteride 3\plaque 1/@10 Dutastéride 0.25mg_L/H10_01.tif "/>
    <s v=" 7570.4631 "/>
    <s v=" 66.1714 "/>
    <x v="0"/>
    <n v="500948"/>
    <m/>
    <m/>
    <m/>
  </r>
  <r>
    <x v="10"/>
    <x v="7"/>
    <s v="F:\images\2021-CHG-ACH-Dutasteride 3\plaque 1/@10 Dutastéride 0.25mg_L/H10_02.tif "/>
    <s v=" 2054.84 "/>
    <s v=" 64.7263 "/>
    <x v="0"/>
    <n v="133002"/>
    <m/>
    <m/>
    <m/>
  </r>
  <r>
    <x v="10"/>
    <x v="7"/>
    <s v="F:\images\2021-CHG-ACH-Dutasteride 3\plaque 1/@10 Dutastéride 0.25mg_L/H10_03.tif "/>
    <s v=" 4888.3562 "/>
    <s v=" 65.9646 "/>
    <x v="0"/>
    <n v="322458"/>
    <m/>
    <m/>
    <m/>
  </r>
  <r>
    <x v="1"/>
    <x v="8"/>
    <s v=" "/>
    <m/>
    <m/>
    <x v="1"/>
    <m/>
    <m/>
    <m/>
    <m/>
  </r>
  <r>
    <x v="1"/>
    <x v="8"/>
    <s v="group "/>
    <s v=" "/>
    <s v=" mean of mean fluo "/>
    <x v="2"/>
    <s v=" mean of total fluo "/>
    <s v=" SD total fluo "/>
    <s v=" n fluorescent "/>
    <s v=" n total"/>
  </r>
  <r>
    <x v="10"/>
    <x v="9"/>
    <s v="F:\images\2021-CHG-ACH-Dutasteride 3\plaque 1/@10 Dutastéride 0.25mg_L/ "/>
    <s v=" "/>
    <s v=" 65.7496 "/>
    <x v="12"/>
    <s v=" 137726.5 "/>
    <s v=" 184887.6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CHG-ACH-Dutasteride 3\plaque 1/@11 Dutastéride 0.5mg_L/A11_01.tif "/>
    <s v=" 6640.3777 "/>
    <s v=" 68.6678 "/>
    <x v="0"/>
    <n v="455980"/>
    <m/>
    <m/>
    <m/>
  </r>
  <r>
    <x v="11"/>
    <x v="0"/>
    <s v="F:\images\2021-CHG-ACH-Dutasteride 3\plaque 1/@11 Dutastéride 0.5mg_L/A11_02.tif "/>
    <s v=" 4909.9861 "/>
    <s v=" 69.0881 "/>
    <x v="0"/>
    <n v="339222"/>
    <m/>
    <m/>
    <m/>
  </r>
  <r>
    <x v="11"/>
    <x v="0"/>
    <s v="F:\images\2021-CHG-ACH-Dutasteride 3\plaque 1/@11 Dutastéride 0.5mg_L/A11_03.tif "/>
    <s v=" 6770.157 "/>
    <s v=" 67.4665 "/>
    <x v="0"/>
    <n v="456758"/>
    <m/>
    <m/>
    <m/>
  </r>
  <r>
    <x v="11"/>
    <x v="1"/>
    <s v="F:\images\2021-CHG-ACH-Dutasteride 3\plaque 1/@11 Dutastéride 0.5mg_L/B11_01.tif "/>
    <s v=" 627.2669 "/>
    <s v=" 65.0345 "/>
    <x v="0"/>
    <n v="40794"/>
    <m/>
    <m/>
    <m/>
  </r>
  <r>
    <x v="11"/>
    <x v="1"/>
    <s v="F:\images\2021-CHG-ACH-Dutasteride 3\plaque 1/@11 Dutastéride 0.5mg_L/B11_02.tif "/>
    <s v=" 475.8577 "/>
    <s v=" 64.6364 "/>
    <x v="0"/>
    <n v="30758"/>
    <m/>
    <m/>
    <m/>
  </r>
  <r>
    <x v="11"/>
    <x v="1"/>
    <s v="F:\images\2021-CHG-ACH-Dutasteride 3\plaque 1/@11 Dutastéride 0.5mg_L/B11_03.tif "/>
    <s v=" 2855.1461 "/>
    <s v=" 66.2652 "/>
    <x v="0"/>
    <n v="189197"/>
    <m/>
    <m/>
    <m/>
  </r>
  <r>
    <x v="11"/>
    <x v="2"/>
    <s v="F:\images\2021-CHG-ACH-Dutasteride 3\plaque 1/@11 Dutastéride 0.5mg_L/C11_01.tif "/>
    <s v=" 1773.6514 "/>
    <s v=" 66.939 "/>
    <x v="0"/>
    <n v="118726"/>
    <m/>
    <m/>
    <m/>
  </r>
  <r>
    <x v="11"/>
    <x v="2"/>
    <s v="F:\images\2021-CHG-ACH-Dutasteride 3\plaque 1/@11 Dutastéride 0.5mg_L/C11_02.tif "/>
    <s v=" 2984.9255 "/>
    <s v=" 66.5145 "/>
    <x v="0"/>
    <n v="198541"/>
    <m/>
    <m/>
    <m/>
  </r>
  <r>
    <x v="11"/>
    <x v="2"/>
    <s v="F:\images\2021-CHG-ACH-Dutasteride 3\plaque 1/@11 Dutastéride 0.5mg_L/C11_03.tif "/>
    <s v=" 2033.2101 "/>
    <s v=" 64.9574 "/>
    <x v="0"/>
    <n v="132072"/>
    <m/>
    <m/>
    <m/>
  </r>
  <r>
    <x v="11"/>
    <x v="3"/>
    <s v="F:\images\2021-CHG-ACH-Dutasteride 3\plaque 1/@11 Dutastéride 0.5mg_L/D11_01.tif "/>
    <s v=" 605.637 "/>
    <s v=" 65.4643 "/>
    <x v="0"/>
    <n v="39648"/>
    <m/>
    <m/>
    <m/>
  </r>
  <r>
    <x v="11"/>
    <x v="3"/>
    <s v="F:\images\2021-CHG-ACH-Dutasteride 3\plaque 1/@11 Dutastéride 0.5mg_L/D11_02.tif "/>
    <s v=" 757.0463 "/>
    <s v=" 63.7714 "/>
    <x v="0"/>
    <n v="48278"/>
    <m/>
    <m/>
    <m/>
  </r>
  <r>
    <x v="11"/>
    <x v="3"/>
    <s v="F:\images\2021-CHG-ACH-Dutasteride 3\plaque 1/@11 Dutastéride 0.5mg_L/D11_03.tif "/>
    <s v=" 2746.9966 "/>
    <s v=" 66.2283 "/>
    <x v="0"/>
    <n v="181929"/>
    <m/>
    <m/>
    <m/>
  </r>
  <r>
    <x v="11"/>
    <x v="4"/>
    <s v="F:\images\2021-CHG-ACH-Dutasteride 3\plaque 1/@11 Dutastéride 0.5mg_L/E11_01.tif "/>
    <s v=" 3179.5945 "/>
    <s v=" 67.8095 "/>
    <x v="0"/>
    <n v="215607"/>
    <m/>
    <m/>
    <m/>
  </r>
  <r>
    <x v="11"/>
    <x v="4"/>
    <s v="F:\images\2021-CHG-ACH-Dutasteride 3\plaque 1/@11 Dutastéride 0.5mg_L/E11_02.tif "/>
    <s v=" 5299.3242 "/>
    <s v=" 72.551 "/>
    <x v="0"/>
    <n v="384471"/>
    <m/>
    <m/>
    <m/>
  </r>
  <r>
    <x v="11"/>
    <x v="4"/>
    <s v="F:\images\2021-CHG-ACH-Dutasteride 3\plaque 1/@11 Dutastéride 0.5mg_L/E11_03.tif "/>
    <s v=" 2119.7297 "/>
    <s v=" 65.7959 "/>
    <x v="0"/>
    <n v="139470"/>
    <m/>
    <m/>
    <m/>
  </r>
  <r>
    <x v="11"/>
    <x v="5"/>
    <s v="F:\images\2021-CHG-ACH-Dutasteride 3\plaque 1/@11 Dutastéride 0.5mg_L/F11_01.tif "/>
    <s v=" 4390.8686 "/>
    <s v=" 68.0985 "/>
    <x v="0"/>
    <n v="299012"/>
    <m/>
    <m/>
    <m/>
  </r>
  <r>
    <x v="11"/>
    <x v="5"/>
    <s v="F:\images\2021-CHG-ACH-Dutasteride 3\plaque 1/@11 Dutastéride 0.5mg_L/F11_02.tif "/>
    <s v=" 4369.2387 "/>
    <s v=" 68.505 "/>
    <x v="0"/>
    <n v="299314"/>
    <m/>
    <m/>
    <m/>
  </r>
  <r>
    <x v="11"/>
    <x v="5"/>
    <s v="F:\images\2021-CHG-ACH-Dutasteride 3\plaque 1/@11 Dutastéride 0.5mg_L/F11_03.tif "/>
    <s v=" 3071.445 "/>
    <s v=" 67.6831 "/>
    <x v="0"/>
    <n v="207885"/>
    <m/>
    <m/>
    <m/>
  </r>
  <r>
    <x v="11"/>
    <x v="6"/>
    <s v="F:\images\2021-CHG-ACH-Dutasteride 3\plaque 1/@11 Dutastéride 0.5mg_L/G11_01.tif "/>
    <s v=" 194.6691 "/>
    <n v="64"/>
    <x v="0"/>
    <n v="12459"/>
    <m/>
    <m/>
    <m/>
  </r>
  <r>
    <x v="11"/>
    <x v="6"/>
    <s v="F:\images\2021-CHG-ACH-Dutasteride 3\plaque 1/@11 Dutastéride 0.5mg_L/G11_02.tif "/>
    <s v=" 367.7082 "/>
    <s v=" 64.4118 "/>
    <x v="0"/>
    <n v="23685"/>
    <m/>
    <m/>
    <m/>
  </r>
  <r>
    <x v="11"/>
    <x v="6"/>
    <s v="F:\images\2021-CHG-ACH-Dutasteride 3\plaque 1/@11 Dutastéride 0.5mg_L/G11_03.tif "/>
    <s v=" 129.7794 "/>
    <s v=" 64.3333 "/>
    <x v="0"/>
    <n v="8349"/>
    <m/>
    <m/>
    <m/>
  </r>
  <r>
    <x v="11"/>
    <x v="7"/>
    <s v="F:\images\2021-CHG-ACH-Dutasteride 3\plaque 1/@11 Dutastéride 0.5mg_L/H11_01.tif "/>
    <s v=" 1124.7545 "/>
    <s v=" 66.1731 "/>
    <x v="0"/>
    <n v="74428"/>
    <m/>
    <m/>
    <m/>
  </r>
  <r>
    <x v="11"/>
    <x v="7"/>
    <s v="F:\images\2021-CHG-ACH-Dutasteride 3\plaque 1/@11 Dutastéride 0.5mg_L/H11_02.tif "/>
    <s v=" 432.5979 "/>
    <s v=" 64.7 "/>
    <x v="0"/>
    <n v="27989"/>
    <m/>
    <m/>
    <m/>
  </r>
  <r>
    <x v="11"/>
    <x v="7"/>
    <s v="F:\images\2021-CHG-ACH-Dutasteride 3\plaque 1/@11 Dutastéride 0.5mg_L/H11_03.tif "/>
    <s v=" 1232.904 "/>
    <s v=" 64.2281 "/>
    <x v="0"/>
    <n v="79187"/>
    <m/>
    <m/>
    <m/>
  </r>
  <r>
    <x v="1"/>
    <x v="8"/>
    <s v=" "/>
    <m/>
    <m/>
    <x v="1"/>
    <m/>
    <m/>
    <m/>
    <m/>
  </r>
  <r>
    <x v="1"/>
    <x v="8"/>
    <s v="group "/>
    <s v=" "/>
    <s v=" mean of mean fluo "/>
    <x v="2"/>
    <s v=" mean of total fluo "/>
    <s v=" SD total fluo "/>
    <s v=" n fluorescent "/>
    <s v=" n total"/>
  </r>
  <r>
    <x v="11"/>
    <x v="9"/>
    <s v="F:\images\2021-CHG-ACH-Dutasteride 3\plaque 1/@11 Dutastéride 0.5mg_L/ "/>
    <s v=" "/>
    <s v=" 66.3884 "/>
    <x v="13"/>
    <s v=" 166823.292 "/>
    <s v=" 141330.59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CHG-ACH-Dutasteride 3\plaque 1/@12 Dutastéride 1mg_L/A12_01.tif "/>
    <s v=" 5688.6623 "/>
    <s v=" 67.7947 "/>
    <x v="0"/>
    <n v="385661"/>
    <m/>
    <m/>
    <m/>
  </r>
  <r>
    <x v="12"/>
    <x v="0"/>
    <s v="F:\images\2021-CHG-ACH-Dutasteride 3\plaque 1/@12 Dutastéride 1mg_L/A12_02.tif "/>
    <s v=" 5710.2922 "/>
    <s v=" 68.7576 "/>
    <x v="0"/>
    <n v="392626"/>
    <m/>
    <m/>
    <m/>
  </r>
  <r>
    <x v="12"/>
    <x v="0"/>
    <s v="F:\images\2021-CHG-ACH-Dutasteride 3\plaque 1/@12 Dutastéride 1mg_L/A12_03.tif "/>
    <s v=" 6099.6303 "/>
    <s v=" 69.883 "/>
    <x v="0"/>
    <n v="426260"/>
    <m/>
    <m/>
    <m/>
  </r>
  <r>
    <x v="12"/>
    <x v="1"/>
    <s v="F:\images\2021-CHG-ACH-Dutasteride 3\plaque 1/@12 Dutastéride 1mg_L/B12_01.tif "/>
    <s v=" 8305.8795 "/>
    <s v=" 72.6458 "/>
    <x v="0"/>
    <n v="603388"/>
    <m/>
    <m/>
    <m/>
  </r>
  <r>
    <x v="12"/>
    <x v="1"/>
    <s v="F:\images\2021-CHG-ACH-Dutasteride 3\plaque 1/@12 Dutastéride 1mg_L/B12_02.tif "/>
    <s v=" 5320.9541 "/>
    <s v=" 67.813 "/>
    <x v="0"/>
    <n v="360830"/>
    <m/>
    <m/>
    <m/>
  </r>
  <r>
    <x v="12"/>
    <x v="1"/>
    <s v="F:\images\2021-CHG-ACH-Dutasteride 3\plaque 1/@12 Dutastéride 1mg_L/B12_03.tif "/>
    <s v=" 5385.8438 "/>
    <s v=" 67.1968 "/>
    <x v="0"/>
    <n v="361911"/>
    <m/>
    <m/>
    <m/>
  </r>
  <r>
    <x v="12"/>
    <x v="2"/>
    <s v="F:\images\2021-CHG-ACH-Dutasteride 3\plaque 1/@12 Dutastéride 1mg_L/C12_01.tif "/>
    <s v=" 3157.9646 "/>
    <s v=" 67.0068 "/>
    <x v="0"/>
    <n v="211605"/>
    <m/>
    <m/>
    <m/>
  </r>
  <r>
    <x v="12"/>
    <x v="2"/>
    <s v="F:\images\2021-CHG-ACH-Dutasteride 3\plaque 1/@12 Dutastéride 1mg_L/C12_02.tif "/>
    <s v=" 1449.2029 "/>
    <s v=" 65.8507 "/>
    <x v="0"/>
    <n v="95431"/>
    <m/>
    <m/>
    <m/>
  </r>
  <r>
    <x v="12"/>
    <x v="2"/>
    <s v="F:\images\2021-CHG-ACH-Dutasteride 3\plaque 1/@12 Dutastéride 1mg_L/C12_03.tif "/>
    <s v=" 259.5587 "/>
    <s v=" 64.6667 "/>
    <x v="0"/>
    <n v="16785"/>
    <m/>
    <m/>
    <m/>
  </r>
  <r>
    <x v="12"/>
    <x v="3"/>
    <s v="F:\images\2021-CHG-ACH-Dutasteride 3\plaque 1/@12 Dutastéride 1mg_L/D12_01.tif "/>
    <s v=" 1081.4947 "/>
    <s v=" 64.88 "/>
    <x v="0"/>
    <n v="70167"/>
    <m/>
    <m/>
    <m/>
  </r>
  <r>
    <x v="12"/>
    <x v="3"/>
    <s v="F:\images\2021-CHG-ACH-Dutasteride 3\plaque 1/@12 Dutastéride 1mg_L/D12_02.tif "/>
    <s v=" 2033.2101 "/>
    <s v=" 64.4574 "/>
    <x v="0"/>
    <n v="131056"/>
    <m/>
    <m/>
    <m/>
  </r>
  <r>
    <x v="12"/>
    <x v="3"/>
    <s v="F:\images\2021-CHG-ACH-Dutasteride 3\plaque 1/@12 Dutastéride 1mg_L/D12_03.tif "/>
    <s v=" 3071.445 "/>
    <s v=" 69.007 "/>
    <x v="0"/>
    <n v="211951"/>
    <m/>
    <m/>
    <m/>
  </r>
  <r>
    <x v="12"/>
    <x v="4"/>
    <s v="F:\images\2021-CHG-ACH-Dutasteride 3\plaque 1/@12 Dutastéride 1mg_L/E12_01- exclu.tif"/>
    <m/>
    <m/>
    <x v="1"/>
    <m/>
    <m/>
    <m/>
    <m/>
  </r>
  <r>
    <x v="12"/>
    <x v="4"/>
    <s v="F:\images\2021-CHG-ACH-Dutasteride 3\plaque 1/@12 Dutastéride 1mg_L/E12_02.tif "/>
    <s v=" 3633.8223 "/>
    <s v=" 68.6905 "/>
    <x v="0"/>
    <n v="249609"/>
    <m/>
    <m/>
    <m/>
  </r>
  <r>
    <x v="12"/>
    <x v="4"/>
    <s v="F:\images\2021-CHG-ACH-Dutasteride 3\plaque 1/@12 Dutastéride 1mg_L/E12_03.tif "/>
    <s v=" 8024.6909 "/>
    <s v=" 72.4097 "/>
    <x v="0"/>
    <n v="581065"/>
    <m/>
    <m/>
    <m/>
  </r>
  <r>
    <x v="12"/>
    <x v="5"/>
    <s v="F:\images\2021-CHG-ACH-Dutasteride 3\plaque 1/@12 Dutastéride 1mg_L/F12_01.tif "/>
    <s v=" 432.5979 "/>
    <s v=" 63.8 "/>
    <x v="0"/>
    <n v="27600"/>
    <m/>
    <m/>
    <m/>
  </r>
  <r>
    <x v="12"/>
    <x v="5"/>
    <s v="F:\images\2021-CHG-ACH-Dutasteride 3\plaque 1/@12 Dutastéride 1mg_L/F12_02.tif "/>
    <s v=" 216.2989 "/>
    <s v=" 63.1 "/>
    <x v="0"/>
    <n v="13648"/>
    <m/>
    <m/>
    <m/>
  </r>
  <r>
    <x v="12"/>
    <x v="5"/>
    <s v="F:\images\2021-CHG-ACH-Dutasteride 3\plaque 1/@12 Dutastéride 1mg_L/F12_03.tif "/>
    <s v=" 216.2989 "/>
    <s v=" 63.2 "/>
    <x v="0"/>
    <n v="13670"/>
    <m/>
    <m/>
    <m/>
  </r>
  <r>
    <x v="12"/>
    <x v="6"/>
    <s v="F:\images\2021-CHG-ACH-Dutasteride 3\plaque 1/@12 Dutastéride 1mg_L/G12_01.tif "/>
    <s v=" 5796.8118 "/>
    <s v=" 68.6642 "/>
    <x v="0"/>
    <n v="398033"/>
    <m/>
    <m/>
    <m/>
  </r>
  <r>
    <x v="12"/>
    <x v="6"/>
    <s v="F:\images\2021-CHG-ACH-Dutasteride 3\plaque 1/@12 Dutastéride 1mg_L/G12_02- exclu.tif"/>
    <m/>
    <m/>
    <x v="1"/>
    <m/>
    <m/>
    <m/>
    <m/>
  </r>
  <r>
    <x v="12"/>
    <x v="6"/>
    <s v="F:\images\2021-CHG-ACH-Dutasteride 3\plaque 1/@12 Dutastéride 1mg_L/G12_03.tif "/>
    <s v=" 3352.6337 "/>
    <s v=" 65.0516 "/>
    <x v="0"/>
    <n v="218094"/>
    <m/>
    <m/>
    <m/>
  </r>
  <r>
    <x v="12"/>
    <x v="7"/>
    <s v="F:\images\2021-CHG-ACH-Dutasteride 3\plaque 1/@12 Dutastéride 1mg_L/H12_01.tif "/>
    <s v=" 173.0392 "/>
    <s v=" 63.875 "/>
    <x v="0"/>
    <n v="11053"/>
    <m/>
    <m/>
    <m/>
  </r>
  <r>
    <x v="12"/>
    <x v="7"/>
    <s v="F:\images\2021-CHG-ACH-Dutasteride 3\plaque 1/@12 Dutastéride 1mg_L/H12_02.tif "/>
    <s v=" 173.0392 "/>
    <s v=" 64.625 "/>
    <x v="0"/>
    <n v="11183"/>
    <m/>
    <m/>
    <m/>
  </r>
  <r>
    <x v="12"/>
    <x v="7"/>
    <s v="F:\images\2021-CHG-ACH-Dutasteride 3\plaque 1/@12 Dutastéride 1mg_L/H12_03.tif "/>
    <s v=" 108.1495 "/>
    <s v=" 62.2 "/>
    <x v="0"/>
    <n v="6727"/>
    <m/>
    <m/>
    <m/>
  </r>
  <r>
    <x v="1"/>
    <x v="8"/>
    <s v=" "/>
    <m/>
    <m/>
    <x v="1"/>
    <m/>
    <m/>
    <m/>
    <m/>
  </r>
  <r>
    <x v="1"/>
    <x v="8"/>
    <s v="group "/>
    <s v=" "/>
    <s v=" mean of mean fluo "/>
    <x v="2"/>
    <s v=" mean of total fluo "/>
    <s v=" SD total fluo "/>
    <s v=" n fluorescent "/>
    <s v=" n total"/>
  </r>
  <r>
    <x v="12"/>
    <x v="9"/>
    <s v="F:\images\2021-CHG-ACH-Dutasteride 3\plaque 1/@12 Dutastéride 1mg_L/ "/>
    <s v=" "/>
    <s v=" 66.5162 "/>
    <x v="14"/>
    <s v=" 216917.167 "/>
    <s v=" 191498.1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CHG-ACH-Dutasteride 3\plaque 2/@01 Testo 30/A1_01.tif "/>
    <s v=" 216.2989 "/>
    <s v=" 64.2 "/>
    <x v="0"/>
    <n v="13886"/>
    <m/>
    <m/>
    <m/>
  </r>
  <r>
    <x v="13"/>
    <x v="0"/>
    <s v="F:\images\2021-CHG-ACH-Dutasteride 3\plaque 2/@01 Testo 30/A1_02.tif "/>
    <s v=" 778.6762 "/>
    <s v=" 63.75 "/>
    <x v="0"/>
    <n v="49641"/>
    <m/>
    <m/>
    <m/>
  </r>
  <r>
    <x v="13"/>
    <x v="0"/>
    <s v="F:\images\2021-CHG-ACH-Dutasteride 3\plaque 2/@01 Testo 30/A1_03.tif "/>
    <s v=" 367.7082 "/>
    <s v=" 62.5294 "/>
    <x v="0"/>
    <n v="22993"/>
    <m/>
    <m/>
    <m/>
  </r>
  <r>
    <x v="13"/>
    <x v="1"/>
    <s v="F:\images\2021-CHG-ACH-Dutasteride 3\plaque 2/@01 Testo 30/B1_01.tif "/>
    <s v=" 30822.5998 "/>
    <s v=" 67.6863 "/>
    <x v="0"/>
    <n v="2086268"/>
    <m/>
    <m/>
    <m/>
  </r>
  <r>
    <x v="13"/>
    <x v="1"/>
    <s v="F:\images\2021-CHG-ACH-Dutasteride 3\plaque 2/@01 Testo 30/B1_02.tif "/>
    <s v=" 27902.5641 "/>
    <s v=" 68.1279 "/>
    <x v="0"/>
    <n v="1900943"/>
    <m/>
    <m/>
    <m/>
  </r>
  <r>
    <x v="13"/>
    <x v="1"/>
    <s v="F:\images\2021-CHG-ACH-Dutasteride 3\plaque 2/@01 Testo 30/B1_03.tif "/>
    <s v=" 27707.895 "/>
    <s v=" 68.1397 "/>
    <x v="0"/>
    <n v="1888009"/>
    <m/>
    <m/>
    <m/>
  </r>
  <r>
    <x v="13"/>
    <x v="2"/>
    <s v="F:\images\2021-CHG-ACH-Dutasteride 3\plaque 2/@01 Testo 30/C1_01.tif "/>
    <s v=" 25696.3148 "/>
    <s v=" 67.3451 "/>
    <x v="0"/>
    <n v="1730521"/>
    <m/>
    <m/>
    <m/>
  </r>
  <r>
    <x v="13"/>
    <x v="2"/>
    <s v="F:\images\2021-CHG-ACH-Dutasteride 3\plaque 2/@01 Testo 30/C1_02.tif "/>
    <s v=" 13302.3852 "/>
    <s v=" 65.6894 "/>
    <x v="0"/>
    <n v="873826"/>
    <m/>
    <m/>
    <m/>
  </r>
  <r>
    <x v="13"/>
    <x v="2"/>
    <s v="F:\images\2021-CHG-ACH-Dutasteride 3\plaque 2/@01 Testo 30/C1_03.tif "/>
    <s v=" 23706.3645 "/>
    <s v=" 67.0675 "/>
    <x v="0"/>
    <n v="1589927"/>
    <m/>
    <m/>
    <m/>
  </r>
  <r>
    <x v="13"/>
    <x v="3"/>
    <s v="F:\images\2021-CHG-ACH-Dutasteride 3\plaque 2/@01 Testo 30/D1_01.tif "/>
    <s v=" 44016.8356 "/>
    <s v=" 74.9292 "/>
    <x v="0"/>
    <n v="3298148"/>
    <m/>
    <m/>
    <m/>
  </r>
  <r>
    <x v="13"/>
    <x v="3"/>
    <s v="F:\images\2021-CHG-ACH-Dutasteride 3\plaque 2/@01 Testo 30/D1_02.tif "/>
    <s v=" 45725.5972 "/>
    <s v=" 72.7517 "/>
    <x v="0"/>
    <n v="3326613"/>
    <m/>
    <m/>
    <m/>
  </r>
  <r>
    <x v="13"/>
    <x v="3"/>
    <s v="F:\images\2021-CHG-ACH-Dutasteride 3\plaque 2/@01 Testo 30/D1_03.tif "/>
    <s v=" 41421.2482 "/>
    <s v=" 73.2178 "/>
    <x v="0"/>
    <n v="3032771"/>
    <m/>
    <m/>
    <m/>
  </r>
  <r>
    <x v="13"/>
    <x v="4"/>
    <s v="F:\images\2021-CHG-ACH-Dutasteride 3\plaque 2/@01 Testo 30/E1_01.tif "/>
    <s v=" 19488.5351 "/>
    <s v=" 68.9179 "/>
    <x v="0"/>
    <n v="1343108"/>
    <m/>
    <m/>
    <m/>
  </r>
  <r>
    <x v="13"/>
    <x v="4"/>
    <s v="F:\images\2021-CHG-ACH-Dutasteride 3\plaque 2/@01 Testo 30/E1_02.tif "/>
    <s v=" 21478.4854 "/>
    <s v=" 67.2618 "/>
    <x v="0"/>
    <n v="1444682"/>
    <m/>
    <m/>
    <m/>
  </r>
  <r>
    <x v="13"/>
    <x v="4"/>
    <s v="F:\images\2021-CHG-ACH-Dutasteride 3\plaque 2/@01 Testo 30/E1_03.tif "/>
    <s v=" 23230.5068 "/>
    <s v=" 68.6443 "/>
    <x v="0"/>
    <n v="1594642"/>
    <m/>
    <m/>
    <m/>
  </r>
  <r>
    <x v="13"/>
    <x v="5"/>
    <s v="F:\images\2021-CHG-ACH-Dutasteride 3\plaque 2/@01 Testo 30/F1_01.tif "/>
    <s v=" 12004.5915 "/>
    <s v=" 65.8973 "/>
    <x v="0"/>
    <n v="791070"/>
    <m/>
    <m/>
    <m/>
  </r>
  <r>
    <x v="13"/>
    <x v="5"/>
    <s v="F:\images\2021-CHG-ACH-Dutasteride 3\plaque 2/@01 Testo 30/F1_02.tif "/>
    <s v=" 15724.9334 "/>
    <s v=" 66.4773 "/>
    <x v="0"/>
    <n v="1045351"/>
    <m/>
    <m/>
    <m/>
  </r>
  <r>
    <x v="13"/>
    <x v="5"/>
    <s v="F:\images\2021-CHG-ACH-Dutasteride 3\plaque 2/@01 Testo 30/F1_03.tif "/>
    <s v=" 16741.5384 "/>
    <s v=" 66.8669 "/>
    <x v="0"/>
    <n v="1119455"/>
    <m/>
    <m/>
    <m/>
  </r>
  <r>
    <x v="13"/>
    <x v="6"/>
    <s v="F:\images\2021-CHG-ACH-Dutasteride 3\plaque 2/@01 Testo 30/G1_01.tif "/>
    <s v=" 55307.6406 "/>
    <s v=" 73.4935 "/>
    <x v="0"/>
    <n v="4064755"/>
    <m/>
    <m/>
    <m/>
  </r>
  <r>
    <x v="13"/>
    <x v="6"/>
    <s v="F:\images\2021-CHG-ACH-Dutasteride 3\plaque 2/@01 Testo 30/G1_02.tif "/>
    <s v=" 49727.1278 "/>
    <s v=" 69.8447 "/>
    <x v="0"/>
    <n v="3473177"/>
    <m/>
    <m/>
    <m/>
  </r>
  <r>
    <x v="13"/>
    <x v="6"/>
    <s v="F:\images\2021-CHG-ACH-Dutasteride 3\plaque 2/@01 Testo 30/G1_03.tif "/>
    <s v=" 31925.7245 "/>
    <s v=" 66.5562 "/>
    <x v="0"/>
    <n v="2124856"/>
    <m/>
    <m/>
    <m/>
  </r>
  <r>
    <x v="13"/>
    <x v="7"/>
    <s v="F:\images\2021-CHG-ACH-Dutasteride 3\plaque 2/@01 Testo 30/H1_01.tif "/>
    <s v=" 17217.3961 "/>
    <s v=" 67.7362 "/>
    <x v="0"/>
    <n v="1166241"/>
    <m/>
    <m/>
    <m/>
  </r>
  <r>
    <x v="13"/>
    <x v="7"/>
    <s v="F:\images\2021-CHG-ACH-Dutasteride 3\plaque 2/@01 Testo 30/H1_02.tif "/>
    <s v=" 13908.0222 "/>
    <s v=" 66.1493 "/>
    <x v="0"/>
    <n v="920006"/>
    <m/>
    <m/>
    <m/>
  </r>
  <r>
    <x v="13"/>
    <x v="7"/>
    <s v="F:\images\2021-CHG-ACH-Dutasteride 3\plaque 2/@01 Testo 30/H1_03.tif "/>
    <s v=" 13648.4635 "/>
    <s v=" 67.2361 "/>
    <x v="0"/>
    <n v="917670"/>
    <m/>
    <m/>
    <m/>
  </r>
  <r>
    <x v="1"/>
    <x v="8"/>
    <s v=" "/>
    <m/>
    <m/>
    <x v="1"/>
    <m/>
    <m/>
    <m/>
    <m/>
  </r>
  <r>
    <x v="1"/>
    <x v="8"/>
    <s v="group "/>
    <s v=" "/>
    <s v=" mean of mean fluo "/>
    <x v="2"/>
    <s v=" mean of total fluo "/>
    <s v=" SD total fluo "/>
    <s v=" n fluorescent "/>
    <s v=" n total"/>
  </r>
  <r>
    <x v="13"/>
    <x v="9"/>
    <s v="F:\images\2021-CHG-ACH-Dutasteride 3\plaque 2/@01 Testo 30/ "/>
    <s v=" "/>
    <s v=" 67.9382 "/>
    <x v="15"/>
    <s v=" 1659106.62 "/>
    <s v=" 1112246.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CHG-ACH-Dutasteride 3\plaque 2/@02 Testo 30/A2_01.tif "/>
    <s v=" 33894.0449 "/>
    <s v=" 74.6254 "/>
    <x v="0"/>
    <n v="2529357"/>
    <m/>
    <m/>
    <m/>
  </r>
  <r>
    <x v="14"/>
    <x v="0"/>
    <s v="F:\images\2021-CHG-ACH-Dutasteride 3\plaque 2/@02 Testo 30/A2_02.tif "/>
    <s v=" 34997.1695 "/>
    <s v=" 72.8418 "/>
    <x v="0"/>
    <n v="2549256"/>
    <m/>
    <m/>
    <m/>
  </r>
  <r>
    <x v="14"/>
    <x v="0"/>
    <s v="F:\images\2021-CHG-ACH-Dutasteride 3\plaque 2/@02 Testo 30/A2_03.tif "/>
    <s v=" 38371.4331 "/>
    <s v=" 75.1454 "/>
    <x v="0"/>
    <n v="2883438"/>
    <m/>
    <m/>
    <m/>
  </r>
  <r>
    <x v="14"/>
    <x v="1"/>
    <s v="F:\images\2021-CHG-ACH-Dutasteride 3\plaque 2/@02 Testo 30/B2_01.tif "/>
    <s v=" 11420.5844 "/>
    <s v=" 68.892 "/>
    <x v="0"/>
    <n v="786787"/>
    <m/>
    <m/>
    <m/>
  </r>
  <r>
    <x v="14"/>
    <x v="1"/>
    <s v="F:\images\2021-CHG-ACH-Dutasteride 3\plaque 2/@02 Testo 30/B2_02.tif "/>
    <s v=" 8197.7301 "/>
    <s v=" 66.3694 "/>
    <x v="0"/>
    <n v="544078"/>
    <m/>
    <m/>
    <m/>
  </r>
  <r>
    <x v="14"/>
    <x v="1"/>
    <s v="F:\images\2021-CHG-ACH-Dutasteride 3\plaque 2/@02 Testo 30/B2_03.tif "/>
    <s v=" 9603.6732 "/>
    <s v=" 64.9752 "/>
    <x v="0"/>
    <n v="624001"/>
    <m/>
    <m/>
    <m/>
  </r>
  <r>
    <x v="14"/>
    <x v="2"/>
    <s v="F:\images\2021-CHG-ACH-Dutasteride 3\plaque 2/@02 Testo 30/C2_01.tif "/>
    <s v=" 2660.477 "/>
    <s v=" 64.374 "/>
    <x v="0"/>
    <n v="171266"/>
    <m/>
    <m/>
    <m/>
  </r>
  <r>
    <x v="14"/>
    <x v="2"/>
    <s v="F:\images\2021-CHG-ACH-Dutasteride 3\plaque 2/@02 Testo 30/C2_02.tif "/>
    <s v=" 2552.3276 "/>
    <s v=" 65.0847 "/>
    <x v="0"/>
    <n v="166118"/>
    <m/>
    <m/>
    <m/>
  </r>
  <r>
    <x v="14"/>
    <x v="2"/>
    <s v="F:\images\2021-CHG-ACH-Dutasteride 3\plaque 2/@02 Testo 30/C2_03.tif "/>
    <s v=" 432.5979 "/>
    <s v=" 62.2 "/>
    <x v="0"/>
    <n v="26908"/>
    <m/>
    <m/>
    <m/>
  </r>
  <r>
    <x v="14"/>
    <x v="3"/>
    <s v="F:\images\2021-CHG-ACH-Dutasteride 3\plaque 2/@02 Testo 30/D2_01.tif "/>
    <s v=" 2336.0286 "/>
    <s v=" 63.3981 "/>
    <x v="0"/>
    <n v="148100"/>
    <m/>
    <m/>
    <m/>
  </r>
  <r>
    <x v="14"/>
    <x v="3"/>
    <s v="F:\images\2021-CHG-ACH-Dutasteride 3\plaque 2/@02 Testo 30/D2_02.tif "/>
    <s v=" 4239.4593 "/>
    <s v=" 64.051 "/>
    <x v="0"/>
    <n v="271542"/>
    <m/>
    <m/>
    <m/>
  </r>
  <r>
    <x v="14"/>
    <x v="3"/>
    <s v="F:\images\2021-CHG-ACH-Dutasteride 3\plaque 2/@02 Testo 30/D2_03.tif "/>
    <s v=" 3741.9718 "/>
    <s v=" 64.1503 "/>
    <x v="0"/>
    <n v="240049"/>
    <m/>
    <m/>
    <m/>
  </r>
  <r>
    <x v="14"/>
    <x v="4"/>
    <s v="F:\images\2021-CHG-ACH-Dutasteride 3\plaque 2/@02 Testo 30/E2_01.tif "/>
    <s v=" 44925.2911 "/>
    <s v=" 75.337 "/>
    <x v="0"/>
    <n v="3384538"/>
    <m/>
    <m/>
    <m/>
  </r>
  <r>
    <x v="14"/>
    <x v="4"/>
    <s v="F:\images\2021-CHG-ACH-Dutasteride 3\plaque 2/@02 Testo 30/E2_02.tif "/>
    <s v=" 41918.7358 "/>
    <s v=" 73.743 "/>
    <x v="0"/>
    <n v="3091215"/>
    <m/>
    <m/>
    <m/>
  </r>
  <r>
    <x v="14"/>
    <x v="4"/>
    <s v="F:\images\2021-CHG-ACH-Dutasteride 3\plaque 2/@02 Testo 30/E2_03.tif "/>
    <s v=" 40880.5008 "/>
    <s v=" 73.2132 "/>
    <x v="0"/>
    <n v="2992993"/>
    <m/>
    <m/>
    <m/>
  </r>
  <r>
    <x v="14"/>
    <x v="5"/>
    <s v="F:\images\2021-CHG-ACH-Dutasteride 3\plaque 2/@02 Testo 30/F2_01.tif "/>
    <s v=" 1968.3204 "/>
    <s v=" 63.4286 "/>
    <x v="0"/>
    <n v="124848"/>
    <m/>
    <m/>
    <m/>
  </r>
  <r>
    <x v="14"/>
    <x v="5"/>
    <s v="F:\images\2021-CHG-ACH-Dutasteride 3\plaque 2/@02 Testo 30/F2_02.tif "/>
    <s v=" 1903.4307 "/>
    <s v=" 65.4886 "/>
    <x v="0"/>
    <n v="124653"/>
    <m/>
    <m/>
    <m/>
  </r>
  <r>
    <x v="14"/>
    <x v="5"/>
    <s v="F:\images\2021-CHG-ACH-Dutasteride 3\plaque 2/@02 Testo 30/F2_03.tif "/>
    <s v=" 1557.3524 "/>
    <s v=" 64.5972 "/>
    <x v="0"/>
    <n v="100601"/>
    <m/>
    <m/>
    <m/>
  </r>
  <r>
    <x v="14"/>
    <x v="6"/>
    <s v="F:\images\2021-CHG-ACH-Dutasteride 3\plaque 2/@02 Testo 30/G2_01.tif "/>
    <s v=" 17520.2146 "/>
    <s v=" 67.921 "/>
    <x v="0"/>
    <n v="1189990"/>
    <m/>
    <m/>
    <m/>
  </r>
  <r>
    <x v="14"/>
    <x v="6"/>
    <s v="F:\images\2021-CHG-ACH-Dutasteride 3\plaque 2/@02 Testo 30/G2_02.tif "/>
    <s v=" 10858.2071 "/>
    <s v=" 66.0916 "/>
    <x v="0"/>
    <n v="717637"/>
    <m/>
    <m/>
    <m/>
  </r>
  <r>
    <x v="14"/>
    <x v="6"/>
    <s v="F:\images\2021-CHG-ACH-Dutasteride 3\plaque 2/@02 Testo 30/G2_03.tif "/>
    <s v=" 9863.232 "/>
    <s v=" 66.114 "/>
    <x v="0"/>
    <n v="652098"/>
    <m/>
    <m/>
    <m/>
  </r>
  <r>
    <x v="14"/>
    <x v="7"/>
    <s v="F:\images\2021-CHG-ACH-Dutasteride 3\plaque 2/@02 Testo 30/H2_01- exclu.tif"/>
    <m/>
    <m/>
    <x v="1"/>
    <m/>
    <m/>
    <m/>
    <m/>
  </r>
  <r>
    <x v="14"/>
    <x v="7"/>
    <s v="F:\images\2021-CHG-ACH-Dutasteride 3\plaque 2/@02 Testo 30/H2_02- exclu.tif"/>
    <m/>
    <m/>
    <x v="1"/>
    <m/>
    <m/>
    <m/>
    <m/>
  </r>
  <r>
    <x v="14"/>
    <x v="7"/>
    <s v="F:\images\2021-CHG-ACH-Dutasteride 3\plaque 2/@02 Testo 30/H2_03.tif "/>
    <s v=" 2703.7368 "/>
    <s v=" 63.288 "/>
    <x v="0"/>
    <n v="171114"/>
    <m/>
    <m/>
    <m/>
  </r>
  <r>
    <x v="1"/>
    <x v="8"/>
    <s v=" "/>
    <m/>
    <m/>
    <x v="1"/>
    <m/>
    <m/>
    <m/>
    <m/>
  </r>
  <r>
    <x v="1"/>
    <x v="8"/>
    <s v="group "/>
    <s v=" "/>
    <s v=" mean of mean fluo "/>
    <x v="2"/>
    <s v=" mean of total fluo "/>
    <s v=" SD total fluo "/>
    <s v=" n fluorescent "/>
    <s v=" n total"/>
  </r>
  <r>
    <x v="14"/>
    <x v="9"/>
    <s v="F:\images\2021-CHG-ACH-Dutasteride 3\plaque 2/@02 Testo 30/ "/>
    <s v=" "/>
    <s v=" 67.2654 "/>
    <x v="16"/>
    <s v=" 980452.583 "/>
    <s v=" 1180483.5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CHG-ACH-Dutasteride 3\plaque 2/@03 Testo+ EE2 64/A3_01.tif "/>
    <s v=" 67052.6733 "/>
    <s v=" 79.6935 "/>
    <x v="0"/>
    <n v="5343665"/>
    <m/>
    <m/>
    <m/>
  </r>
  <r>
    <x v="15"/>
    <x v="0"/>
    <s v="F:\images\2021-CHG-ACH-Dutasteride 3\plaque 2/@03 Testo+ EE2 64/A3_02.tif "/>
    <s v=" 66209.1075 "/>
    <s v=" 78.116 "/>
    <x v="0"/>
    <n v="5171989"/>
    <m/>
    <m/>
    <m/>
  </r>
  <r>
    <x v="15"/>
    <x v="0"/>
    <s v="F:\images\2021-CHG-ACH-Dutasteride 3\plaque 2/@03 Testo+ EE2 64/A3_03.tif "/>
    <s v=" 63245.8119 "/>
    <s v=" 69.8177 "/>
    <x v="0"/>
    <n v="4415678"/>
    <m/>
    <m/>
    <m/>
  </r>
  <r>
    <x v="15"/>
    <x v="1"/>
    <s v="F:\images\2021-CHG-ACH-Dutasteride 3\plaque 2/@03 Testo+ EE2 64/B3_01.tif "/>
    <s v=" 36900.6002 "/>
    <s v=" 73.422 "/>
    <x v="0"/>
    <n v="2709317"/>
    <m/>
    <m/>
    <m/>
  </r>
  <r>
    <x v="15"/>
    <x v="1"/>
    <s v="F:\images\2021-CHG-ACH-Dutasteride 3\plaque 2/@03 Testo+ EE2 64/B3_02.tif "/>
    <s v=" 33136.9986 "/>
    <s v=" 73.6717 "/>
    <x v="0"/>
    <n v="2441258"/>
    <m/>
    <m/>
    <m/>
  </r>
  <r>
    <x v="15"/>
    <x v="1"/>
    <s v="F:\images\2021-CHG-ACH-Dutasteride 3\plaque 2/@03 Testo+ EE2 64/B3_03.tif "/>
    <s v=" 33807.5253 "/>
    <s v=" 74.1772 "/>
    <x v="0"/>
    <n v="2507748"/>
    <m/>
    <m/>
    <m/>
  </r>
  <r>
    <x v="15"/>
    <x v="2"/>
    <s v="F:\images\2021-CHG-ACH-Dutasteride 3\plaque 2/@03 Testo+ EE2 64/C3_01.tif "/>
    <s v=" 22581.61 "/>
    <s v=" 70.9243 "/>
    <x v="0"/>
    <n v="1601586"/>
    <m/>
    <m/>
    <m/>
  </r>
  <r>
    <x v="15"/>
    <x v="2"/>
    <s v="F:\images\2021-CHG-ACH-Dutasteride 3\plaque 2/@03 Testo+ EE2 64/C3_02.tif "/>
    <s v=" 19986.0226 "/>
    <s v=" 70.9935 "/>
    <x v="0"/>
    <n v="1418878"/>
    <m/>
    <m/>
    <m/>
  </r>
  <r>
    <x v="15"/>
    <x v="2"/>
    <s v="F:\images\2021-CHG-ACH-Dutasteride 3\plaque 2/@03 Testo+ EE2 64/C3_03.tif "/>
    <s v=" 19986.0226 "/>
    <s v=" 69.8918 "/>
    <x v="0"/>
    <n v="1396859"/>
    <m/>
    <m/>
    <m/>
  </r>
  <r>
    <x v="15"/>
    <x v="3"/>
    <s v="F:\images\2021-CHG-ACH-Dutasteride 3\plaque 2/@03 Testo+ EE2 64/D3_01.tif "/>
    <s v=" 46720.5724 "/>
    <s v=" 77.4514 "/>
    <x v="0"/>
    <n v="3618573"/>
    <m/>
    <m/>
    <m/>
  </r>
  <r>
    <x v="15"/>
    <x v="3"/>
    <s v="F:\images\2021-CHG-ACH-Dutasteride 3\plaque 2/@03 Testo+ EE2 64/D3_02.tif "/>
    <s v=" 42394.5935 "/>
    <s v=" 76.6189 "/>
    <x v="0"/>
    <n v="3248226"/>
    <m/>
    <m/>
    <m/>
  </r>
  <r>
    <x v="15"/>
    <x v="3"/>
    <s v="F:\images\2021-CHG-ACH-Dutasteride 3\plaque 2/@03 Testo+ EE2 64/D3_03.tif "/>
    <s v=" 42329.7038 "/>
    <s v=" 75.9867 "/>
    <x v="0"/>
    <n v="3216495"/>
    <m/>
    <m/>
    <m/>
  </r>
  <r>
    <x v="15"/>
    <x v="4"/>
    <s v="F:\images\2021-CHG-ACH-Dutasteride 3\plaque 2/@03 Testo+ EE2 64/E3_01.tif "/>
    <s v=" 6964.8261 "/>
    <s v=" 63.8944 "/>
    <x v="0"/>
    <n v="445013"/>
    <m/>
    <m/>
    <m/>
  </r>
  <r>
    <x v="15"/>
    <x v="4"/>
    <s v="F:\images\2021-CHG-ACH-Dutasteride 3\plaque 2/@03 Testo+ EE2 64/E3_02.tif "/>
    <s v=" 4845.0964 "/>
    <s v=" 64.4375 "/>
    <x v="0"/>
    <n v="312206"/>
    <m/>
    <m/>
    <m/>
  </r>
  <r>
    <x v="15"/>
    <x v="4"/>
    <s v="F:\images\2021-CHG-ACH-Dutasteride 3\plaque 2/@03 Testo+ EE2 64/E3_03.tif "/>
    <s v=" 3871.7511 "/>
    <s v=" 63.2793 "/>
    <x v="0"/>
    <n v="245002"/>
    <m/>
    <m/>
    <m/>
  </r>
  <r>
    <x v="15"/>
    <x v="5"/>
    <s v="F:\images\2021-CHG-ACH-Dutasteride 3\plaque 2/@03 Testo+ EE2 64/F3_01.tif "/>
    <s v=" 48732.1526 "/>
    <s v=" 81.976 "/>
    <x v="0"/>
    <n v="3994868"/>
    <m/>
    <m/>
    <m/>
  </r>
  <r>
    <x v="15"/>
    <x v="5"/>
    <s v="F:\images\2021-CHG-ACH-Dutasteride 3\plaque 2/@03 Testo+ EE2 64/F3_02.tif "/>
    <s v=" 51435.8894 "/>
    <s v=" 77.05 "/>
    <x v="0"/>
    <n v="3963137"/>
    <m/>
    <m/>
    <m/>
  </r>
  <r>
    <x v="15"/>
    <x v="5"/>
    <s v="F:\images\2021-CHG-ACH-Dutasteride 3\plaque 2/@03 Testo+ EE2 64/F3_03.tif "/>
    <s v=" 49792.0174 "/>
    <s v=" 79.6842 "/>
    <x v="0"/>
    <n v="3967636"/>
    <m/>
    <m/>
    <m/>
  </r>
  <r>
    <x v="15"/>
    <x v="6"/>
    <s v="F:\images\2021-CHG-ACH-Dutasteride 3\plaque 2/@03 Testo+ EE2 64/G3_01.tif "/>
    <s v=" 57773.4486 "/>
    <s v=" 77.3111 "/>
    <x v="0"/>
    <n v="4466530"/>
    <m/>
    <m/>
    <m/>
  </r>
  <r>
    <x v="15"/>
    <x v="6"/>
    <s v="F:\images\2021-CHG-ACH-Dutasteride 3\plaque 2/@03 Testo+ EE2 64/G3_02.tif "/>
    <s v=" 58422.3454 "/>
    <s v=" 75.8441 "/>
    <x v="0"/>
    <n v="4430992"/>
    <m/>
    <m/>
    <m/>
  </r>
  <r>
    <x v="15"/>
    <x v="6"/>
    <s v="F:\images\2021-CHG-ACH-Dutasteride 3\plaque 2/@03 Testo+ EE2 64/G3_03.tif "/>
    <s v=" 55610.4591 "/>
    <s v=" 78.3975 "/>
    <x v="0"/>
    <n v="4359722"/>
    <m/>
    <m/>
    <m/>
  </r>
  <r>
    <x v="15"/>
    <x v="7"/>
    <s v="F:\images\2021-CHG-ACH-Dutasteride 3\plaque 2/@03 Testo+ EE2 64/H3_01.tif "/>
    <s v=" 8543.8084 "/>
    <s v=" 65.4734 "/>
    <x v="0"/>
    <n v="559392"/>
    <m/>
    <m/>
    <m/>
  </r>
  <r>
    <x v="15"/>
    <x v="7"/>
    <s v="F:\images\2021-CHG-ACH-Dutasteride 3\plaque 2/@03 Testo+ EE2 64/H3_02.tif "/>
    <s v=" 8738.4774 "/>
    <s v=" 67.9901 "/>
    <x v="0"/>
    <n v="594130"/>
    <m/>
    <m/>
    <m/>
  </r>
  <r>
    <x v="15"/>
    <x v="7"/>
    <s v="F:\images\2021-CHG-ACH-Dutasteride 3\plaque 2/@03 Testo+ EE2 64/H3_03.tif "/>
    <s v=" 7008.0859 "/>
    <s v=" 65.2346 "/>
    <x v="0"/>
    <n v="457169"/>
    <m/>
    <m/>
    <m/>
  </r>
  <r>
    <x v="1"/>
    <x v="8"/>
    <s v=" "/>
    <m/>
    <m/>
    <x v="1"/>
    <m/>
    <m/>
    <m/>
    <m/>
  </r>
  <r>
    <x v="1"/>
    <x v="8"/>
    <s v="group "/>
    <s v=" "/>
    <s v=" mean of mean fluo "/>
    <x v="2"/>
    <s v=" mean of total fluo "/>
    <s v=" SD total fluo "/>
    <s v=" n fluorescent "/>
    <s v=" n total"/>
  </r>
  <r>
    <x v="15"/>
    <x v="9"/>
    <s v="F:\images\2021-CHG-ACH-Dutasteride 3\plaque 2/@03 Testo+ EE2 64/ "/>
    <s v=" "/>
    <s v=" 72.9724 "/>
    <x v="17"/>
    <s v=" 2703586.21 "/>
    <s v=" 1703135.8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CHG-ACH-Dutasteride 3\plaque 2/@04 Testo+ FAD/A4_01.tif "/>
    <s v=" 2552.3276 "/>
    <s v=" 65.3051 "/>
    <x v="0"/>
    <n v="166680"/>
    <m/>
    <m/>
    <m/>
  </r>
  <r>
    <x v="16"/>
    <x v="0"/>
    <s v="F:\images\2021-CHG-ACH-Dutasteride 3\plaque 2/@04 Testo+ FAD/A4_02.tif "/>
    <s v=" 584.0072 "/>
    <s v=" 62.1481 "/>
    <x v="0"/>
    <n v="36295"/>
    <m/>
    <m/>
    <m/>
  </r>
  <r>
    <x v="16"/>
    <x v="0"/>
    <s v="F:\images\2021-CHG-ACH-Dutasteride 3\plaque 2/@04 Testo+ FAD/A4_03- exclu.tif"/>
    <m/>
    <m/>
    <x v="1"/>
    <m/>
    <m/>
    <m/>
    <m/>
  </r>
  <r>
    <x v="16"/>
    <x v="1"/>
    <s v="F:\images\2021-CHG-ACH-Dutasteride 3\plaque 2/@04 Testo+ FAD/B4_01.tif "/>
    <s v=" 7765.1322 "/>
    <s v=" 68.9721 "/>
    <x v="0"/>
    <n v="535578"/>
    <m/>
    <m/>
    <m/>
  </r>
  <r>
    <x v="16"/>
    <x v="1"/>
    <s v="F:\images\2021-CHG-ACH-Dutasteride 3\plaque 2/@04 Testo+ FAD/B4_02.tif "/>
    <s v=" 7483.9435 "/>
    <s v=" 67.8902 "/>
    <x v="0"/>
    <n v="508086"/>
    <m/>
    <m/>
    <m/>
  </r>
  <r>
    <x v="16"/>
    <x v="1"/>
    <s v="F:\images\2021-CHG-ACH-Dutasteride 3\plaque 2/@04 Testo+ FAD/B4_03.tif "/>
    <s v=" 2530.6977 "/>
    <s v=" 65.7949 "/>
    <x v="0"/>
    <n v="166507"/>
    <m/>
    <m/>
    <m/>
  </r>
  <r>
    <x v="16"/>
    <x v="2"/>
    <s v="F:\images\2021-CHG-ACH-Dutasteride 3\plaque 2/@04 Testo+ FAD/C4_01.tif "/>
    <s v=" 562.3773 "/>
    <s v=" 63.5 "/>
    <x v="0"/>
    <n v="35711"/>
    <m/>
    <m/>
    <m/>
  </r>
  <r>
    <x v="16"/>
    <x v="2"/>
    <s v="F:\images\2021-CHG-ACH-Dutasteride 3\plaque 2/@04 Testo+ FAD/C4_02- exclu.tif"/>
    <m/>
    <m/>
    <x v="1"/>
    <m/>
    <m/>
    <m/>
    <m/>
  </r>
  <r>
    <x v="16"/>
    <x v="2"/>
    <s v="F:\images\2021-CHG-ACH-Dutasteride 3\plaque 2/@04 Testo+ FAD/C4_03.tif "/>
    <s v=" 108.1495 "/>
    <n v="62"/>
    <x v="0"/>
    <n v="6705"/>
    <m/>
    <m/>
    <m/>
  </r>
  <r>
    <x v="16"/>
    <x v="3"/>
    <s v="F:\images\2021-CHG-ACH-Dutasteride 3\plaque 2/@04 Testo+ FAD/D4_01.tif "/>
    <s v=" 627.2669 "/>
    <s v=" 63.5172 "/>
    <x v="0"/>
    <n v="39842"/>
    <m/>
    <m/>
    <m/>
  </r>
  <r>
    <x v="16"/>
    <x v="3"/>
    <s v="F:\images\2021-CHG-ACH-Dutasteride 3\plaque 2/@04 Testo+ FAD/D4_02.tif "/>
    <s v=" 4066.4202 "/>
    <s v=" 63.0957 "/>
    <x v="0"/>
    <n v="256574"/>
    <m/>
    <m/>
    <m/>
  </r>
  <r>
    <x v="16"/>
    <x v="3"/>
    <s v="F:\images\2021-CHG-ACH-Dutasteride 3\plaque 2/@04 Testo+ FAD/D4_03.tif "/>
    <s v=" 1838.541 "/>
    <s v=" 63.1412 "/>
    <x v="0"/>
    <n v="116088"/>
    <m/>
    <m/>
    <m/>
  </r>
  <r>
    <x v="16"/>
    <x v="4"/>
    <s v="F:\images\2021-CHG-ACH-Dutasteride 3\plaque 2/@04 Testo+ FAD/E4_01.tif "/>
    <s v=" 2379.2884 "/>
    <s v=" 66.2455 "/>
    <x v="0"/>
    <n v="157617"/>
    <m/>
    <m/>
    <m/>
  </r>
  <r>
    <x v="16"/>
    <x v="4"/>
    <s v="F:\images\2021-CHG-ACH-Dutasteride 3\plaque 2/@04 Testo+ FAD/E4_02.tif "/>
    <s v=" 4066.4202 "/>
    <s v=" 70.4202 "/>
    <x v="0"/>
    <n v="286358"/>
    <m/>
    <m/>
    <m/>
  </r>
  <r>
    <x v="16"/>
    <x v="4"/>
    <s v="F:\images\2021-CHG-ACH-Dutasteride 3\plaque 2/@04 Testo+ FAD/E4_03.tif "/>
    <s v=" 2552.3276 "/>
    <s v=" 67.2712 "/>
    <x v="0"/>
    <n v="171698"/>
    <m/>
    <m/>
    <m/>
  </r>
  <r>
    <x v="16"/>
    <x v="5"/>
    <s v="F:\images\2021-CHG-ACH-Dutasteride 3\plaque 2/@04 Testo+ FAD/F4_01.tif "/>
    <s v=" 129.7794 "/>
    <s v=" 62.5 "/>
    <x v="0"/>
    <n v="8111"/>
    <m/>
    <m/>
    <m/>
  </r>
  <r>
    <x v="16"/>
    <x v="5"/>
    <s v="F:\images\2021-CHG-ACH-Dutasteride 3\plaque 2/@04 Testo+ FAD/F4_02.tif "/>
    <s v=" 259.5587 "/>
    <s v=" 63.6667 "/>
    <x v="0"/>
    <n v="16525"/>
    <m/>
    <m/>
    <m/>
  </r>
  <r>
    <x v="16"/>
    <x v="5"/>
    <s v="F:\images\2021-CHG-ACH-Dutasteride 3\plaque 2/@04 Testo+ FAD/F4_03.tif "/>
    <s v=" 389.3381 "/>
    <s v=" 64.1111 "/>
    <x v="0"/>
    <n v="24961"/>
    <m/>
    <m/>
    <m/>
  </r>
  <r>
    <x v="16"/>
    <x v="6"/>
    <s v="F:\images\2021-CHG-ACH-Dutasteride 3\plaque 2/@04 Testo+ FAD/G4_01- exclu.tif"/>
    <m/>
    <m/>
    <x v="1"/>
    <m/>
    <m/>
    <m/>
    <m/>
  </r>
  <r>
    <x v="16"/>
    <x v="6"/>
    <s v="F:\images\2021-CHG-ACH-Dutasteride 3\plaque 2/@04 Testo+ FAD/G4_02.tif "/>
    <s v=" 1081.4947 "/>
    <s v=" 62.84 "/>
    <x v="0"/>
    <n v="67961"/>
    <m/>
    <m/>
    <m/>
  </r>
  <r>
    <x v="16"/>
    <x v="6"/>
    <s v="F:\images\2021-CHG-ACH-Dutasteride 3\plaque 2/@04 Testo+ FAD/G4_03.tif "/>
    <s v=" 670.5267 "/>
    <s v=" 62.6774 "/>
    <x v="0"/>
    <n v="42027"/>
    <m/>
    <m/>
    <m/>
  </r>
  <r>
    <x v="16"/>
    <x v="7"/>
    <s v="F:\images\2021-CHG-ACH-Dutasteride 3\plaque 2/@04 Testo+ FAD/H4_01.tif "/>
    <s v=" 1816.9111 "/>
    <s v=" 66.5595 "/>
    <x v="0"/>
    <n v="120933"/>
    <m/>
    <m/>
    <m/>
  </r>
  <r>
    <x v="16"/>
    <x v="7"/>
    <s v="F:\images\2021-CHG-ACH-Dutasteride 3\plaque 2/@04 Testo+ FAD/H4_02.tif "/>
    <s v=" 1232.904 "/>
    <s v=" 66.9123 "/>
    <x v="0"/>
    <n v="82496"/>
    <m/>
    <m/>
    <m/>
  </r>
  <r>
    <x v="16"/>
    <x v="7"/>
    <s v="F:\images\2021-CHG-ACH-Dutasteride 3\plaque 2/@04 Testo+ FAD/H4_03.tif "/>
    <s v=" 713.7865 "/>
    <s v=" 64.7576 "/>
    <x v="0"/>
    <n v="46223"/>
    <m/>
    <m/>
    <m/>
  </r>
  <r>
    <x v="1"/>
    <x v="8"/>
    <s v=" "/>
    <m/>
    <m/>
    <x v="1"/>
    <m/>
    <m/>
    <m/>
    <m/>
  </r>
  <r>
    <x v="1"/>
    <x v="8"/>
    <s v="group "/>
    <s v=" "/>
    <s v=" mean of mean fluo "/>
    <x v="2"/>
    <s v=" mean of total fluo "/>
    <s v=" SD total fluo "/>
    <s v=" n fluorescent "/>
    <s v=" n total"/>
  </r>
  <r>
    <x v="16"/>
    <x v="9"/>
    <s v="F:\images\2021-CHG-ACH-Dutasteride 3\plaque 2/@04 Testo+ FAD/ "/>
    <s v=" "/>
    <s v=" 64.9485 "/>
    <x v="18"/>
    <s v=" 122591.875 "/>
    <s v=" 146216.22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CHG-ACH-Dutasteride 3\plaque 2/@05 Dutastéride 0.01mg_L Dopé/A5_01.tif "/>
    <s v=" 51306.1101 "/>
    <s v=" 73.2095 "/>
    <x v="0"/>
    <n v="3756096"/>
    <m/>
    <m/>
    <m/>
  </r>
  <r>
    <x v="17"/>
    <x v="0"/>
    <s v="F:\images\2021-CHG-ACH-Dutasteride 3\plaque 2/@05 Dutastéride 0.01mg_L Dopé/A5_02.tif "/>
    <s v=" 55199.4911 "/>
    <s v=" 72.5537 "/>
    <x v="0"/>
    <n v="4004926"/>
    <m/>
    <m/>
    <m/>
  </r>
  <r>
    <x v="17"/>
    <x v="0"/>
    <s v="F:\images\2021-CHG-ACH-Dutasteride 3\plaque 2/@05 Dutastéride 0.01mg_L Dopé/A5_03.tif "/>
    <s v=" 57449.0001 "/>
    <s v=" 72.6032 "/>
    <x v="0"/>
    <n v="4170979"/>
    <m/>
    <m/>
    <m/>
  </r>
  <r>
    <x v="17"/>
    <x v="1"/>
    <s v="F:\images\2021-CHG-ACH-Dutasteride 3\plaque 2/@05 Dutastéride 0.01mg_L Dopé/B5_01.tif "/>
    <s v=" 35126.9489 "/>
    <s v=" 68.4193 "/>
    <x v="0"/>
    <n v="2403362"/>
    <m/>
    <m/>
    <m/>
  </r>
  <r>
    <x v="17"/>
    <x v="1"/>
    <s v="F:\images\2021-CHG-ACH-Dutasteride 3\plaque 2/@05 Dutastéride 0.01mg_L Dopé/B5_02.tif "/>
    <s v=" 27707.895 "/>
    <s v=" 66.0585 "/>
    <x v="0"/>
    <n v="1830343"/>
    <m/>
    <m/>
    <m/>
  </r>
  <r>
    <x v="17"/>
    <x v="1"/>
    <s v="F:\images\2021-CHG-ACH-Dutasteride 3\plaque 2/@05 Dutastéride 0.01mg_L Dopé/B5_03.tif "/>
    <s v=" 32942.3295 "/>
    <s v=" 68.0519 "/>
    <x v="0"/>
    <n v="2241787"/>
    <m/>
    <m/>
    <m/>
  </r>
  <r>
    <x v="17"/>
    <x v="2"/>
    <s v="F:\images\2021-CHG-ACH-Dutasteride 3\plaque 2/@05 Dutastéride 0.01mg_L Dopé/C5_01.tif "/>
    <s v=" 19164.0866 "/>
    <s v=" 69.3883 "/>
    <x v="0"/>
    <n v="1329763"/>
    <m/>
    <m/>
    <m/>
  </r>
  <r>
    <x v="17"/>
    <x v="2"/>
    <s v="F:\images\2021-CHG-ACH-Dutasteride 3\plaque 2/@05 Dutastéride 0.01mg_L Dopé/C5_02.tif "/>
    <s v=" 12804.8976 "/>
    <s v=" 67.4409 "/>
    <x v="0"/>
    <n v="863574"/>
    <m/>
    <m/>
    <m/>
  </r>
  <r>
    <x v="17"/>
    <x v="2"/>
    <s v="F:\images\2021-CHG-ACH-Dutasteride 3\plaque 2/@05 Dutastéride 0.01mg_L Dopé/C5_03.tif "/>
    <s v=" 17130.8765 "/>
    <s v=" 69.8346 "/>
    <x v="0"/>
    <n v="1196328"/>
    <m/>
    <m/>
    <m/>
  </r>
  <r>
    <x v="17"/>
    <x v="3"/>
    <s v="F:\images\2021-CHG-ACH-Dutasteride 3\plaque 2/@05 Dutastéride 0.01mg_L Dopé/D5_01.tif "/>
    <s v=" 194.6691 "/>
    <s v=" 63.8889 "/>
    <x v="0"/>
    <n v="12437"/>
    <m/>
    <m/>
    <m/>
  </r>
  <r>
    <x v="17"/>
    <x v="3"/>
    <s v="F:\images\2021-CHG-ACH-Dutasteride 3\plaque 2/@05 Dutastéride 0.01mg_L Dopé/D5_02.tif "/>
    <s v=" 605.637 "/>
    <s v=" 64.7857 "/>
    <x v="0"/>
    <n v="39237"/>
    <m/>
    <m/>
    <m/>
  </r>
  <r>
    <x v="17"/>
    <x v="3"/>
    <s v="F:\images\2021-CHG-ACH-Dutasteride 3\plaque 2/@05 Dutastéride 0.01mg_L Dopé/D5_03.tif "/>
    <s v=" 389.3381 "/>
    <s v=" 64.0556 "/>
    <x v="0"/>
    <n v="24939"/>
    <m/>
    <m/>
    <m/>
  </r>
  <r>
    <x v="17"/>
    <x v="4"/>
    <s v="F:\images\2021-CHG-ACH-Dutasteride 3\plaque 2/@05 Dutastéride 0.01mg_L Dopé/E5_01.tif "/>
    <s v=" 37873.9455 "/>
    <s v=" 70.7893 "/>
    <x v="0"/>
    <n v="2681069"/>
    <m/>
    <m/>
    <m/>
  </r>
  <r>
    <x v="17"/>
    <x v="4"/>
    <s v="F:\images\2021-CHG-ACH-Dutasteride 3\plaque 2/@05 Dutastéride 0.01mg_L Dopé/E5_02.tif "/>
    <s v=" 41659.1771 "/>
    <s v=" 72.7155 "/>
    <x v="0"/>
    <n v="3029267"/>
    <m/>
    <m/>
    <m/>
  </r>
  <r>
    <x v="17"/>
    <x v="4"/>
    <s v="F:\images\2021-CHG-ACH-Dutasteride 3\plaque 2/@05 Dutastéride 0.01mg_L Dopé/E5_03.tif "/>
    <s v=" 43649.1274 "/>
    <s v=" 72.7042 "/>
    <x v="0"/>
    <n v="3173473"/>
    <m/>
    <m/>
    <m/>
  </r>
  <r>
    <x v="17"/>
    <x v="5"/>
    <s v="F:\images\2021-CHG-ACH-Dutasteride 3\plaque 2/@05 Dutastéride 0.01mg_L Dopé/F5_01.tif "/>
    <s v=" 58227.6763 "/>
    <s v=" 75.0111 "/>
    <x v="0"/>
    <n v="4367725"/>
    <m/>
    <m/>
    <m/>
  </r>
  <r>
    <x v="17"/>
    <x v="5"/>
    <s v="F:\images\2021-CHG-ACH-Dutasteride 3\plaque 2/@05 Dutastéride 0.01mg_L Dopé/F5_02.tif "/>
    <s v=" 53555.6191 "/>
    <s v=" 75.0679 "/>
    <x v="0"/>
    <n v="4020305"/>
    <m/>
    <m/>
    <m/>
  </r>
  <r>
    <x v="17"/>
    <x v="5"/>
    <s v="F:\images\2021-CHG-ACH-Dutasteride 3\plaque 2/@05 Dutastéride 0.01mg_L Dopé/F5_03.tif "/>
    <s v=" 51262.8503 "/>
    <s v=" 72.0321 "/>
    <x v="0"/>
    <n v="3692569"/>
    <m/>
    <m/>
    <m/>
  </r>
  <r>
    <x v="17"/>
    <x v="6"/>
    <s v="F:\images\2021-CHG-ACH-Dutasteride 3\plaque 2/@05 Dutastéride 0.01mg_L Dopé/G5_01- exclu.tif"/>
    <m/>
    <m/>
    <x v="1"/>
    <m/>
    <m/>
    <m/>
    <m/>
  </r>
  <r>
    <x v="17"/>
    <x v="6"/>
    <s v="F:\images\2021-CHG-ACH-Dutasteride 3\plaque 2/@05 Dutastéride 0.01mg_L Dopé/G5_02- exclu.tif"/>
    <m/>
    <m/>
    <x v="1"/>
    <m/>
    <m/>
    <m/>
    <m/>
  </r>
  <r>
    <x v="17"/>
    <x v="6"/>
    <s v="F:\images\2021-CHG-ACH-Dutasteride 3\plaque 2/@05 Dutastéride 0.01mg_L Dopé/G5_03- exclu.tif"/>
    <m/>
    <m/>
    <x v="1"/>
    <m/>
    <m/>
    <m/>
    <m/>
  </r>
  <r>
    <x v="17"/>
    <x v="7"/>
    <s v="F:\images\2021-CHG-ACH-Dutasteride 3\plaque 2/@05 Dutastéride 0.01mg_L Dopé/H5_01.tif "/>
    <s v=" 5429.1036 "/>
    <s v=" 65.0757 "/>
    <x v="0"/>
    <n v="353303"/>
    <m/>
    <m/>
    <m/>
  </r>
  <r>
    <x v="17"/>
    <x v="7"/>
    <s v="F:\images\2021-CHG-ACH-Dutasteride 3\plaque 2/@05 Dutastéride 0.01mg_L Dopé/H5_02.tif "/>
    <s v=" 6597.1179 "/>
    <s v=" 66.4131 "/>
    <x v="0"/>
    <n v="438135"/>
    <m/>
    <m/>
    <m/>
  </r>
  <r>
    <x v="17"/>
    <x v="7"/>
    <s v="F:\images\2021-CHG-ACH-Dutasteride 3\plaque 2/@05 Dutastéride 0.01mg_L Dopé/H5_03.tif "/>
    <s v=" 3309.3739 "/>
    <s v=" 65.4379 "/>
    <x v="0"/>
    <n v="216559"/>
    <m/>
    <m/>
    <m/>
  </r>
  <r>
    <x v="1"/>
    <x v="8"/>
    <s v=" "/>
    <m/>
    <m/>
    <x v="1"/>
    <m/>
    <m/>
    <m/>
    <m/>
  </r>
  <r>
    <x v="1"/>
    <x v="8"/>
    <s v="group "/>
    <s v=" "/>
    <s v=" mean of mean fluo "/>
    <x v="2"/>
    <s v=" mean of total fluo "/>
    <s v=" SD total fluo "/>
    <s v=" n fluorescent "/>
    <s v=" n total"/>
  </r>
  <r>
    <x v="17"/>
    <x v="9"/>
    <s v="F:\images\2021-CHG-ACH-Dutasteride 3\plaque 2/@05 Dutastéride 0.01mg_L Dopé/ "/>
    <s v=" "/>
    <s v=" 68.9363 "/>
    <x v="19"/>
    <s v=" 1827450.29 "/>
    <s v=" 1630799.1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CHG-ACH-Dutasteride 3\plaque 2/@06 Dutastéride 0.1mg_L Dopé/A6_01.tif "/>
    <s v=" 259.5587 "/>
    <s v=" 63.75 "/>
    <x v="0"/>
    <n v="16547"/>
    <m/>
    <m/>
    <m/>
  </r>
  <r>
    <x v="18"/>
    <x v="0"/>
    <s v="F:\images\2021-CHG-ACH-Dutasteride 3\plaque 2/@06 Dutastéride 0.1mg_L Dopé/A6_02.tif "/>
    <s v=" 346.0783 "/>
    <s v=" 63.6875 "/>
    <x v="0"/>
    <n v="22041"/>
    <m/>
    <m/>
    <m/>
  </r>
  <r>
    <x v="18"/>
    <x v="0"/>
    <s v="F:\images\2021-CHG-ACH-Dutasteride 3\plaque 2/@06 Dutastéride 0.1mg_L Dopé/A6_03.tif "/>
    <s v=" 281.1886 "/>
    <s v=" 63.2308 "/>
    <x v="0"/>
    <n v="17780"/>
    <m/>
    <m/>
    <m/>
  </r>
  <r>
    <x v="18"/>
    <x v="1"/>
    <s v="F:\images\2021-CHG-ACH-Dutasteride 3\plaque 2/@06 Dutastéride 0.1mg_L Dopé/B6_01- exclu.tif"/>
    <m/>
    <m/>
    <x v="1"/>
    <m/>
    <m/>
    <m/>
    <m/>
  </r>
  <r>
    <x v="18"/>
    <x v="1"/>
    <s v="F:\images\2021-CHG-ACH-Dutasteride 3\plaque 2/@06 Dutastéride 0.1mg_L Dopé/B6_02.tif "/>
    <s v=" 16936.2075 "/>
    <s v=" 66.4789 "/>
    <x v="0"/>
    <n v="1125901"/>
    <m/>
    <m/>
    <m/>
  </r>
  <r>
    <x v="18"/>
    <x v="1"/>
    <s v="F:\images\2021-CHG-ACH-Dutasteride 3\plaque 2/@06 Dutastéride 0.1mg_L Dopé/B6_03.tif "/>
    <s v=" 14751.5881 "/>
    <s v=" 64.9897 "/>
    <x v="0"/>
    <n v="958702"/>
    <m/>
    <m/>
    <m/>
  </r>
  <r>
    <x v="18"/>
    <x v="2"/>
    <s v="F:\images\2021-CHG-ACH-Dutasteride 3\plaque 2/@06 Dutastéride 0.1mg_L Dopé/C6_01.tif "/>
    <s v=" 367.7082 "/>
    <s v=" 63.6471 "/>
    <x v="0"/>
    <n v="23404"/>
    <m/>
    <m/>
    <m/>
  </r>
  <r>
    <x v="18"/>
    <x v="2"/>
    <s v="F:\images\2021-CHG-ACH-Dutasteride 3\plaque 2/@06 Dutastéride 0.1mg_L Dopé/C6_02.tif "/>
    <s v=" 692.1566 "/>
    <s v=" 62.3125 "/>
    <x v="0"/>
    <n v="43130"/>
    <m/>
    <m/>
    <m/>
  </r>
  <r>
    <x v="18"/>
    <x v="2"/>
    <s v="F:\images\2021-CHG-ACH-Dutasteride 3\plaque 2/@06 Dutastéride 0.1mg_L Dopé/C6_03.tif "/>
    <s v=" 367.7082 "/>
    <s v=" 63.0588 "/>
    <x v="0"/>
    <n v="23187"/>
    <m/>
    <m/>
    <m/>
  </r>
  <r>
    <x v="18"/>
    <x v="3"/>
    <s v="F:\images\2021-CHG-ACH-Dutasteride 3\plaque 2/@06 Dutastéride 0.1mg_L Dopé/D6_01.tif "/>
    <s v=" 27578.1157 "/>
    <s v=" 69.5702 "/>
    <x v="0"/>
    <n v="1918615"/>
    <m/>
    <m/>
    <m/>
  </r>
  <r>
    <x v="18"/>
    <x v="3"/>
    <s v="F:\images\2021-CHG-ACH-Dutasteride 3\plaque 2/@06 Dutastéride 0.1mg_L Dopé/D6_02.tif "/>
    <s v=" 28832.6495 "/>
    <s v=" 68.928 "/>
    <x v="0"/>
    <n v="1987376"/>
    <m/>
    <m/>
    <m/>
  </r>
  <r>
    <x v="18"/>
    <x v="3"/>
    <s v="F:\images\2021-CHG-ACH-Dutasteride 3\plaque 2/@06 Dutastéride 0.1mg_L Dopé/D6_03.tif "/>
    <s v=" 28832.6495 "/>
    <s v=" 68.8635 "/>
    <x v="0"/>
    <n v="1985516"/>
    <m/>
    <m/>
    <m/>
  </r>
  <r>
    <x v="18"/>
    <x v="4"/>
    <s v="F:\images\2021-CHG-ACH-Dutasteride 3\plaque 2/@06 Dutastéride 0.1mg_L Dopé/E6_01- exclu.tif"/>
    <m/>
    <m/>
    <x v="1"/>
    <m/>
    <m/>
    <m/>
    <m/>
  </r>
  <r>
    <x v="18"/>
    <x v="4"/>
    <s v="F:\images\2021-CHG-ACH-Dutasteride 3\plaque 2/@06 Dutastéride 0.1mg_L Dopé/E6_02.tif "/>
    <s v=" 8003.061 "/>
    <s v=" 68.2459 "/>
    <x v="0"/>
    <n v="546176"/>
    <m/>
    <m/>
    <m/>
  </r>
  <r>
    <x v="18"/>
    <x v="4"/>
    <s v="F:\images\2021-CHG-ACH-Dutasteride 3\plaque 2/@06 Dutastéride 0.1mg_L Dopé/E6_03.tif "/>
    <s v=" 6813.4168 "/>
    <s v=" 66.8635 "/>
    <x v="0"/>
    <n v="455569"/>
    <m/>
    <m/>
    <m/>
  </r>
  <r>
    <x v="18"/>
    <x v="5"/>
    <s v="F:\images\2021-CHG-ACH-Dutasteride 3\plaque 2/@06 Dutastéride 0.1mg_L Dopé/F6_01.tif "/>
    <s v=" 39214.999 "/>
    <s v=" 71.2328 "/>
    <x v="0"/>
    <n v="2793393"/>
    <m/>
    <m/>
    <m/>
  </r>
  <r>
    <x v="18"/>
    <x v="5"/>
    <s v="F:\images\2021-CHG-ACH-Dutasteride 3\plaque 2/@06 Dutastéride 0.1mg_L Dopé/F6_02.tif "/>
    <s v=" 37917.2053 "/>
    <s v=" 70.3155 "/>
    <x v="0"/>
    <n v="2666166"/>
    <m/>
    <m/>
    <m/>
  </r>
  <r>
    <x v="18"/>
    <x v="5"/>
    <s v="F:\images\2021-CHG-ACH-Dutasteride 3\plaque 2/@06 Dutastéride 0.1mg_L Dopé/F6_03.tif "/>
    <s v=" 34240.1232 "/>
    <s v=" 70.1282 "/>
    <x v="0"/>
    <n v="2401199"/>
    <m/>
    <m/>
    <m/>
  </r>
  <r>
    <x v="18"/>
    <x v="6"/>
    <s v="F:\images\2021-CHG-ACH-Dutasteride 3\plaque 2/@06 Dutastéride 0.1mg_L Dopé/G6_01.tif "/>
    <s v=" 18385.4104 "/>
    <s v=" 92.6694 "/>
    <x v="0"/>
    <n v="1703765"/>
    <m/>
    <m/>
    <m/>
  </r>
  <r>
    <x v="18"/>
    <x v="6"/>
    <s v="F:\images\2021-CHG-ACH-Dutasteride 3\plaque 2/@06 Dutastéride 0.1mg_L Dopé/G6_02.tif "/>
    <s v=" 14794.8479 "/>
    <s v=" 115.0263 "/>
    <x v="0"/>
    <n v="1701797"/>
    <m/>
    <m/>
    <m/>
  </r>
  <r>
    <x v="18"/>
    <x v="6"/>
    <s v="F:\images\2021-CHG-ACH-Dutasteride 3\plaque 2/@06 Dutastéride 0.1mg_L Dopé/G6_03.tif "/>
    <s v=" 13908.0222 "/>
    <s v=" 114.5163 "/>
    <x v="0"/>
    <n v="1592696"/>
    <m/>
    <m/>
    <m/>
  </r>
  <r>
    <x v="18"/>
    <x v="7"/>
    <s v="F:\images\2021-CHG-ACH-Dutasteride 3\plaque 2/@06 Dutastéride 0.1mg_L Dopé/H6_01.tif "/>
    <s v=" 1903.4307 "/>
    <s v=" 62.4886 "/>
    <x v="0"/>
    <n v="118943"/>
    <m/>
    <m/>
    <m/>
  </r>
  <r>
    <x v="18"/>
    <x v="7"/>
    <s v="F:\images\2021-CHG-ACH-Dutasteride 3\plaque 2/@06 Dutastéride 0.1mg_L Dopé/H6_02.tif "/>
    <s v=" 908.4556 "/>
    <s v=" 62.6429 "/>
    <x v="0"/>
    <n v="56908"/>
    <m/>
    <m/>
    <m/>
  </r>
  <r>
    <x v="18"/>
    <x v="7"/>
    <s v="F:\images\2021-CHG-ACH-Dutasteride 3\plaque 2/@06 Dutastéride 0.1mg_L Dopé/H6_03.tif "/>
    <s v=" 1903.4307 "/>
    <s v=" 63.375 "/>
    <x v="0"/>
    <n v="120630"/>
    <m/>
    <m/>
    <m/>
  </r>
  <r>
    <x v="1"/>
    <x v="8"/>
    <s v=" "/>
    <m/>
    <m/>
    <x v="1"/>
    <m/>
    <m/>
    <m/>
    <m/>
  </r>
  <r>
    <x v="1"/>
    <x v="8"/>
    <s v="group "/>
    <s v=" "/>
    <s v=" mean of mean fluo "/>
    <x v="2"/>
    <s v=" mean of total fluo "/>
    <s v=" SD total fluo "/>
    <s v=" n fluorescent "/>
    <s v=" n total"/>
  </r>
  <r>
    <x v="18"/>
    <x v="9"/>
    <s v="F:\images\2021-CHG-ACH-Dutasteride 3\plaque 2/@06 Dutastéride 0.1mg_L Dopé/ "/>
    <s v=" "/>
    <s v=" 71.2356 "/>
    <x v="20"/>
    <s v=" 974447.5 "/>
    <s v=" 959062.36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CHG-ACH-Dutasteride 3\plaque 2/@07  Dutastéride 0.25mg_L Dopé/A7_01.tif "/>
    <s v=" 2184.6194 "/>
    <s v=" 64.703 "/>
    <x v="0"/>
    <n v="141351"/>
    <m/>
    <m/>
    <m/>
  </r>
  <r>
    <x v="19"/>
    <x v="0"/>
    <s v="F:\images\2021-CHG-ACH-Dutasteride 3\plaque 2/@07  Dutastéride 0.25mg_L Dopé/A7_02.tif "/>
    <s v=" 1514.0926 "/>
    <s v=" 65.2429 "/>
    <x v="0"/>
    <n v="98784"/>
    <m/>
    <m/>
    <m/>
  </r>
  <r>
    <x v="19"/>
    <x v="0"/>
    <s v="F:\images\2021-CHG-ACH-Dutasteride 3\plaque 2/@07  Dutastéride 0.25mg_L Dopé/A7_03.tif "/>
    <s v=" 1341.0535 "/>
    <s v=" 64.5645 "/>
    <x v="0"/>
    <n v="86584"/>
    <m/>
    <m/>
    <m/>
  </r>
  <r>
    <x v="19"/>
    <x v="1"/>
    <s v="F:\images\2021-CHG-ACH-Dutasteride 3\plaque 2/@07  Dutastéride 0.25mg_L Dopé/B7_01.tif "/>
    <s v=" 18017.7022 "/>
    <s v=" 66.6747 "/>
    <x v="0"/>
    <n v="1201324"/>
    <m/>
    <m/>
    <m/>
  </r>
  <r>
    <x v="19"/>
    <x v="1"/>
    <s v="F:\images\2021-CHG-ACH-Dutasteride 3\plaque 2/@07  Dutastéride 0.25mg_L Dopé/B7_02.tif "/>
    <s v=" 12350.6698 "/>
    <s v=" 66.3783 "/>
    <x v="0"/>
    <n v="819816"/>
    <m/>
    <m/>
    <m/>
  </r>
  <r>
    <x v="19"/>
    <x v="1"/>
    <s v="F:\images\2021-CHG-ACH-Dutasteride 3\plaque 2/@07  Dutastéride 0.25mg_L Dopé/B7_03.tif "/>
    <s v=" 16265.6808 "/>
    <s v=" 67.016 "/>
    <x v="0"/>
    <n v="1090060"/>
    <m/>
    <m/>
    <m/>
  </r>
  <r>
    <x v="19"/>
    <x v="2"/>
    <s v="F:\images\2021-CHG-ACH-Dutasteride 3\plaque 2/@07  Dutastéride 0.25mg_L Dopé/C7_01.tif "/>
    <s v=" 540.7474 "/>
    <s v=" 63.44 "/>
    <x v="0"/>
    <n v="34305"/>
    <m/>
    <m/>
    <m/>
  </r>
  <r>
    <x v="19"/>
    <x v="2"/>
    <s v="F:\images\2021-CHG-ACH-Dutasteride 3\plaque 2/@07  Dutastéride 0.25mg_L Dopé/C7_02.tif "/>
    <s v=" 605.637 "/>
    <s v=" 62.8571 "/>
    <x v="0"/>
    <n v="38069"/>
    <m/>
    <m/>
    <m/>
  </r>
  <r>
    <x v="19"/>
    <x v="2"/>
    <s v="F:\images\2021-CHG-ACH-Dutasteride 3\plaque 2/@07  Dutastéride 0.25mg_L Dopé/C7_03.tif "/>
    <s v=" 757.0463 "/>
    <s v=" 65.3429 "/>
    <x v="0"/>
    <n v="49468"/>
    <m/>
    <m/>
    <m/>
  </r>
  <r>
    <x v="19"/>
    <x v="3"/>
    <s v="F:\images\2021-CHG-ACH-Dutasteride 3\plaque 2/@07  Dutastéride 0.25mg_L Dopé/D7_01.tif "/>
    <s v=" 15530.2643 "/>
    <s v=" 67.4345 "/>
    <x v="0"/>
    <n v="1047276"/>
    <m/>
    <m/>
    <m/>
  </r>
  <r>
    <x v="19"/>
    <x v="3"/>
    <s v="F:\images\2021-CHG-ACH-Dutasteride 3\plaque 2/@07  Dutastéride 0.25mg_L Dopé/D7_02.tif "/>
    <s v=" 14448.7696 "/>
    <s v=" 66.6737 "/>
    <x v="0"/>
    <n v="963352"/>
    <m/>
    <m/>
    <m/>
  </r>
  <r>
    <x v="19"/>
    <x v="3"/>
    <s v="F:\images\2021-CHG-ACH-Dutasteride 3\plaque 2/@07  Dutastéride 0.25mg_L Dopé/D7_03.tif "/>
    <s v=" 14124.3212 "/>
    <s v=" 67.1991 "/>
    <x v="0"/>
    <n v="949141"/>
    <m/>
    <m/>
    <m/>
  </r>
  <r>
    <x v="19"/>
    <x v="4"/>
    <s v="F:\images\2021-CHG-ACH-Dutasteride 3\plaque 2/@07  Dutastéride 0.25mg_L Dopé/E7_01- exclu.tif"/>
    <m/>
    <m/>
    <x v="1"/>
    <m/>
    <m/>
    <m/>
    <m/>
  </r>
  <r>
    <x v="19"/>
    <x v="4"/>
    <s v="F:\images\2021-CHG-ACH-Dutasteride 3\plaque 2/@07  Dutastéride 0.25mg_L Dopé/E7_02.tif "/>
    <s v=" 5320.9541 "/>
    <s v=" 65.9431 "/>
    <x v="0"/>
    <n v="350880"/>
    <m/>
    <m/>
    <m/>
  </r>
  <r>
    <x v="19"/>
    <x v="4"/>
    <s v="F:\images\2021-CHG-ACH-Dutasteride 3\plaque 2/@07  Dutastéride 0.25mg_L Dopé/E7_03.tif "/>
    <s v=" 5018.1356 "/>
    <s v=" 65.0517 "/>
    <x v="0"/>
    <n v="326438"/>
    <m/>
    <m/>
    <m/>
  </r>
  <r>
    <x v="19"/>
    <x v="5"/>
    <s v="F:\images\2021-CHG-ACH-Dutasteride 3\plaque 2/@07  Dutastéride 0.25mg_L Dopé/F7_01.tif "/>
    <s v=" 475.8577 "/>
    <s v=" 64.9545 "/>
    <x v="0"/>
    <n v="30909"/>
    <m/>
    <m/>
    <m/>
  </r>
  <r>
    <x v="19"/>
    <x v="5"/>
    <s v="F:\images\2021-CHG-ACH-Dutasteride 3\plaque 2/@07  Dutastéride 0.25mg_L Dopé/F7_02.tif "/>
    <s v=" 324.4484 "/>
    <s v=" 67.2667 "/>
    <x v="0"/>
    <n v="21825"/>
    <m/>
    <m/>
    <m/>
  </r>
  <r>
    <x v="19"/>
    <x v="5"/>
    <s v="F:\images\2021-CHG-ACH-Dutasteride 3\plaque 2/@07  Dutastéride 0.25mg_L Dopé/F7_03.tif "/>
    <s v=" 302.8185 "/>
    <s v=" 64.5 "/>
    <x v="0"/>
    <n v="19532"/>
    <m/>
    <m/>
    <m/>
  </r>
  <r>
    <x v="19"/>
    <x v="6"/>
    <s v="F:\images\2021-CHG-ACH-Dutasteride 3\plaque 2/@07  Dutastéride 0.25mg_L Dopé/G7_01.tif "/>
    <s v=" 8998.0362 "/>
    <s v=" 69.0986 "/>
    <x v="0"/>
    <n v="621751"/>
    <m/>
    <m/>
    <m/>
  </r>
  <r>
    <x v="19"/>
    <x v="6"/>
    <s v="F:\images\2021-CHG-ACH-Dutasteride 3\plaque 2/@07  Dutastéride 0.25mg_L Dopé/G7_02.tif "/>
    <s v=" 7419.0539 "/>
    <s v=" 65.1195 "/>
    <x v="0"/>
    <n v="483125"/>
    <m/>
    <m/>
    <m/>
  </r>
  <r>
    <x v="19"/>
    <x v="6"/>
    <s v="F:\images\2021-CHG-ACH-Dutasteride 3\plaque 2/@07  Dutastéride 0.25mg_L Dopé/G7_03.tif "/>
    <s v=" 4845.0964 "/>
    <s v=" 64.2634 "/>
    <x v="0"/>
    <n v="311362"/>
    <m/>
    <m/>
    <m/>
  </r>
  <r>
    <x v="19"/>
    <x v="7"/>
    <s v="F:\images\2021-CHG-ACH-Dutasteride 3\plaque 2/@07  Dutastéride 0.25mg_L Dopé/H7_01.tif "/>
    <s v=" 26756.1797 "/>
    <s v=" 69.9757 "/>
    <x v="0"/>
    <n v="1872284"/>
    <m/>
    <m/>
    <m/>
  </r>
  <r>
    <x v="19"/>
    <x v="7"/>
    <s v="F:\images\2021-CHG-ACH-Dutasteride 3\plaque 2/@07  Dutastéride 0.25mg_L Dopé/H7_02.tif "/>
    <s v=" 29524.8062 "/>
    <s v=" 69.5604 "/>
    <x v="0"/>
    <n v="2053758"/>
    <m/>
    <m/>
    <m/>
  </r>
  <r>
    <x v="19"/>
    <x v="7"/>
    <s v="F:\images\2021-CHG-ACH-Dutasteride 3\plaque 2/@07  Dutastéride 0.25mg_L Dopé/H7_03.tif "/>
    <s v=" 32401.5822 "/>
    <s v=" 69.253 "/>
    <x v="0"/>
    <n v="2243907"/>
    <m/>
    <m/>
    <m/>
  </r>
  <r>
    <x v="1"/>
    <x v="8"/>
    <s v=" "/>
    <m/>
    <m/>
    <x v="1"/>
    <m/>
    <m/>
    <m/>
    <m/>
  </r>
  <r>
    <x v="1"/>
    <x v="8"/>
    <s v="group "/>
    <s v=" "/>
    <s v=" mean of mean fluo "/>
    <x v="2"/>
    <s v=" mean of total fluo "/>
    <s v=" SD total fluo "/>
    <s v=" n fluorescent "/>
    <s v=" n total"/>
  </r>
  <r>
    <x v="19"/>
    <x v="9"/>
    <s v="F:\images\2021-CHG-ACH-Dutasteride 3\plaque 2/@07  Dutastéride 0.25mg_L Dopé/ "/>
    <s v=" "/>
    <s v=" 66.3659 "/>
    <x v="21"/>
    <s v=" 632459.833 "/>
    <s v=" 675120.06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CHG-ACH-Dutasteride 3\plaque 2/@08 Dutastéride 0.5 mg_L Dopé/A8_01.tif "/>
    <s v=" 1535.7225 "/>
    <s v=" 65.7042 "/>
    <x v="0"/>
    <n v="100903"/>
    <m/>
    <m/>
    <m/>
  </r>
  <r>
    <x v="20"/>
    <x v="0"/>
    <s v="F:\images\2021-CHG-ACH-Dutasteride 3\plaque 2/@08 Dutastéride 0.5 mg_L Dopé/A8_02.tif "/>
    <s v=" 4499.0181 "/>
    <s v=" 67.4135 "/>
    <x v="0"/>
    <n v="303294"/>
    <m/>
    <m/>
    <m/>
  </r>
  <r>
    <x v="20"/>
    <x v="0"/>
    <s v="F:\images\2021-CHG-ACH-Dutasteride 3\plaque 2/@08 Dutastéride 0.5 mg_L Dopé/A8_03.tif "/>
    <s v=" 1665.5019 "/>
    <s v=" 64.7922 "/>
    <x v="0"/>
    <n v="107912"/>
    <m/>
    <m/>
    <m/>
  </r>
  <r>
    <x v="20"/>
    <x v="1"/>
    <s v="F:\images\2021-CHG-ACH-Dutasteride 3\plaque 2/@08 Dutastéride 0.5 mg_L Dopé/B8_01.tif "/>
    <s v=" 29697.8453 "/>
    <s v=" 72.6271 "/>
    <x v="0"/>
    <n v="2156868"/>
    <m/>
    <m/>
    <m/>
  </r>
  <r>
    <x v="20"/>
    <x v="1"/>
    <s v="F:\images\2021-CHG-ACH-Dutasteride 3\plaque 2/@08 Dutastéride 0.5 mg_L Dopé/B8_02.tif "/>
    <s v=" 28940.799 "/>
    <s v=" 73.6988 "/>
    <x v="0"/>
    <n v="2132902"/>
    <m/>
    <m/>
    <m/>
  </r>
  <r>
    <x v="20"/>
    <x v="1"/>
    <s v="F:\images\2021-CHG-ACH-Dutasteride 3\plaque 2/@08 Dutastéride 0.5 mg_L Dopé/B8_03.tif "/>
    <s v=" 30130.4432 "/>
    <s v=" 71.7617 "/>
    <x v="0"/>
    <n v="2162211"/>
    <m/>
    <m/>
    <m/>
  </r>
  <r>
    <x v="20"/>
    <x v="2"/>
    <s v="F:\images\2021-CHG-ACH-Dutasteride 3\plaque 2/@08 Dutastéride 0.5 mg_L Dopé/C8_01.tif "/>
    <s v=" 19380.3856 "/>
    <s v=" 67.4732 "/>
    <x v="0"/>
    <n v="1307657"/>
    <m/>
    <m/>
    <m/>
  </r>
  <r>
    <x v="20"/>
    <x v="2"/>
    <s v="F:\images\2021-CHG-ACH-Dutasteride 3\plaque 2/@08 Dutastéride 0.5 mg_L Dopé/C8_02.tif "/>
    <s v=" 19964.3927 "/>
    <s v=" 66.8104 "/>
    <x v="0"/>
    <n v="1333829"/>
    <m/>
    <m/>
    <m/>
  </r>
  <r>
    <x v="20"/>
    <x v="2"/>
    <s v="F:\images\2021-CHG-ACH-Dutasteride 3\plaque 2/@08 Dutastéride 0.5 mg_L Dopé/C8_03.tif "/>
    <s v=" 20223.9515 "/>
    <s v=" 67.3305 "/>
    <x v="0"/>
    <n v="1361688"/>
    <m/>
    <m/>
    <m/>
  </r>
  <r>
    <x v="20"/>
    <x v="3"/>
    <s v="F:\images\2021-CHG-ACH-Dutasteride 3\plaque 2/@08 Dutastéride 0.5 mg_L Dopé/D8_01.tif "/>
    <s v=" 8824.997 "/>
    <s v=" 67.3235 "/>
    <x v="0"/>
    <n v="594130"/>
    <m/>
    <m/>
    <m/>
  </r>
  <r>
    <x v="20"/>
    <x v="3"/>
    <s v="F:\images\2021-CHG-ACH-Dutasteride 3\plaque 2/@08 Dutastéride 0.5 mg_L Dopé/D8_02.tif "/>
    <s v=" 10512.1288 "/>
    <s v=" 66.6975 "/>
    <x v="0"/>
    <n v="701133"/>
    <m/>
    <m/>
    <m/>
  </r>
  <r>
    <x v="20"/>
    <x v="3"/>
    <s v="F:\images\2021-CHG-ACH-Dutasteride 3\plaque 2/@08 Dutastéride 0.5 mg_L Dopé/D8_03.tif "/>
    <s v=" 7051.3456 "/>
    <s v=" 65.9693 "/>
    <x v="0"/>
    <n v="465173"/>
    <m/>
    <m/>
    <m/>
  </r>
  <r>
    <x v="20"/>
    <x v="4"/>
    <s v="F:\images\2021-CHG-ACH-Dutasteride 3\plaque 2/@08 Dutastéride 0.5 mg_L Dopé/E8_01.tif "/>
    <s v=" 1405.9432 "/>
    <s v=" 63.6308 "/>
    <x v="0"/>
    <n v="89461"/>
    <m/>
    <m/>
    <m/>
  </r>
  <r>
    <x v="20"/>
    <x v="4"/>
    <s v="F:\images\2021-CHG-ACH-Dutasteride 3\plaque 2/@08 Dutastéride 0.5 mg_L Dopé/E8_02.tif "/>
    <s v=" 540.7474 "/>
    <s v=" 63.2 "/>
    <x v="0"/>
    <n v="34175"/>
    <m/>
    <m/>
    <m/>
  </r>
  <r>
    <x v="20"/>
    <x v="4"/>
    <s v="F:\images\2021-CHG-ACH-Dutasteride 3\plaque 2/@08 Dutastéride 0.5 mg_L Dopé/E8_03.tif "/>
    <s v=" 1514.0926 "/>
    <s v=" 64.2857 "/>
    <x v="0"/>
    <n v="97335"/>
    <m/>
    <m/>
    <m/>
  </r>
  <r>
    <x v="20"/>
    <x v="5"/>
    <s v="F:\images\2021-CHG-ACH-Dutasteride 3\plaque 2/@08 Dutastéride 0.5 mg_L Dopé/F8_01.tif "/>
    <s v=" 36273.3333 "/>
    <s v=" 73.2314 "/>
    <x v="0"/>
    <n v="2656346"/>
    <m/>
    <m/>
    <m/>
  </r>
  <r>
    <x v="20"/>
    <x v="5"/>
    <s v="F:\images\2021-CHG-ACH-Dutasteride 3\plaque 2/@08 Dutastéride 0.5 mg_L Dopé/F8_02.tif "/>
    <s v=" 35970.5148 "/>
    <s v=" 71.8707 "/>
    <x v="0"/>
    <n v="2585227"/>
    <m/>
    <m/>
    <m/>
  </r>
  <r>
    <x v="20"/>
    <x v="5"/>
    <s v="F:\images\2021-CHG-ACH-Dutasteride 3\plaque 2/@08 Dutastéride 0.5 mg_L Dopé/F8_03.tif "/>
    <s v=" 31839.2049 "/>
    <s v=" 73.7412 "/>
    <x v="0"/>
    <n v="2347860"/>
    <m/>
    <m/>
    <m/>
  </r>
  <r>
    <x v="20"/>
    <x v="6"/>
    <s v="F:\images\2021-CHG-ACH-Dutasteride 3\plaque 2/@08 Dutastéride 0.5 mg_L Dopé/G8_01.tif "/>
    <s v=" 28573.0908 "/>
    <s v=" 70.0598 "/>
    <x v="0"/>
    <n v="2001825"/>
    <m/>
    <m/>
    <m/>
  </r>
  <r>
    <x v="20"/>
    <x v="6"/>
    <s v="F:\images\2021-CHG-ACH-Dutasteride 3\plaque 2/@08 Dutastéride 0.5 mg_L Dopé/G8_02.tif "/>
    <s v=" 31968.9843 "/>
    <s v=" 70.2307 "/>
    <x v="0"/>
    <n v="2245205"/>
    <m/>
    <m/>
    <m/>
  </r>
  <r>
    <x v="20"/>
    <x v="6"/>
    <s v="F:\images\2021-CHG-ACH-Dutasteride 3\plaque 2/@08 Dutastéride 0.5 mg_L Dopé/G8_03.tif "/>
    <s v=" 29157.098 "/>
    <s v=" 68.9681 "/>
    <x v="0"/>
    <n v="2010910"/>
    <m/>
    <m/>
    <m/>
  </r>
  <r>
    <x v="20"/>
    <x v="7"/>
    <s v="F:\images\2021-CHG-ACH-Dutasteride 3\plaque 2/@08 Dutastéride 0.5 mg_L Dopé/H8_01.tif "/>
    <s v=" 39171.7392 "/>
    <s v=" 70.0028 "/>
    <x v="0"/>
    <n v="2742130"/>
    <m/>
    <m/>
    <m/>
  </r>
  <r>
    <x v="20"/>
    <x v="7"/>
    <s v="F:\images\2021-CHG-ACH-Dutasteride 3\plaque 2/@08 Dutastéride 0.5 mg_L Dopé/H8_02.tif "/>
    <s v=" 38436.3228 "/>
    <s v=" 71.0777 "/>
    <x v="0"/>
    <n v="2731964"/>
    <m/>
    <m/>
    <m/>
  </r>
  <r>
    <x v="20"/>
    <x v="7"/>
    <s v="F:\images\2021-CHG-ACH-Dutasteride 3\plaque 2/@08 Dutastéride 0.5 mg_L Dopé/H8_03.tif "/>
    <s v=" 39236.6289 "/>
    <s v=" 67.9173 "/>
    <x v="0"/>
    <n v="2664846"/>
    <m/>
    <m/>
    <m/>
  </r>
  <r>
    <x v="1"/>
    <x v="8"/>
    <s v=" "/>
    <m/>
    <m/>
    <x v="1"/>
    <m/>
    <m/>
    <m/>
    <m/>
  </r>
  <r>
    <x v="1"/>
    <x v="8"/>
    <s v="group "/>
    <s v=" "/>
    <s v=" mean of mean fluo "/>
    <x v="2"/>
    <s v=" mean of total fluo "/>
    <s v=" SD total fluo "/>
    <s v=" n fluorescent "/>
    <s v=" n total"/>
  </r>
  <r>
    <x v="20"/>
    <x v="9"/>
    <s v="F:\images\2021-CHG-ACH-Dutasteride 3\plaque 2/@08 Dutastéride 0.5 mg_L Dopé/ "/>
    <s v=" "/>
    <s v=" 68.5758 "/>
    <x v="22"/>
    <s v=" 1455624.33 "/>
    <s v=" 1021280.3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CHG-ACH-Dutasteride 3\plaque 2/@09 Dutastéride 1mg_L Dopé/A9_01.tif "/>
    <s v=" 56475.6549 "/>
    <s v=" 71.2907 "/>
    <x v="0"/>
    <n v="4026189"/>
    <m/>
    <m/>
    <m/>
  </r>
  <r>
    <x v="21"/>
    <x v="0"/>
    <s v="F:\images\2021-CHG-ACH-Dutasteride 3\plaque 2/@09 Dutastéride 1mg_L Dopé/A9_02.tif "/>
    <s v=" 49381.0494 "/>
    <s v=" 70.8598 "/>
    <x v="0"/>
    <n v="3499133"/>
    <m/>
    <m/>
    <m/>
  </r>
  <r>
    <x v="21"/>
    <x v="0"/>
    <s v="F:\images\2021-CHG-ACH-Dutasteride 3\plaque 2/@09 Dutastéride 1mg_L Dopé/A9_03.tif "/>
    <s v=" 44233.1345 "/>
    <s v=" 72.2059 "/>
    <x v="0"/>
    <n v="3193892"/>
    <m/>
    <m/>
    <m/>
  </r>
  <r>
    <x v="21"/>
    <x v="1"/>
    <s v="F:\images\2021-CHG-ACH-Dutasteride 3\plaque 2/@09 Dutastéride 1mg_L Dopé/B9_01- exclu.tif"/>
    <m/>
    <m/>
    <x v="1"/>
    <m/>
    <m/>
    <m/>
    <m/>
  </r>
  <r>
    <x v="21"/>
    <x v="1"/>
    <s v="F:\images\2021-CHG-ACH-Dutasteride 3\plaque 2/@09 Dutastéride 1mg_L Dopé/B9_02- exclu.tif"/>
    <m/>
    <m/>
    <x v="1"/>
    <m/>
    <m/>
    <m/>
    <m/>
  </r>
  <r>
    <x v="21"/>
    <x v="1"/>
    <s v="F:\images\2021-CHG-ACH-Dutasteride 3\plaque 2/@09 Dutastéride 1mg_L Dopé/B9_03- exclu.tif"/>
    <m/>
    <m/>
    <x v="1"/>
    <m/>
    <m/>
    <m/>
    <m/>
  </r>
  <r>
    <x v="21"/>
    <x v="2"/>
    <s v="F:\images\2021-CHG-ACH-Dutasteride 3\plaque 2/@09 Dutastéride 1mg_L Dopé/C9_01.tif "/>
    <s v=" 28400.0516 "/>
    <s v=" 67.182 "/>
    <x v="0"/>
    <n v="1907973"/>
    <m/>
    <m/>
    <m/>
  </r>
  <r>
    <x v="21"/>
    <x v="2"/>
    <s v="F:\images\2021-CHG-ACH-Dutasteride 3\plaque 2/@09 Dutastéride 1mg_L Dopé/C9_02.tif "/>
    <s v=" 24420.151 "/>
    <s v=" 66.5421 "/>
    <x v="0"/>
    <n v="1624967"/>
    <m/>
    <m/>
    <m/>
  </r>
  <r>
    <x v="21"/>
    <x v="2"/>
    <s v="F:\images\2021-CHG-ACH-Dutasteride 3\plaque 2/@09 Dutastéride 1mg_L Dopé/C9_03.tif "/>
    <s v=" 24203.8521 "/>
    <s v=" 66.1466 "/>
    <x v="0"/>
    <n v="1601002"/>
    <m/>
    <m/>
    <m/>
  </r>
  <r>
    <x v="21"/>
    <x v="3"/>
    <s v="F:\images\2021-CHG-ACH-Dutasteride 3\plaque 2/@09 Dutastéride 1mg_L Dopé/D9_01- exclu.tif"/>
    <m/>
    <m/>
    <x v="1"/>
    <m/>
    <m/>
    <m/>
    <m/>
  </r>
  <r>
    <x v="21"/>
    <x v="3"/>
    <s v="F:\images\2021-CHG-ACH-Dutasteride 3\plaque 2/@09 Dutastéride 1mg_L Dopé/D9_02.tif "/>
    <s v=" 14081.0614 "/>
    <s v=" 67.4255 "/>
    <x v="0"/>
    <n v="949423"/>
    <m/>
    <m/>
    <m/>
  </r>
  <r>
    <x v="21"/>
    <x v="3"/>
    <s v="F:\images\2021-CHG-ACH-Dutasteride 3\plaque 2/@09 Dutastéride 1mg_L Dopé/D9_03.tif "/>
    <s v=" 16914.5776 "/>
    <s v=" 69.7481 "/>
    <x v="0"/>
    <n v="1179759"/>
    <m/>
    <m/>
    <m/>
  </r>
  <r>
    <x v="21"/>
    <x v="4"/>
    <s v="F:\images\2021-CHG-ACH-Dutasteride 3\plaque 2/@09 Dutastéride 1mg_L Dopé/E9_01.tif "/>
    <s v=" 4974.8758 "/>
    <s v=" 67.5739 "/>
    <x v="0"/>
    <n v="336172"/>
    <m/>
    <m/>
    <m/>
  </r>
  <r>
    <x v="21"/>
    <x v="4"/>
    <s v="F:\images\2021-CHG-ACH-Dutasteride 3\plaque 2/@09 Dutastéride 1mg_L Dopé/E9_02.tif "/>
    <s v=" 7873.2816 "/>
    <s v=" 67.3104 "/>
    <x v="0"/>
    <n v="529954"/>
    <m/>
    <m/>
    <m/>
  </r>
  <r>
    <x v="21"/>
    <x v="4"/>
    <s v="F:\images\2021-CHG-ACH-Dutasteride 3\plaque 2/@09 Dutastéride 1mg_L Dopé/E9_03.tif "/>
    <s v=" 5796.8118 "/>
    <s v=" 66.5448 "/>
    <x v="0"/>
    <n v="385748"/>
    <m/>
    <m/>
    <m/>
  </r>
  <r>
    <x v="21"/>
    <x v="5"/>
    <s v="F:\images\2021-CHG-ACH-Dutasteride 3\plaque 2/@09 Dutastéride 1mg_L Dopé/F9_01- exclu.tif"/>
    <m/>
    <m/>
    <x v="1"/>
    <m/>
    <m/>
    <m/>
    <m/>
  </r>
  <r>
    <x v="21"/>
    <x v="5"/>
    <s v="F:\images\2021-CHG-ACH-Dutasteride 3\plaque 2/@09 Dutastéride 1mg_L Dopé/F9_02.tif "/>
    <s v=" 6056.3705 "/>
    <s v=" 70.125 "/>
    <x v="0"/>
    <n v="424703"/>
    <m/>
    <m/>
    <m/>
  </r>
  <r>
    <x v="21"/>
    <x v="5"/>
    <s v="F:\images\2021-CHG-ACH-Dutasteride 3\plaque 2/@09 Dutastéride 1mg_L Dopé/F9_03.tif "/>
    <s v=" 6445.7086 "/>
    <s v=" 69.0872 "/>
    <x v="0"/>
    <n v="445316"/>
    <m/>
    <m/>
    <m/>
  </r>
  <r>
    <x v="21"/>
    <x v="6"/>
    <s v="F:\images\2021-CHG-ACH-Dutasteride 3\plaque 2/@09 Dutastéride 1mg_L Dopé/G9_01.tif "/>
    <s v=" 194.6691 "/>
    <s v=" 65.4444 "/>
    <x v="0"/>
    <n v="12740"/>
    <m/>
    <m/>
    <m/>
  </r>
  <r>
    <x v="21"/>
    <x v="6"/>
    <s v="F:\images\2021-CHG-ACH-Dutasteride 3\plaque 2/@09 Dutastéride 1mg_L Dopé/G9_02.tif "/>
    <s v=" 389.3381 "/>
    <s v=" 64.1667 "/>
    <x v="0"/>
    <n v="24983"/>
    <m/>
    <m/>
    <m/>
  </r>
  <r>
    <x v="21"/>
    <x v="6"/>
    <s v="F:\images\2021-CHG-ACH-Dutasteride 3\plaque 2/@09 Dutastéride 1mg_L Dopé/G9_03.tif "/>
    <s v=" 86.5196 "/>
    <s v=" 62.5 "/>
    <x v="0"/>
    <n v="5407"/>
    <m/>
    <m/>
    <m/>
  </r>
  <r>
    <x v="21"/>
    <x v="7"/>
    <s v="F:\images\2021-CHG-ACH-Dutasteride 3\plaque 2/@09 Dutastéride 1mg_L Dopé/H9_01.tif "/>
    <s v=" 24182.2222 "/>
    <s v=" 68.3193 "/>
    <x v="0"/>
    <n v="1652113"/>
    <m/>
    <m/>
    <m/>
  </r>
  <r>
    <x v="21"/>
    <x v="7"/>
    <s v="F:\images\2021-CHG-ACH-Dutasteride 3\plaque 2/@09 Dutastéride 1mg_L Dopé/H9_02.tif "/>
    <s v=" 26453.3611 "/>
    <s v=" 72.1382 "/>
    <x v="0"/>
    <n v="1908297"/>
    <m/>
    <m/>
    <m/>
  </r>
  <r>
    <x v="21"/>
    <x v="7"/>
    <s v="F:\images\2021-CHG-ACH-Dutasteride 3\plaque 2/@09 Dutastéride 1mg_L Dopé/H9_03.tif "/>
    <s v=" 10468.869 "/>
    <s v=" 66.5372 "/>
    <x v="0"/>
    <n v="696569"/>
    <m/>
    <m/>
    <m/>
  </r>
  <r>
    <x v="1"/>
    <x v="8"/>
    <s v=" "/>
    <m/>
    <m/>
    <x v="1"/>
    <m/>
    <m/>
    <m/>
    <m/>
  </r>
  <r>
    <x v="1"/>
    <x v="8"/>
    <s v="group "/>
    <s v=" "/>
    <s v=" mean of mean fluo "/>
    <x v="2"/>
    <s v=" mean of total fluo "/>
    <s v=" SD total fluo "/>
    <s v=" n fluorescent "/>
    <s v=" n total"/>
  </r>
  <r>
    <x v="21"/>
    <x v="9"/>
    <s v="F:\images\2021-CHG-ACH-Dutasteride 3\plaque 2/@09 Dutastéride 1mg_L Dopé/ "/>
    <s v=" "/>
    <s v=" 66.9908 "/>
    <x v="23"/>
    <s v=" 1026900.92 "/>
    <s v=" 1185104.91 "/>
    <n v="24"/>
    <n v="24"/>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0.01"/>
    <s v="mg/L"/>
    <s v="Dutasteride"/>
    <x v="0"/>
  </r>
  <r>
    <x v="9"/>
    <x v="1"/>
    <n v="0.1"/>
    <s v="mg/L"/>
    <s v="Dutasteride"/>
    <x v="0"/>
  </r>
  <r>
    <x v="10"/>
    <x v="1"/>
    <n v="0.25"/>
    <s v="mg/L"/>
    <s v="Dutasteride"/>
    <x v="0"/>
  </r>
  <r>
    <x v="11"/>
    <x v="1"/>
    <n v="0.5"/>
    <s v="mg/L"/>
    <s v="Dutasteride"/>
    <x v="0"/>
  </r>
  <r>
    <x v="12"/>
    <x v="1"/>
    <n v="1"/>
    <s v="mg/L"/>
    <s v="Dutasteride"/>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4"/>
    <x v="0"/>
    <n v="30"/>
    <s v="µg/L"/>
    <s v="Testo "/>
    <x v="0"/>
  </r>
  <r>
    <x v="15"/>
    <x v="0"/>
    <n v="64"/>
    <s v="ng/L"/>
    <s v="Testo 30µg/L + EE2 "/>
    <x v="0"/>
  </r>
  <r>
    <x v="16"/>
    <x v="0"/>
    <n v="10"/>
    <s v="µg/L"/>
    <s v="Testo 30µg/L + FAD"/>
    <x v="0"/>
  </r>
  <r>
    <x v="17"/>
    <x v="2"/>
    <n v="0.01"/>
    <s v="mg/L"/>
    <s v="Dutasteride"/>
    <x v="1"/>
  </r>
  <r>
    <x v="18"/>
    <x v="2"/>
    <n v="0.1"/>
    <s v="mg/L"/>
    <s v="Dutasteride"/>
    <x v="1"/>
  </r>
  <r>
    <x v="19"/>
    <x v="2"/>
    <n v="0.25"/>
    <s v="mg/L"/>
    <s v="Dutasteride"/>
    <x v="1"/>
  </r>
  <r>
    <x v="20"/>
    <x v="2"/>
    <n v="0.5"/>
    <s v="mg/L"/>
    <s v="Dutasteride"/>
    <x v="1"/>
  </r>
  <r>
    <x v="21"/>
    <x v="2"/>
    <n v="1"/>
    <s v="mg/L"/>
    <s v="Dutasteride"/>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42">
        <item h="1" m="1" x="22"/>
        <item h="1" x="0"/>
        <item h="1" m="1" x="37"/>
        <item h="1" m="1" x="25"/>
        <item h="1" m="1" x="40"/>
        <item x="4"/>
        <item x="5"/>
        <item h="1" m="1" x="39"/>
        <item x="7"/>
        <item h="1" m="1" x="31"/>
        <item h="1" m="1" x="28"/>
        <item h="1" m="1" x="35"/>
        <item h="1" m="1" x="32"/>
        <item h="1" m="1" x="23"/>
        <item h="1" m="1" x="26"/>
        <item h="1" m="1" x="34"/>
        <item h="1" m="1" x="30"/>
        <item h="1" m="1" x="29"/>
        <item h="1" m="1" x="27"/>
        <item h="1" m="1" x="33"/>
        <item h="1" m="1" x="36"/>
        <item h="1" m="1" x="24"/>
        <item h="1" m="1" x="38"/>
        <item x="1"/>
        <item x="2"/>
        <item x="3"/>
        <item x="6"/>
        <item x="8"/>
        <item x="9"/>
        <item x="10"/>
        <item x="11"/>
        <item x="12"/>
        <item x="13"/>
        <item x="14"/>
        <item x="15"/>
        <item x="16"/>
        <item x="17"/>
        <item x="18"/>
        <item x="19"/>
        <item x="20"/>
        <item x="21"/>
        <item t="default"/>
      </items>
    </pivotField>
    <pivotField axis="axisRow" subtotalTop="0" showAll="0" sortType="ascending">
      <items count="11">
        <item h="1" x="9"/>
        <item x="1"/>
        <item x="2"/>
        <item x="3"/>
        <item x="4"/>
        <item x="5"/>
        <item x="6"/>
        <item x="7"/>
        <item x="8"/>
        <item h="1" x="0"/>
        <item t="default"/>
      </items>
    </pivotField>
    <pivotField subtotalTop="0" showAll="0"/>
    <pivotField subtotalTop="0" showAll="0"/>
    <pivotField subtotalTop="0" showAll="0"/>
    <pivotField axis="axisPage" subtotalTop="0" showAll="0">
      <items count="46">
        <item x="0"/>
        <item x="1"/>
        <item x="2"/>
        <item m="1" x="29"/>
        <item m="1" x="26"/>
        <item m="1" x="27"/>
        <item m="1" x="38"/>
        <item m="1" x="31"/>
        <item m="1" x="44"/>
        <item m="1" x="37"/>
        <item m="1" x="28"/>
        <item m="1" x="43"/>
        <item m="1" x="30"/>
        <item m="1" x="40"/>
        <item m="1" x="24"/>
        <item m="1" x="41"/>
        <item m="1" x="33"/>
        <item m="1" x="25"/>
        <item m="1" x="36"/>
        <item m="1" x="42"/>
        <item m="1" x="39"/>
        <item m="1" x="32"/>
        <item m="1" x="35"/>
        <item m="1" x="34"/>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5"/>
    </i>
    <i>
      <x v="6"/>
    </i>
    <i>
      <x v="8"/>
    </i>
    <i>
      <x v="23"/>
    </i>
    <i>
      <x v="24"/>
    </i>
    <i>
      <x v="25"/>
    </i>
    <i>
      <x v="26"/>
    </i>
    <i>
      <x v="27"/>
    </i>
    <i>
      <x v="28"/>
    </i>
    <i>
      <x v="29"/>
    </i>
    <i>
      <x v="30"/>
    </i>
    <i>
      <x v="31"/>
    </i>
    <i>
      <x v="32"/>
    </i>
    <i>
      <x v="33"/>
    </i>
    <i>
      <x v="34"/>
    </i>
    <i>
      <x v="35"/>
    </i>
    <i>
      <x v="36"/>
    </i>
    <i>
      <x v="37"/>
    </i>
    <i>
      <x v="38"/>
    </i>
    <i>
      <x v="39"/>
    </i>
    <i>
      <x v="40"/>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11" firstHeaderRow="1" firstDataRow="1" firstDataCol="1" rowPageCount="2" colPageCount="1"/>
  <pivotFields count="6">
    <pivotField axis="axisRow" showAll="0" defaultSubtotal="0">
      <items count="24">
        <item x="22"/>
        <item x="13"/>
        <item x="1"/>
        <item x="2"/>
        <item x="3"/>
        <item x="4"/>
        <item x="5"/>
        <item x="6"/>
        <item x="7"/>
        <item x="15"/>
        <item m="1" x="23"/>
        <item x="14"/>
        <item x="0"/>
        <item x="8"/>
        <item x="9"/>
        <item x="10"/>
        <item x="11"/>
        <item x="12"/>
        <item x="16"/>
        <item x="17"/>
        <item x="18"/>
        <item x="19"/>
        <item x="20"/>
        <item x="2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v="1"/>
    </i>
    <i>
      <x v="13"/>
    </i>
    <i>
      <x v="14"/>
    </i>
    <i>
      <x v="15"/>
    </i>
    <i>
      <x v="16"/>
    </i>
    <i>
      <x v="17"/>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11" firstHeaderRow="1" firstDataRow="1" firstDataCol="1" rowPageCount="2" colPageCount="1"/>
  <pivotFields count="6">
    <pivotField axis="axisRow" showAll="0" defaultSubtotal="0">
      <items count="24">
        <item x="22"/>
        <item x="13"/>
        <item x="1"/>
        <item x="2"/>
        <item x="3"/>
        <item x="4"/>
        <item x="5"/>
        <item x="6"/>
        <item x="7"/>
        <item x="15"/>
        <item m="1" x="23"/>
        <item x="14"/>
        <item x="0"/>
        <item x="8"/>
        <item x="9"/>
        <item x="10"/>
        <item x="11"/>
        <item x="12"/>
        <item x="16"/>
        <item x="17"/>
        <item x="18"/>
        <item x="19"/>
        <item x="20"/>
        <item x="2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i>
    <i>
      <x v="19"/>
    </i>
    <i>
      <x v="20"/>
    </i>
    <i>
      <x v="21"/>
    </i>
    <i>
      <x v="22"/>
    </i>
    <i>
      <x v="23"/>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70F002C-E0A1-4A5C-BB31-59D59A90A45C}" name="Tableau8" displayName="Tableau8" ref="A1:J4" totalsRowShown="0">
  <autoFilter ref="A1:J4" xr:uid="{870F002C-E0A1-4A5C-BB31-59D59A90A45C}"/>
  <tableColumns count="10">
    <tableColumn id="1" xr3:uid="{A0CFC706-E80F-4138-BD25-242B451C215C}" name="Nom groupe"/>
    <tableColumn id="2" xr3:uid="{63675BAB-EC14-498F-B4C2-B1F22C923D54}" name="N° de valeur"/>
    <tableColumn id="3" xr3:uid="{38351C1B-69FE-46D2-B8F2-A629AA4C4962}" name="file name"/>
    <tableColumn id="4" xr3:uid="{5D694CEE-56EB-4B2D-81E8-3B361F6DC112}" name=" total area "/>
    <tableColumn id="5" xr3:uid="{99911EDE-75F6-42D4-98DD-C8DC044E11B3}" name=" mean intensity "/>
    <tableColumn id="6" xr3:uid="{0DC02F14-21CA-46CE-B6E4-52A2FD7D7F8B}" name=" "/>
    <tableColumn id="7" xr3:uid="{7DD0D761-CB00-4E77-8D54-B146EA9C2E0C}" name=" total fluorescence"/>
    <tableColumn id="8" xr3:uid="{3A0C1F2D-F8EB-40DF-A9C1-B189D6116696}" name="         "/>
    <tableColumn id="9" xr3:uid="{A2617581-1420-4646-9174-904988A7BE0A}" name="nbre de larves"/>
    <tableColumn id="10" xr3:uid="{D25794AA-17F7-4A01-8224-2086229F8192}" name="Colonne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55A2C14A-D171-494B-B075-6FF446743418}"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E35BCE65-7814-4182-AF63-8DDD55FA7567}"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E487F207-BF38-49AC-9B33-AC77E99F1695}" name="Colonne1"/>
  </tableColumns>
  <tableStyleInfo name="TableStyleLight16"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7.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10.bin"/><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44" zoomScaleNormal="100" workbookViewId="0">
      <selection activeCell="E40" sqref="E40"/>
    </sheetView>
  </sheetViews>
  <sheetFormatPr defaultColWidth="11.5546875" defaultRowHeight="39" customHeight="1" x14ac:dyDescent="0.3"/>
  <cols>
    <col min="1" max="1" width="42" bestFit="1" customWidth="1"/>
    <col min="2" max="2" width="33.77734375" style="44" bestFit="1" customWidth="1"/>
    <col min="3" max="3" width="21.21875" customWidth="1"/>
    <col min="4" max="4" width="30.44140625" customWidth="1"/>
    <col min="5" max="5" width="62.21875" style="159" bestFit="1" customWidth="1"/>
    <col min="6" max="6" width="56.77734375" bestFit="1" customWidth="1"/>
    <col min="7" max="7" width="19.44140625" customWidth="1"/>
    <col min="8" max="8" width="15.21875" customWidth="1"/>
    <col min="9" max="9" width="18" customWidth="1"/>
    <col min="10" max="10" width="19.5546875" bestFit="1" customWidth="1"/>
  </cols>
  <sheetData>
    <row r="1" spans="1:9" ht="39" customHeight="1" thickBot="1" x14ac:dyDescent="0.35">
      <c r="A1" s="200" t="s">
        <v>36</v>
      </c>
      <c r="B1" s="201"/>
      <c r="C1" s="201"/>
      <c r="D1" s="201"/>
      <c r="E1" s="201"/>
      <c r="F1" s="201"/>
      <c r="G1" s="201"/>
      <c r="H1" s="201"/>
      <c r="I1" s="202"/>
    </row>
    <row r="2" spans="1:9" ht="21" x14ac:dyDescent="0.4">
      <c r="A2" s="187" t="s">
        <v>17</v>
      </c>
      <c r="B2" s="42" t="s">
        <v>115</v>
      </c>
      <c r="C2" s="203"/>
      <c r="D2" s="204"/>
      <c r="E2" s="42" t="s">
        <v>21</v>
      </c>
      <c r="F2" s="215"/>
      <c r="G2" s="216"/>
      <c r="H2" s="216"/>
      <c r="I2" s="217"/>
    </row>
    <row r="3" spans="1:9" ht="21" x14ac:dyDescent="0.4">
      <c r="A3" s="188" t="s">
        <v>18</v>
      </c>
      <c r="B3" s="43" t="s">
        <v>115</v>
      </c>
      <c r="C3" s="205"/>
      <c r="D3" s="206"/>
      <c r="E3" s="43" t="s">
        <v>21</v>
      </c>
      <c r="F3" s="212"/>
      <c r="G3" s="213"/>
      <c r="H3" s="213"/>
      <c r="I3" s="214"/>
    </row>
    <row r="4" spans="1:9" ht="21.6" thickBot="1" x14ac:dyDescent="0.45">
      <c r="A4" s="189" t="s">
        <v>22</v>
      </c>
      <c r="B4" s="177" t="s">
        <v>115</v>
      </c>
      <c r="C4" s="207"/>
      <c r="D4" s="208"/>
      <c r="E4" s="177" t="s">
        <v>21</v>
      </c>
      <c r="F4" s="209"/>
      <c r="G4" s="210"/>
      <c r="H4" s="210"/>
      <c r="I4" s="211"/>
    </row>
    <row r="5" spans="1:9" s="1" customFormat="1" ht="65.25" customHeight="1" thickBot="1" x14ac:dyDescent="0.35">
      <c r="A5" s="200" t="s">
        <v>37</v>
      </c>
      <c r="B5" s="201"/>
      <c r="C5" s="201"/>
      <c r="D5" s="201"/>
      <c r="E5" s="201"/>
      <c r="F5" s="201"/>
      <c r="G5" s="201"/>
      <c r="H5" s="201"/>
      <c r="I5" s="202"/>
    </row>
    <row r="6" spans="1:9" s="109" customFormat="1" ht="39" customHeight="1" x14ac:dyDescent="0.4">
      <c r="A6" s="75" t="s">
        <v>35</v>
      </c>
      <c r="B6" s="100" t="s">
        <v>7</v>
      </c>
      <c r="C6" s="64" t="s">
        <v>19</v>
      </c>
      <c r="D6" s="64" t="s">
        <v>75</v>
      </c>
      <c r="E6" s="156" t="s">
        <v>51</v>
      </c>
      <c r="F6" s="108" t="s">
        <v>78</v>
      </c>
    </row>
    <row r="7" spans="1:9" s="165" customFormat="1" ht="39" customHeight="1" x14ac:dyDescent="0.4">
      <c r="A7"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1" t="s">
        <v>123</v>
      </c>
      <c r="C7" s="162"/>
      <c r="D7" s="163"/>
      <c r="E7" s="164" t="s">
        <v>125</v>
      </c>
      <c r="F7" s="110"/>
    </row>
    <row r="8" spans="1:9" s="165" customFormat="1" ht="39" customHeight="1" x14ac:dyDescent="0.4">
      <c r="A8"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1" t="s">
        <v>123</v>
      </c>
      <c r="C8" s="162">
        <v>22.5</v>
      </c>
      <c r="D8" s="163" t="s">
        <v>124</v>
      </c>
      <c r="E8" s="164" t="s">
        <v>126</v>
      </c>
      <c r="F8" s="110"/>
    </row>
    <row r="9" spans="1:9" s="165" customFormat="1" ht="39" customHeight="1" x14ac:dyDescent="0.4">
      <c r="A9"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1" t="s">
        <v>123</v>
      </c>
      <c r="C9" s="162">
        <v>33.799999999999997</v>
      </c>
      <c r="D9" s="163" t="s">
        <v>124</v>
      </c>
      <c r="E9" s="164" t="s">
        <v>126</v>
      </c>
      <c r="F9" s="110"/>
    </row>
    <row r="10" spans="1:9" s="165" customFormat="1" ht="39" customHeight="1" x14ac:dyDescent="0.4">
      <c r="A10"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1" t="s">
        <v>123</v>
      </c>
      <c r="C10" s="162">
        <v>50.6</v>
      </c>
      <c r="D10" s="163" t="s">
        <v>124</v>
      </c>
      <c r="E10" s="164" t="s">
        <v>126</v>
      </c>
      <c r="F10" s="110"/>
    </row>
    <row r="11" spans="1:9" s="165" customFormat="1" ht="39" customHeight="1" x14ac:dyDescent="0.4">
      <c r="A11"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1" t="s">
        <v>123</v>
      </c>
      <c r="C11" s="162">
        <v>76</v>
      </c>
      <c r="D11" s="163" t="s">
        <v>124</v>
      </c>
      <c r="E11" s="164" t="s">
        <v>126</v>
      </c>
      <c r="F11" s="110"/>
    </row>
    <row r="12" spans="1:9" s="165" customFormat="1" ht="39" customHeight="1" x14ac:dyDescent="0.4">
      <c r="A12"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1" t="s">
        <v>123</v>
      </c>
      <c r="C12" s="162">
        <v>114</v>
      </c>
      <c r="D12" s="163" t="s">
        <v>124</v>
      </c>
      <c r="E12" s="164" t="s">
        <v>126</v>
      </c>
      <c r="F12" s="110"/>
    </row>
    <row r="13" spans="1:9" s="165" customFormat="1" ht="39" customHeight="1" x14ac:dyDescent="0.4">
      <c r="A13"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1" t="s">
        <v>123</v>
      </c>
      <c r="C13" s="162">
        <v>170.9</v>
      </c>
      <c r="D13" s="163" t="s">
        <v>124</v>
      </c>
      <c r="E13" s="164" t="s">
        <v>126</v>
      </c>
      <c r="F13" s="110"/>
    </row>
    <row r="14" spans="1:9" s="165" customFormat="1" ht="39" customHeight="1" x14ac:dyDescent="0.4">
      <c r="A14"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1" t="s">
        <v>123</v>
      </c>
      <c r="C14" s="162">
        <v>488</v>
      </c>
      <c r="D14" s="163" t="s">
        <v>124</v>
      </c>
      <c r="E14" s="164" t="s">
        <v>126</v>
      </c>
      <c r="F14" s="110"/>
    </row>
    <row r="15" spans="1:9" s="165" customFormat="1" ht="39" customHeight="1" x14ac:dyDescent="0.4">
      <c r="A15" s="160" t="s">
        <v>166</v>
      </c>
      <c r="B15" s="161"/>
      <c r="C15" s="162">
        <v>0.01</v>
      </c>
      <c r="D15" s="163" t="s">
        <v>129</v>
      </c>
      <c r="E15" s="164" t="s">
        <v>171</v>
      </c>
      <c r="F15" s="110"/>
    </row>
    <row r="16" spans="1:9" s="111" customFormat="1" ht="39" customHeight="1" x14ac:dyDescent="0.3">
      <c r="A16" s="160" t="s">
        <v>167</v>
      </c>
      <c r="B16" s="40"/>
      <c r="C16" s="162">
        <v>0.1</v>
      </c>
      <c r="D16" s="163" t="s">
        <v>129</v>
      </c>
      <c r="E16" s="164" t="s">
        <v>171</v>
      </c>
      <c r="F16" s="110"/>
    </row>
    <row r="17" spans="1:6" s="111" customFormat="1" ht="39" customHeight="1" x14ac:dyDescent="0.3">
      <c r="A17" s="160" t="s">
        <v>168</v>
      </c>
      <c r="B17" s="101"/>
      <c r="C17" s="162">
        <v>0.25</v>
      </c>
      <c r="D17" s="163" t="s">
        <v>129</v>
      </c>
      <c r="E17" s="164" t="s">
        <v>171</v>
      </c>
      <c r="F17" s="110"/>
    </row>
    <row r="18" spans="1:6" s="111" customFormat="1" ht="39" customHeight="1" x14ac:dyDescent="0.3">
      <c r="A18" s="160" t="s">
        <v>169</v>
      </c>
      <c r="B18" s="40"/>
      <c r="C18" s="162">
        <v>0.5</v>
      </c>
      <c r="D18" s="163" t="s">
        <v>129</v>
      </c>
      <c r="E18" s="164" t="s">
        <v>171</v>
      </c>
      <c r="F18" s="110"/>
    </row>
    <row r="19" spans="1:6" s="111" customFormat="1" ht="39" customHeight="1" x14ac:dyDescent="0.3">
      <c r="A19" s="160" t="s">
        <v>170</v>
      </c>
      <c r="B19" s="101"/>
      <c r="C19" s="162">
        <v>1</v>
      </c>
      <c r="D19" s="163" t="s">
        <v>129</v>
      </c>
      <c r="E19" s="164" t="s">
        <v>171</v>
      </c>
      <c r="F19" s="110"/>
    </row>
    <row r="20" spans="1:6" s="111" customFormat="1" ht="39" customHeight="1" x14ac:dyDescent="0.3">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62"/>
      <c r="D20" s="105"/>
      <c r="E20" s="40"/>
      <c r="F20" s="110"/>
    </row>
    <row r="21" spans="1:6" s="111" customFormat="1" ht="39" customHeight="1" x14ac:dyDescent="0.3">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62"/>
      <c r="D21" s="105"/>
      <c r="E21" s="101"/>
      <c r="F21" s="110"/>
    </row>
    <row r="22" spans="1:6" s="111" customFormat="1" ht="39" customHeight="1" x14ac:dyDescent="0.3">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62"/>
      <c r="D22" s="105"/>
      <c r="E22" s="40"/>
      <c r="F22" s="110"/>
    </row>
    <row r="23" spans="1:6" s="111" customFormat="1" ht="39" customHeight="1" x14ac:dyDescent="0.3">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62"/>
      <c r="D23" s="105"/>
      <c r="E23" s="101"/>
      <c r="F23" s="110"/>
    </row>
    <row r="24" spans="1:6" s="111" customFormat="1" ht="39" customHeight="1" x14ac:dyDescent="0.3">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62"/>
      <c r="D24" s="105"/>
      <c r="E24" s="40"/>
      <c r="F24" s="110"/>
    </row>
    <row r="25" spans="1:6" s="111" customFormat="1" ht="39" customHeight="1" x14ac:dyDescent="0.3">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62"/>
      <c r="D25" s="105"/>
      <c r="E25" s="101"/>
      <c r="F25" s="110"/>
    </row>
    <row r="26" spans="1:6" s="111" customFormat="1" ht="39" customHeight="1" x14ac:dyDescent="0.3">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62"/>
      <c r="D26" s="105"/>
      <c r="E26" s="40"/>
      <c r="F26" s="110"/>
    </row>
    <row r="27" spans="1:6" s="111" customFormat="1" ht="39" customHeight="1" x14ac:dyDescent="0.3">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62"/>
      <c r="D27" s="105"/>
      <c r="E27" s="101"/>
      <c r="F27" s="110"/>
    </row>
    <row r="28" spans="1:6" s="111" customFormat="1" ht="39" customHeight="1" x14ac:dyDescent="0.3">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62"/>
      <c r="D28" s="105"/>
      <c r="E28" s="40"/>
      <c r="F28" s="110"/>
    </row>
    <row r="29" spans="1:6" s="111" customFormat="1" ht="39" customHeight="1" x14ac:dyDescent="0.3">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62"/>
      <c r="D29" s="105"/>
      <c r="E29" s="101"/>
      <c r="F29" s="110"/>
    </row>
    <row r="30" spans="1:6" s="111" customFormat="1" ht="39" customHeight="1" x14ac:dyDescent="0.3">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62"/>
      <c r="D30" s="114"/>
      <c r="E30" s="40"/>
      <c r="F30" s="110"/>
    </row>
    <row r="31" spans="1:6" s="111" customFormat="1" ht="39" customHeight="1" x14ac:dyDescent="0.3">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62"/>
      <c r="D31" s="114"/>
      <c r="E31" s="101"/>
      <c r="F31" s="110"/>
    </row>
    <row r="32" spans="1:6" s="111" customFormat="1" ht="39" customHeight="1" x14ac:dyDescent="0.3">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62"/>
      <c r="D32" s="114"/>
      <c r="E32" s="40"/>
      <c r="F32" s="110"/>
    </row>
    <row r="33" spans="1:6" s="111" customFormat="1" ht="39" customHeight="1" x14ac:dyDescent="0.3">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62"/>
      <c r="D33" s="114"/>
      <c r="E33" s="101"/>
      <c r="F33" s="110"/>
    </row>
    <row r="34" spans="1:6" s="111" customFormat="1" ht="39" customHeight="1" x14ac:dyDescent="0.3">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62"/>
      <c r="D34" s="114"/>
      <c r="E34" s="40"/>
      <c r="F34" s="110"/>
    </row>
    <row r="35" spans="1:6" s="111" customFormat="1" ht="39" customHeight="1" thickBot="1" x14ac:dyDescent="0.35">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6"/>
      <c r="C35" s="194"/>
      <c r="D35" s="115"/>
      <c r="E35" s="166"/>
      <c r="F35" s="110"/>
    </row>
    <row r="36" spans="1:6" s="111" customFormat="1" ht="39" customHeight="1" x14ac:dyDescent="0.3">
      <c r="A36" s="16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7" t="s">
        <v>20</v>
      </c>
      <c r="F36" s="168"/>
    </row>
    <row r="37" spans="1:6" s="111" customFormat="1" ht="39" customHeight="1" x14ac:dyDescent="0.3">
      <c r="A37"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8" t="s">
        <v>128</v>
      </c>
      <c r="F37" s="170"/>
    </row>
    <row r="38" spans="1:6" s="111" customFormat="1" ht="39" customHeight="1" thickBot="1" x14ac:dyDescent="0.35">
      <c r="A38"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2" t="s">
        <v>123</v>
      </c>
      <c r="C38" s="173">
        <v>10</v>
      </c>
      <c r="D38" s="174" t="s">
        <v>127</v>
      </c>
      <c r="E38" s="175" t="s">
        <v>130</v>
      </c>
      <c r="F38" s="176"/>
    </row>
    <row r="39" spans="1:6" s="111" customFormat="1" ht="39" customHeight="1" x14ac:dyDescent="0.3">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Dutasteride-0.01mg/L + Testostérone</v>
      </c>
      <c r="B39" s="190">
        <f>B15</f>
        <v>0</v>
      </c>
      <c r="C39" s="195">
        <f t="shared" ref="C39:E39" si="0">C15</f>
        <v>0.01</v>
      </c>
      <c r="D39" s="195" t="str">
        <f t="shared" si="0"/>
        <v>mg/L</v>
      </c>
      <c r="E39" s="195" t="str">
        <f t="shared" si="0"/>
        <v>Dutasteride</v>
      </c>
      <c r="F39" s="112" t="s">
        <v>50</v>
      </c>
    </row>
    <row r="40" spans="1:6" s="111" customFormat="1" ht="39" customHeight="1" x14ac:dyDescent="0.3">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Dutasteride-0.1mg/L + Testostérone</v>
      </c>
      <c r="B40" s="192">
        <f t="shared" ref="B40:E40" si="1">B16</f>
        <v>0</v>
      </c>
      <c r="C40" s="107">
        <f t="shared" si="1"/>
        <v>0.1</v>
      </c>
      <c r="D40" s="107" t="str">
        <f t="shared" si="1"/>
        <v>mg/L</v>
      </c>
      <c r="E40" s="107" t="str">
        <f t="shared" si="1"/>
        <v>Dutasteride</v>
      </c>
      <c r="F40" s="113" t="s">
        <v>50</v>
      </c>
    </row>
    <row r="41" spans="1:6" s="111" customFormat="1" ht="39" customHeight="1" x14ac:dyDescent="0.3">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Dutasteride-0.25mg/L + Testostérone</v>
      </c>
      <c r="B41" s="192">
        <f t="shared" ref="B41:E41" si="2">B17</f>
        <v>0</v>
      </c>
      <c r="C41" s="107">
        <f t="shared" si="2"/>
        <v>0.25</v>
      </c>
      <c r="D41" s="107" t="str">
        <f t="shared" si="2"/>
        <v>mg/L</v>
      </c>
      <c r="E41" s="107" t="str">
        <f t="shared" si="2"/>
        <v>Dutasteride</v>
      </c>
      <c r="F41" s="113" t="s">
        <v>50</v>
      </c>
    </row>
    <row r="42" spans="1:6" s="111" customFormat="1" ht="39" customHeight="1" x14ac:dyDescent="0.3">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Dutasteride-0.5mg/L + Testostérone</v>
      </c>
      <c r="B42" s="192">
        <f t="shared" ref="B42:E42" si="3">B18</f>
        <v>0</v>
      </c>
      <c r="C42" s="107">
        <f t="shared" si="3"/>
        <v>0.5</v>
      </c>
      <c r="D42" s="107" t="str">
        <f t="shared" si="3"/>
        <v>mg/L</v>
      </c>
      <c r="E42" s="107" t="str">
        <f t="shared" si="3"/>
        <v>Dutasteride</v>
      </c>
      <c r="F42" s="113" t="s">
        <v>50</v>
      </c>
    </row>
    <row r="43" spans="1:6" s="111" customFormat="1" ht="39" customHeight="1" x14ac:dyDescent="0.3">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Dutasteride-1mg/L + Testostérone</v>
      </c>
      <c r="B43" s="192">
        <f t="shared" ref="B43:E43" si="4">B19</f>
        <v>0</v>
      </c>
      <c r="C43" s="107">
        <f t="shared" si="4"/>
        <v>1</v>
      </c>
      <c r="D43" s="107" t="str">
        <f t="shared" si="4"/>
        <v>mg/L</v>
      </c>
      <c r="E43" s="107" t="str">
        <f t="shared" si="4"/>
        <v>Dutasteride</v>
      </c>
      <c r="F43" s="113" t="s">
        <v>50</v>
      </c>
    </row>
    <row r="44" spans="1:6" s="111" customFormat="1" ht="39" customHeight="1" x14ac:dyDescent="0.3">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2">
        <f t="shared" ref="B44:E44" si="5">B20</f>
        <v>0</v>
      </c>
      <c r="C44" s="192">
        <f t="shared" si="5"/>
        <v>0</v>
      </c>
      <c r="D44" s="192">
        <f t="shared" si="5"/>
        <v>0</v>
      </c>
      <c r="E44" s="192">
        <f t="shared" si="5"/>
        <v>0</v>
      </c>
      <c r="F44" s="113" t="s">
        <v>50</v>
      </c>
    </row>
    <row r="45" spans="1:6" s="111" customFormat="1" ht="39" customHeight="1" x14ac:dyDescent="0.3">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2">
        <f t="shared" ref="B45:E45" si="6">B21</f>
        <v>0</v>
      </c>
      <c r="C45" s="192">
        <f t="shared" si="6"/>
        <v>0</v>
      </c>
      <c r="D45" s="192">
        <f t="shared" si="6"/>
        <v>0</v>
      </c>
      <c r="E45" s="192">
        <f t="shared" si="6"/>
        <v>0</v>
      </c>
      <c r="F45" s="113" t="s">
        <v>50</v>
      </c>
    </row>
    <row r="46" spans="1:6" s="111" customFormat="1" ht="39" customHeight="1" x14ac:dyDescent="0.3">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2">
        <f t="shared" ref="B46:E46" si="7">B22</f>
        <v>0</v>
      </c>
      <c r="C46" s="192">
        <f t="shared" si="7"/>
        <v>0</v>
      </c>
      <c r="D46" s="192">
        <f t="shared" si="7"/>
        <v>0</v>
      </c>
      <c r="E46" s="192">
        <f t="shared" si="7"/>
        <v>0</v>
      </c>
      <c r="F46" s="113" t="s">
        <v>50</v>
      </c>
    </row>
    <row r="47" spans="1:6" s="111" customFormat="1" ht="39" customHeight="1" x14ac:dyDescent="0.3">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2">
        <f t="shared" ref="B47:E47" si="8">B23</f>
        <v>0</v>
      </c>
      <c r="C47" s="192">
        <f t="shared" si="8"/>
        <v>0</v>
      </c>
      <c r="D47" s="192">
        <f t="shared" si="8"/>
        <v>0</v>
      </c>
      <c r="E47" s="192">
        <f t="shared" si="8"/>
        <v>0</v>
      </c>
      <c r="F47" s="113" t="s">
        <v>50</v>
      </c>
    </row>
    <row r="48" spans="1:6" s="111" customFormat="1" ht="39" customHeight="1" x14ac:dyDescent="0.3">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2">
        <f t="shared" ref="B48:E48" si="9">B24</f>
        <v>0</v>
      </c>
      <c r="C48" s="192">
        <f t="shared" si="9"/>
        <v>0</v>
      </c>
      <c r="D48" s="192">
        <f t="shared" si="9"/>
        <v>0</v>
      </c>
      <c r="E48" s="192">
        <f t="shared" si="9"/>
        <v>0</v>
      </c>
      <c r="F48" s="113" t="s">
        <v>50</v>
      </c>
    </row>
    <row r="49" spans="1:6" s="111" customFormat="1" ht="39" customHeight="1" x14ac:dyDescent="0.3">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2">
        <f t="shared" ref="B49:E49" si="10">B25</f>
        <v>0</v>
      </c>
      <c r="C49" s="192">
        <f t="shared" si="10"/>
        <v>0</v>
      </c>
      <c r="D49" s="192">
        <f t="shared" si="10"/>
        <v>0</v>
      </c>
      <c r="E49" s="192">
        <f t="shared" si="10"/>
        <v>0</v>
      </c>
      <c r="F49" s="113" t="s">
        <v>50</v>
      </c>
    </row>
    <row r="50" spans="1:6" s="111" customFormat="1" ht="39" customHeight="1" x14ac:dyDescent="0.3">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2">
        <f t="shared" ref="B50:E50" si="11">B26</f>
        <v>0</v>
      </c>
      <c r="C50" s="192">
        <f t="shared" si="11"/>
        <v>0</v>
      </c>
      <c r="D50" s="192">
        <f t="shared" si="11"/>
        <v>0</v>
      </c>
      <c r="E50" s="192">
        <f t="shared" si="11"/>
        <v>0</v>
      </c>
      <c r="F50" s="113" t="s">
        <v>50</v>
      </c>
    </row>
    <row r="51" spans="1:6" s="111" customFormat="1" ht="39" customHeight="1" x14ac:dyDescent="0.3">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2">
        <f t="shared" ref="B51:E51" si="12">B27</f>
        <v>0</v>
      </c>
      <c r="C51" s="192">
        <f t="shared" si="12"/>
        <v>0</v>
      </c>
      <c r="D51" s="192">
        <f t="shared" si="12"/>
        <v>0</v>
      </c>
      <c r="E51" s="192">
        <f t="shared" si="12"/>
        <v>0</v>
      </c>
      <c r="F51" s="113" t="s">
        <v>50</v>
      </c>
    </row>
    <row r="52" spans="1:6" s="111" customFormat="1" ht="39" customHeight="1" x14ac:dyDescent="0.3">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2">
        <f t="shared" ref="B52:E52" si="13">B28</f>
        <v>0</v>
      </c>
      <c r="C52" s="192">
        <f t="shared" si="13"/>
        <v>0</v>
      </c>
      <c r="D52" s="192">
        <f t="shared" si="13"/>
        <v>0</v>
      </c>
      <c r="E52" s="192">
        <f t="shared" si="13"/>
        <v>0</v>
      </c>
      <c r="F52" s="113" t="s">
        <v>50</v>
      </c>
    </row>
    <row r="53" spans="1:6" s="111" customFormat="1" ht="39" customHeight="1" x14ac:dyDescent="0.3">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2">
        <f t="shared" ref="B53:E53" si="14">B29</f>
        <v>0</v>
      </c>
      <c r="C53" s="192">
        <f t="shared" si="14"/>
        <v>0</v>
      </c>
      <c r="D53" s="192">
        <f t="shared" si="14"/>
        <v>0</v>
      </c>
      <c r="E53" s="192">
        <f t="shared" si="14"/>
        <v>0</v>
      </c>
      <c r="F53" s="113" t="s">
        <v>50</v>
      </c>
    </row>
    <row r="54" spans="1:6" s="111" customFormat="1" ht="39" customHeight="1" x14ac:dyDescent="0.3">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2">
        <f t="shared" ref="B54:E54" si="15">B30</f>
        <v>0</v>
      </c>
      <c r="C54" s="192">
        <f t="shared" si="15"/>
        <v>0</v>
      </c>
      <c r="D54" s="192">
        <f t="shared" si="15"/>
        <v>0</v>
      </c>
      <c r="E54" s="192">
        <f t="shared" si="15"/>
        <v>0</v>
      </c>
      <c r="F54" s="113" t="s">
        <v>50</v>
      </c>
    </row>
    <row r="55" spans="1:6" s="111" customFormat="1" ht="39" customHeight="1" x14ac:dyDescent="0.3">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2">
        <f t="shared" ref="B55:E55" si="16">B31</f>
        <v>0</v>
      </c>
      <c r="C55" s="192">
        <f t="shared" si="16"/>
        <v>0</v>
      </c>
      <c r="D55" s="192">
        <f t="shared" si="16"/>
        <v>0</v>
      </c>
      <c r="E55" s="192">
        <f t="shared" si="16"/>
        <v>0</v>
      </c>
      <c r="F55" s="113" t="s">
        <v>50</v>
      </c>
    </row>
    <row r="56" spans="1:6" s="111" customFormat="1" ht="39" customHeight="1" x14ac:dyDescent="0.3">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2">
        <f t="shared" ref="B56:E56" si="17">B32</f>
        <v>0</v>
      </c>
      <c r="C56" s="192">
        <f t="shared" si="17"/>
        <v>0</v>
      </c>
      <c r="D56" s="192">
        <f t="shared" si="17"/>
        <v>0</v>
      </c>
      <c r="E56" s="192">
        <f t="shared" si="17"/>
        <v>0</v>
      </c>
      <c r="F56" s="113" t="s">
        <v>50</v>
      </c>
    </row>
    <row r="57" spans="1:6" s="111" customFormat="1" ht="39" customHeight="1" x14ac:dyDescent="0.3">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2">
        <f t="shared" ref="B57:E57" si="18">B33</f>
        <v>0</v>
      </c>
      <c r="C57" s="192">
        <f t="shared" si="18"/>
        <v>0</v>
      </c>
      <c r="D57" s="192">
        <f t="shared" si="18"/>
        <v>0</v>
      </c>
      <c r="E57" s="192">
        <f t="shared" si="18"/>
        <v>0</v>
      </c>
      <c r="F57" s="113" t="s">
        <v>50</v>
      </c>
    </row>
    <row r="58" spans="1:6" s="111" customFormat="1" ht="39" customHeight="1" x14ac:dyDescent="0.3">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1">
        <f t="shared" ref="B58:E58" si="19">B34</f>
        <v>0</v>
      </c>
      <c r="C58" s="191">
        <f t="shared" si="19"/>
        <v>0</v>
      </c>
      <c r="D58" s="191">
        <f t="shared" si="19"/>
        <v>0</v>
      </c>
      <c r="E58" s="191">
        <f t="shared" si="19"/>
        <v>0</v>
      </c>
      <c r="F58" s="113" t="s">
        <v>50</v>
      </c>
    </row>
  </sheetData>
  <protectedRanges>
    <protectedRange sqref="C20:D38 A20:A52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24"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5546875" defaultRowHeight="14.4" x14ac:dyDescent="0.3"/>
  <cols>
    <col min="1" max="1" width="14.21875" customWidth="1"/>
    <col min="2" max="2" width="14" customWidth="1"/>
    <col min="3" max="3" width="11.5546875" customWidth="1"/>
    <col min="4" max="4" width="12.44140625" customWidth="1"/>
    <col min="5" max="5" width="17.21875" customWidth="1"/>
    <col min="7" max="7" width="19.5546875" customWidth="1"/>
    <col min="9" max="9" width="15.77734375" customWidth="1"/>
  </cols>
  <sheetData>
    <row r="1" spans="1:9" x14ac:dyDescent="0.3">
      <c r="A1" t="s">
        <v>107</v>
      </c>
      <c r="B1" t="s">
        <v>108</v>
      </c>
      <c r="C1" t="s">
        <v>109</v>
      </c>
      <c r="D1" t="s">
        <v>110</v>
      </c>
      <c r="E1" t="s">
        <v>111</v>
      </c>
      <c r="F1" t="s">
        <v>112</v>
      </c>
      <c r="G1" t="s">
        <v>113</v>
      </c>
      <c r="H1" t="s">
        <v>117</v>
      </c>
      <c r="I1" t="s">
        <v>118</v>
      </c>
    </row>
    <row r="2" spans="1:9" x14ac:dyDescent="0.3">
      <c r="A2" t="s">
        <v>153</v>
      </c>
      <c r="B2" t="s">
        <v>164</v>
      </c>
      <c r="C2" t="s">
        <v>144</v>
      </c>
      <c r="D2" t="s">
        <v>147</v>
      </c>
      <c r="E2" t="s">
        <v>148</v>
      </c>
      <c r="F2" t="s">
        <v>112</v>
      </c>
      <c r="G2">
        <v>360268</v>
      </c>
    </row>
    <row r="3" spans="1:9" x14ac:dyDescent="0.3">
      <c r="A3" t="s">
        <v>153</v>
      </c>
      <c r="B3" t="s">
        <v>164</v>
      </c>
      <c r="C3" t="s">
        <v>145</v>
      </c>
      <c r="D3" t="s">
        <v>149</v>
      </c>
      <c r="E3" t="s">
        <v>150</v>
      </c>
      <c r="F3" t="s">
        <v>112</v>
      </c>
      <c r="G3">
        <v>372315</v>
      </c>
    </row>
    <row r="4" spans="1:9" x14ac:dyDescent="0.3">
      <c r="A4" t="s">
        <v>153</v>
      </c>
      <c r="B4" t="s">
        <v>164</v>
      </c>
      <c r="C4" t="s">
        <v>146</v>
      </c>
      <c r="D4" t="s">
        <v>151</v>
      </c>
      <c r="E4" t="s">
        <v>152</v>
      </c>
      <c r="F4" t="s">
        <v>112</v>
      </c>
      <c r="G4">
        <v>237626</v>
      </c>
    </row>
    <row r="5" spans="1:9" x14ac:dyDescent="0.3">
      <c r="A5" t="s">
        <v>153</v>
      </c>
      <c r="B5" t="s">
        <v>164</v>
      </c>
      <c r="C5" t="s">
        <v>161</v>
      </c>
      <c r="D5" t="s">
        <v>162</v>
      </c>
      <c r="E5" t="s">
        <v>163</v>
      </c>
      <c r="F5" t="s">
        <v>112</v>
      </c>
      <c r="G5">
        <v>1439015</v>
      </c>
    </row>
    <row r="6" spans="1:9" x14ac:dyDescent="0.3">
      <c r="A6" t="s">
        <v>153</v>
      </c>
      <c r="B6" t="s">
        <v>164</v>
      </c>
      <c r="C6" t="s">
        <v>158</v>
      </c>
      <c r="D6" t="s">
        <v>159</v>
      </c>
      <c r="E6" t="s">
        <v>160</v>
      </c>
      <c r="F6" t="s">
        <v>112</v>
      </c>
      <c r="G6">
        <v>1433586</v>
      </c>
    </row>
    <row r="7" spans="1:9" x14ac:dyDescent="0.3">
      <c r="A7" t="s">
        <v>153</v>
      </c>
      <c r="B7" t="s">
        <v>164</v>
      </c>
      <c r="C7" t="s">
        <v>155</v>
      </c>
      <c r="D7" t="s">
        <v>156</v>
      </c>
      <c r="E7" t="s">
        <v>157</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EBD4E-9E4B-4FDE-8DE3-23D6D591AA07}">
  <dimension ref="A1:J4"/>
  <sheetViews>
    <sheetView workbookViewId="0">
      <selection sqref="A1:J4"/>
    </sheetView>
  </sheetViews>
  <sheetFormatPr defaultColWidth="11.5546875" defaultRowHeight="14.4" x14ac:dyDescent="0.3"/>
  <cols>
    <col min="1" max="1" width="13.21875" customWidth="1"/>
    <col min="2" max="2" width="13" customWidth="1"/>
    <col min="4" max="4" width="11.88671875" customWidth="1"/>
    <col min="5" max="5" width="16.21875" customWidth="1"/>
    <col min="7" max="7" width="18.21875" customWidth="1"/>
    <col min="9" max="9" width="14.6640625" customWidth="1"/>
  </cols>
  <sheetData>
    <row r="1" spans="1:10" x14ac:dyDescent="0.3">
      <c r="A1" t="s">
        <v>107</v>
      </c>
      <c r="B1" t="s">
        <v>108</v>
      </c>
      <c r="C1" t="s">
        <v>109</v>
      </c>
      <c r="D1" t="s">
        <v>110</v>
      </c>
      <c r="E1" t="s">
        <v>111</v>
      </c>
      <c r="F1" t="s">
        <v>112</v>
      </c>
      <c r="G1" t="s">
        <v>113</v>
      </c>
      <c r="H1" t="s">
        <v>117</v>
      </c>
      <c r="I1" t="s">
        <v>118</v>
      </c>
      <c r="J1" t="s">
        <v>390</v>
      </c>
    </row>
    <row r="2" spans="1:10" x14ac:dyDescent="0.3">
      <c r="A2" t="s">
        <v>4327</v>
      </c>
      <c r="B2" t="s">
        <v>164</v>
      </c>
      <c r="C2" t="s">
        <v>2995</v>
      </c>
      <c r="D2" t="s">
        <v>2996</v>
      </c>
      <c r="E2" t="s">
        <v>325</v>
      </c>
      <c r="F2" t="s">
        <v>112</v>
      </c>
      <c r="G2">
        <v>545</v>
      </c>
    </row>
    <row r="3" spans="1:10" x14ac:dyDescent="0.3">
      <c r="A3" t="s">
        <v>4327</v>
      </c>
      <c r="B3" t="s">
        <v>164</v>
      </c>
      <c r="C3" t="s">
        <v>2992</v>
      </c>
      <c r="D3" t="s">
        <v>2993</v>
      </c>
      <c r="E3" t="s">
        <v>2994</v>
      </c>
      <c r="F3" t="s">
        <v>112</v>
      </c>
      <c r="G3">
        <v>750</v>
      </c>
    </row>
    <row r="4" spans="1:10" x14ac:dyDescent="0.3">
      <c r="A4" t="s">
        <v>4327</v>
      </c>
      <c r="B4" t="s">
        <v>164</v>
      </c>
      <c r="C4" t="s">
        <v>2989</v>
      </c>
      <c r="D4" t="s">
        <v>2990</v>
      </c>
      <c r="E4" t="s">
        <v>2991</v>
      </c>
      <c r="F4" t="s">
        <v>112</v>
      </c>
      <c r="G4">
        <v>1400</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V1" zoomScaleNormal="100" workbookViewId="0">
      <selection activeCell="Y5" sqref="Y5:AF12"/>
    </sheetView>
  </sheetViews>
  <sheetFormatPr defaultColWidth="11.44140625" defaultRowHeight="14.4" x14ac:dyDescent="0.3"/>
  <cols>
    <col min="1" max="1" width="15" style="1" customWidth="1"/>
    <col min="2" max="2" width="26.5546875" style="1" customWidth="1"/>
    <col min="3" max="3" width="62.2187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5.44140625" style="1" customWidth="1"/>
    <col min="12" max="12" width="15.44140625" style="1" customWidth="1"/>
    <col min="13" max="14" width="12.77734375" style="1" customWidth="1"/>
    <col min="15" max="20" width="12.21875" style="1" customWidth="1"/>
    <col min="21" max="21" width="17.44140625" style="1" customWidth="1"/>
    <col min="22" max="25" width="12.21875" style="1" customWidth="1"/>
    <col min="26" max="27" width="15.5546875" style="1" customWidth="1"/>
    <col min="28" max="28" width="14.21875" style="1" customWidth="1"/>
    <col min="29" max="29" width="11.44140625" style="1"/>
    <col min="30" max="30" width="20.5546875" style="1" customWidth="1"/>
    <col min="31" max="31" width="16.5546875" style="1" bestFit="1" customWidth="1"/>
    <col min="32" max="32" width="24.77734375" style="1" customWidth="1"/>
    <col min="33" max="16384" width="11.44140625" style="1"/>
  </cols>
  <sheetData>
    <row r="1" spans="1:144" x14ac:dyDescent="0.3">
      <c r="A1" s="1" t="s">
        <v>107</v>
      </c>
      <c r="B1" s="1" t="s">
        <v>108</v>
      </c>
      <c r="C1" s="1" t="s">
        <v>109</v>
      </c>
      <c r="D1" s="1" t="s">
        <v>110</v>
      </c>
      <c r="E1" s="1" t="s">
        <v>111</v>
      </c>
      <c r="F1" s="1" t="s">
        <v>112</v>
      </c>
      <c r="G1" s="1" t="s">
        <v>113</v>
      </c>
      <c r="H1" s="1" t="s">
        <v>117</v>
      </c>
      <c r="I1" s="1" t="s">
        <v>118</v>
      </c>
      <c r="J1" s="1" t="s">
        <v>390</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 t="s">
        <v>2974</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 s="1" t="s">
        <v>112</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 s="1" t="s">
        <v>2975</v>
      </c>
      <c r="K4" s="118" t="s">
        <v>100</v>
      </c>
      <c r="L4" s="1" t="s">
        <v>394</v>
      </c>
      <c r="M4" s="1" t="s">
        <v>395</v>
      </c>
      <c r="N4" s="1" t="s">
        <v>397</v>
      </c>
      <c r="O4" s="1" t="s">
        <v>4327</v>
      </c>
      <c r="P4" s="1" t="s">
        <v>4328</v>
      </c>
      <c r="Q4" s="1" t="s">
        <v>4329</v>
      </c>
      <c r="R4" s="1" t="s">
        <v>4330</v>
      </c>
      <c r="S4" s="1" t="s">
        <v>4331</v>
      </c>
      <c r="T4" s="1" t="s">
        <v>4332</v>
      </c>
      <c r="U4" s="1" t="s">
        <v>4333</v>
      </c>
      <c r="V4" s="1" t="s">
        <v>4334</v>
      </c>
      <c r="W4" s="1" t="s">
        <v>4335</v>
      </c>
      <c r="X4" s="1" t="s">
        <v>4336</v>
      </c>
      <c r="Y4" s="1" t="s">
        <v>4337</v>
      </c>
      <c r="Z4" s="1" t="s">
        <v>4338</v>
      </c>
      <c r="AA4" s="1" t="s">
        <v>4339</v>
      </c>
      <c r="AB4" s="1" t="s">
        <v>4340</v>
      </c>
      <c r="AC4" s="1" t="s">
        <v>4341</v>
      </c>
      <c r="AD4" s="1" t="s">
        <v>4342</v>
      </c>
      <c r="AE4" s="1" t="s">
        <v>4343</v>
      </c>
      <c r="AF4" s="1" t="s">
        <v>4344</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 s="1" t="s">
        <v>112</v>
      </c>
      <c r="K5" s="145" t="s">
        <v>164</v>
      </c>
      <c r="L5" s="44">
        <v>4087</v>
      </c>
      <c r="M5" s="44">
        <v>23266.666666666668</v>
      </c>
      <c r="N5" s="44">
        <v>289398.66666666669</v>
      </c>
      <c r="O5" s="44">
        <v>898.33333333333337</v>
      </c>
      <c r="P5" s="44">
        <v>1228.6666666666667</v>
      </c>
      <c r="Q5" s="44">
        <v>841</v>
      </c>
      <c r="R5" s="44">
        <v>76987</v>
      </c>
      <c r="S5" s="44">
        <v>25658.333333333332</v>
      </c>
      <c r="T5" s="44">
        <v>4114.666666666667</v>
      </c>
      <c r="U5" s="44">
        <v>7253</v>
      </c>
      <c r="V5" s="44"/>
      <c r="W5" s="44">
        <v>736</v>
      </c>
      <c r="X5" s="44">
        <v>664.5</v>
      </c>
      <c r="Y5" s="44">
        <v>87488</v>
      </c>
      <c r="Z5" s="44">
        <v>179834</v>
      </c>
      <c r="AA5" s="44">
        <v>2703</v>
      </c>
      <c r="AB5" s="44">
        <v>132753.66666666666</v>
      </c>
      <c r="AC5" s="44">
        <v>99442.666666666672</v>
      </c>
      <c r="AD5" s="44">
        <v>144318.66666666666</v>
      </c>
      <c r="AE5" s="44">
        <v>127357.5</v>
      </c>
      <c r="AF5" s="44">
        <v>113581</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 s="1" t="s">
        <v>112</v>
      </c>
      <c r="K6" s="145" t="s">
        <v>412</v>
      </c>
      <c r="L6" s="44">
        <v>32840.666666666664</v>
      </c>
      <c r="M6" s="44">
        <v>21138.333333333332</v>
      </c>
      <c r="N6" s="44">
        <v>220805.33333333334</v>
      </c>
      <c r="O6" s="44">
        <v>655.33333333333337</v>
      </c>
      <c r="P6" s="44">
        <v>299</v>
      </c>
      <c r="Q6" s="44">
        <v>1106.6666666666667</v>
      </c>
      <c r="R6" s="44">
        <v>160526.66666666666</v>
      </c>
      <c r="S6" s="44">
        <v>890</v>
      </c>
      <c r="T6" s="44">
        <v>508.33333333333331</v>
      </c>
      <c r="U6" s="44">
        <v>1929</v>
      </c>
      <c r="V6" s="44">
        <v>815.66666666666663</v>
      </c>
      <c r="W6" s="44">
        <v>544.66666666666663</v>
      </c>
      <c r="X6" s="44">
        <v>46034</v>
      </c>
      <c r="Y6" s="44">
        <v>27740</v>
      </c>
      <c r="Z6" s="44">
        <v>85611.666666666672</v>
      </c>
      <c r="AA6" s="44">
        <v>1804.6666666666667</v>
      </c>
      <c r="AB6" s="44">
        <v>2280</v>
      </c>
      <c r="AC6" s="44">
        <v>71544.666666666672</v>
      </c>
      <c r="AD6" s="44">
        <v>13125.333333333334</v>
      </c>
      <c r="AE6" s="44">
        <v>135077</v>
      </c>
      <c r="AF6" s="44">
        <v>81609.666666666672</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 s="1" t="s">
        <v>2976</v>
      </c>
      <c r="K7" s="145" t="s">
        <v>413</v>
      </c>
      <c r="L7" s="44">
        <v>1876.5</v>
      </c>
      <c r="M7" s="44">
        <v>24673.666666666668</v>
      </c>
      <c r="N7" s="44">
        <v>150270.66666666666</v>
      </c>
      <c r="O7" s="44">
        <v>7962</v>
      </c>
      <c r="P7" s="44">
        <v>3989</v>
      </c>
      <c r="Q7" s="44">
        <v>517.66666666666663</v>
      </c>
      <c r="R7" s="44">
        <v>101078.33333333333</v>
      </c>
      <c r="S7" s="44">
        <v>840.66666666666663</v>
      </c>
      <c r="T7" s="44">
        <v>936</v>
      </c>
      <c r="U7" s="44">
        <v>4509.666666666667</v>
      </c>
      <c r="V7" s="44">
        <v>3784.3333333333335</v>
      </c>
      <c r="W7" s="44">
        <v>358</v>
      </c>
      <c r="X7" s="44">
        <v>86265.666666666672</v>
      </c>
      <c r="Y7" s="44">
        <v>128175.5</v>
      </c>
      <c r="Z7" s="44">
        <v>134675</v>
      </c>
      <c r="AA7" s="44">
        <v>925.66666666666663</v>
      </c>
      <c r="AB7" s="44">
        <v>33958</v>
      </c>
      <c r="AC7" s="44">
        <v>118920.66666666667</v>
      </c>
      <c r="AD7" s="44">
        <v>36777.666666666664</v>
      </c>
      <c r="AE7" s="44">
        <v>80494.666666666672</v>
      </c>
      <c r="AF7" s="44">
        <v>77971</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 s="1" t="s">
        <v>2977</v>
      </c>
      <c r="K8" s="145" t="s">
        <v>414</v>
      </c>
      <c r="L8" s="44">
        <v>1802.6666666666667</v>
      </c>
      <c r="M8" s="44">
        <v>70945.333333333328</v>
      </c>
      <c r="N8" s="44">
        <v>48490</v>
      </c>
      <c r="O8" s="44">
        <v>2038.6666666666667</v>
      </c>
      <c r="P8" s="44">
        <v>622.66666666666663</v>
      </c>
      <c r="Q8" s="44">
        <v>3250.5</v>
      </c>
      <c r="R8" s="44">
        <v>4761</v>
      </c>
      <c r="S8" s="44">
        <v>740.66666666666663</v>
      </c>
      <c r="T8" s="44">
        <v>582.66666666666663</v>
      </c>
      <c r="U8" s="44">
        <v>544</v>
      </c>
      <c r="V8" s="44">
        <v>2303.6666666666665</v>
      </c>
      <c r="W8" s="44">
        <v>7337</v>
      </c>
      <c r="X8" s="44">
        <v>70306</v>
      </c>
      <c r="Y8" s="44">
        <v>113809</v>
      </c>
      <c r="Z8" s="44">
        <v>119801</v>
      </c>
      <c r="AA8" s="44">
        <v>3260</v>
      </c>
      <c r="AB8" s="44">
        <v>68780.333333333328</v>
      </c>
      <c r="AC8" s="44">
        <v>80031.666666666672</v>
      </c>
      <c r="AD8" s="44">
        <v>21010</v>
      </c>
      <c r="AE8" s="44">
        <v>145377.66666666666</v>
      </c>
      <c r="AF8" s="44">
        <v>70565.333333333328</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 s="1" t="s">
        <v>2978</v>
      </c>
      <c r="K9" s="145" t="s">
        <v>415</v>
      </c>
      <c r="L9" s="44">
        <v>5211.333333333333</v>
      </c>
      <c r="M9" s="44">
        <v>31265</v>
      </c>
      <c r="N9" s="44">
        <v>184792.66666666666</v>
      </c>
      <c r="O9" s="44">
        <v>3827.3333333333335</v>
      </c>
      <c r="P9" s="44">
        <v>886.33333333333337</v>
      </c>
      <c r="Q9" s="44">
        <v>9380</v>
      </c>
      <c r="R9" s="44">
        <v>128211.66666666667</v>
      </c>
      <c r="S9" s="44">
        <v>882.33333333333337</v>
      </c>
      <c r="T9" s="44">
        <v>10898.5</v>
      </c>
      <c r="U9" s="44">
        <v>1237</v>
      </c>
      <c r="V9" s="44">
        <v>473.33333333333331</v>
      </c>
      <c r="W9" s="44">
        <v>538</v>
      </c>
      <c r="X9" s="44">
        <v>36335</v>
      </c>
      <c r="Y9" s="44">
        <v>50367.333333333336</v>
      </c>
      <c r="Z9" s="44">
        <v>8001</v>
      </c>
      <c r="AA9" s="44">
        <v>4983.666666666667</v>
      </c>
      <c r="AB9" s="44">
        <v>73197.666666666672</v>
      </c>
      <c r="AC9" s="44">
        <v>30221</v>
      </c>
      <c r="AD9" s="44">
        <v>35624</v>
      </c>
      <c r="AE9" s="44">
        <v>84514.333333333328</v>
      </c>
      <c r="AF9" s="44">
        <v>2584.3333333333335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 s="1" t="s">
        <v>112</v>
      </c>
      <c r="K10" s="145" t="s">
        <v>416</v>
      </c>
      <c r="L10" s="44">
        <v>1377.6666666666667</v>
      </c>
      <c r="M10" s="44">
        <v>52712</v>
      </c>
      <c r="N10" s="44">
        <v>117331.33333333333</v>
      </c>
      <c r="O10" s="44">
        <v>7548</v>
      </c>
      <c r="P10" s="44">
        <v>1490</v>
      </c>
      <c r="Q10" s="44">
        <v>823.66666666666663</v>
      </c>
      <c r="R10" s="44">
        <v>95670</v>
      </c>
      <c r="S10" s="44">
        <v>1777.3333333333333</v>
      </c>
      <c r="T10" s="44">
        <v>3746</v>
      </c>
      <c r="U10" s="44">
        <v>1305.6666666666667</v>
      </c>
      <c r="V10" s="44">
        <v>6782</v>
      </c>
      <c r="W10" s="44">
        <v>28785</v>
      </c>
      <c r="X10" s="44">
        <v>74464.666666666672</v>
      </c>
      <c r="Y10" s="44">
        <v>42078</v>
      </c>
      <c r="Z10" s="44">
        <v>126312.66666666667</v>
      </c>
      <c r="AA10" s="44">
        <v>1286</v>
      </c>
      <c r="AB10" s="44">
        <v>18571</v>
      </c>
      <c r="AC10" s="44">
        <v>102472.66666666667</v>
      </c>
      <c r="AD10" s="44">
        <v>16015.333333333334</v>
      </c>
      <c r="AE10" s="44">
        <v>50323</v>
      </c>
      <c r="AF10" s="44">
        <v>29598</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 s="1" t="s">
        <v>2979</v>
      </c>
      <c r="D11" s="1" t="s">
        <v>2980</v>
      </c>
      <c r="K11" s="145" t="s">
        <v>417</v>
      </c>
      <c r="L11" s="44">
        <v>5890.666666666667</v>
      </c>
      <c r="M11" s="44">
        <v>62986.333333333336</v>
      </c>
      <c r="N11" s="44">
        <v>190470.33333333334</v>
      </c>
      <c r="O11" s="44">
        <v>8112</v>
      </c>
      <c r="P11" s="44">
        <v>6912.333333333333</v>
      </c>
      <c r="Q11" s="44">
        <v>1055.6666666666667</v>
      </c>
      <c r="R11" s="44">
        <v>143495</v>
      </c>
      <c r="S11" s="44">
        <v>2602.6666666666665</v>
      </c>
      <c r="T11" s="44">
        <v>7991.333333333333</v>
      </c>
      <c r="U11" s="44">
        <v>564</v>
      </c>
      <c r="V11" s="44">
        <v>628</v>
      </c>
      <c r="W11" s="44">
        <v>1659</v>
      </c>
      <c r="X11" s="44">
        <v>12800</v>
      </c>
      <c r="Y11" s="44">
        <v>55672.333333333336</v>
      </c>
      <c r="Z11" s="44">
        <v>118578.33333333333</v>
      </c>
      <c r="AA11" s="44">
        <v>1832</v>
      </c>
      <c r="AB11" s="44">
        <v>427</v>
      </c>
      <c r="AC11" s="44">
        <v>3385</v>
      </c>
      <c r="AD11" s="44">
        <v>124834.33333333333</v>
      </c>
      <c r="AE11" s="44">
        <v>121794.66666666667</v>
      </c>
      <c r="AF11" s="44">
        <v>14828.666666666666</v>
      </c>
      <c r="AG11"/>
    </row>
    <row r="12" spans="1:144" x14ac:dyDescent="0.3">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 s="1" t="s">
        <v>2981</v>
      </c>
      <c r="D12" s="1" t="s">
        <v>2982</v>
      </c>
      <c r="K12" s="145" t="s">
        <v>418</v>
      </c>
      <c r="L12" s="44">
        <v>7090.333333333333</v>
      </c>
      <c r="M12" s="44">
        <v>64881.333333333336</v>
      </c>
      <c r="N12" s="44">
        <v>165996.33333333334</v>
      </c>
      <c r="O12" s="44">
        <v>643.66666666666663</v>
      </c>
      <c r="P12" s="44">
        <v>1064.3333333333333</v>
      </c>
      <c r="Q12" s="44">
        <v>12822.333333333334</v>
      </c>
      <c r="R12" s="44">
        <v>138335</v>
      </c>
      <c r="S12" s="44">
        <v>2072</v>
      </c>
      <c r="T12" s="44">
        <v>662</v>
      </c>
      <c r="U12" s="44">
        <v>3253.6666666666665</v>
      </c>
      <c r="V12" s="44">
        <v>652</v>
      </c>
      <c r="W12" s="44">
        <v>588</v>
      </c>
      <c r="X12" s="44">
        <v>54967.333333333336</v>
      </c>
      <c r="Y12" s="44">
        <v>31594</v>
      </c>
      <c r="Z12" s="44">
        <v>115345</v>
      </c>
      <c r="AA12" s="44">
        <v>1432.3333333333333</v>
      </c>
      <c r="AB12" s="44">
        <v>76731</v>
      </c>
      <c r="AC12" s="44">
        <v>24632</v>
      </c>
      <c r="AD12" s="44">
        <v>87894.333333333328</v>
      </c>
      <c r="AE12" s="44">
        <v>96709</v>
      </c>
      <c r="AF12" s="44">
        <v>31206.666666666668</v>
      </c>
      <c r="AG12"/>
    </row>
    <row r="13" spans="1:144" x14ac:dyDescent="0.3">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 s="1" t="s">
        <v>2983</v>
      </c>
      <c r="D13" s="1" t="s">
        <v>2984</v>
      </c>
      <c r="K13"/>
      <c r="L13"/>
      <c r="M13"/>
      <c r="N13"/>
      <c r="O13"/>
      <c r="P13"/>
      <c r="Q13"/>
      <c r="R13"/>
      <c r="S13"/>
      <c r="T13"/>
      <c r="U13"/>
      <c r="V13"/>
      <c r="W13"/>
      <c r="X13"/>
      <c r="Y13"/>
      <c r="Z13"/>
      <c r="AA13"/>
      <c r="AB13"/>
      <c r="AC13"/>
      <c r="AD13"/>
      <c r="AE13"/>
      <c r="AF13"/>
      <c r="AG13"/>
    </row>
    <row r="14" spans="1:144" x14ac:dyDescent="0.3">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4" s="1" t="s">
        <v>2985</v>
      </c>
      <c r="D14" s="1" t="s">
        <v>2984</v>
      </c>
      <c r="K14"/>
      <c r="L14"/>
      <c r="M14"/>
      <c r="N14"/>
      <c r="O14"/>
      <c r="P14"/>
      <c r="Q14"/>
      <c r="R14"/>
      <c r="S14"/>
      <c r="T14"/>
      <c r="U14"/>
      <c r="V14"/>
      <c r="W14"/>
      <c r="X14"/>
      <c r="Y14"/>
      <c r="Z14"/>
      <c r="AA14"/>
      <c r="AB14"/>
      <c r="AC14"/>
      <c r="AD14"/>
      <c r="AE14"/>
      <c r="AF14"/>
      <c r="AG14"/>
    </row>
    <row r="15" spans="1:144" x14ac:dyDescent="0.3">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 s="1" t="s">
        <v>2986</v>
      </c>
      <c r="D15" s="1" t="s">
        <v>112</v>
      </c>
    </row>
    <row r="16" spans="1:144" x14ac:dyDescent="0.3">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 s="1" t="s">
        <v>2987</v>
      </c>
      <c r="D16" s="1" t="s">
        <v>2988</v>
      </c>
      <c r="M16"/>
      <c r="N16"/>
      <c r="O16"/>
      <c r="P16"/>
      <c r="Q16"/>
      <c r="R16"/>
      <c r="S16"/>
      <c r="T16"/>
      <c r="U16"/>
      <c r="V16"/>
      <c r="W16"/>
      <c r="X16"/>
      <c r="Y16"/>
      <c r="Z16"/>
      <c r="AA16"/>
      <c r="AB16"/>
      <c r="AC16"/>
      <c r="AD16"/>
      <c r="AE16"/>
      <c r="AF16"/>
      <c r="AG16"/>
      <c r="AH16"/>
    </row>
    <row r="17" spans="1:34" x14ac:dyDescent="0.3">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7" s="1" t="s">
        <v>112</v>
      </c>
      <c r="M17"/>
      <c r="N17"/>
      <c r="O17"/>
      <c r="P17"/>
      <c r="Q17"/>
      <c r="R17"/>
      <c r="S17"/>
      <c r="T17"/>
      <c r="U17"/>
      <c r="V17"/>
      <c r="W17"/>
      <c r="X17"/>
      <c r="Y17"/>
      <c r="Z17"/>
      <c r="AA17"/>
      <c r="AB17"/>
      <c r="AC17"/>
      <c r="AD17"/>
      <c r="AE17"/>
      <c r="AF17"/>
      <c r="AG17"/>
      <c r="AH17"/>
    </row>
    <row r="18" spans="1:34" x14ac:dyDescent="0.3">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8" s="1" t="s">
        <v>112</v>
      </c>
      <c r="M18"/>
      <c r="N18"/>
      <c r="O18"/>
      <c r="P18"/>
      <c r="Q18"/>
      <c r="R18"/>
      <c r="S18"/>
      <c r="T18"/>
      <c r="U18"/>
      <c r="V18"/>
      <c r="W18"/>
      <c r="X18"/>
      <c r="Y18"/>
      <c r="Z18"/>
      <c r="AA18"/>
      <c r="AB18"/>
      <c r="AC18"/>
      <c r="AD18"/>
      <c r="AE18"/>
      <c r="AF18"/>
      <c r="AG18"/>
      <c r="AH18"/>
    </row>
    <row r="19" spans="1:34" x14ac:dyDescent="0.3">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 s="1" t="s">
        <v>202</v>
      </c>
      <c r="D19" s="1" t="s">
        <v>110</v>
      </c>
      <c r="E19" s="1" t="s">
        <v>111</v>
      </c>
      <c r="F19" s="1" t="s">
        <v>112</v>
      </c>
      <c r="G19" s="1" t="s">
        <v>113</v>
      </c>
      <c r="K19"/>
      <c r="L19"/>
      <c r="M19"/>
      <c r="N19"/>
      <c r="O19"/>
      <c r="P19"/>
      <c r="Q19"/>
      <c r="R19"/>
      <c r="S19"/>
      <c r="T19"/>
      <c r="U19"/>
      <c r="V19"/>
      <c r="W19"/>
      <c r="X19"/>
      <c r="Y19"/>
      <c r="Z19"/>
      <c r="AA19"/>
      <c r="AB19"/>
      <c r="AC19"/>
      <c r="AD19"/>
      <c r="AE19"/>
      <c r="AF19"/>
      <c r="AG19"/>
      <c r="AH19"/>
    </row>
    <row r="20" spans="1:34" x14ac:dyDescent="0.3">
      <c r="A20" s="1" t="str">
        <f t="shared" si="0"/>
        <v>01 TS</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 s="1" t="s">
        <v>2989</v>
      </c>
      <c r="D20" s="1" t="s">
        <v>2990</v>
      </c>
      <c r="E20" s="1" t="s">
        <v>2991</v>
      </c>
      <c r="F20" s="1" t="s">
        <v>112</v>
      </c>
      <c r="G20" s="1">
        <v>1400</v>
      </c>
      <c r="K20"/>
      <c r="L20"/>
      <c r="M20"/>
      <c r="N20"/>
      <c r="O20"/>
      <c r="P20"/>
      <c r="Q20"/>
      <c r="R20"/>
      <c r="S20"/>
      <c r="T20"/>
      <c r="U20"/>
      <c r="V20"/>
      <c r="W20"/>
      <c r="X20"/>
      <c r="Y20"/>
      <c r="Z20"/>
      <c r="AA20"/>
      <c r="AB20"/>
      <c r="AC20"/>
      <c r="AD20"/>
      <c r="AE20"/>
      <c r="AF20"/>
      <c r="AG20"/>
      <c r="AH20"/>
    </row>
    <row r="21" spans="1:34" x14ac:dyDescent="0.3">
      <c r="A21" s="1" t="str">
        <f t="shared" si="0"/>
        <v>01 TS</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1" s="1" t="s">
        <v>2992</v>
      </c>
      <c r="D21" s="1" t="s">
        <v>2993</v>
      </c>
      <c r="E21" s="1" t="s">
        <v>2994</v>
      </c>
      <c r="F21" s="1" t="s">
        <v>112</v>
      </c>
      <c r="G21" s="1">
        <v>750</v>
      </c>
      <c r="K21"/>
      <c r="L21"/>
      <c r="M21"/>
      <c r="N21"/>
      <c r="O21"/>
      <c r="P21"/>
      <c r="Q21"/>
      <c r="R21"/>
      <c r="S21"/>
      <c r="T21"/>
      <c r="U21"/>
      <c r="V21"/>
      <c r="W21"/>
      <c r="X21"/>
      <c r="Y21"/>
      <c r="Z21"/>
      <c r="AA21"/>
      <c r="AB21"/>
      <c r="AC21"/>
      <c r="AD21"/>
      <c r="AE21"/>
      <c r="AF21"/>
      <c r="AG21"/>
      <c r="AH21"/>
    </row>
    <row r="22" spans="1:34" x14ac:dyDescent="0.3">
      <c r="A22" s="1" t="str">
        <f t="shared" si="0"/>
        <v>01 TS</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2" s="1" t="s">
        <v>2995</v>
      </c>
      <c r="D22" s="1" t="s">
        <v>2996</v>
      </c>
      <c r="E22" s="1" t="s">
        <v>325</v>
      </c>
      <c r="F22" s="1" t="s">
        <v>112</v>
      </c>
      <c r="G22" s="1">
        <v>545</v>
      </c>
      <c r="K22"/>
      <c r="L22"/>
      <c r="M22"/>
      <c r="N22"/>
      <c r="O22"/>
      <c r="P22"/>
      <c r="Q22"/>
      <c r="R22"/>
      <c r="S22"/>
      <c r="T22"/>
      <c r="U22"/>
      <c r="V22"/>
      <c r="W22"/>
      <c r="X22"/>
      <c r="Y22"/>
      <c r="Z22"/>
      <c r="AA22"/>
      <c r="AB22"/>
      <c r="AC22"/>
      <c r="AD22"/>
      <c r="AE22"/>
      <c r="AF22"/>
      <c r="AG22"/>
      <c r="AH22"/>
    </row>
    <row r="23" spans="1:34" x14ac:dyDescent="0.3">
      <c r="A23" s="1" t="str">
        <f t="shared" si="0"/>
        <v>01 TS</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 s="1" t="s">
        <v>2997</v>
      </c>
      <c r="D23" s="1" t="s">
        <v>2998</v>
      </c>
      <c r="E23" s="1" t="s">
        <v>892</v>
      </c>
      <c r="F23" s="1" t="s">
        <v>112</v>
      </c>
      <c r="G23" s="1">
        <v>438</v>
      </c>
      <c r="K23"/>
      <c r="L23"/>
      <c r="M23"/>
      <c r="N23"/>
      <c r="O23"/>
      <c r="P23"/>
      <c r="Q23"/>
      <c r="R23"/>
      <c r="S23"/>
      <c r="T23"/>
      <c r="U23"/>
      <c r="V23"/>
      <c r="W23"/>
      <c r="X23"/>
      <c r="Y23"/>
      <c r="Z23"/>
      <c r="AA23"/>
      <c r="AB23"/>
      <c r="AC23"/>
      <c r="AD23"/>
      <c r="AE23"/>
      <c r="AF23"/>
      <c r="AG23"/>
      <c r="AH23"/>
    </row>
    <row r="24" spans="1:34" x14ac:dyDescent="0.3">
      <c r="A24" s="1" t="str">
        <f t="shared" si="0"/>
        <v>01 TS</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4" s="1" t="s">
        <v>2999</v>
      </c>
      <c r="D24" s="1" t="s">
        <v>2993</v>
      </c>
      <c r="E24" s="1" t="s">
        <v>3000</v>
      </c>
      <c r="F24" s="1" t="s">
        <v>112</v>
      </c>
      <c r="G24" s="1">
        <v>753</v>
      </c>
      <c r="K24"/>
      <c r="L24"/>
      <c r="M24"/>
      <c r="N24"/>
      <c r="O24"/>
      <c r="P24"/>
      <c r="Q24"/>
      <c r="R24"/>
      <c r="S24"/>
      <c r="T24"/>
      <c r="U24"/>
      <c r="V24"/>
      <c r="W24"/>
      <c r="X24"/>
      <c r="Y24"/>
      <c r="Z24"/>
      <c r="AA24"/>
      <c r="AB24"/>
      <c r="AC24"/>
      <c r="AD24"/>
      <c r="AE24"/>
      <c r="AF24"/>
      <c r="AG24"/>
      <c r="AH24"/>
    </row>
    <row r="25" spans="1:34" x14ac:dyDescent="0.3">
      <c r="A25" s="1" t="str">
        <f t="shared" si="0"/>
        <v>01 TS</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5" s="1" t="s">
        <v>3001</v>
      </c>
      <c r="D25" s="1" t="s">
        <v>2993</v>
      </c>
      <c r="E25" s="1" t="s">
        <v>3002</v>
      </c>
      <c r="F25" s="1" t="s">
        <v>112</v>
      </c>
      <c r="G25" s="1">
        <v>775</v>
      </c>
      <c r="K25"/>
      <c r="L25"/>
      <c r="M25"/>
      <c r="N25"/>
      <c r="O25"/>
      <c r="P25"/>
      <c r="Q25"/>
      <c r="R25"/>
      <c r="S25"/>
      <c r="T25"/>
      <c r="U25"/>
      <c r="V25"/>
      <c r="W25"/>
      <c r="X25"/>
      <c r="Y25"/>
      <c r="Z25"/>
      <c r="AA25"/>
      <c r="AB25"/>
      <c r="AC25"/>
      <c r="AD25"/>
      <c r="AE25"/>
      <c r="AF25"/>
      <c r="AG25"/>
      <c r="AH25"/>
    </row>
    <row r="26" spans="1:34" x14ac:dyDescent="0.3">
      <c r="A26" s="1" t="str">
        <f t="shared" si="0"/>
        <v>01 TS</v>
      </c>
      <c r="B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6" s="1" t="s">
        <v>3003</v>
      </c>
      <c r="D26" s="1" t="s">
        <v>3004</v>
      </c>
      <c r="E26" s="1" t="s">
        <v>1361</v>
      </c>
      <c r="F26" s="1" t="s">
        <v>112</v>
      </c>
      <c r="G26" s="1">
        <v>1113</v>
      </c>
      <c r="K26"/>
      <c r="L26"/>
      <c r="M26"/>
      <c r="N26"/>
      <c r="O26"/>
      <c r="P26"/>
      <c r="Q26"/>
      <c r="R26"/>
      <c r="S26"/>
      <c r="T26"/>
      <c r="U26"/>
      <c r="V26"/>
      <c r="W26"/>
      <c r="X26"/>
      <c r="Y26"/>
      <c r="Z26"/>
      <c r="AA26"/>
      <c r="AB26"/>
      <c r="AC26"/>
      <c r="AD26"/>
      <c r="AE26"/>
      <c r="AF26"/>
      <c r="AG26"/>
      <c r="AH26"/>
    </row>
    <row r="27" spans="1:34" x14ac:dyDescent="0.3">
      <c r="A27" s="1" t="str">
        <f t="shared" si="0"/>
        <v>01 TS</v>
      </c>
      <c r="B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 s="1" t="s">
        <v>3005</v>
      </c>
      <c r="D27" s="1" t="s">
        <v>3006</v>
      </c>
      <c r="E27" s="1" t="s">
        <v>3007</v>
      </c>
      <c r="F27" s="1" t="s">
        <v>112</v>
      </c>
      <c r="G27" s="1">
        <v>19940</v>
      </c>
      <c r="K27"/>
      <c r="L27"/>
      <c r="M27"/>
      <c r="N27"/>
      <c r="O27"/>
      <c r="P27"/>
      <c r="Q27"/>
      <c r="R27"/>
      <c r="S27"/>
      <c r="T27"/>
      <c r="U27"/>
      <c r="V27"/>
      <c r="W27"/>
      <c r="X27"/>
      <c r="Y27"/>
      <c r="Z27"/>
      <c r="AA27"/>
      <c r="AB27"/>
      <c r="AC27"/>
      <c r="AD27"/>
      <c r="AE27"/>
      <c r="AF27"/>
      <c r="AG27"/>
      <c r="AH27"/>
    </row>
    <row r="28" spans="1:34" x14ac:dyDescent="0.3">
      <c r="A28" s="1" t="str">
        <f t="shared" si="0"/>
        <v>01 TS</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8" s="1" t="s">
        <v>3008</v>
      </c>
      <c r="D28" s="1" t="s">
        <v>3009</v>
      </c>
      <c r="E28" s="1" t="s">
        <v>3010</v>
      </c>
      <c r="F28" s="1" t="s">
        <v>112</v>
      </c>
      <c r="G28" s="1">
        <v>2833</v>
      </c>
      <c r="K28"/>
      <c r="L28"/>
      <c r="M28"/>
      <c r="N28"/>
      <c r="O28"/>
      <c r="P28"/>
      <c r="Q28"/>
      <c r="R28"/>
      <c r="S28"/>
      <c r="T28"/>
      <c r="U28"/>
      <c r="V28"/>
      <c r="W28"/>
      <c r="X28"/>
      <c r="Y28"/>
      <c r="Z28"/>
      <c r="AA28"/>
      <c r="AB28"/>
      <c r="AC28"/>
      <c r="AD28"/>
      <c r="AE28"/>
      <c r="AF28"/>
      <c r="AG28"/>
      <c r="AH28"/>
    </row>
    <row r="29" spans="1:34" x14ac:dyDescent="0.3">
      <c r="A29" s="1" t="str">
        <f t="shared" si="0"/>
        <v>01 TS</v>
      </c>
      <c r="B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9" s="1" t="s">
        <v>3011</v>
      </c>
      <c r="D29" s="1" t="s">
        <v>3012</v>
      </c>
      <c r="E29" s="1" t="s">
        <v>3013</v>
      </c>
      <c r="F29" s="1" t="s">
        <v>112</v>
      </c>
      <c r="G29" s="1">
        <v>4385</v>
      </c>
      <c r="K29"/>
      <c r="L29"/>
      <c r="M29"/>
      <c r="N29"/>
      <c r="O29"/>
      <c r="P29"/>
      <c r="Q29"/>
      <c r="R29"/>
      <c r="S29"/>
      <c r="T29"/>
      <c r="U29"/>
      <c r="V29"/>
      <c r="W29"/>
      <c r="X29"/>
      <c r="Y29"/>
      <c r="Z29"/>
      <c r="AA29"/>
      <c r="AB29"/>
      <c r="AC29"/>
      <c r="AD29"/>
      <c r="AE29"/>
      <c r="AF29"/>
      <c r="AG29"/>
      <c r="AH29"/>
    </row>
    <row r="30" spans="1:34" x14ac:dyDescent="0.3">
      <c r="A30" s="1" t="str">
        <f t="shared" si="0"/>
        <v>01 TS</v>
      </c>
      <c r="B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 s="1" t="s">
        <v>3014</v>
      </c>
      <c r="D30" s="1" t="s">
        <v>3015</v>
      </c>
      <c r="E30" s="1" t="s">
        <v>3016</v>
      </c>
      <c r="F30" s="1" t="s">
        <v>112</v>
      </c>
      <c r="G30" s="1">
        <v>1136</v>
      </c>
      <c r="K30"/>
      <c r="L30"/>
      <c r="M30"/>
      <c r="N30"/>
      <c r="O30"/>
      <c r="P30"/>
      <c r="Q30"/>
      <c r="R30"/>
      <c r="S30"/>
      <c r="T30"/>
      <c r="U30"/>
      <c r="V30"/>
      <c r="W30"/>
      <c r="X30"/>
      <c r="Y30"/>
      <c r="Z30"/>
      <c r="AA30"/>
      <c r="AB30"/>
      <c r="AC30"/>
      <c r="AD30"/>
      <c r="AE30"/>
      <c r="AF30"/>
      <c r="AG30"/>
      <c r="AH30"/>
    </row>
    <row r="31" spans="1:34" x14ac:dyDescent="0.3">
      <c r="A31" s="1" t="str">
        <f t="shared" si="0"/>
        <v>01 TS</v>
      </c>
      <c r="B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 s="1" t="s">
        <v>3017</v>
      </c>
      <c r="D31" s="1" t="s">
        <v>3018</v>
      </c>
      <c r="E31" s="1" t="s">
        <v>3019</v>
      </c>
      <c r="F31" s="1" t="s">
        <v>112</v>
      </c>
      <c r="G31" s="1">
        <v>595</v>
      </c>
      <c r="K31"/>
      <c r="L31"/>
      <c r="M31"/>
      <c r="N31"/>
      <c r="O31"/>
      <c r="P31"/>
      <c r="Q31"/>
      <c r="R31"/>
      <c r="S31"/>
      <c r="T31"/>
      <c r="U31"/>
      <c r="V31"/>
      <c r="W31"/>
      <c r="X31"/>
      <c r="Y31"/>
      <c r="Z31"/>
      <c r="AA31"/>
      <c r="AB31"/>
      <c r="AC31"/>
      <c r="AD31"/>
      <c r="AE31"/>
      <c r="AF31"/>
      <c r="AG31"/>
      <c r="AH31"/>
    </row>
    <row r="32" spans="1:34" x14ac:dyDescent="0.3">
      <c r="A32" s="1" t="str">
        <f t="shared" si="0"/>
        <v>01 TS</v>
      </c>
      <c r="B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2" s="1" t="s">
        <v>3020</v>
      </c>
      <c r="D32" s="1" t="s">
        <v>3021</v>
      </c>
      <c r="E32" s="1" t="s">
        <v>3022</v>
      </c>
      <c r="F32" s="1" t="s">
        <v>112</v>
      </c>
      <c r="G32" s="1">
        <v>5143</v>
      </c>
      <c r="K32"/>
      <c r="L32"/>
      <c r="M32"/>
      <c r="N32"/>
      <c r="O32"/>
      <c r="P32"/>
      <c r="Q32"/>
      <c r="R32"/>
      <c r="S32"/>
      <c r="T32"/>
      <c r="U32"/>
      <c r="V32"/>
      <c r="W32"/>
      <c r="X32"/>
      <c r="Y32"/>
      <c r="Z32"/>
      <c r="AA32"/>
      <c r="AB32"/>
      <c r="AC32"/>
      <c r="AD32"/>
      <c r="AE32"/>
      <c r="AF32"/>
      <c r="AG32"/>
      <c r="AH32"/>
    </row>
    <row r="33" spans="1:34" x14ac:dyDescent="0.3">
      <c r="A33" s="1" t="str">
        <f t="shared" si="0"/>
        <v>01 TS</v>
      </c>
      <c r="B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3" s="1" t="s">
        <v>3023</v>
      </c>
      <c r="D33" s="1" t="s">
        <v>2993</v>
      </c>
      <c r="E33" s="1" t="s">
        <v>3024</v>
      </c>
      <c r="F33" s="1" t="s">
        <v>112</v>
      </c>
      <c r="G33" s="1">
        <v>748</v>
      </c>
      <c r="K33"/>
      <c r="L33"/>
      <c r="M33"/>
      <c r="N33"/>
      <c r="O33"/>
      <c r="P33"/>
      <c r="Q33"/>
      <c r="R33"/>
      <c r="S33"/>
      <c r="T33"/>
      <c r="U33"/>
      <c r="V33"/>
      <c r="W33"/>
      <c r="X33"/>
      <c r="Y33"/>
      <c r="Z33"/>
      <c r="AA33"/>
      <c r="AB33"/>
      <c r="AC33"/>
      <c r="AD33"/>
      <c r="AE33"/>
      <c r="AF33"/>
      <c r="AG33"/>
      <c r="AH33"/>
    </row>
    <row r="34" spans="1:34" x14ac:dyDescent="0.3">
      <c r="A34" s="1" t="str">
        <f t="shared" si="0"/>
        <v>01 TS</v>
      </c>
      <c r="B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 s="1" t="s">
        <v>3025</v>
      </c>
      <c r="D34" s="1" t="s">
        <v>3026</v>
      </c>
      <c r="E34" s="1" t="s">
        <v>3027</v>
      </c>
      <c r="F34" s="1" t="s">
        <v>112</v>
      </c>
      <c r="G34" s="1">
        <v>5591</v>
      </c>
      <c r="K34"/>
      <c r="L34"/>
      <c r="M34"/>
      <c r="N34"/>
      <c r="O34"/>
      <c r="P34"/>
      <c r="Q34"/>
      <c r="R34"/>
      <c r="S34"/>
      <c r="T34"/>
      <c r="U34"/>
      <c r="V34"/>
      <c r="W34"/>
      <c r="X34"/>
      <c r="Y34"/>
      <c r="Z34"/>
      <c r="AA34"/>
      <c r="AB34"/>
      <c r="AC34"/>
      <c r="AD34"/>
      <c r="AE34"/>
      <c r="AF34"/>
      <c r="AG34"/>
      <c r="AH34"/>
    </row>
    <row r="35" spans="1:34" x14ac:dyDescent="0.3">
      <c r="A35" s="1" t="str">
        <f t="shared" si="0"/>
        <v>01 TS</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5" s="1" t="s">
        <v>3028</v>
      </c>
      <c r="D35" s="1" t="s">
        <v>3029</v>
      </c>
      <c r="E35" s="1" t="s">
        <v>3030</v>
      </c>
      <c r="F35" s="1" t="s">
        <v>112</v>
      </c>
      <c r="G35" s="1">
        <v>13950</v>
      </c>
      <c r="K35"/>
      <c r="L35"/>
      <c r="M35"/>
      <c r="N35"/>
      <c r="O35"/>
      <c r="P35"/>
      <c r="Q35"/>
      <c r="R35"/>
      <c r="S35"/>
      <c r="T35"/>
      <c r="U35"/>
      <c r="V35"/>
      <c r="W35"/>
      <c r="X35"/>
      <c r="Y35"/>
      <c r="Z35"/>
      <c r="AA35"/>
      <c r="AB35"/>
      <c r="AC35"/>
      <c r="AD35"/>
      <c r="AE35"/>
      <c r="AF35"/>
      <c r="AG35"/>
      <c r="AH35"/>
    </row>
    <row r="36" spans="1:34" x14ac:dyDescent="0.3">
      <c r="A36" s="1" t="str">
        <f t="shared" si="0"/>
        <v>01 TS</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6" s="1" t="s">
        <v>3031</v>
      </c>
      <c r="D36" s="1" t="s">
        <v>2990</v>
      </c>
      <c r="E36" s="1" t="s">
        <v>3032</v>
      </c>
      <c r="F36" s="1" t="s">
        <v>112</v>
      </c>
      <c r="G36" s="1">
        <v>1464</v>
      </c>
      <c r="K36"/>
      <c r="L36"/>
      <c r="M36"/>
      <c r="N36"/>
      <c r="O36"/>
      <c r="P36"/>
      <c r="Q36"/>
      <c r="R36"/>
      <c r="S36"/>
      <c r="T36"/>
      <c r="U36"/>
      <c r="V36"/>
      <c r="W36"/>
      <c r="X36"/>
      <c r="Y36"/>
      <c r="Z36"/>
      <c r="AA36"/>
      <c r="AB36"/>
      <c r="AC36"/>
      <c r="AD36"/>
      <c r="AE36"/>
      <c r="AF36"/>
      <c r="AG36"/>
      <c r="AH36"/>
    </row>
    <row r="37" spans="1:34" x14ac:dyDescent="0.3">
      <c r="A37" s="1" t="str">
        <f t="shared" si="0"/>
        <v>01 TS</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7" s="1" t="s">
        <v>3033</v>
      </c>
      <c r="D37" s="1" t="s">
        <v>3034</v>
      </c>
      <c r="E37" s="1" t="s">
        <v>3035</v>
      </c>
      <c r="F37" s="1" t="s">
        <v>112</v>
      </c>
      <c r="G37" s="1">
        <v>7230</v>
      </c>
      <c r="K37"/>
      <c r="L37"/>
      <c r="M37"/>
      <c r="N37"/>
      <c r="O37"/>
      <c r="P37"/>
      <c r="Q37"/>
      <c r="R37"/>
      <c r="S37"/>
      <c r="T37"/>
      <c r="U37"/>
      <c r="V37"/>
      <c r="W37"/>
      <c r="X37"/>
      <c r="Y37"/>
      <c r="Z37"/>
      <c r="AA37"/>
      <c r="AB37"/>
      <c r="AC37"/>
      <c r="AD37"/>
      <c r="AE37"/>
      <c r="AF37"/>
      <c r="AG37"/>
      <c r="AH37"/>
    </row>
    <row r="38" spans="1:34" x14ac:dyDescent="0.3">
      <c r="A38" s="1" t="str">
        <f t="shared" si="0"/>
        <v>01 TS</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 s="1" t="s">
        <v>3036</v>
      </c>
      <c r="D38" s="1" t="s">
        <v>3037</v>
      </c>
      <c r="E38" s="1" t="s">
        <v>3038</v>
      </c>
      <c r="F38" s="1" t="s">
        <v>112</v>
      </c>
      <c r="G38" s="1">
        <v>12270</v>
      </c>
      <c r="K38"/>
      <c r="L38"/>
      <c r="M38"/>
      <c r="N38"/>
      <c r="O38"/>
      <c r="P38"/>
      <c r="Q38"/>
      <c r="R38"/>
      <c r="S38"/>
      <c r="T38"/>
      <c r="U38"/>
      <c r="V38"/>
      <c r="W38"/>
      <c r="X38"/>
      <c r="Y38"/>
      <c r="Z38"/>
      <c r="AA38"/>
      <c r="AB38"/>
      <c r="AC38"/>
      <c r="AD38"/>
      <c r="AE38"/>
      <c r="AF38"/>
      <c r="AG38"/>
      <c r="AH38"/>
    </row>
    <row r="39" spans="1:34" x14ac:dyDescent="0.3">
      <c r="A39" s="1" t="str">
        <f t="shared" si="0"/>
        <v>01 TS</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9" s="1" t="s">
        <v>3039</v>
      </c>
      <c r="D39" s="1" t="s">
        <v>3040</v>
      </c>
      <c r="E39" s="1">
        <v>65</v>
      </c>
      <c r="F39" s="1" t="s">
        <v>112</v>
      </c>
      <c r="G39" s="1">
        <v>6511</v>
      </c>
    </row>
    <row r="40" spans="1:34" x14ac:dyDescent="0.3">
      <c r="A40" s="1" t="str">
        <f t="shared" si="0"/>
        <v>01 TS</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0" s="1" t="s">
        <v>3041</v>
      </c>
      <c r="D40" s="1" t="s">
        <v>3042</v>
      </c>
      <c r="E40" s="1" t="s">
        <v>3043</v>
      </c>
      <c r="F40" s="1" t="s">
        <v>112</v>
      </c>
      <c r="G40" s="1">
        <v>5555</v>
      </c>
    </row>
    <row r="41" spans="1:34" x14ac:dyDescent="0.3">
      <c r="A41" s="1" t="str">
        <f t="shared" si="0"/>
        <v>01 TS</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 s="1" t="s">
        <v>3044</v>
      </c>
      <c r="D41" s="1" t="s">
        <v>3045</v>
      </c>
      <c r="E41" s="1" t="s">
        <v>209</v>
      </c>
      <c r="F41" s="1" t="s">
        <v>112</v>
      </c>
      <c r="G41" s="1">
        <v>338</v>
      </c>
    </row>
    <row r="42" spans="1:34" x14ac:dyDescent="0.3">
      <c r="A42" s="1" t="str">
        <f t="shared" si="0"/>
        <v>01 TS</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 s="1" t="s">
        <v>3046</v>
      </c>
      <c r="D42" s="1" t="s">
        <v>3047</v>
      </c>
      <c r="E42" s="1" t="s">
        <v>2951</v>
      </c>
      <c r="F42" s="1" t="s">
        <v>112</v>
      </c>
      <c r="G42" s="1">
        <v>654</v>
      </c>
    </row>
    <row r="43" spans="1:34" x14ac:dyDescent="0.3">
      <c r="A43" s="1" t="str">
        <f t="shared" si="0"/>
        <v>01 TS</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3" s="1" t="s">
        <v>3048</v>
      </c>
      <c r="D43" s="1" t="s">
        <v>3049</v>
      </c>
      <c r="E43" s="1" t="s">
        <v>2256</v>
      </c>
      <c r="F43" s="1" t="s">
        <v>112</v>
      </c>
      <c r="G43" s="1">
        <v>939</v>
      </c>
    </row>
    <row r="44" spans="1:34" x14ac:dyDescent="0.3">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 s="1" t="s">
        <v>112</v>
      </c>
    </row>
    <row r="45" spans="1:34" x14ac:dyDescent="0.3">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 s="1" t="s">
        <v>195</v>
      </c>
      <c r="D45" s="1" t="s">
        <v>112</v>
      </c>
      <c r="E45" s="1" t="s">
        <v>196</v>
      </c>
      <c r="F45" s="1" t="s">
        <v>197</v>
      </c>
      <c r="G45" s="1" t="s">
        <v>198</v>
      </c>
      <c r="H45" s="1" t="s">
        <v>199</v>
      </c>
      <c r="I45" s="1" t="s">
        <v>200</v>
      </c>
      <c r="J45" s="1" t="s">
        <v>201</v>
      </c>
    </row>
    <row r="46" spans="1:34" x14ac:dyDescent="0.3">
      <c r="A46" s="1" t="str">
        <f t="shared" si="0"/>
        <v>01 TS</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6" s="1" t="s">
        <v>3050</v>
      </c>
      <c r="D46" s="1" t="s">
        <v>112</v>
      </c>
      <c r="E46" s="1" t="s">
        <v>3051</v>
      </c>
      <c r="F46" s="1" t="s">
        <v>3052</v>
      </c>
      <c r="G46" s="1" t="s">
        <v>3053</v>
      </c>
      <c r="H46" s="1" t="s">
        <v>3054</v>
      </c>
      <c r="I46" s="1">
        <v>24</v>
      </c>
      <c r="J46" s="1">
        <v>24</v>
      </c>
    </row>
    <row r="47" spans="1:34" x14ac:dyDescent="0.3">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7" s="1" t="s">
        <v>112</v>
      </c>
    </row>
    <row r="48" spans="1:34" x14ac:dyDescent="0.3">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 s="1" t="s">
        <v>112</v>
      </c>
    </row>
    <row r="49" spans="1:7" x14ac:dyDescent="0.3">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 s="1" t="s">
        <v>112</v>
      </c>
    </row>
    <row r="50" spans="1:7" x14ac:dyDescent="0.3">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0" s="1" t="s">
        <v>112</v>
      </c>
    </row>
    <row r="51" spans="1:7" x14ac:dyDescent="0.3">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1" s="1" t="s">
        <v>112</v>
      </c>
    </row>
    <row r="52" spans="1:7" x14ac:dyDescent="0.3">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 s="1" t="s">
        <v>202</v>
      </c>
      <c r="D52" s="1" t="s">
        <v>110</v>
      </c>
      <c r="E52" s="1" t="s">
        <v>111</v>
      </c>
      <c r="F52" s="1" t="s">
        <v>112</v>
      </c>
      <c r="G52" s="1" t="s">
        <v>113</v>
      </c>
    </row>
    <row r="53" spans="1:7" x14ac:dyDescent="0.3">
      <c r="A53" s="1" t="str">
        <f t="shared" si="0"/>
        <v>02 EE2 34</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 s="1" t="s">
        <v>3055</v>
      </c>
      <c r="D53" s="1" t="s">
        <v>3056</v>
      </c>
      <c r="E53" s="1">
        <v>63</v>
      </c>
      <c r="F53" s="1" t="s">
        <v>112</v>
      </c>
      <c r="G53" s="1">
        <v>802</v>
      </c>
    </row>
    <row r="54" spans="1:7" x14ac:dyDescent="0.3">
      <c r="A54" s="1" t="str">
        <f t="shared" si="0"/>
        <v>02 EE2 34</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4" s="1" t="s">
        <v>3057</v>
      </c>
      <c r="D54" s="1" t="s">
        <v>3058</v>
      </c>
      <c r="E54" s="1" t="s">
        <v>689</v>
      </c>
      <c r="F54" s="1" t="s">
        <v>112</v>
      </c>
      <c r="G54" s="1">
        <v>1745</v>
      </c>
    </row>
    <row r="55" spans="1:7" x14ac:dyDescent="0.3">
      <c r="A55" s="1" t="str">
        <f t="shared" si="0"/>
        <v>02 EE2 34</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5" s="1" t="s">
        <v>3059</v>
      </c>
      <c r="D55" s="1" t="s">
        <v>3015</v>
      </c>
      <c r="E55" s="1" t="s">
        <v>933</v>
      </c>
      <c r="F55" s="1" t="s">
        <v>112</v>
      </c>
      <c r="G55" s="1">
        <v>1139</v>
      </c>
    </row>
    <row r="56" spans="1:7" x14ac:dyDescent="0.3">
      <c r="A56" s="1" t="str">
        <f t="shared" si="0"/>
        <v>02 EE2 34</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 s="1" t="s">
        <v>3060</v>
      </c>
      <c r="D56" s="1" t="s">
        <v>3045</v>
      </c>
      <c r="E56" s="1" t="s">
        <v>3061</v>
      </c>
      <c r="F56" s="1" t="s">
        <v>112</v>
      </c>
      <c r="G56" s="1">
        <v>337</v>
      </c>
    </row>
    <row r="57" spans="1:7" x14ac:dyDescent="0.3">
      <c r="A57" s="1" t="str">
        <f t="shared" si="0"/>
        <v>02 EE2 34</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7" s="1" t="s">
        <v>3062</v>
      </c>
      <c r="D57" s="1" t="s">
        <v>3063</v>
      </c>
      <c r="E57" s="1" t="s">
        <v>312</v>
      </c>
      <c r="F57" s="1" t="s">
        <v>112</v>
      </c>
      <c r="G57" s="1">
        <v>167</v>
      </c>
    </row>
    <row r="58" spans="1:7" x14ac:dyDescent="0.3">
      <c r="A58" s="1" t="str">
        <f t="shared" si="0"/>
        <v>02 EE2 34</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8" s="1" t="s">
        <v>3064</v>
      </c>
      <c r="D58" s="1" t="s">
        <v>3065</v>
      </c>
      <c r="E58" s="1" t="s">
        <v>3066</v>
      </c>
      <c r="F58" s="1" t="s">
        <v>112</v>
      </c>
      <c r="G58" s="1">
        <v>393</v>
      </c>
    </row>
    <row r="59" spans="1:7" x14ac:dyDescent="0.3">
      <c r="A59" s="1" t="str">
        <f t="shared" si="0"/>
        <v>02 EE2 34</v>
      </c>
      <c r="B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9" s="1" t="s">
        <v>3067</v>
      </c>
      <c r="D59" s="1" t="s">
        <v>3068</v>
      </c>
      <c r="E59" s="1" t="s">
        <v>3069</v>
      </c>
      <c r="F59" s="1" t="s">
        <v>112</v>
      </c>
      <c r="G59" s="1">
        <v>9170</v>
      </c>
    </row>
    <row r="60" spans="1:7" x14ac:dyDescent="0.3">
      <c r="A60" s="1" t="str">
        <f t="shared" si="0"/>
        <v>02 EE2 34</v>
      </c>
      <c r="B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 s="1" t="s">
        <v>3070</v>
      </c>
      <c r="D60" s="1" t="s">
        <v>3071</v>
      </c>
      <c r="E60" s="1" t="s">
        <v>3072</v>
      </c>
      <c r="F60" s="1" t="s">
        <v>112</v>
      </c>
      <c r="G60" s="1">
        <v>1656</v>
      </c>
    </row>
    <row r="61" spans="1:7" x14ac:dyDescent="0.3">
      <c r="A61" s="1" t="str">
        <f t="shared" si="0"/>
        <v>02 EE2 34</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1" s="1" t="s">
        <v>3073</v>
      </c>
      <c r="D61" s="1" t="s">
        <v>3015</v>
      </c>
      <c r="E61" s="1">
        <v>64</v>
      </c>
      <c r="F61" s="1" t="s">
        <v>112</v>
      </c>
      <c r="G61" s="1">
        <v>1141</v>
      </c>
    </row>
    <row r="62" spans="1:7" x14ac:dyDescent="0.3">
      <c r="A62" s="1" t="str">
        <f t="shared" si="0"/>
        <v>02 EE2 34</v>
      </c>
      <c r="B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2" s="1" t="s">
        <v>3074</v>
      </c>
      <c r="D62" s="1" t="s">
        <v>3018</v>
      </c>
      <c r="E62" s="1" t="s">
        <v>3075</v>
      </c>
      <c r="F62" s="1" t="s">
        <v>112</v>
      </c>
      <c r="G62" s="1">
        <v>593</v>
      </c>
    </row>
    <row r="63" spans="1:7" x14ac:dyDescent="0.3">
      <c r="A63" s="1" t="str">
        <f t="shared" si="0"/>
        <v>02 EE2 34</v>
      </c>
      <c r="B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 s="1" t="s">
        <v>3076</v>
      </c>
      <c r="D63" s="1" t="s">
        <v>3047</v>
      </c>
      <c r="E63" s="1" t="s">
        <v>1121</v>
      </c>
      <c r="F63" s="1" t="s">
        <v>112</v>
      </c>
      <c r="G63" s="1">
        <v>627</v>
      </c>
    </row>
    <row r="64" spans="1:7" x14ac:dyDescent="0.3">
      <c r="A64" s="1" t="str">
        <f t="shared" si="0"/>
        <v>02 EE2 34</v>
      </c>
      <c r="B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 s="1" t="s">
        <v>3077</v>
      </c>
      <c r="D64" s="1" t="s">
        <v>3047</v>
      </c>
      <c r="E64" s="1" t="s">
        <v>3078</v>
      </c>
      <c r="F64" s="1" t="s">
        <v>112</v>
      </c>
      <c r="G64" s="1">
        <v>648</v>
      </c>
    </row>
    <row r="65" spans="1:10" x14ac:dyDescent="0.3">
      <c r="A65" s="1" t="str">
        <f t="shared" si="0"/>
        <v>02 EE2 34</v>
      </c>
      <c r="B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5" s="1" t="s">
        <v>3079</v>
      </c>
      <c r="D65" s="1" t="s">
        <v>3004</v>
      </c>
      <c r="E65" s="1">
        <v>64</v>
      </c>
      <c r="F65" s="1" t="s">
        <v>112</v>
      </c>
      <c r="G65" s="1">
        <v>1087</v>
      </c>
    </row>
    <row r="66" spans="1:10" x14ac:dyDescent="0.3">
      <c r="A66" s="1" t="str">
        <f t="shared" ref="A66:A129" si="1">IFERROR(LEFT(RIGHT(C66,LEN(C66)-SEARCH("@",C66)),SEARCH("/",RIGHT(C66,LEN(C66)-SEARCH("@",C66)-1))),"")</f>
        <v>02 EE2 34</v>
      </c>
      <c r="B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6" s="1" t="s">
        <v>3080</v>
      </c>
      <c r="D66" s="1" t="s">
        <v>3081</v>
      </c>
      <c r="E66" s="1">
        <v>64</v>
      </c>
      <c r="F66" s="1" t="s">
        <v>112</v>
      </c>
      <c r="G66" s="1">
        <v>978</v>
      </c>
    </row>
    <row r="67" spans="1:10" x14ac:dyDescent="0.3">
      <c r="A67" s="1" t="str">
        <f t="shared" si="1"/>
        <v>02 EE2 34</v>
      </c>
      <c r="B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 s="1" t="s">
        <v>3082</v>
      </c>
      <c r="D67" s="1" t="s">
        <v>3018</v>
      </c>
      <c r="E67" s="1" t="s">
        <v>3083</v>
      </c>
      <c r="F67" s="1" t="s">
        <v>112</v>
      </c>
      <c r="G67" s="1">
        <v>594</v>
      </c>
    </row>
    <row r="68" spans="1:10" x14ac:dyDescent="0.3">
      <c r="A68" s="1" t="str">
        <f t="shared" si="1"/>
        <v>02 EE2 34</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8" s="1" t="s">
        <v>3084</v>
      </c>
      <c r="D68" s="1" t="s">
        <v>3085</v>
      </c>
      <c r="E68" s="1" t="s">
        <v>212</v>
      </c>
      <c r="F68" s="1" t="s">
        <v>112</v>
      </c>
      <c r="G68" s="1">
        <v>1932</v>
      </c>
    </row>
    <row r="69" spans="1:10" x14ac:dyDescent="0.3">
      <c r="A69" s="1" t="str">
        <f t="shared" si="1"/>
        <v>02 EE2 34</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9" s="1" t="s">
        <v>3086</v>
      </c>
      <c r="D69" s="1" t="s">
        <v>3087</v>
      </c>
      <c r="E69" s="1" t="s">
        <v>3088</v>
      </c>
      <c r="F69" s="1" t="s">
        <v>112</v>
      </c>
      <c r="G69" s="1">
        <v>1250</v>
      </c>
    </row>
    <row r="70" spans="1:10" x14ac:dyDescent="0.3">
      <c r="A70" s="1" t="str">
        <f t="shared" si="1"/>
        <v>02 EE2 34</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70" s="1" t="s">
        <v>3089</v>
      </c>
      <c r="D70" s="1" t="s">
        <v>3090</v>
      </c>
      <c r="E70" s="1" t="s">
        <v>3091</v>
      </c>
      <c r="F70" s="1" t="s">
        <v>112</v>
      </c>
      <c r="G70" s="1">
        <v>1288</v>
      </c>
    </row>
    <row r="71" spans="1:10" x14ac:dyDescent="0.3">
      <c r="A71" s="1" t="str">
        <f t="shared" si="1"/>
        <v>02 EE2 34</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1" s="1" t="s">
        <v>3092</v>
      </c>
      <c r="D71" s="1" t="s">
        <v>3093</v>
      </c>
      <c r="E71" s="1" t="s">
        <v>3094</v>
      </c>
      <c r="F71" s="1" t="s">
        <v>112</v>
      </c>
      <c r="G71" s="1">
        <v>2464</v>
      </c>
    </row>
    <row r="72" spans="1:10" x14ac:dyDescent="0.3">
      <c r="A72" s="1" t="str">
        <f t="shared" si="1"/>
        <v>02 EE2 34</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2" s="1" t="s">
        <v>3095</v>
      </c>
      <c r="D72" s="1" t="s">
        <v>3096</v>
      </c>
      <c r="E72" s="1" t="s">
        <v>3097</v>
      </c>
      <c r="F72" s="1" t="s">
        <v>112</v>
      </c>
      <c r="G72" s="1">
        <v>9652</v>
      </c>
    </row>
    <row r="73" spans="1:10" x14ac:dyDescent="0.3">
      <c r="A73" s="1" t="str">
        <f t="shared" si="1"/>
        <v>02 EE2 34</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3" s="1" t="s">
        <v>3098</v>
      </c>
      <c r="D73" s="1" t="s">
        <v>3099</v>
      </c>
      <c r="E73" s="1" t="s">
        <v>3100</v>
      </c>
      <c r="F73" s="1" t="s">
        <v>112</v>
      </c>
      <c r="G73" s="1">
        <v>8621</v>
      </c>
    </row>
    <row r="74" spans="1:10" x14ac:dyDescent="0.3">
      <c r="A74" s="1" t="str">
        <f t="shared" si="1"/>
        <v>02 EE2 34</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4" s="1" t="s">
        <v>3101</v>
      </c>
      <c r="D74" s="1" t="s">
        <v>3102</v>
      </c>
      <c r="E74" s="1" t="s">
        <v>3103</v>
      </c>
      <c r="F74" s="1" t="s">
        <v>112</v>
      </c>
      <c r="G74" s="1">
        <v>496</v>
      </c>
    </row>
    <row r="75" spans="1:10" x14ac:dyDescent="0.3">
      <c r="A75" s="1" t="str">
        <f t="shared" si="1"/>
        <v>02 EE2 34</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5" s="1" t="s">
        <v>3104</v>
      </c>
      <c r="D75" s="1" t="s">
        <v>3090</v>
      </c>
      <c r="E75" s="1" t="s">
        <v>3105</v>
      </c>
      <c r="F75" s="1" t="s">
        <v>112</v>
      </c>
      <c r="G75" s="1">
        <v>1342</v>
      </c>
    </row>
    <row r="76" spans="1:10" x14ac:dyDescent="0.3">
      <c r="A76" s="1" t="str">
        <f t="shared" si="1"/>
        <v>02 EE2 34</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6" s="1" t="s">
        <v>3106</v>
      </c>
      <c r="D76" s="1" t="s">
        <v>3107</v>
      </c>
      <c r="E76" s="1" t="s">
        <v>3108</v>
      </c>
      <c r="F76" s="1" t="s">
        <v>112</v>
      </c>
      <c r="G76" s="1">
        <v>1355</v>
      </c>
    </row>
    <row r="77" spans="1:10" x14ac:dyDescent="0.3">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7" s="1" t="s">
        <v>112</v>
      </c>
    </row>
    <row r="78" spans="1:10" x14ac:dyDescent="0.3">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8" s="1" t="s">
        <v>195</v>
      </c>
      <c r="D78" s="1" t="s">
        <v>112</v>
      </c>
      <c r="E78" s="1" t="s">
        <v>196</v>
      </c>
      <c r="F78" s="1" t="s">
        <v>197</v>
      </c>
      <c r="G78" s="1" t="s">
        <v>198</v>
      </c>
      <c r="H78" s="1" t="s">
        <v>199</v>
      </c>
      <c r="I78" s="1" t="s">
        <v>200</v>
      </c>
      <c r="J78" s="1" t="s">
        <v>201</v>
      </c>
    </row>
    <row r="79" spans="1:10" x14ac:dyDescent="0.3">
      <c r="A79" s="1" t="str">
        <f t="shared" si="1"/>
        <v>02 EE2 34</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79" s="1" t="s">
        <v>3109</v>
      </c>
      <c r="D79" s="1" t="s">
        <v>112</v>
      </c>
      <c r="E79" s="1" t="s">
        <v>3110</v>
      </c>
      <c r="F79" s="1" t="s">
        <v>3111</v>
      </c>
      <c r="G79" s="1" t="s">
        <v>3112</v>
      </c>
      <c r="H79" s="1" t="s">
        <v>3113</v>
      </c>
      <c r="I79" s="1">
        <v>24</v>
      </c>
      <c r="J79" s="1">
        <v>24</v>
      </c>
    </row>
    <row r="80" spans="1:10" x14ac:dyDescent="0.3">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0" s="1" t="s">
        <v>112</v>
      </c>
    </row>
    <row r="81" spans="1:7" x14ac:dyDescent="0.3">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1" s="1" t="s">
        <v>112</v>
      </c>
    </row>
    <row r="82" spans="1:7" x14ac:dyDescent="0.3">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2" s="1" t="s">
        <v>112</v>
      </c>
    </row>
    <row r="83" spans="1:7" x14ac:dyDescent="0.3">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3" s="1" t="s">
        <v>112</v>
      </c>
    </row>
    <row r="84" spans="1:7" x14ac:dyDescent="0.3">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4" s="1" t="s">
        <v>112</v>
      </c>
    </row>
    <row r="85" spans="1:7" x14ac:dyDescent="0.3">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85" s="1" t="s">
        <v>202</v>
      </c>
      <c r="D85" s="1" t="s">
        <v>110</v>
      </c>
      <c r="E85" s="1" t="s">
        <v>111</v>
      </c>
      <c r="F85" s="1" t="s">
        <v>112</v>
      </c>
      <c r="G85" s="1" t="s">
        <v>113</v>
      </c>
    </row>
    <row r="86" spans="1:7" x14ac:dyDescent="0.3">
      <c r="A86" s="1" t="str">
        <f t="shared" si="1"/>
        <v>03 EE2 51</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6" s="1" t="s">
        <v>3114</v>
      </c>
      <c r="D86" s="1" t="s">
        <v>2993</v>
      </c>
      <c r="E86" s="1" t="s">
        <v>3115</v>
      </c>
      <c r="F86" s="1" t="s">
        <v>112</v>
      </c>
      <c r="G86" s="1">
        <v>763</v>
      </c>
    </row>
    <row r="87" spans="1:7" x14ac:dyDescent="0.3">
      <c r="A87" s="1" t="str">
        <f t="shared" si="1"/>
        <v>03 EE2 51</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7" s="1" t="s">
        <v>3116</v>
      </c>
      <c r="D87" s="1" t="s">
        <v>3087</v>
      </c>
      <c r="E87" s="1" t="s">
        <v>3117</v>
      </c>
      <c r="F87" s="1" t="s">
        <v>112</v>
      </c>
      <c r="G87" s="1">
        <v>1280</v>
      </c>
    </row>
    <row r="88" spans="1:7" x14ac:dyDescent="0.3">
      <c r="A88" s="1" t="str">
        <f t="shared" si="1"/>
        <v>03 EE2 51</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88" s="1" t="s">
        <v>3118</v>
      </c>
      <c r="D88" s="1" t="s">
        <v>3102</v>
      </c>
      <c r="E88" s="1" t="s">
        <v>3119</v>
      </c>
      <c r="F88" s="1" t="s">
        <v>112</v>
      </c>
      <c r="G88" s="1">
        <v>480</v>
      </c>
    </row>
    <row r="89" spans="1:7" x14ac:dyDescent="0.3">
      <c r="A89" s="1" t="str">
        <f t="shared" si="1"/>
        <v>03 EE2 51</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89" s="1" t="s">
        <v>3120</v>
      </c>
      <c r="D89" s="1" t="s">
        <v>3107</v>
      </c>
      <c r="E89" s="1" t="s">
        <v>3121</v>
      </c>
      <c r="F89" s="1" t="s">
        <v>112</v>
      </c>
      <c r="G89" s="1">
        <v>1357</v>
      </c>
    </row>
    <row r="90" spans="1:7" x14ac:dyDescent="0.3">
      <c r="A90" s="1" t="str">
        <f t="shared" si="1"/>
        <v>03 EE2 51</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90" s="1" t="s">
        <v>3122</v>
      </c>
      <c r="D90" s="1" t="s">
        <v>3015</v>
      </c>
      <c r="E90" s="1" t="s">
        <v>3123</v>
      </c>
      <c r="F90" s="1" t="s">
        <v>112</v>
      </c>
      <c r="G90" s="1">
        <v>1104</v>
      </c>
    </row>
    <row r="91" spans="1:7" x14ac:dyDescent="0.3">
      <c r="A91" s="1" t="str">
        <f t="shared" si="1"/>
        <v>03 EE2 51</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91" s="1" t="s">
        <v>3124</v>
      </c>
      <c r="D91" s="1" t="s">
        <v>3125</v>
      </c>
      <c r="E91" s="1" t="s">
        <v>3126</v>
      </c>
      <c r="F91" s="1" t="s">
        <v>112</v>
      </c>
      <c r="G91" s="1">
        <v>859</v>
      </c>
    </row>
    <row r="92" spans="1:7" x14ac:dyDescent="0.3">
      <c r="A92" s="1" t="str">
        <f t="shared" si="1"/>
        <v>03 EE2 51</v>
      </c>
      <c r="B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2" s="1" t="s">
        <v>3127</v>
      </c>
      <c r="D92" s="1" t="s">
        <v>2996</v>
      </c>
      <c r="E92" s="1" t="s">
        <v>307</v>
      </c>
      <c r="F92" s="1" t="s">
        <v>112</v>
      </c>
      <c r="G92" s="1">
        <v>531</v>
      </c>
    </row>
    <row r="93" spans="1:7" x14ac:dyDescent="0.3">
      <c r="A93" s="1" t="str">
        <f t="shared" si="1"/>
        <v>03 EE2 51</v>
      </c>
      <c r="B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3" s="1" t="s">
        <v>3128</v>
      </c>
      <c r="D93" s="1" t="s">
        <v>2998</v>
      </c>
      <c r="E93" s="1" t="s">
        <v>3129</v>
      </c>
      <c r="F93" s="1" t="s">
        <v>112</v>
      </c>
      <c r="G93" s="1">
        <v>429</v>
      </c>
    </row>
    <row r="94" spans="1:7" x14ac:dyDescent="0.3">
      <c r="A94" s="1" t="str">
        <f t="shared" si="1"/>
        <v>03 EE2 51</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4" s="1" t="s">
        <v>3130</v>
      </c>
      <c r="D94" s="1" t="s">
        <v>3018</v>
      </c>
      <c r="E94" s="1" t="s">
        <v>1521</v>
      </c>
      <c r="F94" s="1" t="s">
        <v>112</v>
      </c>
      <c r="G94" s="1">
        <v>593</v>
      </c>
    </row>
    <row r="95" spans="1:7" x14ac:dyDescent="0.3">
      <c r="A95" s="1" t="str">
        <f t="shared" si="1"/>
        <v>03 EE2 51</v>
      </c>
      <c r="B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95" s="1" t="s">
        <v>3131</v>
      </c>
      <c r="D95" s="1" t="s">
        <v>3132</v>
      </c>
      <c r="E95" s="1" t="s">
        <v>3119</v>
      </c>
      <c r="F95" s="1" t="s">
        <v>112</v>
      </c>
      <c r="G95" s="1">
        <v>5276</v>
      </c>
    </row>
    <row r="96" spans="1:7" x14ac:dyDescent="0.3">
      <c r="A96" s="1" t="str">
        <f t="shared" si="1"/>
        <v>03 EE2 51</v>
      </c>
      <c r="B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96" s="1" t="s">
        <v>3133</v>
      </c>
      <c r="D96" s="1" t="s">
        <v>3087</v>
      </c>
      <c r="E96" s="1" t="s">
        <v>3134</v>
      </c>
      <c r="F96" s="1" t="s">
        <v>112</v>
      </c>
      <c r="G96" s="1">
        <v>1225</v>
      </c>
    </row>
    <row r="97" spans="1:10" x14ac:dyDescent="0.3">
      <c r="A97" s="1" t="str">
        <f t="shared" si="1"/>
        <v>03 EE2 51</v>
      </c>
      <c r="B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97" s="1" t="s">
        <v>3135</v>
      </c>
    </row>
    <row r="98" spans="1:10" x14ac:dyDescent="0.3">
      <c r="A98" s="1" t="str">
        <f t="shared" si="1"/>
        <v>03 EE2 51</v>
      </c>
      <c r="B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98" s="1" t="s">
        <v>3136</v>
      </c>
      <c r="D98" s="1" t="s">
        <v>3068</v>
      </c>
      <c r="E98" s="1" t="s">
        <v>3137</v>
      </c>
      <c r="F98" s="1" t="s">
        <v>112</v>
      </c>
      <c r="G98" s="1">
        <v>9123</v>
      </c>
    </row>
    <row r="99" spans="1:10" x14ac:dyDescent="0.3">
      <c r="A99" s="1" t="str">
        <f t="shared" si="1"/>
        <v>03 EE2 51</v>
      </c>
      <c r="B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99" s="1" t="s">
        <v>3138</v>
      </c>
      <c r="D99" s="1" t="s">
        <v>3029</v>
      </c>
      <c r="E99" s="1" t="s">
        <v>3139</v>
      </c>
      <c r="F99" s="1" t="s">
        <v>112</v>
      </c>
      <c r="G99" s="1">
        <v>14065</v>
      </c>
    </row>
    <row r="100" spans="1:10" x14ac:dyDescent="0.3">
      <c r="A100" s="1" t="str">
        <f t="shared" si="1"/>
        <v>03 EE2 51</v>
      </c>
      <c r="B1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00" s="1" t="s">
        <v>3140</v>
      </c>
      <c r="D100" s="1" t="s">
        <v>3141</v>
      </c>
      <c r="E100" s="1" t="s">
        <v>3142</v>
      </c>
      <c r="F100" s="1" t="s">
        <v>112</v>
      </c>
      <c r="G100" s="1">
        <v>4952</v>
      </c>
    </row>
    <row r="101" spans="1:10" x14ac:dyDescent="0.3">
      <c r="A101" s="1" t="str">
        <f t="shared" si="1"/>
        <v>03 EE2 51</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01" s="1" t="s">
        <v>3143</v>
      </c>
      <c r="D101" s="1" t="s">
        <v>2993</v>
      </c>
      <c r="E101" s="1" t="s">
        <v>892</v>
      </c>
      <c r="F101" s="1" t="s">
        <v>112</v>
      </c>
      <c r="G101" s="1">
        <v>767</v>
      </c>
    </row>
    <row r="102" spans="1:10" x14ac:dyDescent="0.3">
      <c r="A102" s="1" t="str">
        <f t="shared" si="1"/>
        <v>03 EE2 51</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02" s="1" t="s">
        <v>3144</v>
      </c>
      <c r="D102" s="1" t="s">
        <v>2996</v>
      </c>
      <c r="E102" s="1" t="s">
        <v>1006</v>
      </c>
      <c r="F102" s="1" t="s">
        <v>112</v>
      </c>
      <c r="G102" s="1">
        <v>555</v>
      </c>
    </row>
    <row r="103" spans="1:10" x14ac:dyDescent="0.3">
      <c r="A103" s="1" t="str">
        <f t="shared" si="1"/>
        <v>03 EE2 51</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03" s="1" t="s">
        <v>3145</v>
      </c>
      <c r="D103" s="1" t="s">
        <v>3015</v>
      </c>
      <c r="E103" s="1" t="s">
        <v>1000</v>
      </c>
      <c r="F103" s="1" t="s">
        <v>112</v>
      </c>
      <c r="G103" s="1">
        <v>1149</v>
      </c>
    </row>
    <row r="104" spans="1:10" x14ac:dyDescent="0.3">
      <c r="A104" s="1" t="str">
        <f t="shared" si="1"/>
        <v>03 EE2 51</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04" s="1" t="s">
        <v>3146</v>
      </c>
      <c r="D104" s="1" t="s">
        <v>3071</v>
      </c>
      <c r="E104" s="1" t="s">
        <v>3147</v>
      </c>
      <c r="F104" s="1" t="s">
        <v>112</v>
      </c>
      <c r="G104" s="1">
        <v>1705</v>
      </c>
    </row>
    <row r="105" spans="1:10" x14ac:dyDescent="0.3">
      <c r="A105" s="1" t="str">
        <f t="shared" si="1"/>
        <v>03 EE2 51</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05" s="1" t="s">
        <v>3148</v>
      </c>
      <c r="D105" s="1" t="s">
        <v>3149</v>
      </c>
      <c r="E105" s="1" t="s">
        <v>3150</v>
      </c>
      <c r="F105" s="1" t="s">
        <v>112</v>
      </c>
      <c r="G105" s="1">
        <v>1023</v>
      </c>
    </row>
    <row r="106" spans="1:10" x14ac:dyDescent="0.3">
      <c r="A106" s="1" t="str">
        <f t="shared" si="1"/>
        <v>03 EE2 51</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06" s="1" t="s">
        <v>3151</v>
      </c>
      <c r="D106" s="1" t="s">
        <v>2998</v>
      </c>
      <c r="E106" s="1" t="s">
        <v>2406</v>
      </c>
      <c r="F106" s="1" t="s">
        <v>112</v>
      </c>
      <c r="G106" s="1">
        <v>439</v>
      </c>
    </row>
    <row r="107" spans="1:10" x14ac:dyDescent="0.3">
      <c r="A107" s="1" t="str">
        <f t="shared" si="1"/>
        <v>03 EE2 51</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07" s="1" t="s">
        <v>3152</v>
      </c>
      <c r="D107" s="1" t="s">
        <v>3153</v>
      </c>
      <c r="E107" s="1" t="s">
        <v>3154</v>
      </c>
      <c r="F107" s="1" t="s">
        <v>112</v>
      </c>
      <c r="G107" s="1">
        <v>14980</v>
      </c>
    </row>
    <row r="108" spans="1:10" x14ac:dyDescent="0.3">
      <c r="A108" s="1" t="str">
        <f t="shared" si="1"/>
        <v>03 EE2 51</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08" s="1" t="s">
        <v>3155</v>
      </c>
      <c r="D108" s="1" t="s">
        <v>3156</v>
      </c>
      <c r="E108" s="1" t="s">
        <v>3157</v>
      </c>
      <c r="F108" s="1" t="s">
        <v>112</v>
      </c>
      <c r="G108" s="1">
        <v>13574</v>
      </c>
    </row>
    <row r="109" spans="1:10" x14ac:dyDescent="0.3">
      <c r="A109" s="1" t="str">
        <f t="shared" si="1"/>
        <v>03 EE2 51</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09" s="1" t="s">
        <v>3158</v>
      </c>
      <c r="D109" s="1" t="s">
        <v>3159</v>
      </c>
      <c r="E109" s="1" t="s">
        <v>2607</v>
      </c>
      <c r="F109" s="1" t="s">
        <v>112</v>
      </c>
      <c r="G109" s="1">
        <v>9913</v>
      </c>
    </row>
    <row r="110" spans="1:10" x14ac:dyDescent="0.3">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0" s="1" t="s">
        <v>112</v>
      </c>
    </row>
    <row r="111" spans="1:10" x14ac:dyDescent="0.3">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1" s="1" t="s">
        <v>195</v>
      </c>
      <c r="D111" s="1" t="s">
        <v>112</v>
      </c>
      <c r="E111" s="1" t="s">
        <v>196</v>
      </c>
      <c r="F111" s="1" t="s">
        <v>197</v>
      </c>
      <c r="G111" s="1" t="s">
        <v>198</v>
      </c>
      <c r="H111" s="1" t="s">
        <v>199</v>
      </c>
      <c r="I111" s="1" t="s">
        <v>200</v>
      </c>
      <c r="J111" s="1" t="s">
        <v>201</v>
      </c>
    </row>
    <row r="112" spans="1:10" x14ac:dyDescent="0.3">
      <c r="A112" s="1" t="str">
        <f t="shared" si="1"/>
        <v>03 EE2 51</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12" s="1" t="s">
        <v>3160</v>
      </c>
      <c r="D112" s="1" t="s">
        <v>112</v>
      </c>
      <c r="E112" s="1" t="s">
        <v>3161</v>
      </c>
      <c r="F112" s="1" t="s">
        <v>3162</v>
      </c>
      <c r="G112" s="1" t="s">
        <v>3163</v>
      </c>
      <c r="H112" s="1" t="s">
        <v>3164</v>
      </c>
      <c r="I112" s="1">
        <v>24</v>
      </c>
      <c r="J112" s="1">
        <v>24</v>
      </c>
    </row>
    <row r="113" spans="1:7" x14ac:dyDescent="0.3">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3" s="1" t="s">
        <v>112</v>
      </c>
    </row>
    <row r="114" spans="1:7" x14ac:dyDescent="0.3">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4" s="1" t="s">
        <v>112</v>
      </c>
    </row>
    <row r="115" spans="1:7" x14ac:dyDescent="0.3">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5" s="1" t="s">
        <v>112</v>
      </c>
    </row>
    <row r="116" spans="1:7" x14ac:dyDescent="0.3">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6" s="1" t="s">
        <v>112</v>
      </c>
    </row>
    <row r="117" spans="1:7" x14ac:dyDescent="0.3">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7" s="1" t="s">
        <v>112</v>
      </c>
    </row>
    <row r="118" spans="1:7" x14ac:dyDescent="0.3">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18" s="1" t="s">
        <v>202</v>
      </c>
      <c r="D118" s="1" t="s">
        <v>110</v>
      </c>
      <c r="E118" s="1" t="s">
        <v>111</v>
      </c>
      <c r="F118" s="1" t="s">
        <v>112</v>
      </c>
      <c r="G118" s="1" t="s">
        <v>113</v>
      </c>
    </row>
    <row r="119" spans="1:7" x14ac:dyDescent="0.3">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19" s="1" t="s">
        <v>3165</v>
      </c>
      <c r="D119" s="1" t="s">
        <v>3166</v>
      </c>
      <c r="E119" s="1" t="s">
        <v>3167</v>
      </c>
      <c r="F119" s="1" t="s">
        <v>112</v>
      </c>
      <c r="G119" s="1">
        <v>2467</v>
      </c>
    </row>
    <row r="120" spans="1:7" x14ac:dyDescent="0.3">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20" s="1" t="s">
        <v>3168</v>
      </c>
      <c r="D120" s="1" t="s">
        <v>3169</v>
      </c>
      <c r="E120" s="1" t="s">
        <v>3170</v>
      </c>
      <c r="F120" s="1" t="s">
        <v>112</v>
      </c>
      <c r="G120" s="1">
        <v>8579</v>
      </c>
    </row>
    <row r="121" spans="1:7" x14ac:dyDescent="0.3">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21" s="1" t="s">
        <v>3171</v>
      </c>
      <c r="D121" s="1" t="s">
        <v>3087</v>
      </c>
      <c r="E121" s="1" t="s">
        <v>3172</v>
      </c>
      <c r="F121" s="1" t="s">
        <v>112</v>
      </c>
      <c r="G121" s="1">
        <v>1215</v>
      </c>
    </row>
    <row r="122" spans="1:7" x14ac:dyDescent="0.3">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22" s="1" t="s">
        <v>3173</v>
      </c>
      <c r="D122" s="1" t="s">
        <v>3174</v>
      </c>
      <c r="E122" s="1" t="s">
        <v>3175</v>
      </c>
      <c r="F122" s="1" t="s">
        <v>112</v>
      </c>
      <c r="G122" s="1">
        <v>39726</v>
      </c>
    </row>
    <row r="123" spans="1:7" x14ac:dyDescent="0.3">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23" s="1" t="s">
        <v>3176</v>
      </c>
      <c r="D123" s="1" t="s">
        <v>3177</v>
      </c>
      <c r="E123" s="1" t="s">
        <v>3178</v>
      </c>
      <c r="F123" s="1" t="s">
        <v>112</v>
      </c>
      <c r="G123" s="1">
        <v>27876</v>
      </c>
    </row>
    <row r="124" spans="1:7" x14ac:dyDescent="0.3">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24" s="1" t="s">
        <v>3179</v>
      </c>
      <c r="D124" s="1" t="s">
        <v>3180</v>
      </c>
      <c r="E124" s="1" t="s">
        <v>3181</v>
      </c>
      <c r="F124" s="1" t="s">
        <v>112</v>
      </c>
      <c r="G124" s="1">
        <v>30920</v>
      </c>
    </row>
    <row r="125" spans="1:7" x14ac:dyDescent="0.3">
      <c r="A125" s="1" t="str">
        <f t="shared" si="1"/>
        <v>04 EE2 76</v>
      </c>
      <c r="B1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25" s="1" t="s">
        <v>3182</v>
      </c>
      <c r="D125" s="1" t="s">
        <v>3058</v>
      </c>
      <c r="E125" s="1" t="s">
        <v>286</v>
      </c>
      <c r="F125" s="1" t="s">
        <v>112</v>
      </c>
      <c r="G125" s="1">
        <v>1705</v>
      </c>
    </row>
    <row r="126" spans="1:7" x14ac:dyDescent="0.3">
      <c r="A126" s="1" t="str">
        <f t="shared" si="1"/>
        <v>04 EE2 76</v>
      </c>
      <c r="B1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26" s="1" t="s">
        <v>3183</v>
      </c>
    </row>
    <row r="127" spans="1:7" x14ac:dyDescent="0.3">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27" s="1" t="s">
        <v>3184</v>
      </c>
      <c r="D127" s="1" t="s">
        <v>3185</v>
      </c>
      <c r="E127" s="1" t="s">
        <v>319</v>
      </c>
      <c r="F127" s="1" t="s">
        <v>112</v>
      </c>
      <c r="G127" s="1">
        <v>2048</v>
      </c>
    </row>
    <row r="128" spans="1:7" x14ac:dyDescent="0.3">
      <c r="A128" s="1" t="str">
        <f t="shared" si="1"/>
        <v>04 EE2 76</v>
      </c>
      <c r="B1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8" s="1" t="s">
        <v>3186</v>
      </c>
      <c r="D128" s="1" t="s">
        <v>3166</v>
      </c>
      <c r="E128" s="1" t="s">
        <v>3187</v>
      </c>
      <c r="F128" s="1" t="s">
        <v>112</v>
      </c>
      <c r="G128" s="1">
        <v>2395</v>
      </c>
    </row>
    <row r="129" spans="1:10" x14ac:dyDescent="0.3">
      <c r="A129" s="1" t="str">
        <f t="shared" si="1"/>
        <v>04 EE2 76</v>
      </c>
      <c r="B1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9" s="1" t="s">
        <v>3188</v>
      </c>
      <c r="D129" s="1" t="s">
        <v>3056</v>
      </c>
      <c r="E129" s="1" t="s">
        <v>324</v>
      </c>
      <c r="F129" s="1" t="s">
        <v>112</v>
      </c>
      <c r="G129" s="1">
        <v>805</v>
      </c>
    </row>
    <row r="130" spans="1:10" x14ac:dyDescent="0.3">
      <c r="A130" s="1" t="str">
        <f t="shared" ref="A130:A193" si="2">IFERROR(LEFT(RIGHT(C130,LEN(C130)-SEARCH("@",C130)),SEARCH("/",RIGHT(C130,LEN(C130)-SEARCH("@",C130)-1))),"")</f>
        <v>04 EE2 76</v>
      </c>
      <c r="B1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0" s="1" t="s">
        <v>3189</v>
      </c>
      <c r="D130" s="1" t="s">
        <v>3190</v>
      </c>
      <c r="E130" s="1" t="s">
        <v>3191</v>
      </c>
      <c r="F130" s="1" t="s">
        <v>112</v>
      </c>
      <c r="G130" s="1">
        <v>2208</v>
      </c>
    </row>
    <row r="131" spans="1:10" x14ac:dyDescent="0.3">
      <c r="A131" s="1" t="str">
        <f t="shared" si="2"/>
        <v>04 EE2 76</v>
      </c>
      <c r="B1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31" s="1" t="s">
        <v>3192</v>
      </c>
      <c r="D131" s="1" t="s">
        <v>3193</v>
      </c>
      <c r="E131" s="1" t="s">
        <v>3194</v>
      </c>
      <c r="F131" s="1" t="s">
        <v>112</v>
      </c>
      <c r="G131" s="1">
        <v>4059</v>
      </c>
    </row>
    <row r="132" spans="1:10" x14ac:dyDescent="0.3">
      <c r="A132" s="1" t="str">
        <f t="shared" si="2"/>
        <v>04 EE2 76</v>
      </c>
      <c r="B1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32" s="1" t="s">
        <v>3195</v>
      </c>
      <c r="D132" s="1" t="s">
        <v>3196</v>
      </c>
      <c r="E132" s="1" t="s">
        <v>3197</v>
      </c>
      <c r="F132" s="1" t="s">
        <v>112</v>
      </c>
      <c r="G132" s="1">
        <v>5890</v>
      </c>
    </row>
    <row r="133" spans="1:10" x14ac:dyDescent="0.3">
      <c r="A133" s="1" t="str">
        <f t="shared" si="2"/>
        <v>04 EE2 76</v>
      </c>
      <c r="B1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33" s="1" t="s">
        <v>3198</v>
      </c>
      <c r="D133" s="1" t="s">
        <v>3199</v>
      </c>
      <c r="E133" s="1" t="s">
        <v>3200</v>
      </c>
      <c r="F133" s="1" t="s">
        <v>112</v>
      </c>
      <c r="G133" s="1">
        <v>5685</v>
      </c>
    </row>
    <row r="134" spans="1:10" x14ac:dyDescent="0.3">
      <c r="A134" s="1" t="str">
        <f t="shared" si="2"/>
        <v>04 EE2 76</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34" s="1" t="s">
        <v>3201</v>
      </c>
      <c r="D134" s="1" t="s">
        <v>3202</v>
      </c>
      <c r="E134" s="1" t="s">
        <v>3203</v>
      </c>
      <c r="F134" s="1" t="s">
        <v>112</v>
      </c>
      <c r="G134" s="1">
        <v>1990</v>
      </c>
    </row>
    <row r="135" spans="1:10" x14ac:dyDescent="0.3">
      <c r="A135" s="1" t="str">
        <f t="shared" si="2"/>
        <v>04 EE2 76</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35" s="1" t="s">
        <v>3204</v>
      </c>
      <c r="D135" s="1" t="s">
        <v>3015</v>
      </c>
      <c r="E135" s="1" t="s">
        <v>997</v>
      </c>
      <c r="F135" s="1" t="s">
        <v>112</v>
      </c>
      <c r="G135" s="1">
        <v>1124</v>
      </c>
    </row>
    <row r="136" spans="1:10" x14ac:dyDescent="0.3">
      <c r="A136" s="1" t="str">
        <f t="shared" si="2"/>
        <v>04 EE2 76</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36" s="1" t="s">
        <v>3205</v>
      </c>
      <c r="D136" s="1" t="s">
        <v>3149</v>
      </c>
      <c r="E136" s="1" t="s">
        <v>3206</v>
      </c>
      <c r="F136" s="1" t="s">
        <v>112</v>
      </c>
      <c r="G136" s="1">
        <v>1019</v>
      </c>
    </row>
    <row r="137" spans="1:10" x14ac:dyDescent="0.3">
      <c r="A137" s="1" t="str">
        <f t="shared" si="2"/>
        <v>04 EE2 76</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37" s="1" t="s">
        <v>3207</v>
      </c>
      <c r="D137" s="1" t="s">
        <v>3208</v>
      </c>
      <c r="E137" s="1" t="s">
        <v>3209</v>
      </c>
      <c r="F137" s="1" t="s">
        <v>112</v>
      </c>
      <c r="G137" s="1">
        <v>6911</v>
      </c>
    </row>
    <row r="138" spans="1:10" x14ac:dyDescent="0.3">
      <c r="A138" s="1" t="str">
        <f t="shared" si="2"/>
        <v>04 EE2 76</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38" s="1" t="s">
        <v>3210</v>
      </c>
      <c r="D138" s="1" t="s">
        <v>3211</v>
      </c>
      <c r="E138" s="1" t="s">
        <v>3212</v>
      </c>
      <c r="F138" s="1" t="s">
        <v>112</v>
      </c>
      <c r="G138" s="1">
        <v>6443</v>
      </c>
    </row>
    <row r="139" spans="1:10" x14ac:dyDescent="0.3">
      <c r="A139" s="1" t="str">
        <f t="shared" si="2"/>
        <v>04 EE2 76</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39" s="1" t="s">
        <v>3213</v>
      </c>
      <c r="D139" s="1" t="s">
        <v>3214</v>
      </c>
      <c r="E139" s="1" t="s">
        <v>3215</v>
      </c>
      <c r="F139" s="1" t="s">
        <v>112</v>
      </c>
      <c r="G139" s="1">
        <v>4318</v>
      </c>
    </row>
    <row r="140" spans="1:10" x14ac:dyDescent="0.3">
      <c r="A140" s="1" t="str">
        <f t="shared" si="2"/>
        <v>04 EE2 76</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40" s="1" t="s">
        <v>3216</v>
      </c>
      <c r="D140" s="1" t="s">
        <v>3217</v>
      </c>
      <c r="E140" s="1" t="s">
        <v>3218</v>
      </c>
      <c r="F140" s="1" t="s">
        <v>112</v>
      </c>
      <c r="G140" s="1">
        <v>5268</v>
      </c>
    </row>
    <row r="141" spans="1:10" x14ac:dyDescent="0.3">
      <c r="A141" s="1" t="str">
        <f t="shared" si="2"/>
        <v>04 EE2 76</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41" s="1" t="s">
        <v>3219</v>
      </c>
      <c r="D141" s="1" t="s">
        <v>3220</v>
      </c>
      <c r="E141" s="1" t="s">
        <v>3221</v>
      </c>
      <c r="F141" s="1" t="s">
        <v>112</v>
      </c>
      <c r="G141" s="1">
        <v>7016</v>
      </c>
    </row>
    <row r="142" spans="1:10" x14ac:dyDescent="0.3">
      <c r="A142" s="1" t="str">
        <f t="shared" si="2"/>
        <v>04 EE2 76</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42" s="1" t="s">
        <v>3222</v>
      </c>
      <c r="D142" s="1" t="s">
        <v>3223</v>
      </c>
      <c r="E142" s="1" t="s">
        <v>3224</v>
      </c>
      <c r="F142" s="1" t="s">
        <v>112</v>
      </c>
      <c r="G142" s="1">
        <v>8987</v>
      </c>
    </row>
    <row r="143" spans="1:10" x14ac:dyDescent="0.3">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43" s="1" t="s">
        <v>112</v>
      </c>
    </row>
    <row r="144" spans="1:10" x14ac:dyDescent="0.3">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44" s="1" t="s">
        <v>195</v>
      </c>
      <c r="D144" s="1" t="s">
        <v>112</v>
      </c>
      <c r="E144" s="1" t="s">
        <v>196</v>
      </c>
      <c r="F144" s="1" t="s">
        <v>197</v>
      </c>
      <c r="G144" s="1" t="s">
        <v>198</v>
      </c>
      <c r="H144" s="1" t="s">
        <v>199</v>
      </c>
      <c r="I144" s="1" t="s">
        <v>200</v>
      </c>
      <c r="J144" s="1" t="s">
        <v>201</v>
      </c>
    </row>
    <row r="145" spans="1:10" x14ac:dyDescent="0.3">
      <c r="A145" s="1" t="str">
        <f t="shared" si="2"/>
        <v>04 EE2 76</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45" s="1" t="s">
        <v>3225</v>
      </c>
      <c r="D145" s="1" t="s">
        <v>112</v>
      </c>
      <c r="E145" s="1" t="s">
        <v>3226</v>
      </c>
      <c r="F145" s="1" t="s">
        <v>3227</v>
      </c>
      <c r="G145" s="1" t="s">
        <v>3228</v>
      </c>
      <c r="H145" s="1" t="s">
        <v>3229</v>
      </c>
      <c r="I145" s="1">
        <v>24</v>
      </c>
      <c r="J145" s="1">
        <v>24</v>
      </c>
    </row>
    <row r="146" spans="1:10" x14ac:dyDescent="0.3">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46" s="1" t="s">
        <v>112</v>
      </c>
    </row>
    <row r="147" spans="1:10" x14ac:dyDescent="0.3">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47" s="1" t="s">
        <v>112</v>
      </c>
    </row>
    <row r="148" spans="1:10" x14ac:dyDescent="0.3">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48" s="1" t="s">
        <v>112</v>
      </c>
    </row>
    <row r="149" spans="1:10" x14ac:dyDescent="0.3">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49" s="1" t="s">
        <v>112</v>
      </c>
    </row>
    <row r="150" spans="1:10" x14ac:dyDescent="0.3">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0" s="1" t="s">
        <v>112</v>
      </c>
    </row>
    <row r="151" spans="1:10" x14ac:dyDescent="0.3">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1" s="1" t="s">
        <v>202</v>
      </c>
      <c r="D151" s="1" t="s">
        <v>110</v>
      </c>
      <c r="E151" s="1" t="s">
        <v>111</v>
      </c>
      <c r="F151" s="1" t="s">
        <v>112</v>
      </c>
      <c r="G151" s="1" t="s">
        <v>113</v>
      </c>
    </row>
    <row r="152" spans="1:10" x14ac:dyDescent="0.3">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52" s="1" t="s">
        <v>3230</v>
      </c>
      <c r="D152" s="1" t="s">
        <v>3231</v>
      </c>
      <c r="E152" s="1" t="s">
        <v>3232</v>
      </c>
      <c r="F152" s="1" t="s">
        <v>112</v>
      </c>
      <c r="G152" s="1">
        <v>37844</v>
      </c>
    </row>
    <row r="153" spans="1:10" x14ac:dyDescent="0.3">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53" s="1" t="s">
        <v>3233</v>
      </c>
      <c r="D153" s="1" t="s">
        <v>3234</v>
      </c>
      <c r="E153" s="1" t="s">
        <v>3235</v>
      </c>
      <c r="F153" s="1" t="s">
        <v>112</v>
      </c>
      <c r="G153" s="1">
        <v>19867</v>
      </c>
    </row>
    <row r="154" spans="1:10" x14ac:dyDescent="0.3">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54" s="1" t="s">
        <v>3236</v>
      </c>
      <c r="D154" s="1" t="s">
        <v>3237</v>
      </c>
      <c r="E154" s="1" t="s">
        <v>3238</v>
      </c>
      <c r="F154" s="1" t="s">
        <v>112</v>
      </c>
      <c r="G154" s="1">
        <v>12089</v>
      </c>
    </row>
    <row r="155" spans="1:10" x14ac:dyDescent="0.3">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55" s="1" t="s">
        <v>3239</v>
      </c>
      <c r="D155" s="1" t="s">
        <v>3240</v>
      </c>
      <c r="E155" s="1" t="s">
        <v>3241</v>
      </c>
      <c r="F155" s="1" t="s">
        <v>112</v>
      </c>
      <c r="G155" s="1">
        <v>32991</v>
      </c>
    </row>
    <row r="156" spans="1:10" x14ac:dyDescent="0.3">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56" s="1" t="s">
        <v>3242</v>
      </c>
      <c r="D156" s="1" t="s">
        <v>3243</v>
      </c>
      <c r="E156" s="1" t="s">
        <v>3244</v>
      </c>
      <c r="F156" s="1" t="s">
        <v>112</v>
      </c>
      <c r="G156" s="1">
        <v>14125</v>
      </c>
    </row>
    <row r="157" spans="1:10" x14ac:dyDescent="0.3">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57" s="1" t="s">
        <v>3245</v>
      </c>
      <c r="D157" s="1" t="s">
        <v>3246</v>
      </c>
      <c r="E157" s="1" t="s">
        <v>3247</v>
      </c>
      <c r="F157" s="1" t="s">
        <v>112</v>
      </c>
      <c r="G157" s="1">
        <v>16299</v>
      </c>
    </row>
    <row r="158" spans="1:10" x14ac:dyDescent="0.3">
      <c r="A158" s="1" t="str">
        <f t="shared" si="2"/>
        <v>05 EE2 114</v>
      </c>
      <c r="B1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58" s="1" t="s">
        <v>3248</v>
      </c>
      <c r="D158" s="1" t="s">
        <v>3177</v>
      </c>
      <c r="E158" s="1" t="s">
        <v>3249</v>
      </c>
      <c r="F158" s="1" t="s">
        <v>112</v>
      </c>
      <c r="G158" s="1">
        <v>27471</v>
      </c>
    </row>
    <row r="159" spans="1:10" x14ac:dyDescent="0.3">
      <c r="A159" s="1" t="str">
        <f t="shared" si="2"/>
        <v>05 EE2 114</v>
      </c>
      <c r="B1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59" s="1" t="s">
        <v>3250</v>
      </c>
      <c r="D159" s="1" t="s">
        <v>3251</v>
      </c>
      <c r="E159" s="1" t="s">
        <v>3115</v>
      </c>
      <c r="F159" s="1" t="s">
        <v>112</v>
      </c>
      <c r="G159" s="1">
        <v>21369</v>
      </c>
    </row>
    <row r="160" spans="1:10" x14ac:dyDescent="0.3">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60" s="1" t="s">
        <v>3252</v>
      </c>
      <c r="D160" s="1" t="s">
        <v>3253</v>
      </c>
      <c r="E160" s="1" t="s">
        <v>3254</v>
      </c>
      <c r="F160" s="1" t="s">
        <v>112</v>
      </c>
      <c r="G160" s="1">
        <v>25181</v>
      </c>
    </row>
    <row r="161" spans="1:7" x14ac:dyDescent="0.3">
      <c r="A161" s="1" t="str">
        <f t="shared" si="2"/>
        <v>05 EE2 114</v>
      </c>
      <c r="B1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61" s="1" t="s">
        <v>3255</v>
      </c>
      <c r="D161" s="1" t="s">
        <v>3256</v>
      </c>
      <c r="E161" s="1" t="s">
        <v>3257</v>
      </c>
      <c r="F161" s="1" t="s">
        <v>112</v>
      </c>
      <c r="G161" s="1">
        <v>68273</v>
      </c>
    </row>
    <row r="162" spans="1:7" x14ac:dyDescent="0.3">
      <c r="A162" s="1" t="str">
        <f t="shared" si="2"/>
        <v>05 EE2 114</v>
      </c>
      <c r="B1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62" s="1" t="s">
        <v>3258</v>
      </c>
      <c r="D162" s="1" t="s">
        <v>3259</v>
      </c>
      <c r="E162" s="1" t="s">
        <v>3260</v>
      </c>
      <c r="F162" s="1" t="s">
        <v>112</v>
      </c>
      <c r="G162" s="1">
        <v>73251</v>
      </c>
    </row>
    <row r="163" spans="1:7" x14ac:dyDescent="0.3">
      <c r="A163" s="1" t="str">
        <f t="shared" si="2"/>
        <v>05 EE2 114</v>
      </c>
      <c r="B1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63" s="1" t="s">
        <v>3261</v>
      </c>
      <c r="D163" s="1" t="s">
        <v>3262</v>
      </c>
      <c r="E163" s="1" t="s">
        <v>3263</v>
      </c>
      <c r="F163" s="1" t="s">
        <v>112</v>
      </c>
      <c r="G163" s="1">
        <v>71312</v>
      </c>
    </row>
    <row r="164" spans="1:7" x14ac:dyDescent="0.3">
      <c r="A164" s="1" t="str">
        <f t="shared" si="2"/>
        <v>05 EE2 114</v>
      </c>
      <c r="B1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4" s="1" t="s">
        <v>3264</v>
      </c>
      <c r="D164" s="1" t="s">
        <v>3265</v>
      </c>
      <c r="E164" s="1" t="s">
        <v>3266</v>
      </c>
      <c r="F164" s="1" t="s">
        <v>112</v>
      </c>
      <c r="G164" s="1">
        <v>28851</v>
      </c>
    </row>
    <row r="165" spans="1:7" x14ac:dyDescent="0.3">
      <c r="A165" s="1" t="str">
        <f t="shared" si="2"/>
        <v>05 EE2 114</v>
      </c>
      <c r="B1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5" s="1" t="s">
        <v>3267</v>
      </c>
      <c r="D165" s="1" t="s">
        <v>3268</v>
      </c>
      <c r="E165" s="1" t="s">
        <v>3269</v>
      </c>
      <c r="F165" s="1" t="s">
        <v>112</v>
      </c>
      <c r="G165" s="1">
        <v>35047</v>
      </c>
    </row>
    <row r="166" spans="1:7" x14ac:dyDescent="0.3">
      <c r="A166" s="1" t="str">
        <f t="shared" si="2"/>
        <v>05 EE2 114</v>
      </c>
      <c r="B1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6" s="1" t="s">
        <v>3270</v>
      </c>
      <c r="D166" s="1" t="s">
        <v>3271</v>
      </c>
      <c r="E166" s="1" t="s">
        <v>3272</v>
      </c>
      <c r="F166" s="1" t="s">
        <v>112</v>
      </c>
      <c r="G166" s="1">
        <v>29897</v>
      </c>
    </row>
    <row r="167" spans="1:7" x14ac:dyDescent="0.3">
      <c r="A167" s="1" t="str">
        <f t="shared" si="2"/>
        <v>05 EE2 114</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67" s="1" t="s">
        <v>3273</v>
      </c>
      <c r="D167" s="1" t="s">
        <v>3274</v>
      </c>
      <c r="E167" s="1" t="s">
        <v>3275</v>
      </c>
      <c r="F167" s="1" t="s">
        <v>112</v>
      </c>
      <c r="G167" s="1">
        <v>53863</v>
      </c>
    </row>
    <row r="168" spans="1:7" x14ac:dyDescent="0.3">
      <c r="A168" s="1" t="str">
        <f t="shared" si="2"/>
        <v>05 EE2 114</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68" s="1" t="s">
        <v>3276</v>
      </c>
      <c r="D168" s="1" t="s">
        <v>3277</v>
      </c>
      <c r="E168" s="1" t="s">
        <v>3278</v>
      </c>
      <c r="F168" s="1" t="s">
        <v>112</v>
      </c>
      <c r="G168" s="1">
        <v>52423</v>
      </c>
    </row>
    <row r="169" spans="1:7" x14ac:dyDescent="0.3">
      <c r="A169" s="1" t="str">
        <f t="shared" si="2"/>
        <v>05 EE2 114</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69" s="1" t="s">
        <v>3279</v>
      </c>
      <c r="D169" s="1" t="s">
        <v>3280</v>
      </c>
      <c r="E169" s="1" t="s">
        <v>3281</v>
      </c>
      <c r="F169" s="1" t="s">
        <v>112</v>
      </c>
      <c r="G169" s="1">
        <v>51850</v>
      </c>
    </row>
    <row r="170" spans="1:7" x14ac:dyDescent="0.3">
      <c r="A170" s="1" t="str">
        <f t="shared" si="2"/>
        <v>05 EE2 114</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70" s="1" t="s">
        <v>3282</v>
      </c>
      <c r="D170" s="1" t="s">
        <v>3283</v>
      </c>
      <c r="E170" s="1" t="s">
        <v>3284</v>
      </c>
      <c r="F170" s="1" t="s">
        <v>112</v>
      </c>
      <c r="G170" s="1">
        <v>64533</v>
      </c>
    </row>
    <row r="171" spans="1:7" x14ac:dyDescent="0.3">
      <c r="A171" s="1" t="str">
        <f t="shared" si="2"/>
        <v>05 EE2 114</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71" s="1" t="s">
        <v>3285</v>
      </c>
      <c r="D171" s="1" t="s">
        <v>3286</v>
      </c>
      <c r="E171" s="1" t="s">
        <v>3287</v>
      </c>
      <c r="F171" s="1" t="s">
        <v>112</v>
      </c>
      <c r="G171" s="1">
        <v>57266</v>
      </c>
    </row>
    <row r="172" spans="1:7" x14ac:dyDescent="0.3">
      <c r="A172" s="1" t="str">
        <f t="shared" si="2"/>
        <v>05 EE2 114</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72" s="1" t="s">
        <v>3288</v>
      </c>
      <c r="D172" s="1" t="s">
        <v>3289</v>
      </c>
      <c r="E172" s="1" t="s">
        <v>3290</v>
      </c>
      <c r="F172" s="1" t="s">
        <v>112</v>
      </c>
      <c r="G172" s="1">
        <v>67160</v>
      </c>
    </row>
    <row r="173" spans="1:7" x14ac:dyDescent="0.3">
      <c r="A173" s="1" t="str">
        <f t="shared" si="2"/>
        <v>05 EE2 114</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73" s="1" t="s">
        <v>3291</v>
      </c>
      <c r="D173" s="1" t="s">
        <v>3292</v>
      </c>
      <c r="E173" s="1" t="s">
        <v>3293</v>
      </c>
      <c r="F173" s="1" t="s">
        <v>112</v>
      </c>
      <c r="G173" s="1">
        <v>58971</v>
      </c>
    </row>
    <row r="174" spans="1:7" x14ac:dyDescent="0.3">
      <c r="A174" s="1" t="str">
        <f t="shared" si="2"/>
        <v>05 EE2 114</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74" s="1" t="s">
        <v>3294</v>
      </c>
      <c r="D174" s="1" t="s">
        <v>3295</v>
      </c>
      <c r="E174" s="1" t="s">
        <v>3296</v>
      </c>
      <c r="F174" s="1" t="s">
        <v>112</v>
      </c>
      <c r="G174" s="1">
        <v>67363</v>
      </c>
    </row>
    <row r="175" spans="1:7" x14ac:dyDescent="0.3">
      <c r="A175" s="1" t="str">
        <f t="shared" si="2"/>
        <v>05 EE2 114</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75" s="1" t="s">
        <v>3297</v>
      </c>
      <c r="D175" s="1" t="s">
        <v>3298</v>
      </c>
      <c r="E175" s="1" t="s">
        <v>3299</v>
      </c>
      <c r="F175" s="1" t="s">
        <v>112</v>
      </c>
      <c r="G175" s="1">
        <v>68310</v>
      </c>
    </row>
    <row r="176" spans="1:7" x14ac:dyDescent="0.3">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76" s="1" t="s">
        <v>112</v>
      </c>
    </row>
    <row r="177" spans="1:10" x14ac:dyDescent="0.3">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77" s="1" t="s">
        <v>195</v>
      </c>
      <c r="D177" s="1" t="s">
        <v>112</v>
      </c>
      <c r="E177" s="1" t="s">
        <v>196</v>
      </c>
      <c r="F177" s="1" t="s">
        <v>197</v>
      </c>
      <c r="G177" s="1" t="s">
        <v>198</v>
      </c>
      <c r="H177" s="1" t="s">
        <v>199</v>
      </c>
      <c r="I177" s="1" t="s">
        <v>200</v>
      </c>
      <c r="J177" s="1" t="s">
        <v>201</v>
      </c>
    </row>
    <row r="178" spans="1:10" x14ac:dyDescent="0.3">
      <c r="A178" s="1" t="str">
        <f t="shared" si="2"/>
        <v>05 EE2 114</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78" s="1" t="s">
        <v>3300</v>
      </c>
      <c r="D178" s="1" t="s">
        <v>112</v>
      </c>
      <c r="E178" s="1" t="s">
        <v>3301</v>
      </c>
      <c r="F178" s="1" t="s">
        <v>3302</v>
      </c>
      <c r="G178" s="1" t="s">
        <v>3303</v>
      </c>
      <c r="H178" s="1" t="s">
        <v>3304</v>
      </c>
      <c r="I178" s="1">
        <v>24</v>
      </c>
      <c r="J178" s="1">
        <v>24</v>
      </c>
    </row>
    <row r="179" spans="1:10" x14ac:dyDescent="0.3">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79" s="1" t="s">
        <v>112</v>
      </c>
    </row>
    <row r="180" spans="1:10" x14ac:dyDescent="0.3">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80" s="1" t="s">
        <v>112</v>
      </c>
    </row>
    <row r="181" spans="1:10" x14ac:dyDescent="0.3">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81" s="1" t="s">
        <v>112</v>
      </c>
    </row>
    <row r="182" spans="1:10" x14ac:dyDescent="0.3">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82" s="1" t="s">
        <v>112</v>
      </c>
    </row>
    <row r="183" spans="1:10" x14ac:dyDescent="0.3">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83" s="1" t="s">
        <v>112</v>
      </c>
    </row>
    <row r="184" spans="1:10" x14ac:dyDescent="0.3">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84" s="1" t="s">
        <v>202</v>
      </c>
      <c r="D184" s="1" t="s">
        <v>110</v>
      </c>
      <c r="E184" s="1" t="s">
        <v>111</v>
      </c>
      <c r="F184" s="1" t="s">
        <v>112</v>
      </c>
      <c r="G184" s="1" t="s">
        <v>113</v>
      </c>
    </row>
    <row r="185" spans="1:10" x14ac:dyDescent="0.3">
      <c r="A185" s="1" t="str">
        <f t="shared" si="2"/>
        <v>06 EE2 171</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85" s="1" t="s">
        <v>3305</v>
      </c>
      <c r="D185" s="1" t="s">
        <v>3306</v>
      </c>
      <c r="E185" s="1" t="s">
        <v>3307</v>
      </c>
      <c r="F185" s="1" t="s">
        <v>112</v>
      </c>
      <c r="G185" s="1">
        <v>76341</v>
      </c>
    </row>
    <row r="186" spans="1:10" x14ac:dyDescent="0.3">
      <c r="A186" s="1" t="str">
        <f t="shared" si="2"/>
        <v>06 EE2 171</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86" s="1" t="s">
        <v>3308</v>
      </c>
      <c r="D186" s="1" t="s">
        <v>3309</v>
      </c>
      <c r="E186" s="1" t="s">
        <v>3310</v>
      </c>
      <c r="F186" s="1" t="s">
        <v>112</v>
      </c>
      <c r="G186" s="1">
        <v>73400</v>
      </c>
    </row>
    <row r="187" spans="1:10" x14ac:dyDescent="0.3">
      <c r="A187" s="1" t="str">
        <f t="shared" si="2"/>
        <v>06 EE2 171</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87" s="1" t="s">
        <v>3311</v>
      </c>
      <c r="D187" s="1" t="s">
        <v>3312</v>
      </c>
      <c r="E187" s="1" t="s">
        <v>3313</v>
      </c>
      <c r="F187" s="1" t="s">
        <v>112</v>
      </c>
      <c r="G187" s="1">
        <v>81220</v>
      </c>
    </row>
    <row r="188" spans="1:10" x14ac:dyDescent="0.3">
      <c r="A188" s="1" t="str">
        <f t="shared" si="2"/>
        <v>06 EE2 171</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88" s="1" t="s">
        <v>3314</v>
      </c>
      <c r="D188" s="1" t="s">
        <v>3315</v>
      </c>
      <c r="E188" s="1" t="s">
        <v>3316</v>
      </c>
      <c r="F188" s="1" t="s">
        <v>112</v>
      </c>
      <c r="G188" s="1">
        <v>150446</v>
      </c>
    </row>
    <row r="189" spans="1:10" x14ac:dyDescent="0.3">
      <c r="A189" s="1" t="str">
        <f t="shared" si="2"/>
        <v>06 EE2 171</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89" s="1" t="s">
        <v>3317</v>
      </c>
      <c r="D189" s="1" t="s">
        <v>3318</v>
      </c>
      <c r="E189" s="1" t="s">
        <v>3319</v>
      </c>
      <c r="F189" s="1" t="s">
        <v>112</v>
      </c>
      <c r="G189" s="1">
        <v>170865</v>
      </c>
    </row>
    <row r="190" spans="1:10" x14ac:dyDescent="0.3">
      <c r="A190" s="1" t="str">
        <f t="shared" si="2"/>
        <v>06 EE2 171</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90" s="1" t="s">
        <v>3320</v>
      </c>
      <c r="D190" s="1" t="s">
        <v>3321</v>
      </c>
      <c r="E190" s="1" t="s">
        <v>3322</v>
      </c>
      <c r="F190" s="1" t="s">
        <v>112</v>
      </c>
      <c r="G190" s="1">
        <v>160269</v>
      </c>
    </row>
    <row r="191" spans="1:10" x14ac:dyDescent="0.3">
      <c r="A191" s="1" t="str">
        <f t="shared" si="2"/>
        <v>06 EE2 171</v>
      </c>
      <c r="B1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91" s="1" t="s">
        <v>3323</v>
      </c>
      <c r="D191" s="1" t="s">
        <v>3324</v>
      </c>
      <c r="E191" s="1" t="s">
        <v>3325</v>
      </c>
      <c r="F191" s="1" t="s">
        <v>112</v>
      </c>
      <c r="G191" s="1">
        <v>114574</v>
      </c>
    </row>
    <row r="192" spans="1:10" x14ac:dyDescent="0.3">
      <c r="A192" s="1" t="str">
        <f t="shared" si="2"/>
        <v>06 EE2 171</v>
      </c>
      <c r="B1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92" s="1" t="s">
        <v>3326</v>
      </c>
      <c r="D192" s="1" t="s">
        <v>3327</v>
      </c>
      <c r="E192" s="1" t="s">
        <v>3328</v>
      </c>
      <c r="F192" s="1" t="s">
        <v>112</v>
      </c>
      <c r="G192" s="1">
        <v>93183</v>
      </c>
    </row>
    <row r="193" spans="1:7" x14ac:dyDescent="0.3">
      <c r="A193" s="1" t="str">
        <f t="shared" si="2"/>
        <v>06 EE2 171</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93" s="1" t="s">
        <v>3329</v>
      </c>
      <c r="D193" s="1" t="s">
        <v>3330</v>
      </c>
      <c r="E193" s="1" t="s">
        <v>3331</v>
      </c>
      <c r="F193" s="1" t="s">
        <v>112</v>
      </c>
      <c r="G193" s="1">
        <v>95478</v>
      </c>
    </row>
    <row r="194" spans="1:7" x14ac:dyDescent="0.3">
      <c r="A194" s="1" t="str">
        <f t="shared" ref="A194:A257" si="3">IFERROR(LEFT(RIGHT(C194,LEN(C194)-SEARCH("@",C194)),SEARCH("/",RIGHT(C194,LEN(C194)-SEARCH("@",C194)-1))),"")</f>
        <v>06 EE2 171</v>
      </c>
      <c r="B1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94" s="1" t="s">
        <v>3332</v>
      </c>
      <c r="D194" s="1" t="s">
        <v>3333</v>
      </c>
      <c r="E194" s="1" t="s">
        <v>913</v>
      </c>
      <c r="F194" s="1" t="s">
        <v>112</v>
      </c>
      <c r="G194" s="1">
        <v>6431</v>
      </c>
    </row>
    <row r="195" spans="1:7" x14ac:dyDescent="0.3">
      <c r="A195" s="1" t="str">
        <f t="shared" si="3"/>
        <v>06 EE2 171</v>
      </c>
      <c r="B1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95" s="1" t="s">
        <v>3334</v>
      </c>
      <c r="D195" s="1" t="s">
        <v>3012</v>
      </c>
      <c r="E195" s="1" t="s">
        <v>3335</v>
      </c>
      <c r="F195" s="1" t="s">
        <v>112</v>
      </c>
      <c r="G195" s="1">
        <v>4268</v>
      </c>
    </row>
    <row r="196" spans="1:7" x14ac:dyDescent="0.3">
      <c r="A196" s="1" t="str">
        <f t="shared" si="3"/>
        <v>06 EE2 171</v>
      </c>
      <c r="B1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96" s="1" t="s">
        <v>3336</v>
      </c>
      <c r="D196" s="1" t="s">
        <v>3337</v>
      </c>
      <c r="E196" s="1" t="s">
        <v>3338</v>
      </c>
      <c r="F196" s="1" t="s">
        <v>112</v>
      </c>
      <c r="G196" s="1">
        <v>3584</v>
      </c>
    </row>
    <row r="197" spans="1:7" x14ac:dyDescent="0.3">
      <c r="A197" s="1" t="str">
        <f t="shared" si="3"/>
        <v>06 EE2 171</v>
      </c>
      <c r="B1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97" s="1" t="s">
        <v>3339</v>
      </c>
      <c r="D197" s="1" t="s">
        <v>3340</v>
      </c>
      <c r="E197" s="1" t="s">
        <v>3341</v>
      </c>
      <c r="F197" s="1" t="s">
        <v>112</v>
      </c>
      <c r="G197" s="1">
        <v>119493</v>
      </c>
    </row>
    <row r="198" spans="1:7" x14ac:dyDescent="0.3">
      <c r="A198" s="1" t="str">
        <f t="shared" si="3"/>
        <v>06 EE2 171</v>
      </c>
      <c r="B1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98" s="1" t="s">
        <v>3342</v>
      </c>
      <c r="D198" s="1" t="s">
        <v>3343</v>
      </c>
      <c r="E198" s="1" t="s">
        <v>3344</v>
      </c>
      <c r="F198" s="1" t="s">
        <v>112</v>
      </c>
      <c r="G198" s="1">
        <v>131402</v>
      </c>
    </row>
    <row r="199" spans="1:7" x14ac:dyDescent="0.3">
      <c r="A199" s="1" t="str">
        <f t="shared" si="3"/>
        <v>06 EE2 171</v>
      </c>
      <c r="B1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99" s="1" t="s">
        <v>3345</v>
      </c>
      <c r="D199" s="1" t="s">
        <v>3346</v>
      </c>
      <c r="E199" s="1" t="s">
        <v>3347</v>
      </c>
      <c r="F199" s="1" t="s">
        <v>112</v>
      </c>
      <c r="G199" s="1">
        <v>133740</v>
      </c>
    </row>
    <row r="200" spans="1:7" x14ac:dyDescent="0.3">
      <c r="A200" s="1" t="str">
        <f t="shared" si="3"/>
        <v>06 EE2 171</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00" s="1" t="s">
        <v>3348</v>
      </c>
      <c r="D200" s="1" t="s">
        <v>3349</v>
      </c>
      <c r="E200" s="1" t="s">
        <v>3350</v>
      </c>
      <c r="F200" s="1" t="s">
        <v>112</v>
      </c>
      <c r="G200" s="1">
        <v>116066</v>
      </c>
    </row>
    <row r="201" spans="1:7" x14ac:dyDescent="0.3">
      <c r="A201" s="1" t="str">
        <f t="shared" si="3"/>
        <v>06 EE2 171</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01" s="1" t="s">
        <v>3351</v>
      </c>
      <c r="D201" s="1" t="s">
        <v>3352</v>
      </c>
      <c r="E201" s="1" t="s">
        <v>3353</v>
      </c>
      <c r="F201" s="1" t="s">
        <v>112</v>
      </c>
      <c r="G201" s="1">
        <v>82128</v>
      </c>
    </row>
    <row r="202" spans="1:7" x14ac:dyDescent="0.3">
      <c r="A202" s="1" t="str">
        <f t="shared" si="3"/>
        <v>06 EE2 171</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02" s="1" t="s">
        <v>3354</v>
      </c>
      <c r="D202" s="1" t="s">
        <v>3355</v>
      </c>
      <c r="E202" s="1" t="s">
        <v>3356</v>
      </c>
      <c r="F202" s="1" t="s">
        <v>112</v>
      </c>
      <c r="G202" s="1">
        <v>88816</v>
      </c>
    </row>
    <row r="203" spans="1:7" x14ac:dyDescent="0.3">
      <c r="A203" s="1" t="str">
        <f t="shared" si="3"/>
        <v>06 EE2 171</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3" s="1" t="s">
        <v>3357</v>
      </c>
      <c r="D203" s="1" t="s">
        <v>3358</v>
      </c>
      <c r="E203" s="1" t="s">
        <v>3359</v>
      </c>
      <c r="F203" s="1" t="s">
        <v>112</v>
      </c>
      <c r="G203" s="1">
        <v>149142</v>
      </c>
    </row>
    <row r="204" spans="1:7" x14ac:dyDescent="0.3">
      <c r="A204" s="1" t="str">
        <f t="shared" si="3"/>
        <v>06 EE2 171</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4" s="1" t="s">
        <v>3360</v>
      </c>
      <c r="D204" s="1" t="s">
        <v>3361</v>
      </c>
      <c r="E204" s="1" t="s">
        <v>3362</v>
      </c>
      <c r="F204" s="1" t="s">
        <v>112</v>
      </c>
      <c r="G204" s="1">
        <v>138091</v>
      </c>
    </row>
    <row r="205" spans="1:7" x14ac:dyDescent="0.3">
      <c r="A205" s="1" t="str">
        <f t="shared" si="3"/>
        <v>06 EE2 171</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5" s="1" t="s">
        <v>3363</v>
      </c>
      <c r="D205" s="1" t="s">
        <v>3364</v>
      </c>
      <c r="E205" s="1" t="s">
        <v>3365</v>
      </c>
      <c r="F205" s="1" t="s">
        <v>112</v>
      </c>
      <c r="G205" s="1">
        <v>143252</v>
      </c>
    </row>
    <row r="206" spans="1:7" x14ac:dyDescent="0.3">
      <c r="A206" s="1" t="str">
        <f t="shared" si="3"/>
        <v>06 EE2 171</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06" s="1" t="s">
        <v>3366</v>
      </c>
      <c r="D206" s="1" t="s">
        <v>3367</v>
      </c>
      <c r="E206" s="1" t="s">
        <v>3368</v>
      </c>
      <c r="F206" s="1" t="s">
        <v>112</v>
      </c>
      <c r="G206" s="1">
        <v>142848</v>
      </c>
    </row>
    <row r="207" spans="1:7" x14ac:dyDescent="0.3">
      <c r="A207" s="1" t="str">
        <f t="shared" si="3"/>
        <v>06 EE2 171</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07" s="1" t="s">
        <v>3369</v>
      </c>
      <c r="D207" s="1" t="s">
        <v>3370</v>
      </c>
      <c r="E207" s="1" t="s">
        <v>3371</v>
      </c>
      <c r="F207" s="1" t="s">
        <v>112</v>
      </c>
      <c r="G207" s="1">
        <v>129467</v>
      </c>
    </row>
    <row r="208" spans="1:7" x14ac:dyDescent="0.3">
      <c r="A208" s="1" t="str">
        <f t="shared" si="3"/>
        <v>06 EE2 171</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08" s="1" t="s">
        <v>3372</v>
      </c>
      <c r="D208" s="1" t="s">
        <v>3373</v>
      </c>
      <c r="E208" s="1" t="s">
        <v>3374</v>
      </c>
      <c r="F208" s="1" t="s">
        <v>112</v>
      </c>
      <c r="G208" s="1">
        <v>142690</v>
      </c>
    </row>
    <row r="209" spans="1:10" x14ac:dyDescent="0.3">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09" s="1" t="s">
        <v>112</v>
      </c>
    </row>
    <row r="210" spans="1:10" x14ac:dyDescent="0.3">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10" s="1" t="s">
        <v>195</v>
      </c>
      <c r="D210" s="1" t="s">
        <v>112</v>
      </c>
      <c r="E210" s="1" t="s">
        <v>196</v>
      </c>
      <c r="F210" s="1" t="s">
        <v>197</v>
      </c>
      <c r="G210" s="1" t="s">
        <v>198</v>
      </c>
      <c r="H210" s="1" t="s">
        <v>199</v>
      </c>
      <c r="I210" s="1" t="s">
        <v>200</v>
      </c>
      <c r="J210" s="1" t="s">
        <v>201</v>
      </c>
    </row>
    <row r="211" spans="1:10" x14ac:dyDescent="0.3">
      <c r="A211" s="1" t="str">
        <f t="shared" si="3"/>
        <v>06 EE2 171</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11" s="1" t="s">
        <v>3375</v>
      </c>
      <c r="D211" s="1" t="s">
        <v>112</v>
      </c>
      <c r="E211" s="1" t="s">
        <v>3376</v>
      </c>
      <c r="F211" s="1" t="s">
        <v>3377</v>
      </c>
      <c r="G211" s="1" t="s">
        <v>3378</v>
      </c>
      <c r="H211" s="1" t="s">
        <v>3379</v>
      </c>
      <c r="I211" s="1">
        <v>24</v>
      </c>
      <c r="J211" s="1">
        <v>24</v>
      </c>
    </row>
    <row r="212" spans="1:10" x14ac:dyDescent="0.3">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12" s="1" t="s">
        <v>112</v>
      </c>
    </row>
    <row r="213" spans="1:10" x14ac:dyDescent="0.3">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13" s="1" t="s">
        <v>112</v>
      </c>
    </row>
    <row r="214" spans="1:10" x14ac:dyDescent="0.3">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14" s="1" t="s">
        <v>112</v>
      </c>
    </row>
    <row r="215" spans="1:10" x14ac:dyDescent="0.3">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15" s="1" t="s">
        <v>112</v>
      </c>
    </row>
    <row r="216" spans="1:10" x14ac:dyDescent="0.3">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16" s="1" t="s">
        <v>112</v>
      </c>
    </row>
    <row r="217" spans="1:10" x14ac:dyDescent="0.3">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17" s="1" t="s">
        <v>202</v>
      </c>
      <c r="D217" s="1" t="s">
        <v>110</v>
      </c>
      <c r="E217" s="1" t="s">
        <v>111</v>
      </c>
      <c r="F217" s="1" t="s">
        <v>112</v>
      </c>
      <c r="G217" s="1" t="s">
        <v>113</v>
      </c>
    </row>
    <row r="218" spans="1:10" x14ac:dyDescent="0.3">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18" s="1" t="s">
        <v>3380</v>
      </c>
      <c r="D218" s="1" t="s">
        <v>3381</v>
      </c>
      <c r="E218" s="1" t="s">
        <v>3382</v>
      </c>
      <c r="F218" s="1" t="s">
        <v>112</v>
      </c>
      <c r="G218" s="1">
        <v>298138</v>
      </c>
    </row>
    <row r="219" spans="1:10" x14ac:dyDescent="0.3">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19" s="1" t="s">
        <v>3383</v>
      </c>
      <c r="D219" s="1" t="s">
        <v>3384</v>
      </c>
      <c r="E219" s="1" t="s">
        <v>3385</v>
      </c>
      <c r="F219" s="1" t="s">
        <v>112</v>
      </c>
      <c r="G219" s="1">
        <v>280518</v>
      </c>
    </row>
    <row r="220" spans="1:10" x14ac:dyDescent="0.3">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20" s="1" t="s">
        <v>3386</v>
      </c>
      <c r="D220" s="1" t="s">
        <v>3387</v>
      </c>
      <c r="E220" s="1" t="s">
        <v>3388</v>
      </c>
      <c r="F220" s="1" t="s">
        <v>112</v>
      </c>
      <c r="G220" s="1">
        <v>289540</v>
      </c>
    </row>
    <row r="221" spans="1:10" x14ac:dyDescent="0.3">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21" s="1" t="s">
        <v>3389</v>
      </c>
      <c r="D221" s="1" t="s">
        <v>3390</v>
      </c>
      <c r="E221" s="1" t="s">
        <v>3391</v>
      </c>
      <c r="F221" s="1" t="s">
        <v>112</v>
      </c>
      <c r="G221" s="1">
        <v>223046</v>
      </c>
    </row>
    <row r="222" spans="1:10" x14ac:dyDescent="0.3">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22" s="1" t="s">
        <v>3392</v>
      </c>
      <c r="D222" s="1" t="s">
        <v>3393</v>
      </c>
      <c r="E222" s="1" t="s">
        <v>3394</v>
      </c>
      <c r="F222" s="1" t="s">
        <v>112</v>
      </c>
      <c r="G222" s="1">
        <v>219626</v>
      </c>
    </row>
    <row r="223" spans="1:10" x14ac:dyDescent="0.3">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23" s="1" t="s">
        <v>3395</v>
      </c>
      <c r="D223" s="1" t="s">
        <v>3396</v>
      </c>
      <c r="E223" s="1" t="s">
        <v>3397</v>
      </c>
      <c r="F223" s="1" t="s">
        <v>112</v>
      </c>
      <c r="G223" s="1">
        <v>219744</v>
      </c>
    </row>
    <row r="224" spans="1:10" x14ac:dyDescent="0.3">
      <c r="A224" s="1" t="str">
        <f t="shared" si="3"/>
        <v>07 EE2 488</v>
      </c>
      <c r="B2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24" s="1" t="s">
        <v>3398</v>
      </c>
      <c r="D224" s="1" t="s">
        <v>3399</v>
      </c>
      <c r="E224" s="1" t="s">
        <v>3400</v>
      </c>
      <c r="F224" s="1" t="s">
        <v>112</v>
      </c>
      <c r="G224" s="1">
        <v>152499</v>
      </c>
    </row>
    <row r="225" spans="1:7" x14ac:dyDescent="0.3">
      <c r="A225" s="1" t="str">
        <f t="shared" si="3"/>
        <v>07 EE2 488</v>
      </c>
      <c r="B2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25" s="1" t="s">
        <v>3401</v>
      </c>
      <c r="D225" s="1" t="s">
        <v>3402</v>
      </c>
      <c r="E225" s="1" t="s">
        <v>3403</v>
      </c>
      <c r="F225" s="1" t="s">
        <v>112</v>
      </c>
      <c r="G225" s="1">
        <v>150754</v>
      </c>
    </row>
    <row r="226" spans="1:7" x14ac:dyDescent="0.3">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26" s="1" t="s">
        <v>3404</v>
      </c>
      <c r="D226" s="1" t="s">
        <v>3405</v>
      </c>
      <c r="E226" s="1" t="s">
        <v>3406</v>
      </c>
      <c r="F226" s="1" t="s">
        <v>112</v>
      </c>
      <c r="G226" s="1">
        <v>147559</v>
      </c>
    </row>
    <row r="227" spans="1:7" x14ac:dyDescent="0.3">
      <c r="A227" s="1" t="str">
        <f t="shared" si="3"/>
        <v>07 EE2 488</v>
      </c>
      <c r="B2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27" s="1" t="s">
        <v>3407</v>
      </c>
    </row>
    <row r="228" spans="1:7" x14ac:dyDescent="0.3">
      <c r="A228" s="1" t="str">
        <f t="shared" si="3"/>
        <v>07 EE2 488</v>
      </c>
      <c r="B2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28" s="1" t="s">
        <v>3408</v>
      </c>
      <c r="D228" s="1" t="s">
        <v>3409</v>
      </c>
      <c r="E228" s="1" t="s">
        <v>3410</v>
      </c>
      <c r="F228" s="1" t="s">
        <v>112</v>
      </c>
      <c r="G228" s="1">
        <v>42452</v>
      </c>
    </row>
    <row r="229" spans="1:7" x14ac:dyDescent="0.3">
      <c r="A229" s="1" t="str">
        <f t="shared" si="3"/>
        <v>07 EE2 488</v>
      </c>
      <c r="B2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29" s="1" t="s">
        <v>3411</v>
      </c>
      <c r="D229" s="1" t="s">
        <v>3412</v>
      </c>
      <c r="E229" s="1" t="s">
        <v>3413</v>
      </c>
      <c r="F229" s="1" t="s">
        <v>112</v>
      </c>
      <c r="G229" s="1">
        <v>54528</v>
      </c>
    </row>
    <row r="230" spans="1:7" x14ac:dyDescent="0.3">
      <c r="A230" s="1" t="str">
        <f t="shared" si="3"/>
        <v>07 EE2 488</v>
      </c>
      <c r="B2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30" s="1" t="s">
        <v>3414</v>
      </c>
      <c r="D230" s="1" t="s">
        <v>3415</v>
      </c>
      <c r="E230" s="1" t="s">
        <v>3416</v>
      </c>
      <c r="F230" s="1" t="s">
        <v>112</v>
      </c>
      <c r="G230" s="1">
        <v>184913</v>
      </c>
    </row>
    <row r="231" spans="1:7" x14ac:dyDescent="0.3">
      <c r="A231" s="1" t="str">
        <f t="shared" si="3"/>
        <v>07 EE2 488</v>
      </c>
      <c r="B2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31" s="1" t="s">
        <v>3417</v>
      </c>
      <c r="D231" s="1" t="s">
        <v>3418</v>
      </c>
      <c r="E231" s="1" t="s">
        <v>3419</v>
      </c>
      <c r="F231" s="1" t="s">
        <v>112</v>
      </c>
      <c r="G231" s="1">
        <v>192512</v>
      </c>
    </row>
    <row r="232" spans="1:7" x14ac:dyDescent="0.3">
      <c r="A232" s="1" t="str">
        <f t="shared" si="3"/>
        <v>07 EE2 488</v>
      </c>
      <c r="B2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32" s="1" t="s">
        <v>3420</v>
      </c>
      <c r="D232" s="1" t="s">
        <v>3421</v>
      </c>
      <c r="E232" s="1" t="s">
        <v>3422</v>
      </c>
      <c r="F232" s="1" t="s">
        <v>112</v>
      </c>
      <c r="G232" s="1">
        <v>176953</v>
      </c>
    </row>
    <row r="233" spans="1:7" x14ac:dyDescent="0.3">
      <c r="A233" s="1" t="str">
        <f t="shared" si="3"/>
        <v>07 EE2 488</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33" s="1" t="s">
        <v>3423</v>
      </c>
      <c r="D233" s="1" t="s">
        <v>3424</v>
      </c>
      <c r="E233" s="1" t="s">
        <v>3425</v>
      </c>
      <c r="F233" s="1" t="s">
        <v>112</v>
      </c>
      <c r="G233" s="1">
        <v>105094</v>
      </c>
    </row>
    <row r="234" spans="1:7" x14ac:dyDescent="0.3">
      <c r="A234" s="1" t="str">
        <f t="shared" si="3"/>
        <v>07 EE2 488</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34" s="1" t="s">
        <v>3426</v>
      </c>
      <c r="D234" s="1" t="s">
        <v>3427</v>
      </c>
      <c r="E234" s="1" t="s">
        <v>3428</v>
      </c>
      <c r="F234" s="1" t="s">
        <v>112</v>
      </c>
      <c r="G234" s="1">
        <v>102252</v>
      </c>
    </row>
    <row r="235" spans="1:7" x14ac:dyDescent="0.3">
      <c r="A235" s="1" t="str">
        <f t="shared" si="3"/>
        <v>07 EE2 488</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35" s="1" t="s">
        <v>3429</v>
      </c>
      <c r="D235" s="1" t="s">
        <v>3430</v>
      </c>
      <c r="E235" s="1" t="s">
        <v>3431</v>
      </c>
      <c r="F235" s="1" t="s">
        <v>112</v>
      </c>
      <c r="G235" s="1">
        <v>144648</v>
      </c>
    </row>
    <row r="236" spans="1:7" x14ac:dyDescent="0.3">
      <c r="A236" s="1" t="str">
        <f t="shared" si="3"/>
        <v>07 EE2 488</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6" s="1" t="s">
        <v>3432</v>
      </c>
      <c r="D236" s="1" t="s">
        <v>3433</v>
      </c>
      <c r="E236" s="1" t="s">
        <v>3434</v>
      </c>
      <c r="F236" s="1" t="s">
        <v>112</v>
      </c>
      <c r="G236" s="1">
        <v>190313</v>
      </c>
    </row>
    <row r="237" spans="1:7" x14ac:dyDescent="0.3">
      <c r="A237" s="1" t="str">
        <f t="shared" si="3"/>
        <v>07 EE2 488</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7" s="1" t="s">
        <v>3435</v>
      </c>
      <c r="D237" s="1" t="s">
        <v>3436</v>
      </c>
      <c r="E237" s="1" t="s">
        <v>3437</v>
      </c>
      <c r="F237" s="1" t="s">
        <v>112</v>
      </c>
      <c r="G237" s="1">
        <v>199039</v>
      </c>
    </row>
    <row r="238" spans="1:7" x14ac:dyDescent="0.3">
      <c r="A238" s="1" t="str">
        <f t="shared" si="3"/>
        <v>07 EE2 488</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38" s="1" t="s">
        <v>3438</v>
      </c>
      <c r="D238" s="1" t="s">
        <v>3439</v>
      </c>
      <c r="E238" s="1" t="s">
        <v>3440</v>
      </c>
      <c r="F238" s="1" t="s">
        <v>112</v>
      </c>
      <c r="G238" s="1">
        <v>182059</v>
      </c>
    </row>
    <row r="239" spans="1:7" x14ac:dyDescent="0.3">
      <c r="A239" s="1" t="str">
        <f t="shared" si="3"/>
        <v>07 EE2 488</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9" s="1" t="s">
        <v>3441</v>
      </c>
      <c r="D239" s="1" t="s">
        <v>3442</v>
      </c>
      <c r="E239" s="1" t="s">
        <v>3443</v>
      </c>
      <c r="F239" s="1" t="s">
        <v>112</v>
      </c>
      <c r="G239" s="1">
        <v>164380</v>
      </c>
    </row>
    <row r="240" spans="1:7" x14ac:dyDescent="0.3">
      <c r="A240" s="1" t="str">
        <f t="shared" si="3"/>
        <v>07 EE2 488</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0" s="1" t="s">
        <v>3444</v>
      </c>
      <c r="D240" s="1" t="s">
        <v>3445</v>
      </c>
      <c r="E240" s="1" t="s">
        <v>3446</v>
      </c>
      <c r="F240" s="1" t="s">
        <v>112</v>
      </c>
      <c r="G240" s="1">
        <v>167255</v>
      </c>
    </row>
    <row r="241" spans="1:10" x14ac:dyDescent="0.3">
      <c r="A241" s="1" t="str">
        <f t="shared" si="3"/>
        <v>07 EE2 488</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1" s="1" t="s">
        <v>3447</v>
      </c>
      <c r="D241" s="1" t="s">
        <v>3448</v>
      </c>
      <c r="E241" s="1" t="s">
        <v>3449</v>
      </c>
      <c r="F241" s="1" t="s">
        <v>112</v>
      </c>
      <c r="G241" s="1">
        <v>166354</v>
      </c>
    </row>
    <row r="242" spans="1:10" x14ac:dyDescent="0.3">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2" s="1" t="s">
        <v>112</v>
      </c>
    </row>
    <row r="243" spans="1:10" x14ac:dyDescent="0.3">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3" s="1" t="s">
        <v>195</v>
      </c>
      <c r="D243" s="1" t="s">
        <v>112</v>
      </c>
      <c r="E243" s="1" t="s">
        <v>196</v>
      </c>
      <c r="F243" s="1" t="s">
        <v>197</v>
      </c>
      <c r="G243" s="1" t="s">
        <v>198</v>
      </c>
      <c r="H243" s="1" t="s">
        <v>199</v>
      </c>
      <c r="I243" s="1" t="s">
        <v>200</v>
      </c>
      <c r="J243" s="1" t="s">
        <v>201</v>
      </c>
    </row>
    <row r="244" spans="1:10" x14ac:dyDescent="0.3">
      <c r="A244" s="1" t="str">
        <f t="shared" si="3"/>
        <v>07 EE2 488</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44" s="1" t="s">
        <v>3450</v>
      </c>
      <c r="D244" s="1" t="s">
        <v>112</v>
      </c>
      <c r="E244" s="1" t="s">
        <v>3451</v>
      </c>
      <c r="F244" s="1" t="s">
        <v>3452</v>
      </c>
      <c r="G244" s="1" t="s">
        <v>3453</v>
      </c>
      <c r="H244" s="1" t="s">
        <v>3454</v>
      </c>
      <c r="I244" s="1">
        <v>24</v>
      </c>
      <c r="J244" s="1">
        <v>24</v>
      </c>
    </row>
    <row r="245" spans="1:10" x14ac:dyDescent="0.3">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5" s="1" t="s">
        <v>112</v>
      </c>
    </row>
    <row r="246" spans="1:10" x14ac:dyDescent="0.3">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6" s="1" t="s">
        <v>112</v>
      </c>
    </row>
    <row r="247" spans="1:10" x14ac:dyDescent="0.3">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7" s="1" t="s">
        <v>112</v>
      </c>
    </row>
    <row r="248" spans="1:10" x14ac:dyDescent="0.3">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8" s="1" t="s">
        <v>112</v>
      </c>
    </row>
    <row r="249" spans="1:10" x14ac:dyDescent="0.3">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49" s="1" t="s">
        <v>112</v>
      </c>
    </row>
    <row r="250" spans="1:10" x14ac:dyDescent="0.3">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0" s="1" t="s">
        <v>202</v>
      </c>
      <c r="D250" s="1" t="s">
        <v>110</v>
      </c>
      <c r="E250" s="1" t="s">
        <v>111</v>
      </c>
      <c r="F250" s="1" t="s">
        <v>112</v>
      </c>
      <c r="G250" s="1" t="s">
        <v>113</v>
      </c>
    </row>
    <row r="251" spans="1:10" x14ac:dyDescent="0.3">
      <c r="A251" s="1" t="str">
        <f t="shared" si="3"/>
        <v>08 duta 0.01</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51" s="1" t="s">
        <v>3455</v>
      </c>
      <c r="D251" s="1" t="s">
        <v>3456</v>
      </c>
      <c r="E251" s="1" t="s">
        <v>3457</v>
      </c>
      <c r="F251" s="1" t="s">
        <v>112</v>
      </c>
      <c r="G251" s="1">
        <v>24891</v>
      </c>
    </row>
    <row r="252" spans="1:10" x14ac:dyDescent="0.3">
      <c r="A252" s="1" t="str">
        <f t="shared" si="3"/>
        <v>08 duta 0.01</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52" s="1" t="s">
        <v>3458</v>
      </c>
      <c r="D252" s="1" t="s">
        <v>3459</v>
      </c>
      <c r="E252" s="1" t="s">
        <v>3460</v>
      </c>
      <c r="F252" s="1" t="s">
        <v>112</v>
      </c>
      <c r="G252" s="1">
        <v>35475</v>
      </c>
    </row>
    <row r="253" spans="1:10" x14ac:dyDescent="0.3">
      <c r="A253" s="1" t="str">
        <f t="shared" si="3"/>
        <v>08 duta 0.01</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53" s="1" t="s">
        <v>3461</v>
      </c>
      <c r="D253" s="1" t="s">
        <v>3462</v>
      </c>
      <c r="E253" s="1" t="s">
        <v>3463</v>
      </c>
      <c r="F253" s="1" t="s">
        <v>112</v>
      </c>
      <c r="G253" s="1">
        <v>16609</v>
      </c>
    </row>
    <row r="254" spans="1:10" x14ac:dyDescent="0.3">
      <c r="A254" s="1" t="str">
        <f t="shared" si="3"/>
        <v>08 duta 0.01</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54" s="1" t="s">
        <v>3464</v>
      </c>
      <c r="D254" s="1" t="s">
        <v>3465</v>
      </c>
      <c r="E254" s="1" t="s">
        <v>3466</v>
      </c>
      <c r="F254" s="1" t="s">
        <v>112</v>
      </c>
      <c r="G254" s="1">
        <v>1489</v>
      </c>
    </row>
    <row r="255" spans="1:10" x14ac:dyDescent="0.3">
      <c r="A255" s="1" t="str">
        <f t="shared" si="3"/>
        <v>08 duta 0.01</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55" s="1" t="s">
        <v>3467</v>
      </c>
      <c r="D255" s="1" t="s">
        <v>3049</v>
      </c>
      <c r="E255" s="1" t="s">
        <v>3468</v>
      </c>
      <c r="F255" s="1" t="s">
        <v>112</v>
      </c>
      <c r="G255" s="1">
        <v>906</v>
      </c>
    </row>
    <row r="256" spans="1:10" x14ac:dyDescent="0.3">
      <c r="A256" s="1" t="str">
        <f t="shared" si="3"/>
        <v>08 duta 0.01</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56" s="1" t="s">
        <v>3469</v>
      </c>
      <c r="D256" s="1" t="s">
        <v>3470</v>
      </c>
      <c r="E256" s="1" t="s">
        <v>979</v>
      </c>
      <c r="F256" s="1" t="s">
        <v>112</v>
      </c>
      <c r="G256" s="1">
        <v>275</v>
      </c>
    </row>
    <row r="257" spans="1:7" x14ac:dyDescent="0.3">
      <c r="A257" s="1" t="str">
        <f t="shared" si="3"/>
        <v>08 duta 0.01</v>
      </c>
      <c r="B2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57" s="1" t="s">
        <v>3471</v>
      </c>
      <c r="D257" s="1" t="s">
        <v>3065</v>
      </c>
      <c r="E257" s="1" t="s">
        <v>517</v>
      </c>
      <c r="F257" s="1" t="s">
        <v>112</v>
      </c>
      <c r="G257" s="1">
        <v>373</v>
      </c>
    </row>
    <row r="258" spans="1:7" x14ac:dyDescent="0.3">
      <c r="A258" s="1" t="str">
        <f t="shared" ref="A258:A321" si="4">IFERROR(LEFT(RIGHT(C258,LEN(C258)-SEARCH("@",C258)),SEARCH("/",RIGHT(C258,LEN(C258)-SEARCH("@",C258)-1))),"")</f>
        <v>08 duta 0.01</v>
      </c>
      <c r="B2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58" s="1" t="s">
        <v>3472</v>
      </c>
      <c r="D258" s="1" t="s">
        <v>2990</v>
      </c>
      <c r="E258" s="1" t="s">
        <v>2991</v>
      </c>
      <c r="F258" s="1" t="s">
        <v>112</v>
      </c>
      <c r="G258" s="1">
        <v>1400</v>
      </c>
    </row>
    <row r="259" spans="1:7" x14ac:dyDescent="0.3">
      <c r="A259" s="1" t="str">
        <f t="shared" si="4"/>
        <v>08 duta 0.01</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59" s="1" t="s">
        <v>3473</v>
      </c>
      <c r="D259" s="1" t="s">
        <v>2993</v>
      </c>
      <c r="E259" s="1">
        <v>63</v>
      </c>
      <c r="F259" s="1" t="s">
        <v>112</v>
      </c>
      <c r="G259" s="1">
        <v>749</v>
      </c>
    </row>
    <row r="260" spans="1:7" x14ac:dyDescent="0.3">
      <c r="A260" s="1" t="str">
        <f t="shared" si="4"/>
        <v>08 duta 0.01</v>
      </c>
      <c r="B2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60" s="1" t="s">
        <v>3474</v>
      </c>
      <c r="D260" s="1" t="s">
        <v>3081</v>
      </c>
      <c r="E260" s="1" t="s">
        <v>3475</v>
      </c>
      <c r="F260" s="1" t="s">
        <v>112</v>
      </c>
      <c r="G260" s="1">
        <v>991</v>
      </c>
    </row>
    <row r="261" spans="1:7" x14ac:dyDescent="0.3">
      <c r="A261" s="1" t="str">
        <f t="shared" si="4"/>
        <v>08 duta 0.01</v>
      </c>
      <c r="B2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61" s="1" t="s">
        <v>3476</v>
      </c>
      <c r="D261" s="1" t="s">
        <v>3056</v>
      </c>
      <c r="E261" s="1" t="s">
        <v>3477</v>
      </c>
      <c r="F261" s="1" t="s">
        <v>112</v>
      </c>
      <c r="G261" s="1">
        <v>793</v>
      </c>
    </row>
    <row r="262" spans="1:7" x14ac:dyDescent="0.3">
      <c r="A262" s="1" t="str">
        <f t="shared" si="4"/>
        <v>08 duta 0.01</v>
      </c>
      <c r="B2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62" s="1" t="s">
        <v>3478</v>
      </c>
      <c r="D262" s="1" t="s">
        <v>2998</v>
      </c>
      <c r="E262" s="1" t="s">
        <v>892</v>
      </c>
      <c r="F262" s="1" t="s">
        <v>112</v>
      </c>
      <c r="G262" s="1">
        <v>438</v>
      </c>
    </row>
    <row r="263" spans="1:7" x14ac:dyDescent="0.3">
      <c r="A263" s="1" t="str">
        <f t="shared" si="4"/>
        <v>08 duta 0.01</v>
      </c>
      <c r="B2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63" s="1" t="s">
        <v>3479</v>
      </c>
      <c r="D263" s="1" t="s">
        <v>2998</v>
      </c>
      <c r="E263" s="1" t="s">
        <v>3480</v>
      </c>
      <c r="F263" s="1" t="s">
        <v>112</v>
      </c>
      <c r="G263" s="1">
        <v>440</v>
      </c>
    </row>
    <row r="264" spans="1:7" x14ac:dyDescent="0.3">
      <c r="A264" s="1" t="str">
        <f t="shared" si="4"/>
        <v>08 duta 0.01</v>
      </c>
      <c r="B2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64" s="1" t="s">
        <v>3481</v>
      </c>
      <c r="D264" s="1" t="s">
        <v>3482</v>
      </c>
      <c r="E264" s="1" t="s">
        <v>3483</v>
      </c>
      <c r="F264" s="1" t="s">
        <v>112</v>
      </c>
      <c r="G264" s="1">
        <v>709</v>
      </c>
    </row>
    <row r="265" spans="1:7" x14ac:dyDescent="0.3">
      <c r="A265" s="1" t="str">
        <f t="shared" si="4"/>
        <v>08 duta 0.01</v>
      </c>
      <c r="B2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65" s="1" t="s">
        <v>3484</v>
      </c>
      <c r="D265" s="1" t="s">
        <v>3485</v>
      </c>
      <c r="E265" s="1">
        <v>63</v>
      </c>
      <c r="F265" s="1" t="s">
        <v>112</v>
      </c>
      <c r="G265" s="1">
        <v>1498</v>
      </c>
    </row>
    <row r="266" spans="1:7" x14ac:dyDescent="0.3">
      <c r="A266" s="1" t="str">
        <f t="shared" si="4"/>
        <v>08 duta 0.01</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66" s="1" t="s">
        <v>3486</v>
      </c>
      <c r="D266" s="1" t="s">
        <v>3149</v>
      </c>
      <c r="E266" s="1" t="s">
        <v>3487</v>
      </c>
      <c r="F266" s="1" t="s">
        <v>112</v>
      </c>
      <c r="G266" s="1">
        <v>1028</v>
      </c>
    </row>
    <row r="267" spans="1:7" x14ac:dyDescent="0.3">
      <c r="A267" s="1" t="str">
        <f t="shared" si="4"/>
        <v>08 duta 0.01</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67" s="1" t="s">
        <v>3488</v>
      </c>
      <c r="D267" s="1" t="s">
        <v>3489</v>
      </c>
      <c r="E267" s="1" t="s">
        <v>327</v>
      </c>
      <c r="F267" s="1" t="s">
        <v>112</v>
      </c>
      <c r="G267" s="1">
        <v>2387</v>
      </c>
    </row>
    <row r="268" spans="1:7" x14ac:dyDescent="0.3">
      <c r="A268" s="1" t="str">
        <f t="shared" si="4"/>
        <v>08 duta 0.01</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68" s="1" t="s">
        <v>3490</v>
      </c>
      <c r="D268" s="1" t="s">
        <v>3491</v>
      </c>
      <c r="E268" s="1" t="s">
        <v>3492</v>
      </c>
      <c r="F268" s="1" t="s">
        <v>112</v>
      </c>
      <c r="G268" s="1">
        <v>1917</v>
      </c>
    </row>
    <row r="269" spans="1:7" x14ac:dyDescent="0.3">
      <c r="A269" s="1" t="str">
        <f t="shared" si="4"/>
        <v>08 duta 0.01</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69" s="1" t="s">
        <v>3493</v>
      </c>
      <c r="D269" s="1" t="s">
        <v>3465</v>
      </c>
      <c r="E269" s="1" t="s">
        <v>3494</v>
      </c>
      <c r="F269" s="1" t="s">
        <v>112</v>
      </c>
      <c r="G269" s="1">
        <v>1465</v>
      </c>
    </row>
    <row r="270" spans="1:7" x14ac:dyDescent="0.3">
      <c r="A270" s="1" t="str">
        <f t="shared" si="4"/>
        <v>08 duta 0.01</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70" s="1" t="s">
        <v>3495</v>
      </c>
      <c r="D270" s="1" t="s">
        <v>3496</v>
      </c>
      <c r="E270" s="1" t="s">
        <v>3497</v>
      </c>
      <c r="F270" s="1" t="s">
        <v>112</v>
      </c>
      <c r="G270" s="1">
        <v>2879</v>
      </c>
    </row>
    <row r="271" spans="1:7" x14ac:dyDescent="0.3">
      <c r="A271" s="1" t="str">
        <f t="shared" si="4"/>
        <v>08 duta 0.01</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71" s="1" t="s">
        <v>3498</v>
      </c>
      <c r="D271" s="1" t="s">
        <v>3499</v>
      </c>
      <c r="E271" s="1" t="s">
        <v>230</v>
      </c>
      <c r="F271" s="1" t="s">
        <v>112</v>
      </c>
      <c r="G271" s="1">
        <v>3464</v>
      </c>
    </row>
    <row r="272" spans="1:7" x14ac:dyDescent="0.3">
      <c r="A272" s="1" t="str">
        <f t="shared" si="4"/>
        <v>08 duta 0.01</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72" s="1" t="s">
        <v>3500</v>
      </c>
      <c r="D272" s="1" t="s">
        <v>3093</v>
      </c>
      <c r="E272" s="1" t="s">
        <v>3501</v>
      </c>
      <c r="F272" s="1" t="s">
        <v>112</v>
      </c>
      <c r="G272" s="1">
        <v>2593</v>
      </c>
    </row>
    <row r="273" spans="1:10" x14ac:dyDescent="0.3">
      <c r="A273" s="1" t="str">
        <f t="shared" si="4"/>
        <v>08 duta 0.01</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73" s="1" t="s">
        <v>3502</v>
      </c>
      <c r="D273" s="1" t="s">
        <v>3087</v>
      </c>
      <c r="E273" s="1" t="s">
        <v>184</v>
      </c>
      <c r="F273" s="1" t="s">
        <v>112</v>
      </c>
      <c r="G273" s="1">
        <v>1263</v>
      </c>
    </row>
    <row r="274" spans="1:10" x14ac:dyDescent="0.3">
      <c r="A274" s="1" t="str">
        <f t="shared" si="4"/>
        <v>08 duta 0.01</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74" s="1" t="s">
        <v>3503</v>
      </c>
      <c r="D274" s="1" t="s">
        <v>3190</v>
      </c>
      <c r="E274" s="1" t="s">
        <v>3504</v>
      </c>
      <c r="F274" s="1" t="s">
        <v>112</v>
      </c>
      <c r="G274" s="1">
        <v>2360</v>
      </c>
    </row>
    <row r="275" spans="1:10" x14ac:dyDescent="0.3">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5" s="1" t="s">
        <v>112</v>
      </c>
    </row>
    <row r="276" spans="1:10" x14ac:dyDescent="0.3">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6" s="1" t="s">
        <v>195</v>
      </c>
      <c r="D276" s="1" t="s">
        <v>112</v>
      </c>
      <c r="E276" s="1" t="s">
        <v>196</v>
      </c>
      <c r="F276" s="1" t="s">
        <v>197</v>
      </c>
      <c r="G276" s="1" t="s">
        <v>198</v>
      </c>
      <c r="H276" s="1" t="s">
        <v>199</v>
      </c>
      <c r="I276" s="1" t="s">
        <v>200</v>
      </c>
      <c r="J276" s="1" t="s">
        <v>201</v>
      </c>
    </row>
    <row r="277" spans="1:10" x14ac:dyDescent="0.3">
      <c r="A277" s="1" t="str">
        <f t="shared" si="4"/>
        <v>08 duta 0.01</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77" s="1" t="s">
        <v>3505</v>
      </c>
      <c r="D277" s="1" t="s">
        <v>112</v>
      </c>
      <c r="E277" s="1" t="s">
        <v>3506</v>
      </c>
      <c r="F277" s="1" t="s">
        <v>3507</v>
      </c>
      <c r="G277" s="1">
        <v>4433</v>
      </c>
      <c r="H277" s="1" t="s">
        <v>3508</v>
      </c>
      <c r="I277" s="1">
        <v>24</v>
      </c>
      <c r="J277" s="1">
        <v>24</v>
      </c>
    </row>
    <row r="278" spans="1:10" x14ac:dyDescent="0.3">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8" s="1" t="s">
        <v>112</v>
      </c>
    </row>
    <row r="279" spans="1:10" x14ac:dyDescent="0.3">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9" s="1" t="s">
        <v>112</v>
      </c>
    </row>
    <row r="280" spans="1:10" x14ac:dyDescent="0.3">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0" s="1" t="s">
        <v>112</v>
      </c>
    </row>
    <row r="281" spans="1:10" x14ac:dyDescent="0.3">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1" s="1" t="s">
        <v>112</v>
      </c>
    </row>
    <row r="282" spans="1:10" x14ac:dyDescent="0.3">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2" s="1" t="s">
        <v>112</v>
      </c>
    </row>
    <row r="283" spans="1:10" x14ac:dyDescent="0.3">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83" s="1" t="s">
        <v>202</v>
      </c>
      <c r="D283" s="1" t="s">
        <v>110</v>
      </c>
      <c r="E283" s="1" t="s">
        <v>111</v>
      </c>
      <c r="F283" s="1" t="s">
        <v>112</v>
      </c>
      <c r="G283" s="1" t="s">
        <v>113</v>
      </c>
    </row>
    <row r="284" spans="1:10" x14ac:dyDescent="0.3">
      <c r="A284" s="1" t="str">
        <f t="shared" si="4"/>
        <v>09 duta 0.1</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84" s="1" t="s">
        <v>3509</v>
      </c>
      <c r="D284" s="1" t="s">
        <v>3510</v>
      </c>
      <c r="E284" s="1" t="s">
        <v>3511</v>
      </c>
      <c r="F284" s="1" t="s">
        <v>112</v>
      </c>
      <c r="G284" s="1">
        <v>6280</v>
      </c>
    </row>
    <row r="285" spans="1:10" x14ac:dyDescent="0.3">
      <c r="A285" s="1" t="str">
        <f t="shared" si="4"/>
        <v>09 duta 0.1</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85" s="1" t="s">
        <v>3512</v>
      </c>
      <c r="D285" s="1" t="s">
        <v>3513</v>
      </c>
      <c r="E285" s="1" t="s">
        <v>3514</v>
      </c>
      <c r="F285" s="1" t="s">
        <v>112</v>
      </c>
      <c r="G285" s="1">
        <v>4670</v>
      </c>
    </row>
    <row r="286" spans="1:10" x14ac:dyDescent="0.3">
      <c r="A286" s="1" t="str">
        <f t="shared" si="4"/>
        <v>09 duta 0.1</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86" s="1" t="s">
        <v>3515</v>
      </c>
      <c r="D286" s="1" t="s">
        <v>3107</v>
      </c>
      <c r="E286" s="1" t="s">
        <v>3516</v>
      </c>
      <c r="F286" s="1" t="s">
        <v>112</v>
      </c>
      <c r="G286" s="1">
        <v>1394</v>
      </c>
    </row>
    <row r="287" spans="1:10" x14ac:dyDescent="0.3">
      <c r="A287" s="1" t="str">
        <f t="shared" si="4"/>
        <v>09 duta 0.1</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87" s="1" t="s">
        <v>3517</v>
      </c>
      <c r="D287" s="1" t="s">
        <v>3102</v>
      </c>
      <c r="E287" s="1" t="s">
        <v>3518</v>
      </c>
      <c r="F287" s="1" t="s">
        <v>112</v>
      </c>
      <c r="G287" s="1">
        <v>493</v>
      </c>
    </row>
    <row r="288" spans="1:10" x14ac:dyDescent="0.3">
      <c r="A288" s="1" t="str">
        <f t="shared" si="4"/>
        <v>09 duta 0.1</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88" s="1" t="s">
        <v>3519</v>
      </c>
      <c r="D288" s="1" t="s">
        <v>2998</v>
      </c>
      <c r="E288" s="1">
        <v>70</v>
      </c>
      <c r="F288" s="1" t="s">
        <v>112</v>
      </c>
      <c r="G288" s="1">
        <v>475</v>
      </c>
    </row>
    <row r="289" spans="1:7" x14ac:dyDescent="0.3">
      <c r="A289" s="1" t="str">
        <f t="shared" si="4"/>
        <v>09 duta 0.1</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89" s="1" t="s">
        <v>3520</v>
      </c>
      <c r="D289" s="1" t="s">
        <v>2996</v>
      </c>
      <c r="E289" s="1" t="s">
        <v>3521</v>
      </c>
      <c r="F289" s="1" t="s">
        <v>112</v>
      </c>
      <c r="G289" s="1">
        <v>557</v>
      </c>
    </row>
    <row r="290" spans="1:7" x14ac:dyDescent="0.3">
      <c r="A290" s="1" t="str">
        <f t="shared" si="4"/>
        <v>09 duta 0.1</v>
      </c>
      <c r="B2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90" s="1" t="s">
        <v>3522</v>
      </c>
      <c r="D290" s="1" t="s">
        <v>3202</v>
      </c>
      <c r="E290" s="1" t="s">
        <v>3523</v>
      </c>
      <c r="F290" s="1" t="s">
        <v>112</v>
      </c>
      <c r="G290" s="1">
        <v>1953</v>
      </c>
    </row>
    <row r="291" spans="1:7" x14ac:dyDescent="0.3">
      <c r="A291" s="1" t="str">
        <f t="shared" si="4"/>
        <v>09 duta 0.1</v>
      </c>
      <c r="B2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91" s="1" t="s">
        <v>3524</v>
      </c>
      <c r="D291" s="1" t="s">
        <v>3065</v>
      </c>
      <c r="E291" s="1" t="s">
        <v>3525</v>
      </c>
      <c r="F291" s="1" t="s">
        <v>112</v>
      </c>
      <c r="G291" s="1">
        <v>362</v>
      </c>
    </row>
    <row r="292" spans="1:7" x14ac:dyDescent="0.3">
      <c r="A292" s="1" t="str">
        <f t="shared" si="4"/>
        <v>09 duta 0.1</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92" s="1" t="s">
        <v>3526</v>
      </c>
      <c r="D292" s="1" t="s">
        <v>3102</v>
      </c>
      <c r="E292" s="1" t="s">
        <v>3518</v>
      </c>
      <c r="F292" s="1" t="s">
        <v>112</v>
      </c>
      <c r="G292" s="1">
        <v>493</v>
      </c>
    </row>
    <row r="293" spans="1:7" x14ac:dyDescent="0.3">
      <c r="A293" s="1" t="str">
        <f t="shared" si="4"/>
        <v>09 duta 0.1</v>
      </c>
      <c r="B2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93" s="1" t="s">
        <v>3527</v>
      </c>
      <c r="D293" s="1" t="s">
        <v>2998</v>
      </c>
      <c r="E293" s="1" t="s">
        <v>1799</v>
      </c>
      <c r="F293" s="1" t="s">
        <v>112</v>
      </c>
      <c r="G293" s="1">
        <v>443</v>
      </c>
    </row>
    <row r="294" spans="1:7" x14ac:dyDescent="0.3">
      <c r="A294" s="1" t="str">
        <f t="shared" si="4"/>
        <v>09 duta 0.1</v>
      </c>
      <c r="B2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94" s="1" t="s">
        <v>3528</v>
      </c>
      <c r="D294" s="1" t="s">
        <v>3047</v>
      </c>
      <c r="E294" s="1" t="s">
        <v>312</v>
      </c>
      <c r="F294" s="1" t="s">
        <v>112</v>
      </c>
      <c r="G294" s="1">
        <v>669</v>
      </c>
    </row>
    <row r="295" spans="1:7" x14ac:dyDescent="0.3">
      <c r="A295" s="1" t="str">
        <f t="shared" si="4"/>
        <v>09 duta 0.1</v>
      </c>
      <c r="B2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95" s="1" t="s">
        <v>3529</v>
      </c>
      <c r="D295" s="1" t="s">
        <v>3047</v>
      </c>
      <c r="E295" s="1" t="s">
        <v>3530</v>
      </c>
      <c r="F295" s="1" t="s">
        <v>112</v>
      </c>
      <c r="G295" s="1">
        <v>636</v>
      </c>
    </row>
    <row r="296" spans="1:7" x14ac:dyDescent="0.3">
      <c r="A296" s="1" t="str">
        <f t="shared" si="4"/>
        <v>09 duta 0.1</v>
      </c>
      <c r="B2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96" s="1" t="s">
        <v>3531</v>
      </c>
    </row>
    <row r="297" spans="1:7" x14ac:dyDescent="0.3">
      <c r="A297" s="1" t="str">
        <f t="shared" si="4"/>
        <v>09 duta 0.1</v>
      </c>
      <c r="B2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97" s="1" t="s">
        <v>3532</v>
      </c>
      <c r="D297" s="1" t="s">
        <v>3533</v>
      </c>
      <c r="E297" s="1" t="s">
        <v>3534</v>
      </c>
      <c r="F297" s="1" t="s">
        <v>112</v>
      </c>
      <c r="G297" s="1">
        <v>21409</v>
      </c>
    </row>
    <row r="298" spans="1:7" x14ac:dyDescent="0.3">
      <c r="A298" s="1" t="str">
        <f t="shared" si="4"/>
        <v>09 duta 0.1</v>
      </c>
      <c r="B2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98" s="1" t="s">
        <v>3535</v>
      </c>
      <c r="D298" s="1" t="s">
        <v>3065</v>
      </c>
      <c r="E298" s="1" t="s">
        <v>3536</v>
      </c>
      <c r="F298" s="1" t="s">
        <v>112</v>
      </c>
      <c r="G298" s="1">
        <v>388</v>
      </c>
    </row>
    <row r="299" spans="1:7" x14ac:dyDescent="0.3">
      <c r="A299" s="1" t="str">
        <f t="shared" si="4"/>
        <v>09 duta 0.1</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99" s="1" t="s">
        <v>3537</v>
      </c>
      <c r="D299" s="1" t="s">
        <v>3090</v>
      </c>
      <c r="E299" s="1" t="s">
        <v>181</v>
      </c>
      <c r="F299" s="1" t="s">
        <v>112</v>
      </c>
      <c r="G299" s="1">
        <v>1290</v>
      </c>
    </row>
    <row r="300" spans="1:7" x14ac:dyDescent="0.3">
      <c r="A300" s="1" t="str">
        <f t="shared" si="4"/>
        <v>09 duta 0.1</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00" s="1" t="s">
        <v>3538</v>
      </c>
      <c r="D300" s="1" t="s">
        <v>3539</v>
      </c>
      <c r="E300" s="1" t="s">
        <v>2796</v>
      </c>
      <c r="F300" s="1" t="s">
        <v>112</v>
      </c>
      <c r="G300" s="1">
        <v>7766</v>
      </c>
    </row>
    <row r="301" spans="1:7" x14ac:dyDescent="0.3">
      <c r="A301" s="1" t="str">
        <f t="shared" si="4"/>
        <v>09 duta 0.1</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01" s="1" t="s">
        <v>3540</v>
      </c>
      <c r="D301" s="1" t="s">
        <v>3541</v>
      </c>
      <c r="E301" s="1" t="s">
        <v>225</v>
      </c>
      <c r="F301" s="1" t="s">
        <v>112</v>
      </c>
      <c r="G301" s="1">
        <v>2182</v>
      </c>
    </row>
    <row r="302" spans="1:7" x14ac:dyDescent="0.3">
      <c r="A302" s="1" t="str">
        <f t="shared" si="4"/>
        <v>09 duta 0.1</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02" s="1" t="s">
        <v>3542</v>
      </c>
      <c r="D302" s="1" t="s">
        <v>3543</v>
      </c>
      <c r="E302" s="1" t="s">
        <v>3544</v>
      </c>
      <c r="F302" s="1" t="s">
        <v>112</v>
      </c>
      <c r="G302" s="1">
        <v>8331</v>
      </c>
    </row>
    <row r="303" spans="1:7" x14ac:dyDescent="0.3">
      <c r="A303" s="1" t="str">
        <f t="shared" si="4"/>
        <v>09 duta 0.1</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03" s="1" t="s">
        <v>3545</v>
      </c>
      <c r="D303" s="1" t="s">
        <v>3546</v>
      </c>
      <c r="E303" s="1" t="s">
        <v>209</v>
      </c>
      <c r="F303" s="1" t="s">
        <v>112</v>
      </c>
      <c r="G303" s="1">
        <v>15035</v>
      </c>
    </row>
    <row r="304" spans="1:7" x14ac:dyDescent="0.3">
      <c r="A304" s="1" t="str">
        <f t="shared" si="4"/>
        <v>09 duta 0.1</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04" s="1" t="s">
        <v>3547</v>
      </c>
      <c r="D304" s="1" t="s">
        <v>3018</v>
      </c>
      <c r="E304" s="1" t="s">
        <v>906</v>
      </c>
      <c r="F304" s="1" t="s">
        <v>112</v>
      </c>
      <c r="G304" s="1">
        <v>608</v>
      </c>
    </row>
    <row r="305" spans="1:10" x14ac:dyDescent="0.3">
      <c r="A305" s="1" t="str">
        <f t="shared" si="4"/>
        <v>09 duta 0.1</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05" s="1" t="s">
        <v>3548</v>
      </c>
      <c r="D305" s="1" t="s">
        <v>2993</v>
      </c>
      <c r="E305" s="1" t="s">
        <v>453</v>
      </c>
      <c r="F305" s="1" t="s">
        <v>112</v>
      </c>
      <c r="G305" s="1">
        <v>766</v>
      </c>
    </row>
    <row r="306" spans="1:10" x14ac:dyDescent="0.3">
      <c r="A306" s="1" t="str">
        <f t="shared" si="4"/>
        <v>09 duta 0.1</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06" s="1" t="s">
        <v>3549</v>
      </c>
      <c r="D306" s="1" t="s">
        <v>2996</v>
      </c>
      <c r="E306" s="1" t="s">
        <v>2408</v>
      </c>
      <c r="F306" s="1" t="s">
        <v>112</v>
      </c>
      <c r="G306" s="1">
        <v>528</v>
      </c>
    </row>
    <row r="307" spans="1:10" x14ac:dyDescent="0.3">
      <c r="A307" s="1" t="str">
        <f t="shared" si="4"/>
        <v>09 duta 0.1</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07" s="1" t="s">
        <v>3550</v>
      </c>
      <c r="D307" s="1" t="s">
        <v>3047</v>
      </c>
      <c r="E307" s="1" t="s">
        <v>3551</v>
      </c>
      <c r="F307" s="1" t="s">
        <v>112</v>
      </c>
      <c r="G307" s="1">
        <v>692</v>
      </c>
    </row>
    <row r="308" spans="1:10" x14ac:dyDescent="0.3">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8" s="1" t="s">
        <v>112</v>
      </c>
    </row>
    <row r="309" spans="1:10" x14ac:dyDescent="0.3">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9" s="1" t="s">
        <v>195</v>
      </c>
      <c r="D309" s="1" t="s">
        <v>112</v>
      </c>
      <c r="E309" s="1" t="s">
        <v>196</v>
      </c>
      <c r="F309" s="1" t="s">
        <v>197</v>
      </c>
      <c r="G309" s="1" t="s">
        <v>198</v>
      </c>
      <c r="H309" s="1" t="s">
        <v>199</v>
      </c>
      <c r="I309" s="1" t="s">
        <v>200</v>
      </c>
      <c r="J309" s="1" t="s">
        <v>201</v>
      </c>
    </row>
    <row r="310" spans="1:10" x14ac:dyDescent="0.3">
      <c r="A310" s="1" t="str">
        <f t="shared" si="4"/>
        <v>09 duta 0.1</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10" s="1" t="s">
        <v>3552</v>
      </c>
      <c r="D310" s="1" t="s">
        <v>112</v>
      </c>
      <c r="E310" s="1" t="s">
        <v>3553</v>
      </c>
      <c r="F310" s="1" t="s">
        <v>3554</v>
      </c>
      <c r="G310" s="1" t="s">
        <v>3555</v>
      </c>
      <c r="H310" s="1" t="s">
        <v>3556</v>
      </c>
      <c r="I310" s="1">
        <v>24</v>
      </c>
      <c r="J310" s="1">
        <v>24</v>
      </c>
    </row>
    <row r="311" spans="1:10" x14ac:dyDescent="0.3">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1" s="1" t="s">
        <v>112</v>
      </c>
    </row>
    <row r="312" spans="1:10" x14ac:dyDescent="0.3">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2" s="1" t="s">
        <v>112</v>
      </c>
    </row>
    <row r="313" spans="1:10" x14ac:dyDescent="0.3">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3" s="1" t="s">
        <v>112</v>
      </c>
    </row>
    <row r="314" spans="1:10" x14ac:dyDescent="0.3">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4" s="1" t="s">
        <v>112</v>
      </c>
    </row>
    <row r="315" spans="1:10" x14ac:dyDescent="0.3">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5" s="1" t="s">
        <v>112</v>
      </c>
    </row>
    <row r="316" spans="1:10" x14ac:dyDescent="0.3">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6" s="1" t="s">
        <v>202</v>
      </c>
      <c r="D316" s="1" t="s">
        <v>110</v>
      </c>
      <c r="E316" s="1" t="s">
        <v>111</v>
      </c>
      <c r="F316" s="1" t="s">
        <v>112</v>
      </c>
      <c r="G316" s="1" t="s">
        <v>113</v>
      </c>
    </row>
    <row r="317" spans="1:10" x14ac:dyDescent="0.3">
      <c r="A317" s="1" t="str">
        <f t="shared" si="4"/>
        <v>10 duta 0.25</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17" s="1" t="s">
        <v>3557</v>
      </c>
      <c r="D317" s="1" t="s">
        <v>3558</v>
      </c>
      <c r="E317" s="1" t="s">
        <v>3559</v>
      </c>
      <c r="F317" s="1" t="s">
        <v>112</v>
      </c>
      <c r="G317" s="1">
        <v>3376</v>
      </c>
    </row>
    <row r="318" spans="1:10" x14ac:dyDescent="0.3">
      <c r="A318" s="1" t="str">
        <f t="shared" si="4"/>
        <v>10 duta 0.25</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18" s="1" t="s">
        <v>3560</v>
      </c>
      <c r="D318" s="1" t="s">
        <v>3166</v>
      </c>
      <c r="E318" s="1" t="s">
        <v>3561</v>
      </c>
      <c r="F318" s="1" t="s">
        <v>112</v>
      </c>
      <c r="G318" s="1">
        <v>2425</v>
      </c>
    </row>
    <row r="319" spans="1:10" x14ac:dyDescent="0.3">
      <c r="A319" s="1" t="str">
        <f t="shared" si="4"/>
        <v>10 duta 0.25</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19" s="1" t="s">
        <v>3562</v>
      </c>
      <c r="D319" s="1" t="s">
        <v>3563</v>
      </c>
      <c r="E319" s="1" t="s">
        <v>3564</v>
      </c>
      <c r="F319" s="1" t="s">
        <v>112</v>
      </c>
      <c r="G319" s="1">
        <v>15958</v>
      </c>
    </row>
    <row r="320" spans="1:10" x14ac:dyDescent="0.3">
      <c r="A320" s="1" t="str">
        <f t="shared" si="4"/>
        <v>10 duta 0.25</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20" s="1" t="s">
        <v>3565</v>
      </c>
      <c r="D320" s="1" t="s">
        <v>3566</v>
      </c>
      <c r="E320" s="1">
        <v>64</v>
      </c>
      <c r="F320" s="1" t="s">
        <v>112</v>
      </c>
      <c r="G320" s="1">
        <v>1630</v>
      </c>
    </row>
    <row r="321" spans="1:7" x14ac:dyDescent="0.3">
      <c r="A321" s="1" t="str">
        <f t="shared" si="4"/>
        <v>10 duta 0.25</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21" s="1" t="s">
        <v>3567</v>
      </c>
      <c r="D321" s="1" t="s">
        <v>3489</v>
      </c>
      <c r="E321" s="1" t="s">
        <v>3568</v>
      </c>
      <c r="F321" s="1" t="s">
        <v>112</v>
      </c>
      <c r="G321" s="1">
        <v>2429</v>
      </c>
    </row>
    <row r="322" spans="1:7" x14ac:dyDescent="0.3">
      <c r="A322" s="1" t="str">
        <f t="shared" ref="A322:A385" si="5">IFERROR(LEFT(RIGHT(C322,LEN(C322)-SEARCH("@",C322)),SEARCH("/",RIGHT(C322,LEN(C322)-SEARCH("@",C322)-1))),"")</f>
        <v>10 duta 0.25</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22" s="1" t="s">
        <v>3569</v>
      </c>
      <c r="D322" s="1" t="s">
        <v>3058</v>
      </c>
      <c r="E322" s="1" t="s">
        <v>3570</v>
      </c>
      <c r="F322" s="1" t="s">
        <v>112</v>
      </c>
      <c r="G322" s="1">
        <v>1728</v>
      </c>
    </row>
    <row r="323" spans="1:7" x14ac:dyDescent="0.3">
      <c r="A323" s="1" t="str">
        <f t="shared" si="5"/>
        <v>10 duta 0.25</v>
      </c>
      <c r="B3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23" s="1" t="s">
        <v>3571</v>
      </c>
      <c r="D323" s="1" t="s">
        <v>2990</v>
      </c>
      <c r="E323" s="1" t="s">
        <v>348</v>
      </c>
      <c r="F323" s="1" t="s">
        <v>112</v>
      </c>
      <c r="G323" s="1">
        <v>1399</v>
      </c>
    </row>
    <row r="324" spans="1:7" x14ac:dyDescent="0.3">
      <c r="A324" s="1" t="str">
        <f t="shared" si="5"/>
        <v>10 duta 0.25</v>
      </c>
      <c r="B3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24" s="1" t="s">
        <v>3572</v>
      </c>
      <c r="D324" s="1" t="s">
        <v>3573</v>
      </c>
      <c r="E324" s="1" t="s">
        <v>3574</v>
      </c>
      <c r="F324" s="1" t="s">
        <v>112</v>
      </c>
      <c r="G324" s="1">
        <v>6829</v>
      </c>
    </row>
    <row r="325" spans="1:7" x14ac:dyDescent="0.3">
      <c r="A325" s="1" t="str">
        <f t="shared" si="5"/>
        <v>10 duta 0.25</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25" s="1" t="s">
        <v>3575</v>
      </c>
      <c r="D325" s="1" t="s">
        <v>3576</v>
      </c>
      <c r="E325" s="1" t="s">
        <v>3577</v>
      </c>
      <c r="F325" s="1" t="s">
        <v>112</v>
      </c>
      <c r="G325" s="1">
        <v>5301</v>
      </c>
    </row>
    <row r="326" spans="1:7" x14ac:dyDescent="0.3">
      <c r="A326" s="1" t="str">
        <f t="shared" si="5"/>
        <v>10 duta 0.25</v>
      </c>
      <c r="B3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26" s="1" t="s">
        <v>3578</v>
      </c>
      <c r="D326" s="1" t="s">
        <v>3056</v>
      </c>
      <c r="E326" s="1" t="s">
        <v>1069</v>
      </c>
      <c r="F326" s="1" t="s">
        <v>112</v>
      </c>
      <c r="G326" s="1">
        <v>796</v>
      </c>
    </row>
    <row r="327" spans="1:7" x14ac:dyDescent="0.3">
      <c r="A327" s="1" t="str">
        <f t="shared" si="5"/>
        <v>10 duta 0.25</v>
      </c>
      <c r="B3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27" s="1" t="s">
        <v>3579</v>
      </c>
      <c r="D327" s="1" t="s">
        <v>2996</v>
      </c>
      <c r="E327" s="1" t="s">
        <v>3580</v>
      </c>
      <c r="F327" s="1" t="s">
        <v>112</v>
      </c>
      <c r="G327" s="1">
        <v>564</v>
      </c>
    </row>
    <row r="328" spans="1:7" x14ac:dyDescent="0.3">
      <c r="A328" s="1" t="str">
        <f t="shared" si="5"/>
        <v>10 duta 0.25</v>
      </c>
      <c r="B3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28" s="1" t="s">
        <v>3581</v>
      </c>
      <c r="D328" s="1" t="s">
        <v>3470</v>
      </c>
      <c r="E328" s="1">
        <v>64</v>
      </c>
      <c r="F328" s="1" t="s">
        <v>112</v>
      </c>
      <c r="G328" s="1">
        <v>272</v>
      </c>
    </row>
    <row r="329" spans="1:7" x14ac:dyDescent="0.3">
      <c r="A329" s="1" t="str">
        <f t="shared" si="5"/>
        <v>10 duta 0.25</v>
      </c>
      <c r="B3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29" s="1" t="s">
        <v>3582</v>
      </c>
      <c r="D329" s="1" t="s">
        <v>2990</v>
      </c>
      <c r="E329" s="1" t="s">
        <v>3583</v>
      </c>
      <c r="F329" s="1" t="s">
        <v>112</v>
      </c>
      <c r="G329" s="1">
        <v>1382</v>
      </c>
    </row>
    <row r="330" spans="1:7" x14ac:dyDescent="0.3">
      <c r="A330" s="1" t="str">
        <f t="shared" si="5"/>
        <v>10 duta 0.25</v>
      </c>
      <c r="B3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30" s="1" t="s">
        <v>3584</v>
      </c>
      <c r="D330" s="1" t="s">
        <v>3056</v>
      </c>
      <c r="E330" s="1" t="s">
        <v>3585</v>
      </c>
      <c r="F330" s="1" t="s">
        <v>112</v>
      </c>
      <c r="G330" s="1">
        <v>826</v>
      </c>
    </row>
    <row r="331" spans="1:7" x14ac:dyDescent="0.3">
      <c r="A331" s="1" t="str">
        <f t="shared" si="5"/>
        <v>10 duta 0.25</v>
      </c>
      <c r="B3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31" s="1" t="s">
        <v>3586</v>
      </c>
      <c r="D331" s="1" t="s">
        <v>3485</v>
      </c>
      <c r="E331" s="1" t="s">
        <v>3126</v>
      </c>
      <c r="F331" s="1" t="s">
        <v>112</v>
      </c>
      <c r="G331" s="1">
        <v>1503</v>
      </c>
    </row>
    <row r="332" spans="1:7" x14ac:dyDescent="0.3">
      <c r="A332" s="1" t="str">
        <f t="shared" si="5"/>
        <v>10 duta 0.25</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32" s="1" t="s">
        <v>3587</v>
      </c>
      <c r="D332" s="1" t="s">
        <v>3485</v>
      </c>
      <c r="E332" s="1" t="s">
        <v>3588</v>
      </c>
      <c r="F332" s="1" t="s">
        <v>112</v>
      </c>
      <c r="G332" s="1">
        <v>1493</v>
      </c>
    </row>
    <row r="333" spans="1:7" x14ac:dyDescent="0.3">
      <c r="A333" s="1" t="str">
        <f t="shared" si="5"/>
        <v>10 duta 0.25</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33" s="1" t="s">
        <v>3589</v>
      </c>
      <c r="D333" s="1" t="s">
        <v>2998</v>
      </c>
      <c r="E333" s="1" t="s">
        <v>3590</v>
      </c>
      <c r="F333" s="1" t="s">
        <v>112</v>
      </c>
      <c r="G333" s="1">
        <v>442</v>
      </c>
    </row>
    <row r="334" spans="1:7" x14ac:dyDescent="0.3">
      <c r="A334" s="1" t="str">
        <f t="shared" si="5"/>
        <v>10 duta 0.25</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34" s="1" t="s">
        <v>3591</v>
      </c>
      <c r="D334" s="1" t="s">
        <v>3085</v>
      </c>
      <c r="E334" s="1" t="s">
        <v>1794</v>
      </c>
      <c r="F334" s="1" t="s">
        <v>112</v>
      </c>
      <c r="G334" s="1">
        <v>1982</v>
      </c>
    </row>
    <row r="335" spans="1:7" x14ac:dyDescent="0.3">
      <c r="A335" s="1" t="str">
        <f t="shared" si="5"/>
        <v>10 duta 0.25</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35" s="1" t="s">
        <v>3592</v>
      </c>
      <c r="D335" s="1" t="s">
        <v>2996</v>
      </c>
      <c r="E335" s="1" t="s">
        <v>3593</v>
      </c>
      <c r="F335" s="1" t="s">
        <v>112</v>
      </c>
      <c r="G335" s="1">
        <v>534</v>
      </c>
    </row>
    <row r="336" spans="1:7" x14ac:dyDescent="0.3">
      <c r="A336" s="1" t="str">
        <f t="shared" si="5"/>
        <v>10 duta 0.25</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36" s="1" t="s">
        <v>3594</v>
      </c>
      <c r="D336" s="1" t="s">
        <v>3018</v>
      </c>
      <c r="E336" s="1" t="s">
        <v>3083</v>
      </c>
      <c r="F336" s="1" t="s">
        <v>112</v>
      </c>
      <c r="G336" s="1">
        <v>594</v>
      </c>
    </row>
    <row r="337" spans="1:10" x14ac:dyDescent="0.3">
      <c r="A337" s="1" t="str">
        <f t="shared" si="5"/>
        <v>10 duta 0.25</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37" s="1" t="s">
        <v>3595</v>
      </c>
    </row>
    <row r="338" spans="1:10" x14ac:dyDescent="0.3">
      <c r="A338" s="1" t="str">
        <f t="shared" si="5"/>
        <v>10 duta 0.25</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38" s="1" t="s">
        <v>3596</v>
      </c>
      <c r="D338" s="1" t="s">
        <v>3482</v>
      </c>
      <c r="E338" s="1" t="s">
        <v>3597</v>
      </c>
      <c r="F338" s="1" t="s">
        <v>112</v>
      </c>
      <c r="G338" s="1">
        <v>693</v>
      </c>
    </row>
    <row r="339" spans="1:10" x14ac:dyDescent="0.3">
      <c r="A339" s="1" t="str">
        <f t="shared" si="5"/>
        <v>10 duta 0.25</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39" s="1" t="s">
        <v>3598</v>
      </c>
      <c r="D339" s="1" t="s">
        <v>3599</v>
      </c>
      <c r="E339" s="1" t="s">
        <v>1776</v>
      </c>
      <c r="F339" s="1" t="s">
        <v>112</v>
      </c>
      <c r="G339" s="1">
        <v>1889</v>
      </c>
    </row>
    <row r="340" spans="1:10" x14ac:dyDescent="0.3">
      <c r="A340" s="1" t="str">
        <f t="shared" si="5"/>
        <v>10 duta 0.25</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40" s="1" t="s">
        <v>3600</v>
      </c>
      <c r="D340" s="1" t="s">
        <v>3220</v>
      </c>
      <c r="E340" s="1" t="s">
        <v>3601</v>
      </c>
      <c r="F340" s="1" t="s">
        <v>112</v>
      </c>
      <c r="G340" s="1">
        <v>7179</v>
      </c>
    </row>
    <row r="341" spans="1:10" x14ac:dyDescent="0.3">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1" s="1" t="s">
        <v>112</v>
      </c>
    </row>
    <row r="342" spans="1:10" x14ac:dyDescent="0.3">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2" s="1" t="s">
        <v>195</v>
      </c>
      <c r="D342" s="1" t="s">
        <v>112</v>
      </c>
      <c r="E342" s="1" t="s">
        <v>196</v>
      </c>
      <c r="F342" s="1" t="s">
        <v>197</v>
      </c>
      <c r="G342" s="1" t="s">
        <v>198</v>
      </c>
      <c r="H342" s="1" t="s">
        <v>199</v>
      </c>
      <c r="I342" s="1" t="s">
        <v>200</v>
      </c>
      <c r="J342" s="1" t="s">
        <v>201</v>
      </c>
    </row>
    <row r="343" spans="1:10" x14ac:dyDescent="0.3">
      <c r="A343" s="1" t="str">
        <f t="shared" si="5"/>
        <v>10 duta 0.25</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43" s="1" t="s">
        <v>3602</v>
      </c>
      <c r="D343" s="1" t="s">
        <v>112</v>
      </c>
      <c r="E343" s="1" t="s">
        <v>3603</v>
      </c>
      <c r="F343" s="1" t="s">
        <v>3604</v>
      </c>
      <c r="G343" s="1" t="s">
        <v>3605</v>
      </c>
      <c r="H343" s="1" t="s">
        <v>3606</v>
      </c>
      <c r="I343" s="1">
        <v>24</v>
      </c>
      <c r="J343" s="1">
        <v>24</v>
      </c>
    </row>
    <row r="344" spans="1:10" x14ac:dyDescent="0.3">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4" s="1" t="s">
        <v>112</v>
      </c>
    </row>
    <row r="345" spans="1:10" x14ac:dyDescent="0.3">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5" s="1" t="s">
        <v>112</v>
      </c>
    </row>
    <row r="346" spans="1:10" x14ac:dyDescent="0.3">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6" s="1" t="s">
        <v>112</v>
      </c>
    </row>
    <row r="347" spans="1:10" x14ac:dyDescent="0.3">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7" s="1" t="s">
        <v>112</v>
      </c>
    </row>
    <row r="348" spans="1:10" x14ac:dyDescent="0.3">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8" s="1" t="s">
        <v>112</v>
      </c>
    </row>
    <row r="349" spans="1:10" x14ac:dyDescent="0.3">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9" s="1" t="s">
        <v>202</v>
      </c>
      <c r="D349" s="1" t="s">
        <v>110</v>
      </c>
      <c r="E349" s="1" t="s">
        <v>111</v>
      </c>
      <c r="F349" s="1" t="s">
        <v>112</v>
      </c>
      <c r="G349" s="1" t="s">
        <v>113</v>
      </c>
    </row>
    <row r="350" spans="1:10" x14ac:dyDescent="0.3">
      <c r="A350" s="1" t="str">
        <f t="shared" si="5"/>
        <v>11 duta 0.5</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0" s="1" t="s">
        <v>3607</v>
      </c>
    </row>
    <row r="351" spans="1:10" x14ac:dyDescent="0.3">
      <c r="A351" s="1" t="str">
        <f t="shared" si="5"/>
        <v>11 duta 0.5</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1" s="1" t="s">
        <v>3608</v>
      </c>
    </row>
    <row r="352" spans="1:10" x14ac:dyDescent="0.3">
      <c r="A352" s="1" t="str">
        <f t="shared" si="5"/>
        <v>11 duta 0.5</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2" s="1" t="s">
        <v>3609</v>
      </c>
    </row>
    <row r="353" spans="1:7" x14ac:dyDescent="0.3">
      <c r="A353" s="1" t="str">
        <f t="shared" si="5"/>
        <v>11 duta 0.5</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53" s="1" t="s">
        <v>3610</v>
      </c>
      <c r="D353" s="1" t="s">
        <v>3056</v>
      </c>
      <c r="E353" s="1" t="s">
        <v>913</v>
      </c>
      <c r="F353" s="1" t="s">
        <v>112</v>
      </c>
      <c r="G353" s="1">
        <v>804</v>
      </c>
    </row>
    <row r="354" spans="1:7" x14ac:dyDescent="0.3">
      <c r="A354" s="1" t="str">
        <f t="shared" si="5"/>
        <v>11 duta 0.5</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54" s="1" t="s">
        <v>3611</v>
      </c>
      <c r="D354" s="1" t="s">
        <v>2998</v>
      </c>
      <c r="E354" s="1" t="s">
        <v>227</v>
      </c>
      <c r="F354" s="1" t="s">
        <v>112</v>
      </c>
      <c r="G354" s="1">
        <v>435</v>
      </c>
    </row>
    <row r="355" spans="1:7" x14ac:dyDescent="0.3">
      <c r="A355" s="1" t="str">
        <f t="shared" si="5"/>
        <v>11 duta 0.5</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55" s="1" t="s">
        <v>3612</v>
      </c>
      <c r="D355" s="1" t="s">
        <v>3613</v>
      </c>
      <c r="E355" s="1" t="s">
        <v>3614</v>
      </c>
      <c r="F355" s="1" t="s">
        <v>112</v>
      </c>
      <c r="G355" s="1">
        <v>1208</v>
      </c>
    </row>
    <row r="356" spans="1:7" x14ac:dyDescent="0.3">
      <c r="A356" s="1" t="str">
        <f t="shared" si="5"/>
        <v>11 duta 0.5</v>
      </c>
      <c r="B3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56" s="1" t="s">
        <v>3615</v>
      </c>
      <c r="D356" s="1" t="s">
        <v>2996</v>
      </c>
      <c r="E356" s="1" t="s">
        <v>2259</v>
      </c>
      <c r="F356" s="1" t="s">
        <v>112</v>
      </c>
      <c r="G356" s="1">
        <v>532</v>
      </c>
    </row>
    <row r="357" spans="1:7" x14ac:dyDescent="0.3">
      <c r="A357" s="1" t="str">
        <f t="shared" si="5"/>
        <v>11 duta 0.5</v>
      </c>
      <c r="B3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57" s="1" t="s">
        <v>3616</v>
      </c>
      <c r="D357" s="1" t="s">
        <v>3491</v>
      </c>
      <c r="E357" s="1" t="s">
        <v>3617</v>
      </c>
      <c r="F357" s="1" t="s">
        <v>112</v>
      </c>
      <c r="G357" s="1">
        <v>1918</v>
      </c>
    </row>
    <row r="358" spans="1:7" x14ac:dyDescent="0.3">
      <c r="A358" s="1" t="str">
        <f t="shared" si="5"/>
        <v>11 duta 0.5</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58" s="1" t="s">
        <v>3618</v>
      </c>
      <c r="D358" s="1" t="s">
        <v>3619</v>
      </c>
      <c r="E358" s="1" t="s">
        <v>3620</v>
      </c>
      <c r="F358" s="1" t="s">
        <v>112</v>
      </c>
      <c r="G358" s="1">
        <v>8903</v>
      </c>
    </row>
    <row r="359" spans="1:7" x14ac:dyDescent="0.3">
      <c r="A359" s="1" t="str">
        <f t="shared" si="5"/>
        <v>11 duta 0.5</v>
      </c>
      <c r="B3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59" s="1" t="s">
        <v>3621</v>
      </c>
      <c r="D359" s="1" t="s">
        <v>3622</v>
      </c>
      <c r="E359" s="1" t="s">
        <v>3623</v>
      </c>
      <c r="F359" s="1" t="s">
        <v>112</v>
      </c>
      <c r="G359" s="1">
        <v>2661</v>
      </c>
    </row>
    <row r="360" spans="1:7" x14ac:dyDescent="0.3">
      <c r="A360" s="1" t="str">
        <f t="shared" si="5"/>
        <v>11 duta 0.5</v>
      </c>
      <c r="B3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60" s="1" t="s">
        <v>3624</v>
      </c>
      <c r="D360" s="1" t="s">
        <v>3625</v>
      </c>
      <c r="E360" s="1" t="s">
        <v>3626</v>
      </c>
      <c r="F360" s="1" t="s">
        <v>112</v>
      </c>
      <c r="G360" s="1">
        <v>3554</v>
      </c>
    </row>
    <row r="361" spans="1:7" x14ac:dyDescent="0.3">
      <c r="A361" s="1" t="str">
        <f t="shared" si="5"/>
        <v>11 duta 0.5</v>
      </c>
      <c r="B3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61" s="1" t="s">
        <v>3627</v>
      </c>
      <c r="D361" s="1" t="s">
        <v>3482</v>
      </c>
      <c r="E361" s="1" t="s">
        <v>1877</v>
      </c>
      <c r="F361" s="1" t="s">
        <v>112</v>
      </c>
      <c r="G361" s="1">
        <v>696</v>
      </c>
    </row>
    <row r="362" spans="1:7" x14ac:dyDescent="0.3">
      <c r="A362" s="1" t="str">
        <f t="shared" si="5"/>
        <v>11 duta 0.5</v>
      </c>
      <c r="B3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62" s="1" t="s">
        <v>3628</v>
      </c>
      <c r="D362" s="1" t="s">
        <v>3102</v>
      </c>
      <c r="E362" s="1" t="s">
        <v>181</v>
      </c>
      <c r="F362" s="1" t="s">
        <v>112</v>
      </c>
      <c r="G362" s="1">
        <v>484</v>
      </c>
    </row>
    <row r="363" spans="1:7" x14ac:dyDescent="0.3">
      <c r="A363" s="1" t="str">
        <f t="shared" si="5"/>
        <v>11 duta 0.5</v>
      </c>
      <c r="B3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63" s="1" t="s">
        <v>3629</v>
      </c>
      <c r="D363" s="1" t="s">
        <v>3102</v>
      </c>
      <c r="E363" s="1" t="s">
        <v>216</v>
      </c>
      <c r="F363" s="1" t="s">
        <v>112</v>
      </c>
      <c r="G363" s="1">
        <v>490</v>
      </c>
    </row>
    <row r="364" spans="1:7" x14ac:dyDescent="0.3">
      <c r="A364" s="1" t="str">
        <f t="shared" si="5"/>
        <v>11 duta 0.5</v>
      </c>
      <c r="B3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64" s="1" t="s">
        <v>3630</v>
      </c>
      <c r="D364" s="1" t="s">
        <v>2998</v>
      </c>
      <c r="E364" s="1" t="s">
        <v>241</v>
      </c>
      <c r="F364" s="1" t="s">
        <v>112</v>
      </c>
      <c r="G364" s="1">
        <v>446</v>
      </c>
    </row>
    <row r="365" spans="1:7" x14ac:dyDescent="0.3">
      <c r="A365" s="1" t="str">
        <f t="shared" si="5"/>
        <v>11 duta 0.5</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65" s="1" t="s">
        <v>3631</v>
      </c>
    </row>
    <row r="366" spans="1:7" x14ac:dyDescent="0.3">
      <c r="A366" s="1" t="str">
        <f t="shared" si="5"/>
        <v>11 duta 0.5</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66" s="1" t="s">
        <v>3632</v>
      </c>
      <c r="D366" s="1" t="s">
        <v>3633</v>
      </c>
      <c r="E366" s="1" t="s">
        <v>3634</v>
      </c>
      <c r="F366" s="1" t="s">
        <v>112</v>
      </c>
      <c r="G366" s="1">
        <v>7482</v>
      </c>
    </row>
    <row r="367" spans="1:7" x14ac:dyDescent="0.3">
      <c r="A367" s="1" t="str">
        <f t="shared" si="5"/>
        <v>11 duta 0.5</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67" s="1" t="s">
        <v>3635</v>
      </c>
      <c r="D367" s="1" t="s">
        <v>3636</v>
      </c>
      <c r="E367" s="1" t="s">
        <v>3637</v>
      </c>
      <c r="F367" s="1" t="s">
        <v>112</v>
      </c>
      <c r="G367" s="1">
        <v>6082</v>
      </c>
    </row>
    <row r="368" spans="1:7" x14ac:dyDescent="0.3">
      <c r="A368" s="1" t="str">
        <f t="shared" si="5"/>
        <v>11 duta 0.5</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68" s="1" t="s">
        <v>3638</v>
      </c>
      <c r="D368" s="1" t="s">
        <v>3087</v>
      </c>
      <c r="E368" s="1">
        <v>64</v>
      </c>
      <c r="F368" s="1" t="s">
        <v>112</v>
      </c>
      <c r="G368" s="1">
        <v>1250</v>
      </c>
    </row>
    <row r="369" spans="1:10" x14ac:dyDescent="0.3">
      <c r="A369" s="1" t="str">
        <f t="shared" si="5"/>
        <v>11 duta 0.5</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69" s="1" t="s">
        <v>3639</v>
      </c>
      <c r="D369" s="1" t="s">
        <v>3470</v>
      </c>
      <c r="E369" s="1" t="s">
        <v>3640</v>
      </c>
      <c r="F369" s="1" t="s">
        <v>112</v>
      </c>
      <c r="G369" s="1">
        <v>261</v>
      </c>
    </row>
    <row r="370" spans="1:10" x14ac:dyDescent="0.3">
      <c r="A370" s="1" t="str">
        <f t="shared" si="5"/>
        <v>11 duta 0.5</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70" s="1" t="s">
        <v>3641</v>
      </c>
      <c r="D370" s="1" t="s">
        <v>3065</v>
      </c>
      <c r="E370" s="1" t="s">
        <v>517</v>
      </c>
      <c r="F370" s="1" t="s">
        <v>112</v>
      </c>
      <c r="G370" s="1">
        <v>373</v>
      </c>
    </row>
    <row r="371" spans="1:10" x14ac:dyDescent="0.3">
      <c r="A371" s="1" t="str">
        <f t="shared" si="5"/>
        <v>11 duta 0.5</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71" s="1" t="s">
        <v>3642</v>
      </c>
      <c r="D371" s="1" t="s">
        <v>2998</v>
      </c>
      <c r="E371" s="1" t="s">
        <v>3480</v>
      </c>
      <c r="F371" s="1" t="s">
        <v>112</v>
      </c>
      <c r="G371" s="1">
        <v>440</v>
      </c>
    </row>
    <row r="372" spans="1:10" x14ac:dyDescent="0.3">
      <c r="A372" s="1" t="str">
        <f t="shared" si="5"/>
        <v>11 duta 0.5</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72" s="1" t="s">
        <v>3643</v>
      </c>
      <c r="D372" s="1" t="s">
        <v>2996</v>
      </c>
      <c r="E372" s="1" t="s">
        <v>2396</v>
      </c>
      <c r="F372" s="1" t="s">
        <v>112</v>
      </c>
      <c r="G372" s="1">
        <v>536</v>
      </c>
    </row>
    <row r="373" spans="1:10" x14ac:dyDescent="0.3">
      <c r="A373" s="1" t="str">
        <f t="shared" si="5"/>
        <v>11 duta 0.5</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73" s="1" t="s">
        <v>3644</v>
      </c>
      <c r="D373" s="1" t="s">
        <v>3081</v>
      </c>
      <c r="E373" s="1" t="s">
        <v>216</v>
      </c>
      <c r="F373" s="1" t="s">
        <v>112</v>
      </c>
      <c r="G373" s="1">
        <v>980</v>
      </c>
    </row>
    <row r="374" spans="1:10" x14ac:dyDescent="0.3">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74" s="1" t="s">
        <v>112</v>
      </c>
    </row>
    <row r="375" spans="1:10" x14ac:dyDescent="0.3">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75" s="1" t="s">
        <v>195</v>
      </c>
      <c r="D375" s="1" t="s">
        <v>112</v>
      </c>
      <c r="E375" s="1" t="s">
        <v>196</v>
      </c>
      <c r="F375" s="1" t="s">
        <v>197</v>
      </c>
      <c r="G375" s="1" t="s">
        <v>198</v>
      </c>
      <c r="H375" s="1" t="s">
        <v>199</v>
      </c>
      <c r="I375" s="1" t="s">
        <v>200</v>
      </c>
      <c r="J375" s="1" t="s">
        <v>201</v>
      </c>
    </row>
    <row r="376" spans="1:10" x14ac:dyDescent="0.3">
      <c r="A376" s="1" t="str">
        <f t="shared" si="5"/>
        <v>11 duta 0.5</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76" s="1" t="s">
        <v>3645</v>
      </c>
      <c r="D376" s="1" t="s">
        <v>112</v>
      </c>
      <c r="E376" s="1" t="s">
        <v>3646</v>
      </c>
      <c r="F376" s="1" t="s">
        <v>3647</v>
      </c>
      <c r="G376" s="1">
        <v>2173</v>
      </c>
      <c r="H376" s="1" t="s">
        <v>3648</v>
      </c>
      <c r="I376" s="1">
        <v>24</v>
      </c>
      <c r="J376" s="1">
        <v>24</v>
      </c>
    </row>
    <row r="377" spans="1:10" x14ac:dyDescent="0.3">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77" s="1" t="s">
        <v>112</v>
      </c>
    </row>
    <row r="378" spans="1:10" x14ac:dyDescent="0.3">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78" s="1" t="s">
        <v>112</v>
      </c>
    </row>
    <row r="379" spans="1:10" x14ac:dyDescent="0.3">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79" s="1" t="s">
        <v>112</v>
      </c>
    </row>
    <row r="380" spans="1:10" x14ac:dyDescent="0.3">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0" s="1" t="s">
        <v>112</v>
      </c>
    </row>
    <row r="381" spans="1:10" x14ac:dyDescent="0.3">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1" s="1" t="s">
        <v>112</v>
      </c>
    </row>
    <row r="382" spans="1:10" x14ac:dyDescent="0.3">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2" s="1" t="s">
        <v>202</v>
      </c>
      <c r="D382" s="1" t="s">
        <v>110</v>
      </c>
      <c r="E382" s="1" t="s">
        <v>111</v>
      </c>
      <c r="F382" s="1" t="s">
        <v>112</v>
      </c>
      <c r="G382" s="1" t="s">
        <v>113</v>
      </c>
    </row>
    <row r="383" spans="1:10" x14ac:dyDescent="0.3">
      <c r="A383" s="1" t="str">
        <f t="shared" si="5"/>
        <v>12  duta 1</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83" s="1" t="s">
        <v>3649</v>
      </c>
      <c r="D383" s="1" t="s">
        <v>3081</v>
      </c>
      <c r="E383" s="1" t="s">
        <v>3119</v>
      </c>
      <c r="F383" s="1" t="s">
        <v>112</v>
      </c>
      <c r="G383" s="1">
        <v>959</v>
      </c>
    </row>
    <row r="384" spans="1:10" x14ac:dyDescent="0.3">
      <c r="A384" s="1" t="str">
        <f t="shared" si="5"/>
        <v>12  duta 1</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84" s="1" t="s">
        <v>3650</v>
      </c>
      <c r="D384" s="1" t="s">
        <v>3125</v>
      </c>
      <c r="E384" s="1" t="s">
        <v>3651</v>
      </c>
      <c r="F384" s="1" t="s">
        <v>112</v>
      </c>
      <c r="G384" s="1">
        <v>858</v>
      </c>
    </row>
    <row r="385" spans="1:7" x14ac:dyDescent="0.3">
      <c r="A385" s="1" t="str">
        <f t="shared" si="5"/>
        <v>12  duta 1</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85" s="1" t="s">
        <v>3652</v>
      </c>
      <c r="D385" s="1" t="s">
        <v>3065</v>
      </c>
      <c r="E385" s="1" t="s">
        <v>313</v>
      </c>
      <c r="F385" s="1" t="s">
        <v>112</v>
      </c>
      <c r="G385" s="1">
        <v>391</v>
      </c>
    </row>
    <row r="386" spans="1:7" x14ac:dyDescent="0.3">
      <c r="A386" s="1" t="str">
        <f t="shared" ref="A386:A449" si="6">IFERROR(LEFT(RIGHT(C386,LEN(C386)-SEARCH("@",C386)),SEARCH("/",RIGHT(C386,LEN(C386)-SEARCH("@",C386)-1))),"")</f>
        <v>12  duta 1</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6" s="1" t="s">
        <v>3653</v>
      </c>
      <c r="D386" s="1" t="s">
        <v>2998</v>
      </c>
      <c r="E386" s="1" t="s">
        <v>3126</v>
      </c>
      <c r="F386" s="1" t="s">
        <v>112</v>
      </c>
      <c r="G386" s="1">
        <v>430</v>
      </c>
    </row>
    <row r="387" spans="1:7" x14ac:dyDescent="0.3">
      <c r="A387" s="1" t="str">
        <f t="shared" si="6"/>
        <v>12  duta 1</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7" s="1" t="s">
        <v>3654</v>
      </c>
      <c r="D387" s="1" t="s">
        <v>3018</v>
      </c>
      <c r="E387" s="1" t="s">
        <v>3083</v>
      </c>
      <c r="F387" s="1" t="s">
        <v>112</v>
      </c>
      <c r="G387" s="1">
        <v>594</v>
      </c>
    </row>
    <row r="388" spans="1:7" x14ac:dyDescent="0.3">
      <c r="A388" s="1" t="str">
        <f t="shared" si="6"/>
        <v>12  duta 1</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8" s="1" t="s">
        <v>3655</v>
      </c>
      <c r="D388" s="1" t="s">
        <v>3018</v>
      </c>
      <c r="E388" s="1" t="s">
        <v>3656</v>
      </c>
      <c r="F388" s="1" t="s">
        <v>112</v>
      </c>
      <c r="G388" s="1">
        <v>610</v>
      </c>
    </row>
    <row r="389" spans="1:7" x14ac:dyDescent="0.3">
      <c r="A389" s="1" t="str">
        <f t="shared" si="6"/>
        <v>12  duta 1</v>
      </c>
      <c r="B3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89" s="1" t="s">
        <v>3657</v>
      </c>
      <c r="D389" s="1" t="s">
        <v>2998</v>
      </c>
      <c r="E389" s="1" t="s">
        <v>3658</v>
      </c>
      <c r="F389" s="1" t="s">
        <v>112</v>
      </c>
      <c r="G389" s="1">
        <v>432</v>
      </c>
    </row>
    <row r="390" spans="1:7" x14ac:dyDescent="0.3">
      <c r="A390" s="1" t="str">
        <f t="shared" si="6"/>
        <v>12  duta 1</v>
      </c>
      <c r="B3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90" s="1" t="s">
        <v>3659</v>
      </c>
      <c r="D390" s="1" t="s">
        <v>2998</v>
      </c>
      <c r="E390" s="1" t="s">
        <v>3129</v>
      </c>
      <c r="F390" s="1" t="s">
        <v>112</v>
      </c>
      <c r="G390" s="1">
        <v>429</v>
      </c>
    </row>
    <row r="391" spans="1:7" x14ac:dyDescent="0.3">
      <c r="A391" s="1" t="str">
        <f t="shared" si="6"/>
        <v>12  duta 1</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91" s="1" t="s">
        <v>3660</v>
      </c>
      <c r="D391" s="1" t="s">
        <v>3661</v>
      </c>
      <c r="E391" s="1" t="s">
        <v>286</v>
      </c>
      <c r="F391" s="1" t="s">
        <v>112</v>
      </c>
      <c r="G391" s="1">
        <v>213</v>
      </c>
    </row>
    <row r="392" spans="1:7" x14ac:dyDescent="0.3">
      <c r="A392" s="1" t="str">
        <f t="shared" si="6"/>
        <v>12  duta 1</v>
      </c>
      <c r="B3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92" s="1" t="s">
        <v>3662</v>
      </c>
      <c r="D392" s="1" t="s">
        <v>3663</v>
      </c>
      <c r="E392" s="1" t="s">
        <v>3664</v>
      </c>
      <c r="F392" s="1" t="s">
        <v>112</v>
      </c>
      <c r="G392" s="1">
        <v>11769</v>
      </c>
    </row>
    <row r="393" spans="1:7" x14ac:dyDescent="0.3">
      <c r="A393" s="1" t="str">
        <f t="shared" si="6"/>
        <v>12  duta 1</v>
      </c>
      <c r="B3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93" s="1" t="s">
        <v>3665</v>
      </c>
      <c r="D393" s="1" t="s">
        <v>3045</v>
      </c>
      <c r="E393" s="1" t="s">
        <v>240</v>
      </c>
      <c r="F393" s="1" t="s">
        <v>112</v>
      </c>
      <c r="G393" s="1">
        <v>324</v>
      </c>
    </row>
    <row r="394" spans="1:7" x14ac:dyDescent="0.3">
      <c r="A394" s="1" t="str">
        <f t="shared" si="6"/>
        <v>12  duta 1</v>
      </c>
      <c r="B3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94" s="1" t="s">
        <v>3666</v>
      </c>
      <c r="D394" s="1" t="s">
        <v>3667</v>
      </c>
      <c r="E394" s="1" t="s">
        <v>3668</v>
      </c>
      <c r="F394" s="1" t="s">
        <v>112</v>
      </c>
      <c r="G394" s="1">
        <v>9918</v>
      </c>
    </row>
    <row r="395" spans="1:7" x14ac:dyDescent="0.3">
      <c r="A395" s="1" t="str">
        <f t="shared" si="6"/>
        <v>12  duta 1</v>
      </c>
      <c r="B3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95" s="1" t="s">
        <v>3669</v>
      </c>
      <c r="D395" s="1" t="s">
        <v>2996</v>
      </c>
      <c r="E395" s="1" t="s">
        <v>361</v>
      </c>
      <c r="F395" s="1" t="s">
        <v>112</v>
      </c>
      <c r="G395" s="1">
        <v>549</v>
      </c>
    </row>
    <row r="396" spans="1:7" x14ac:dyDescent="0.3">
      <c r="A396" s="1" t="str">
        <f t="shared" si="6"/>
        <v>12  duta 1</v>
      </c>
      <c r="B3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96" s="1" t="s">
        <v>3670</v>
      </c>
      <c r="D396" s="1" t="s">
        <v>3065</v>
      </c>
      <c r="E396" s="1" t="s">
        <v>3671</v>
      </c>
      <c r="F396" s="1" t="s">
        <v>112</v>
      </c>
      <c r="G396" s="1">
        <v>364</v>
      </c>
    </row>
    <row r="397" spans="1:7" x14ac:dyDescent="0.3">
      <c r="A397" s="1" t="str">
        <f t="shared" si="6"/>
        <v>12  duta 1</v>
      </c>
      <c r="B3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97" s="1" t="s">
        <v>3672</v>
      </c>
      <c r="D397" s="1" t="s">
        <v>3482</v>
      </c>
      <c r="E397" s="1" t="s">
        <v>3673</v>
      </c>
      <c r="F397" s="1" t="s">
        <v>112</v>
      </c>
      <c r="G397" s="1">
        <v>701</v>
      </c>
    </row>
    <row r="398" spans="1:7" x14ac:dyDescent="0.3">
      <c r="A398" s="1" t="str">
        <f t="shared" si="6"/>
        <v>12  duta 1</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98" s="1" t="s">
        <v>3674</v>
      </c>
      <c r="D398" s="1" t="s">
        <v>3675</v>
      </c>
      <c r="E398" s="1" t="s">
        <v>3676</v>
      </c>
      <c r="F398" s="1" t="s">
        <v>112</v>
      </c>
      <c r="G398" s="1">
        <v>24800</v>
      </c>
    </row>
    <row r="399" spans="1:7" x14ac:dyDescent="0.3">
      <c r="A399" s="1" t="str">
        <f t="shared" si="6"/>
        <v>12  duta 1</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99" s="1" t="s">
        <v>3677</v>
      </c>
    </row>
    <row r="400" spans="1:7" x14ac:dyDescent="0.3">
      <c r="A400" s="1" t="str">
        <f t="shared" si="6"/>
        <v>12  duta 1</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00" s="1" t="s">
        <v>3678</v>
      </c>
      <c r="D400" s="1" t="s">
        <v>3679</v>
      </c>
      <c r="E400" s="1" t="s">
        <v>3680</v>
      </c>
      <c r="F400" s="1" t="s">
        <v>112</v>
      </c>
      <c r="G400" s="1">
        <v>32770</v>
      </c>
    </row>
    <row r="401" spans="1:10" x14ac:dyDescent="0.3">
      <c r="A401" s="1" t="str">
        <f t="shared" si="6"/>
        <v>12  duta 1</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01" s="1" t="s">
        <v>3681</v>
      </c>
      <c r="D401" s="1" t="s">
        <v>3682</v>
      </c>
      <c r="E401" s="1" t="s">
        <v>3683</v>
      </c>
      <c r="F401" s="1" t="s">
        <v>112</v>
      </c>
      <c r="G401" s="1">
        <v>4104</v>
      </c>
    </row>
    <row r="402" spans="1:10" x14ac:dyDescent="0.3">
      <c r="A402" s="1" t="str">
        <f t="shared" si="6"/>
        <v>12  duta 1</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02" s="1" t="s">
        <v>3684</v>
      </c>
      <c r="D402" s="1" t="s">
        <v>3065</v>
      </c>
      <c r="E402" s="1" t="s">
        <v>3685</v>
      </c>
      <c r="F402" s="1" t="s">
        <v>112</v>
      </c>
      <c r="G402" s="1">
        <v>395</v>
      </c>
    </row>
    <row r="403" spans="1:10" x14ac:dyDescent="0.3">
      <c r="A403" s="1" t="str">
        <f t="shared" si="6"/>
        <v>12  duta 1</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03" s="1" t="s">
        <v>3686</v>
      </c>
      <c r="D403" s="1" t="s">
        <v>3102</v>
      </c>
      <c r="E403" s="1" t="s">
        <v>3687</v>
      </c>
      <c r="F403" s="1" t="s">
        <v>112</v>
      </c>
      <c r="G403" s="1">
        <v>478</v>
      </c>
    </row>
    <row r="404" spans="1:10" x14ac:dyDescent="0.3">
      <c r="A404" s="1" t="str">
        <f t="shared" si="6"/>
        <v>12  duta 1</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04" s="1" t="s">
        <v>3688</v>
      </c>
      <c r="D404" s="1" t="s">
        <v>2996</v>
      </c>
      <c r="E404" s="1" t="s">
        <v>3689</v>
      </c>
      <c r="F404" s="1" t="s">
        <v>112</v>
      </c>
      <c r="G404" s="1">
        <v>554</v>
      </c>
    </row>
    <row r="405" spans="1:10" x14ac:dyDescent="0.3">
      <c r="A405" s="1" t="str">
        <f t="shared" si="6"/>
        <v>12  duta 1</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05" s="1" t="s">
        <v>3690</v>
      </c>
      <c r="D405" s="1" t="s">
        <v>2996</v>
      </c>
      <c r="E405" s="1" t="s">
        <v>2396</v>
      </c>
      <c r="F405" s="1" t="s">
        <v>112</v>
      </c>
      <c r="G405" s="1">
        <v>536</v>
      </c>
    </row>
    <row r="406" spans="1:10" x14ac:dyDescent="0.3">
      <c r="A406" s="1" t="str">
        <f t="shared" si="6"/>
        <v>12  duta 1</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06" s="1" t="s">
        <v>3691</v>
      </c>
      <c r="D406" s="60" t="s">
        <v>3482</v>
      </c>
      <c r="E406" s="1" t="s">
        <v>3692</v>
      </c>
      <c r="F406" s="1" t="s">
        <v>112</v>
      </c>
      <c r="G406" s="1">
        <v>674</v>
      </c>
    </row>
    <row r="407" spans="1:10" x14ac:dyDescent="0.3">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7" s="1" t="s">
        <v>112</v>
      </c>
      <c r="D407" s="60"/>
    </row>
    <row r="408" spans="1:10" x14ac:dyDescent="0.3">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08" s="1" t="s">
        <v>195</v>
      </c>
      <c r="D408" s="60" t="s">
        <v>112</v>
      </c>
      <c r="E408" s="1" t="s">
        <v>196</v>
      </c>
      <c r="F408" s="1" t="s">
        <v>197</v>
      </c>
      <c r="G408" s="1" t="s">
        <v>198</v>
      </c>
      <c r="H408" s="1" t="s">
        <v>199</v>
      </c>
      <c r="I408" s="1" t="s">
        <v>200</v>
      </c>
      <c r="J408" s="1" t="s">
        <v>201</v>
      </c>
    </row>
    <row r="409" spans="1:10" x14ac:dyDescent="0.3">
      <c r="A409" s="1" t="str">
        <f t="shared" si="6"/>
        <v>12  duta 1</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09" s="1" t="s">
        <v>3693</v>
      </c>
      <c r="D409" s="60" t="s">
        <v>112</v>
      </c>
      <c r="E409" s="1" t="s">
        <v>3694</v>
      </c>
      <c r="F409" s="1" t="s">
        <v>3695</v>
      </c>
      <c r="G409" s="1" t="s">
        <v>3696</v>
      </c>
      <c r="H409" s="1" t="s">
        <v>3697</v>
      </c>
      <c r="I409" s="1">
        <v>24</v>
      </c>
      <c r="J409" s="1">
        <v>24</v>
      </c>
    </row>
    <row r="410" spans="1:10" x14ac:dyDescent="0.3">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0" s="1" t="s">
        <v>112</v>
      </c>
      <c r="D410" s="60"/>
    </row>
    <row r="411" spans="1:10" x14ac:dyDescent="0.3">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1" s="1" t="s">
        <v>112</v>
      </c>
      <c r="D411" s="60"/>
    </row>
    <row r="412" spans="1:10" x14ac:dyDescent="0.3">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2" s="1" t="s">
        <v>112</v>
      </c>
      <c r="D412" s="60"/>
    </row>
    <row r="413" spans="1:10" x14ac:dyDescent="0.3">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3" s="1" t="s">
        <v>112</v>
      </c>
      <c r="D413" s="60"/>
    </row>
    <row r="414" spans="1:10" x14ac:dyDescent="0.3">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4" s="1" t="s">
        <v>112</v>
      </c>
      <c r="D414" s="60"/>
    </row>
    <row r="415" spans="1:10" x14ac:dyDescent="0.3">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15" s="1" t="s">
        <v>202</v>
      </c>
      <c r="D415" s="60" t="s">
        <v>110</v>
      </c>
      <c r="E415" s="1" t="s">
        <v>111</v>
      </c>
      <c r="F415" s="1" t="s">
        <v>112</v>
      </c>
      <c r="G415" s="1" t="s">
        <v>113</v>
      </c>
    </row>
    <row r="416" spans="1:10" x14ac:dyDescent="0.3">
      <c r="A416" s="1" t="str">
        <f t="shared" si="6"/>
        <v>13 testo</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16" s="1" t="s">
        <v>3698</v>
      </c>
      <c r="D416" s="60" t="s">
        <v>3018</v>
      </c>
      <c r="E416" s="1" t="s">
        <v>3083</v>
      </c>
      <c r="F416" s="1" t="s">
        <v>112</v>
      </c>
      <c r="G416" s="1">
        <v>594</v>
      </c>
    </row>
    <row r="417" spans="1:7" x14ac:dyDescent="0.3">
      <c r="A417" s="1" t="str">
        <f t="shared" si="6"/>
        <v>13 testo</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17" s="1" t="s">
        <v>3699</v>
      </c>
      <c r="D417" s="1" t="s">
        <v>3482</v>
      </c>
      <c r="E417" s="1" t="s">
        <v>3700</v>
      </c>
      <c r="F417" s="1" t="s">
        <v>112</v>
      </c>
      <c r="G417" s="1">
        <v>735</v>
      </c>
    </row>
    <row r="418" spans="1:7" x14ac:dyDescent="0.3">
      <c r="A418" s="1" t="str">
        <f t="shared" si="6"/>
        <v>13 testo</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18" s="1" t="s">
        <v>3701</v>
      </c>
    </row>
    <row r="419" spans="1:7" x14ac:dyDescent="0.3">
      <c r="A419" s="1" t="str">
        <f t="shared" si="6"/>
        <v>13 testo</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19" s="1" t="s">
        <v>3702</v>
      </c>
      <c r="D419" s="1" t="s">
        <v>3703</v>
      </c>
      <c r="E419" s="1" t="s">
        <v>3704</v>
      </c>
      <c r="F419" s="1" t="s">
        <v>112</v>
      </c>
      <c r="G419" s="1">
        <v>44668</v>
      </c>
    </row>
    <row r="420" spans="1:7" x14ac:dyDescent="0.3">
      <c r="A420" s="1" t="str">
        <f t="shared" si="6"/>
        <v>13 testo</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20" s="1" t="s">
        <v>3705</v>
      </c>
    </row>
    <row r="421" spans="1:7" x14ac:dyDescent="0.3">
      <c r="A421" s="1" t="str">
        <f t="shared" si="6"/>
        <v>13 testo</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21" s="1" t="s">
        <v>3706</v>
      </c>
      <c r="D421" s="1" t="s">
        <v>3707</v>
      </c>
      <c r="E421" s="1" t="s">
        <v>3708</v>
      </c>
      <c r="F421" s="1" t="s">
        <v>112</v>
      </c>
      <c r="G421" s="1">
        <v>47400</v>
      </c>
    </row>
    <row r="422" spans="1:7" x14ac:dyDescent="0.3">
      <c r="A422" s="1" t="str">
        <f t="shared" si="6"/>
        <v>13 testo</v>
      </c>
      <c r="B4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2" s="1" t="s">
        <v>3709</v>
      </c>
      <c r="D422" s="1" t="s">
        <v>3710</v>
      </c>
      <c r="E422" s="1" t="s">
        <v>3711</v>
      </c>
      <c r="F422" s="1" t="s">
        <v>112</v>
      </c>
      <c r="G422" s="1">
        <v>93074</v>
      </c>
    </row>
    <row r="423" spans="1:7" x14ac:dyDescent="0.3">
      <c r="A423" s="1" t="str">
        <f t="shared" si="6"/>
        <v>13 testo</v>
      </c>
      <c r="B4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3" s="1" t="s">
        <v>3712</v>
      </c>
      <c r="D423" s="1" t="s">
        <v>3713</v>
      </c>
      <c r="E423" s="1" t="s">
        <v>3714</v>
      </c>
      <c r="F423" s="1" t="s">
        <v>112</v>
      </c>
      <c r="G423" s="1">
        <v>93637</v>
      </c>
    </row>
    <row r="424" spans="1:7" x14ac:dyDescent="0.3">
      <c r="A424" s="1" t="str">
        <f t="shared" si="6"/>
        <v>13 testo</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4" s="1" t="s">
        <v>3715</v>
      </c>
      <c r="D424" s="1" t="s">
        <v>3716</v>
      </c>
      <c r="E424" s="1" t="s">
        <v>3717</v>
      </c>
      <c r="F424" s="1" t="s">
        <v>112</v>
      </c>
      <c r="G424" s="1">
        <v>72086</v>
      </c>
    </row>
    <row r="425" spans="1:7" x14ac:dyDescent="0.3">
      <c r="A425" s="1" t="str">
        <f t="shared" si="6"/>
        <v>13 testo</v>
      </c>
      <c r="B4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25" s="1" t="s">
        <v>3718</v>
      </c>
      <c r="D425" s="1" t="s">
        <v>3719</v>
      </c>
      <c r="E425" s="1" t="s">
        <v>3720</v>
      </c>
      <c r="F425" s="1" t="s">
        <v>112</v>
      </c>
      <c r="G425" s="1">
        <v>71954</v>
      </c>
    </row>
    <row r="426" spans="1:7" x14ac:dyDescent="0.3">
      <c r="A426" s="1" t="str">
        <f t="shared" si="6"/>
        <v>13 testo</v>
      </c>
      <c r="B4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26" s="1" t="s">
        <v>3721</v>
      </c>
      <c r="D426" s="1" t="s">
        <v>3722</v>
      </c>
      <c r="E426" s="1" t="s">
        <v>3723</v>
      </c>
      <c r="F426" s="1" t="s">
        <v>112</v>
      </c>
      <c r="G426" s="1">
        <v>71398</v>
      </c>
    </row>
    <row r="427" spans="1:7" x14ac:dyDescent="0.3">
      <c r="A427" s="1" t="str">
        <f t="shared" si="6"/>
        <v>13 testo</v>
      </c>
      <c r="B4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27" s="1" t="s">
        <v>3724</v>
      </c>
      <c r="D427" s="1" t="s">
        <v>3725</v>
      </c>
      <c r="E427" s="1" t="s">
        <v>3726</v>
      </c>
      <c r="F427" s="1" t="s">
        <v>112</v>
      </c>
      <c r="G427" s="1">
        <v>67566</v>
      </c>
    </row>
    <row r="428" spans="1:7" x14ac:dyDescent="0.3">
      <c r="A428" s="1" t="str">
        <f t="shared" si="6"/>
        <v>13 testo</v>
      </c>
      <c r="B4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28" s="1" t="s">
        <v>3727</v>
      </c>
      <c r="D428" s="1" t="s">
        <v>3728</v>
      </c>
      <c r="E428" s="1" t="s">
        <v>3729</v>
      </c>
      <c r="F428" s="1" t="s">
        <v>112</v>
      </c>
      <c r="G428" s="1">
        <v>43340</v>
      </c>
    </row>
    <row r="429" spans="1:7" x14ac:dyDescent="0.3">
      <c r="A429" s="1" t="str">
        <f t="shared" si="6"/>
        <v>13 testo</v>
      </c>
      <c r="B4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29" s="1" t="s">
        <v>3730</v>
      </c>
      <c r="D429" s="1" t="s">
        <v>3731</v>
      </c>
      <c r="E429" s="1" t="s">
        <v>3732</v>
      </c>
      <c r="F429" s="1" t="s">
        <v>112</v>
      </c>
      <c r="G429" s="1">
        <v>33564</v>
      </c>
    </row>
    <row r="430" spans="1:7" x14ac:dyDescent="0.3">
      <c r="A430" s="1" t="str">
        <f t="shared" si="6"/>
        <v>13 testo</v>
      </c>
      <c r="B4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30" s="1" t="s">
        <v>3733</v>
      </c>
      <c r="D430" s="1" t="s">
        <v>3734</v>
      </c>
      <c r="E430" s="1" t="s">
        <v>3735</v>
      </c>
      <c r="F430" s="1" t="s">
        <v>112</v>
      </c>
      <c r="G430" s="1">
        <v>32101</v>
      </c>
    </row>
    <row r="431" spans="1:7" x14ac:dyDescent="0.3">
      <c r="A431" s="1" t="str">
        <f t="shared" si="6"/>
        <v>13 testo</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31" s="1" t="s">
        <v>3736</v>
      </c>
      <c r="D431" s="60" t="s">
        <v>3737</v>
      </c>
      <c r="E431" s="1" t="s">
        <v>3738</v>
      </c>
      <c r="F431" s="1" t="s">
        <v>112</v>
      </c>
      <c r="G431" s="1">
        <v>73549</v>
      </c>
    </row>
    <row r="432" spans="1:7" x14ac:dyDescent="0.3">
      <c r="A432" s="1" t="str">
        <f t="shared" si="6"/>
        <v>13 testo</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32" s="1" t="s">
        <v>3739</v>
      </c>
      <c r="D432" s="60" t="s">
        <v>3740</v>
      </c>
      <c r="E432" s="1" t="s">
        <v>3741</v>
      </c>
      <c r="F432" s="1" t="s">
        <v>112</v>
      </c>
      <c r="G432" s="1">
        <v>77378</v>
      </c>
    </row>
    <row r="433" spans="1:10" x14ac:dyDescent="0.3">
      <c r="A433" s="1" t="str">
        <f t="shared" si="6"/>
        <v>13 testo</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33" s="1" t="s">
        <v>3742</v>
      </c>
      <c r="D433" s="60" t="s">
        <v>3743</v>
      </c>
      <c r="E433" s="1" t="s">
        <v>3744</v>
      </c>
      <c r="F433" s="1" t="s">
        <v>112</v>
      </c>
      <c r="G433" s="1">
        <v>72467</v>
      </c>
    </row>
    <row r="434" spans="1:10" x14ac:dyDescent="0.3">
      <c r="A434" s="1" t="str">
        <f t="shared" si="6"/>
        <v>13 testo</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34" s="1" t="s">
        <v>3745</v>
      </c>
      <c r="D434" s="60" t="s">
        <v>3746</v>
      </c>
      <c r="E434" s="1" t="s">
        <v>3747</v>
      </c>
      <c r="F434" s="1" t="s">
        <v>112</v>
      </c>
      <c r="G434" s="1">
        <v>12585</v>
      </c>
    </row>
    <row r="435" spans="1:10" x14ac:dyDescent="0.3">
      <c r="A435" s="1" t="str">
        <f t="shared" si="6"/>
        <v>13 testo</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35" s="1" t="s">
        <v>3748</v>
      </c>
      <c r="D435" s="60" t="s">
        <v>3749</v>
      </c>
      <c r="E435" s="1" t="s">
        <v>3750</v>
      </c>
      <c r="F435" s="1" t="s">
        <v>112</v>
      </c>
      <c r="G435" s="1">
        <v>14928</v>
      </c>
    </row>
    <row r="436" spans="1:10" x14ac:dyDescent="0.3">
      <c r="A436" s="1" t="str">
        <f t="shared" si="6"/>
        <v>13 testo</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36" s="1" t="s">
        <v>3751</v>
      </c>
      <c r="D436" s="60" t="s">
        <v>3752</v>
      </c>
      <c r="E436" s="1" t="s">
        <v>3753</v>
      </c>
      <c r="F436" s="1" t="s">
        <v>112</v>
      </c>
      <c r="G436" s="1">
        <v>10887</v>
      </c>
    </row>
    <row r="437" spans="1:10" x14ac:dyDescent="0.3">
      <c r="A437" s="1" t="str">
        <f t="shared" si="6"/>
        <v>13 testo</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37" s="1" t="s">
        <v>3754</v>
      </c>
      <c r="D437" s="60" t="s">
        <v>3755</v>
      </c>
      <c r="E437" s="1" t="s">
        <v>3756</v>
      </c>
      <c r="F437" s="1" t="s">
        <v>112</v>
      </c>
      <c r="G437" s="1">
        <v>47005</v>
      </c>
    </row>
    <row r="438" spans="1:10" x14ac:dyDescent="0.3">
      <c r="A438" s="1" t="str">
        <f t="shared" si="6"/>
        <v>13 testo</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38" s="1" t="s">
        <v>3757</v>
      </c>
      <c r="D438" s="60" t="s">
        <v>3758</v>
      </c>
      <c r="E438" s="1" t="s">
        <v>3759</v>
      </c>
      <c r="F438" s="1" t="s">
        <v>112</v>
      </c>
      <c r="G438" s="1">
        <v>61108</v>
      </c>
    </row>
    <row r="439" spans="1:10" x14ac:dyDescent="0.3">
      <c r="A439" s="1" t="str">
        <f t="shared" si="6"/>
        <v>13 testo</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39" s="1" t="s">
        <v>3760</v>
      </c>
      <c r="D439" s="1" t="s">
        <v>3761</v>
      </c>
      <c r="E439" s="1" t="s">
        <v>3762</v>
      </c>
      <c r="F439" s="1" t="s">
        <v>112</v>
      </c>
      <c r="G439" s="1">
        <v>56789</v>
      </c>
    </row>
    <row r="440" spans="1:10" x14ac:dyDescent="0.3">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0" s="1" t="s">
        <v>112</v>
      </c>
    </row>
    <row r="441" spans="1:10" x14ac:dyDescent="0.3">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1" s="1" t="s">
        <v>195</v>
      </c>
      <c r="D441" s="1" t="s">
        <v>112</v>
      </c>
      <c r="E441" s="1" t="s">
        <v>196</v>
      </c>
      <c r="F441" s="1" t="s">
        <v>197</v>
      </c>
      <c r="G441" s="1" t="s">
        <v>198</v>
      </c>
      <c r="H441" s="1" t="s">
        <v>199</v>
      </c>
      <c r="I441" s="1" t="s">
        <v>200</v>
      </c>
      <c r="J441" s="1" t="s">
        <v>201</v>
      </c>
    </row>
    <row r="442" spans="1:10" x14ac:dyDescent="0.3">
      <c r="A442" s="1" t="str">
        <f t="shared" si="6"/>
        <v>13 testo</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42" s="1" t="s">
        <v>3763</v>
      </c>
      <c r="D442" s="1" t="s">
        <v>112</v>
      </c>
      <c r="E442" s="1" t="s">
        <v>3764</v>
      </c>
      <c r="F442" s="1" t="s">
        <v>3765</v>
      </c>
      <c r="G442" s="1" t="s">
        <v>3766</v>
      </c>
      <c r="H442" s="1" t="s">
        <v>3767</v>
      </c>
      <c r="I442" s="1">
        <v>24</v>
      </c>
      <c r="J442" s="1">
        <v>24</v>
      </c>
    </row>
    <row r="443" spans="1:10" x14ac:dyDescent="0.3">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3" s="1" t="s">
        <v>112</v>
      </c>
    </row>
    <row r="444" spans="1:10" x14ac:dyDescent="0.3">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4" s="1" t="s">
        <v>112</v>
      </c>
    </row>
    <row r="445" spans="1:10" x14ac:dyDescent="0.3">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5" s="1" t="s">
        <v>112</v>
      </c>
    </row>
    <row r="446" spans="1:10" x14ac:dyDescent="0.3">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6" s="1" t="s">
        <v>112</v>
      </c>
    </row>
    <row r="447" spans="1:10" x14ac:dyDescent="0.3">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7" s="1" t="s">
        <v>112</v>
      </c>
    </row>
    <row r="448" spans="1:10" x14ac:dyDescent="0.3">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48" s="1" t="s">
        <v>202</v>
      </c>
      <c r="D448" s="1" t="s">
        <v>110</v>
      </c>
      <c r="E448" s="1" t="s">
        <v>111</v>
      </c>
      <c r="F448" s="1" t="s">
        <v>112</v>
      </c>
      <c r="G448" s="1" t="s">
        <v>113</v>
      </c>
    </row>
    <row r="449" spans="1:7" x14ac:dyDescent="0.3">
      <c r="A449" s="1" t="str">
        <f t="shared" si="6"/>
        <v>14 testo</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49" s="1" t="s">
        <v>3768</v>
      </c>
      <c r="D449" s="1" t="s">
        <v>3769</v>
      </c>
      <c r="E449" s="1" t="s">
        <v>3770</v>
      </c>
      <c r="F449" s="1" t="s">
        <v>112</v>
      </c>
      <c r="G449" s="1">
        <v>93353</v>
      </c>
    </row>
    <row r="450" spans="1:7" x14ac:dyDescent="0.3">
      <c r="A450" s="1" t="str">
        <f t="shared" ref="A450:A513" si="7">IFERROR(LEFT(RIGHT(C450,LEN(C450)-SEARCH("@",C450)),SEARCH("/",RIGHT(C450,LEN(C450)-SEARCH("@",C450)-1))),"")</f>
        <v>14 testo</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50" s="1" t="s">
        <v>3771</v>
      </c>
      <c r="D450" s="1" t="s">
        <v>3772</v>
      </c>
      <c r="E450" s="1" t="s">
        <v>3773</v>
      </c>
      <c r="F450" s="1" t="s">
        <v>112</v>
      </c>
      <c r="G450" s="1">
        <v>90302</v>
      </c>
    </row>
    <row r="451" spans="1:7" x14ac:dyDescent="0.3">
      <c r="A451" s="1" t="str">
        <f t="shared" si="7"/>
        <v>14 testo</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51" s="1" t="s">
        <v>3774</v>
      </c>
      <c r="D451" s="1" t="s">
        <v>3775</v>
      </c>
      <c r="E451" s="1" t="s">
        <v>3776</v>
      </c>
      <c r="F451" s="1" t="s">
        <v>112</v>
      </c>
      <c r="G451" s="1">
        <v>78809</v>
      </c>
    </row>
    <row r="452" spans="1:7" x14ac:dyDescent="0.3">
      <c r="A452" s="1" t="str">
        <f t="shared" si="7"/>
        <v>14 testo</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52" s="1" t="s">
        <v>3777</v>
      </c>
      <c r="D452" s="1" t="s">
        <v>3778</v>
      </c>
      <c r="E452" s="1" t="s">
        <v>3779</v>
      </c>
      <c r="F452" s="1" t="s">
        <v>112</v>
      </c>
      <c r="G452" s="1">
        <v>27518</v>
      </c>
    </row>
    <row r="453" spans="1:7" x14ac:dyDescent="0.3">
      <c r="A453" s="1" t="str">
        <f t="shared" si="7"/>
        <v>14 testo</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53" s="1" t="s">
        <v>3780</v>
      </c>
      <c r="D453" s="1" t="s">
        <v>3781</v>
      </c>
      <c r="E453" s="1" t="s">
        <v>3782</v>
      </c>
      <c r="F453" s="1" t="s">
        <v>112</v>
      </c>
      <c r="G453" s="1">
        <v>33399</v>
      </c>
    </row>
    <row r="454" spans="1:7" x14ac:dyDescent="0.3">
      <c r="A454" s="1" t="str">
        <f t="shared" si="7"/>
        <v>14 testo</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54" s="1" t="s">
        <v>3783</v>
      </c>
      <c r="D454" s="1" t="s">
        <v>3784</v>
      </c>
      <c r="E454" s="1" t="s">
        <v>3785</v>
      </c>
      <c r="F454" s="1" t="s">
        <v>112</v>
      </c>
      <c r="G454" s="1">
        <v>22303</v>
      </c>
    </row>
    <row r="455" spans="1:7" x14ac:dyDescent="0.3">
      <c r="A455" s="1" t="str">
        <f t="shared" si="7"/>
        <v>14 testo</v>
      </c>
      <c r="B4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55" s="1" t="s">
        <v>3786</v>
      </c>
    </row>
    <row r="456" spans="1:7" x14ac:dyDescent="0.3">
      <c r="A456" s="1" t="str">
        <f t="shared" si="7"/>
        <v>14 testo</v>
      </c>
      <c r="B4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56" s="1" t="s">
        <v>3787</v>
      </c>
      <c r="D456" s="1" t="s">
        <v>3788</v>
      </c>
      <c r="E456" s="1" t="s">
        <v>3789</v>
      </c>
      <c r="F456" s="1" t="s">
        <v>112</v>
      </c>
      <c r="G456" s="1">
        <v>133169</v>
      </c>
    </row>
    <row r="457" spans="1:7" x14ac:dyDescent="0.3">
      <c r="A457" s="1" t="str">
        <f t="shared" si="7"/>
        <v>14 testo</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57" s="1" t="s">
        <v>3790</v>
      </c>
      <c r="D457" s="1" t="s">
        <v>3324</v>
      </c>
      <c r="E457" s="1" t="s">
        <v>3791</v>
      </c>
      <c r="F457" s="1" t="s">
        <v>112</v>
      </c>
      <c r="G457" s="1">
        <v>123182</v>
      </c>
    </row>
    <row r="458" spans="1:7" x14ac:dyDescent="0.3">
      <c r="A458" s="1" t="str">
        <f t="shared" si="7"/>
        <v>14 testo</v>
      </c>
      <c r="B4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8" s="1" t="s">
        <v>3792</v>
      </c>
      <c r="D458" s="1" t="s">
        <v>3793</v>
      </c>
      <c r="E458" s="1" t="s">
        <v>3794</v>
      </c>
      <c r="F458" s="1" t="s">
        <v>112</v>
      </c>
      <c r="G458" s="1">
        <v>118910</v>
      </c>
    </row>
    <row r="459" spans="1:7" x14ac:dyDescent="0.3">
      <c r="A459" s="1" t="str">
        <f t="shared" si="7"/>
        <v>14 testo</v>
      </c>
      <c r="B4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9" s="1" t="s">
        <v>3795</v>
      </c>
      <c r="D459" s="1" t="s">
        <v>3796</v>
      </c>
      <c r="E459" s="1" t="s">
        <v>3797</v>
      </c>
      <c r="F459" s="1" t="s">
        <v>112</v>
      </c>
      <c r="G459" s="1">
        <v>112808</v>
      </c>
    </row>
    <row r="460" spans="1:7" x14ac:dyDescent="0.3">
      <c r="A460" s="1" t="str">
        <f t="shared" si="7"/>
        <v>14 testo</v>
      </c>
      <c r="B4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0" s="1" t="s">
        <v>3798</v>
      </c>
      <c r="D460" s="1" t="s">
        <v>3799</v>
      </c>
      <c r="E460" s="1" t="s">
        <v>3800</v>
      </c>
      <c r="F460" s="1" t="s">
        <v>112</v>
      </c>
      <c r="G460" s="1">
        <v>109709</v>
      </c>
    </row>
    <row r="461" spans="1:7" x14ac:dyDescent="0.3">
      <c r="A461" s="1" t="str">
        <f t="shared" si="7"/>
        <v>14 testo</v>
      </c>
      <c r="B4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61" s="1" t="s">
        <v>3801</v>
      </c>
      <c r="D461" s="1" t="s">
        <v>3802</v>
      </c>
      <c r="E461" s="1" t="s">
        <v>3803</v>
      </c>
      <c r="F461" s="1" t="s">
        <v>112</v>
      </c>
      <c r="G461" s="1">
        <v>50218</v>
      </c>
    </row>
    <row r="462" spans="1:7" x14ac:dyDescent="0.3">
      <c r="A462" s="1" t="str">
        <f t="shared" si="7"/>
        <v>14 testo</v>
      </c>
      <c r="B4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62" s="1" t="s">
        <v>3804</v>
      </c>
      <c r="D462" s="1" t="s">
        <v>3805</v>
      </c>
      <c r="E462" s="1" t="s">
        <v>3806</v>
      </c>
      <c r="F462" s="1" t="s">
        <v>112</v>
      </c>
      <c r="G462" s="1">
        <v>44592</v>
      </c>
    </row>
    <row r="463" spans="1:7" x14ac:dyDescent="0.3">
      <c r="A463" s="1" t="str">
        <f t="shared" si="7"/>
        <v>14 testo</v>
      </c>
      <c r="B4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63" s="1" t="s">
        <v>3807</v>
      </c>
      <c r="D463" s="1" t="s">
        <v>3808</v>
      </c>
      <c r="E463" s="1" t="s">
        <v>3809</v>
      </c>
      <c r="F463" s="1" t="s">
        <v>112</v>
      </c>
      <c r="G463" s="1">
        <v>56292</v>
      </c>
    </row>
    <row r="464" spans="1:7" x14ac:dyDescent="0.3">
      <c r="A464" s="1" t="str">
        <f t="shared" si="7"/>
        <v>14 testo</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64" s="1" t="s">
        <v>3810</v>
      </c>
      <c r="D464" s="1" t="s">
        <v>3811</v>
      </c>
      <c r="E464" s="1" t="s">
        <v>3812</v>
      </c>
      <c r="F464" s="1" t="s">
        <v>112</v>
      </c>
      <c r="G464" s="1">
        <v>49097</v>
      </c>
    </row>
    <row r="465" spans="1:10" x14ac:dyDescent="0.3">
      <c r="A465" s="1" t="str">
        <f t="shared" si="7"/>
        <v>14 testo</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65" s="1" t="s">
        <v>3813</v>
      </c>
      <c r="D465" s="1" t="s">
        <v>3814</v>
      </c>
      <c r="E465" s="1" t="s">
        <v>3815</v>
      </c>
      <c r="F465" s="1" t="s">
        <v>112</v>
      </c>
      <c r="G465" s="1">
        <v>48037</v>
      </c>
    </row>
    <row r="466" spans="1:10" x14ac:dyDescent="0.3">
      <c r="A466" s="1" t="str">
        <f t="shared" si="7"/>
        <v>14 testo</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66" s="1" t="s">
        <v>3816</v>
      </c>
      <c r="D466" s="1" t="s">
        <v>3459</v>
      </c>
      <c r="E466" s="1" t="s">
        <v>3817</v>
      </c>
      <c r="F466" s="1" t="s">
        <v>112</v>
      </c>
      <c r="G466" s="1">
        <v>29100</v>
      </c>
    </row>
    <row r="467" spans="1:10" x14ac:dyDescent="0.3">
      <c r="A467" s="1" t="str">
        <f t="shared" si="7"/>
        <v>14 testo</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67" s="1" t="s">
        <v>3818</v>
      </c>
      <c r="D467" s="1" t="s">
        <v>3819</v>
      </c>
      <c r="E467" s="1" t="s">
        <v>3820</v>
      </c>
      <c r="F467" s="1" t="s">
        <v>112</v>
      </c>
      <c r="G467" s="1">
        <v>59793</v>
      </c>
    </row>
    <row r="468" spans="1:10" x14ac:dyDescent="0.3">
      <c r="A468" s="1" t="str">
        <f t="shared" si="7"/>
        <v>14 testo</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68" s="1" t="s">
        <v>3821</v>
      </c>
      <c r="D468" s="1" t="s">
        <v>3822</v>
      </c>
      <c r="E468" s="1" t="s">
        <v>3823</v>
      </c>
      <c r="F468" s="1" t="s">
        <v>112</v>
      </c>
      <c r="G468" s="1">
        <v>59444</v>
      </c>
    </row>
    <row r="469" spans="1:10" x14ac:dyDescent="0.3">
      <c r="A469" s="1" t="str">
        <f t="shared" si="7"/>
        <v>14 testo</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69" s="1" t="s">
        <v>3824</v>
      </c>
      <c r="D469" s="1" t="s">
        <v>3707</v>
      </c>
      <c r="E469" s="1" t="s">
        <v>3825</v>
      </c>
      <c r="F469" s="1" t="s">
        <v>112</v>
      </c>
      <c r="G469" s="1">
        <v>47780</v>
      </c>
    </row>
    <row r="470" spans="1:10" x14ac:dyDescent="0.3">
      <c r="A470" s="1" t="str">
        <f t="shared" si="7"/>
        <v>14 testo</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70" s="1" t="s">
        <v>3826</v>
      </c>
      <c r="D470" s="1" t="s">
        <v>3827</v>
      </c>
      <c r="E470" s="1" t="s">
        <v>3828</v>
      </c>
      <c r="F470" s="1" t="s">
        <v>112</v>
      </c>
      <c r="G470" s="1">
        <v>43733</v>
      </c>
    </row>
    <row r="471" spans="1:10" x14ac:dyDescent="0.3">
      <c r="A471" s="1" t="str">
        <f t="shared" si="7"/>
        <v>14 testo</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71" s="1" t="s">
        <v>3829</v>
      </c>
      <c r="D471" s="1" t="s">
        <v>3240</v>
      </c>
      <c r="E471" s="1" t="s">
        <v>3830</v>
      </c>
      <c r="F471" s="1" t="s">
        <v>112</v>
      </c>
      <c r="G471" s="1">
        <v>32199</v>
      </c>
    </row>
    <row r="472" spans="1:10" x14ac:dyDescent="0.3">
      <c r="A472" s="1" t="str">
        <f t="shared" si="7"/>
        <v>14 testo</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72" s="1" t="s">
        <v>3831</v>
      </c>
      <c r="D472" s="1" t="s">
        <v>3832</v>
      </c>
      <c r="E472" s="1" t="s">
        <v>3833</v>
      </c>
      <c r="F472" s="1" t="s">
        <v>112</v>
      </c>
      <c r="G472" s="1">
        <v>18850</v>
      </c>
    </row>
    <row r="473" spans="1:10" x14ac:dyDescent="0.3">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73" s="1" t="s">
        <v>112</v>
      </c>
    </row>
    <row r="474" spans="1:10" x14ac:dyDescent="0.3">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74" s="1" t="s">
        <v>195</v>
      </c>
      <c r="D474" s="1" t="s">
        <v>112</v>
      </c>
      <c r="E474" s="1" t="s">
        <v>196</v>
      </c>
      <c r="F474" s="1" t="s">
        <v>197</v>
      </c>
      <c r="G474" s="1" t="s">
        <v>198</v>
      </c>
      <c r="H474" s="1" t="s">
        <v>199</v>
      </c>
      <c r="I474" s="1" t="s">
        <v>200</v>
      </c>
      <c r="J474" s="1" t="s">
        <v>201</v>
      </c>
    </row>
    <row r="475" spans="1:10" x14ac:dyDescent="0.3">
      <c r="A475" s="1" t="str">
        <f t="shared" si="7"/>
        <v>14 testo</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75" s="1" t="s">
        <v>3834</v>
      </c>
      <c r="D475" s="1" t="s">
        <v>112</v>
      </c>
      <c r="E475" s="1" t="s">
        <v>3835</v>
      </c>
      <c r="F475" s="1" t="s">
        <v>3836</v>
      </c>
      <c r="G475" s="1" t="s">
        <v>3837</v>
      </c>
      <c r="H475" s="1" t="s">
        <v>3838</v>
      </c>
      <c r="I475" s="1">
        <v>24</v>
      </c>
      <c r="J475" s="1">
        <v>24</v>
      </c>
    </row>
    <row r="476" spans="1:10" x14ac:dyDescent="0.3">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76" s="1" t="s">
        <v>112</v>
      </c>
    </row>
    <row r="477" spans="1:10" x14ac:dyDescent="0.3">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77" s="1" t="s">
        <v>112</v>
      </c>
    </row>
    <row r="478" spans="1:10" x14ac:dyDescent="0.3">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78" s="1" t="s">
        <v>112</v>
      </c>
    </row>
    <row r="479" spans="1:10" x14ac:dyDescent="0.3">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79" s="1" t="s">
        <v>112</v>
      </c>
    </row>
    <row r="480" spans="1:10" x14ac:dyDescent="0.3">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0" s="1" t="s">
        <v>112</v>
      </c>
    </row>
    <row r="481" spans="1:7" x14ac:dyDescent="0.3">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1" s="1" t="s">
        <v>202</v>
      </c>
      <c r="D481" s="1" t="s">
        <v>110</v>
      </c>
      <c r="E481" s="1" t="s">
        <v>111</v>
      </c>
      <c r="F481" s="1" t="s">
        <v>112</v>
      </c>
      <c r="G481" s="1" t="s">
        <v>113</v>
      </c>
    </row>
    <row r="482" spans="1:7" x14ac:dyDescent="0.3">
      <c r="A482" s="1" t="str">
        <f t="shared" si="7"/>
        <v>15 testo + EE2 64</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82" s="1" t="s">
        <v>3839</v>
      </c>
      <c r="D482" s="1" t="s">
        <v>3840</v>
      </c>
      <c r="E482" s="1" t="s">
        <v>3841</v>
      </c>
      <c r="F482" s="1" t="s">
        <v>112</v>
      </c>
      <c r="G482" s="1">
        <v>181592</v>
      </c>
    </row>
    <row r="483" spans="1:7" x14ac:dyDescent="0.3">
      <c r="A483" s="1" t="str">
        <f t="shared" si="7"/>
        <v>15 testo + EE2 64</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83" s="1" t="s">
        <v>3842</v>
      </c>
      <c r="D483" s="1" t="s">
        <v>3843</v>
      </c>
      <c r="E483" s="1" t="s">
        <v>3844</v>
      </c>
      <c r="F483" s="1" t="s">
        <v>112</v>
      </c>
      <c r="G483" s="1">
        <v>184278</v>
      </c>
    </row>
    <row r="484" spans="1:7" x14ac:dyDescent="0.3">
      <c r="A484" s="1" t="str">
        <f t="shared" si="7"/>
        <v>15 testo + EE2 64</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84" s="1" t="s">
        <v>3845</v>
      </c>
      <c r="D484" s="1" t="s">
        <v>3846</v>
      </c>
      <c r="E484" s="1" t="s">
        <v>3847</v>
      </c>
      <c r="F484" s="1" t="s">
        <v>112</v>
      </c>
      <c r="G484" s="1">
        <v>173632</v>
      </c>
    </row>
    <row r="485" spans="1:7" x14ac:dyDescent="0.3">
      <c r="A485" s="1" t="str">
        <f t="shared" si="7"/>
        <v>15 testo + EE2 64</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85" s="1" t="s">
        <v>3848</v>
      </c>
      <c r="D485" s="1" t="s">
        <v>3849</v>
      </c>
      <c r="E485" s="1" t="s">
        <v>3850</v>
      </c>
      <c r="F485" s="1" t="s">
        <v>112</v>
      </c>
      <c r="G485" s="1">
        <v>87119</v>
      </c>
    </row>
    <row r="486" spans="1:7" x14ac:dyDescent="0.3">
      <c r="A486" s="1" t="str">
        <f t="shared" si="7"/>
        <v>15 testo + EE2 64</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86" s="1" t="s">
        <v>3851</v>
      </c>
      <c r="D486" s="1" t="s">
        <v>3852</v>
      </c>
      <c r="E486" s="1" t="s">
        <v>3853</v>
      </c>
      <c r="F486" s="1" t="s">
        <v>112</v>
      </c>
      <c r="G486" s="1">
        <v>80146</v>
      </c>
    </row>
    <row r="487" spans="1:7" x14ac:dyDescent="0.3">
      <c r="A487" s="1" t="str">
        <f t="shared" si="7"/>
        <v>15 testo + EE2 64</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87" s="1" t="s">
        <v>3854</v>
      </c>
      <c r="D487" s="1" t="s">
        <v>3855</v>
      </c>
      <c r="E487" s="1" t="s">
        <v>3856</v>
      </c>
      <c r="F487" s="1" t="s">
        <v>112</v>
      </c>
      <c r="G487" s="1">
        <v>89570</v>
      </c>
    </row>
    <row r="488" spans="1:7" x14ac:dyDescent="0.3">
      <c r="A488" s="1" t="str">
        <f t="shared" si="7"/>
        <v>15 testo + EE2 64</v>
      </c>
      <c r="B4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88" s="1" t="s">
        <v>3857</v>
      </c>
      <c r="D488" s="1" t="s">
        <v>3858</v>
      </c>
      <c r="E488" s="1" t="s">
        <v>3859</v>
      </c>
      <c r="F488" s="1" t="s">
        <v>112</v>
      </c>
      <c r="G488" s="1">
        <v>142845</v>
      </c>
    </row>
    <row r="489" spans="1:7" x14ac:dyDescent="0.3">
      <c r="A489" s="1" t="str">
        <f t="shared" si="7"/>
        <v>15 testo + EE2 64</v>
      </c>
      <c r="B4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89" s="1" t="s">
        <v>3860</v>
      </c>
      <c r="D489" s="1" t="s">
        <v>3861</v>
      </c>
      <c r="E489" s="1" t="s">
        <v>3862</v>
      </c>
      <c r="F489" s="1" t="s">
        <v>112</v>
      </c>
      <c r="G489" s="1">
        <v>130670</v>
      </c>
    </row>
    <row r="490" spans="1:7" x14ac:dyDescent="0.3">
      <c r="A490" s="1" t="str">
        <f t="shared" si="7"/>
        <v>15 testo + EE2 64</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90" s="1" t="s">
        <v>3863</v>
      </c>
      <c r="D490" s="1" t="s">
        <v>3864</v>
      </c>
      <c r="E490" s="1" t="s">
        <v>3865</v>
      </c>
      <c r="F490" s="1" t="s">
        <v>112</v>
      </c>
      <c r="G490" s="1">
        <v>130510</v>
      </c>
    </row>
    <row r="491" spans="1:7" x14ac:dyDescent="0.3">
      <c r="A491" s="1" t="str">
        <f t="shared" si="7"/>
        <v>15 testo + EE2 64</v>
      </c>
      <c r="B4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91" s="1" t="s">
        <v>3866</v>
      </c>
      <c r="D491" s="1" t="s">
        <v>3867</v>
      </c>
      <c r="E491" s="1" t="s">
        <v>3868</v>
      </c>
      <c r="F491" s="1" t="s">
        <v>112</v>
      </c>
      <c r="G491" s="1">
        <v>112460</v>
      </c>
    </row>
    <row r="492" spans="1:7" x14ac:dyDescent="0.3">
      <c r="A492" s="1" t="str">
        <f t="shared" si="7"/>
        <v>15 testo + EE2 64</v>
      </c>
      <c r="B4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92" s="1" t="s">
        <v>3869</v>
      </c>
      <c r="D492" s="1" t="s">
        <v>3864</v>
      </c>
      <c r="E492" s="1" t="s">
        <v>3870</v>
      </c>
      <c r="F492" s="1" t="s">
        <v>112</v>
      </c>
      <c r="G492" s="1">
        <v>117973</v>
      </c>
    </row>
    <row r="493" spans="1:7" x14ac:dyDescent="0.3">
      <c r="A493" s="1" t="str">
        <f t="shared" si="7"/>
        <v>15 testo + EE2 64</v>
      </c>
      <c r="B4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93" s="1" t="s">
        <v>3871</v>
      </c>
      <c r="D493" s="1" t="s">
        <v>3872</v>
      </c>
      <c r="E493" s="1" t="s">
        <v>3873</v>
      </c>
      <c r="F493" s="1" t="s">
        <v>112</v>
      </c>
      <c r="G493" s="1">
        <v>128970</v>
      </c>
    </row>
    <row r="494" spans="1:7" x14ac:dyDescent="0.3">
      <c r="A494" s="1" t="str">
        <f t="shared" si="7"/>
        <v>15 testo + EE2 64</v>
      </c>
      <c r="B4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4" s="1" t="s">
        <v>3874</v>
      </c>
      <c r="D494" s="1" t="s">
        <v>3875</v>
      </c>
      <c r="E494" s="1" t="s">
        <v>358</v>
      </c>
      <c r="F494" s="1" t="s">
        <v>112</v>
      </c>
      <c r="G494" s="1">
        <v>8863</v>
      </c>
    </row>
    <row r="495" spans="1:7" x14ac:dyDescent="0.3">
      <c r="A495" s="1" t="str">
        <f t="shared" si="7"/>
        <v>15 testo + EE2 64</v>
      </c>
      <c r="B4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5" s="1" t="s">
        <v>3876</v>
      </c>
      <c r="D495" s="1" t="s">
        <v>3169</v>
      </c>
      <c r="E495" s="1" t="s">
        <v>3877</v>
      </c>
      <c r="F495" s="1" t="s">
        <v>112</v>
      </c>
      <c r="G495" s="1">
        <v>8198</v>
      </c>
    </row>
    <row r="496" spans="1:7" x14ac:dyDescent="0.3">
      <c r="A496" s="1" t="str">
        <f t="shared" si="7"/>
        <v>15 testo + EE2 64</v>
      </c>
      <c r="B4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6" s="1" t="s">
        <v>3878</v>
      </c>
      <c r="D496" s="1" t="s">
        <v>3220</v>
      </c>
      <c r="E496" s="1" t="s">
        <v>3879</v>
      </c>
      <c r="F496" s="1" t="s">
        <v>112</v>
      </c>
      <c r="G496" s="1">
        <v>6942</v>
      </c>
    </row>
    <row r="497" spans="1:10" x14ac:dyDescent="0.3">
      <c r="A497" s="1" t="str">
        <f t="shared" si="7"/>
        <v>15 testo + EE2 64</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97" s="1" t="s">
        <v>3880</v>
      </c>
      <c r="D497" s="1" t="s">
        <v>3881</v>
      </c>
      <c r="E497" s="1" t="s">
        <v>3882</v>
      </c>
      <c r="F497" s="1" t="s">
        <v>112</v>
      </c>
      <c r="G497" s="1">
        <v>127627</v>
      </c>
    </row>
    <row r="498" spans="1:10" x14ac:dyDescent="0.3">
      <c r="A498" s="1" t="str">
        <f t="shared" si="7"/>
        <v>15 testo + EE2 64</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98" s="1" t="s">
        <v>3883</v>
      </c>
      <c r="D498" s="1" t="s">
        <v>3402</v>
      </c>
      <c r="E498" s="1" t="s">
        <v>3884</v>
      </c>
      <c r="F498" s="1" t="s">
        <v>112</v>
      </c>
      <c r="G498" s="1">
        <v>127440</v>
      </c>
    </row>
    <row r="499" spans="1:10" x14ac:dyDescent="0.3">
      <c r="A499" s="1" t="str">
        <f t="shared" si="7"/>
        <v>15 testo + EE2 64</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99" s="1" t="s">
        <v>3885</v>
      </c>
      <c r="D499" s="1" t="s">
        <v>3886</v>
      </c>
      <c r="E499" s="1" t="s">
        <v>3887</v>
      </c>
      <c r="F499" s="1" t="s">
        <v>112</v>
      </c>
      <c r="G499" s="1">
        <v>123871</v>
      </c>
    </row>
    <row r="500" spans="1:10" x14ac:dyDescent="0.3">
      <c r="A500" s="1" t="str">
        <f t="shared" si="7"/>
        <v>15 testo + EE2 64</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00" s="1" t="s">
        <v>3888</v>
      </c>
      <c r="D500" s="1" t="s">
        <v>3889</v>
      </c>
      <c r="E500" s="1" t="s">
        <v>3890</v>
      </c>
      <c r="F500" s="1" t="s">
        <v>112</v>
      </c>
      <c r="G500" s="1">
        <v>136731</v>
      </c>
    </row>
    <row r="501" spans="1:10" x14ac:dyDescent="0.3">
      <c r="A501" s="1" t="str">
        <f t="shared" si="7"/>
        <v>15 testo + EE2 64</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01" s="1" t="s">
        <v>3891</v>
      </c>
      <c r="D501" s="1" t="s">
        <v>3892</v>
      </c>
      <c r="E501" s="1" t="s">
        <v>3893</v>
      </c>
      <c r="F501" s="1" t="s">
        <v>112</v>
      </c>
      <c r="G501" s="1">
        <v>111618</v>
      </c>
    </row>
    <row r="502" spans="1:10" x14ac:dyDescent="0.3">
      <c r="A502" s="1" t="str">
        <f t="shared" si="7"/>
        <v>15 testo + EE2 64</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02" s="1" t="s">
        <v>3894</v>
      </c>
      <c r="D502" s="1" t="s">
        <v>3895</v>
      </c>
      <c r="E502" s="1" t="s">
        <v>3896</v>
      </c>
      <c r="F502" s="1" t="s">
        <v>112</v>
      </c>
      <c r="G502" s="1">
        <v>107386</v>
      </c>
    </row>
    <row r="503" spans="1:10" x14ac:dyDescent="0.3">
      <c r="A503" s="1" t="str">
        <f t="shared" si="7"/>
        <v>15 testo + EE2 64</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03" s="1" t="s">
        <v>3897</v>
      </c>
      <c r="D503" s="1" t="s">
        <v>3898</v>
      </c>
      <c r="E503" s="1" t="s">
        <v>3899</v>
      </c>
      <c r="F503" s="1" t="s">
        <v>112</v>
      </c>
      <c r="G503" s="1">
        <v>125904</v>
      </c>
    </row>
    <row r="504" spans="1:10" x14ac:dyDescent="0.3">
      <c r="A504" s="1" t="str">
        <f t="shared" si="7"/>
        <v>15 testo + EE2 64</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04" s="1" t="s">
        <v>3900</v>
      </c>
      <c r="D504" s="1" t="s">
        <v>3901</v>
      </c>
      <c r="E504" s="1" t="s">
        <v>3902</v>
      </c>
      <c r="F504" s="1" t="s">
        <v>112</v>
      </c>
      <c r="G504" s="1">
        <v>107056</v>
      </c>
    </row>
    <row r="505" spans="1:10" x14ac:dyDescent="0.3">
      <c r="A505" s="1" t="str">
        <f t="shared" si="7"/>
        <v>15 testo + EE2 64</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05" s="1" t="s">
        <v>3903</v>
      </c>
      <c r="D505" s="1" t="s">
        <v>3904</v>
      </c>
      <c r="E505" s="1" t="s">
        <v>3905</v>
      </c>
      <c r="F505" s="1" t="s">
        <v>112</v>
      </c>
      <c r="G505" s="1">
        <v>113075</v>
      </c>
    </row>
    <row r="506" spans="1:10" x14ac:dyDescent="0.3">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06" s="1" t="s">
        <v>112</v>
      </c>
    </row>
    <row r="507" spans="1:10" x14ac:dyDescent="0.3">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07" s="1" t="s">
        <v>195</v>
      </c>
      <c r="D507" s="1" t="s">
        <v>112</v>
      </c>
      <c r="E507" s="1" t="s">
        <v>196</v>
      </c>
      <c r="F507" s="1" t="s">
        <v>197</v>
      </c>
      <c r="G507" s="1" t="s">
        <v>198</v>
      </c>
      <c r="H507" s="1" t="s">
        <v>199</v>
      </c>
      <c r="I507" s="1" t="s">
        <v>200</v>
      </c>
      <c r="J507" s="1" t="s">
        <v>201</v>
      </c>
    </row>
    <row r="508" spans="1:10" x14ac:dyDescent="0.3">
      <c r="A508" s="1" t="str">
        <f t="shared" si="7"/>
        <v>15 testo + EE2 64</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08" s="1" t="s">
        <v>3906</v>
      </c>
      <c r="D508" s="1" t="s">
        <v>112</v>
      </c>
      <c r="E508" s="1" t="s">
        <v>3907</v>
      </c>
      <c r="F508" s="1" t="s">
        <v>3908</v>
      </c>
      <c r="G508" s="1" t="s">
        <v>3909</v>
      </c>
      <c r="H508" s="1" t="s">
        <v>3910</v>
      </c>
      <c r="I508" s="1">
        <v>24</v>
      </c>
      <c r="J508" s="1">
        <v>24</v>
      </c>
    </row>
    <row r="509" spans="1:10" x14ac:dyDescent="0.3">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09" s="1" t="s">
        <v>112</v>
      </c>
    </row>
    <row r="510" spans="1:10" x14ac:dyDescent="0.3">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10" s="1" t="s">
        <v>112</v>
      </c>
    </row>
    <row r="511" spans="1:10" x14ac:dyDescent="0.3">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11" s="1" t="s">
        <v>112</v>
      </c>
    </row>
    <row r="512" spans="1:10" x14ac:dyDescent="0.3">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12" s="1" t="s">
        <v>112</v>
      </c>
    </row>
    <row r="513" spans="1:7" x14ac:dyDescent="0.3">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13" s="1" t="s">
        <v>112</v>
      </c>
    </row>
    <row r="514" spans="1:7" x14ac:dyDescent="0.3">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14" s="1" t="s">
        <v>202</v>
      </c>
      <c r="D514" s="1" t="s">
        <v>110</v>
      </c>
      <c r="E514" s="1" t="s">
        <v>111</v>
      </c>
      <c r="F514" s="1" t="s">
        <v>112</v>
      </c>
      <c r="G514" s="1" t="s">
        <v>113</v>
      </c>
    </row>
    <row r="515" spans="1:7" x14ac:dyDescent="0.3">
      <c r="A515" s="1" t="str">
        <f t="shared" si="8"/>
        <v>16 testo +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15" s="1" t="s">
        <v>3911</v>
      </c>
      <c r="D515" s="1" t="s">
        <v>3912</v>
      </c>
      <c r="E515" s="1" t="s">
        <v>3913</v>
      </c>
      <c r="F515" s="1" t="s">
        <v>112</v>
      </c>
      <c r="G515" s="1">
        <v>2340</v>
      </c>
    </row>
    <row r="516" spans="1:7" x14ac:dyDescent="0.3">
      <c r="A516" s="1" t="str">
        <f t="shared" si="8"/>
        <v>16 testo +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16" s="1" t="s">
        <v>3914</v>
      </c>
      <c r="D516" s="1" t="s">
        <v>3915</v>
      </c>
      <c r="E516" s="1" t="s">
        <v>3916</v>
      </c>
      <c r="F516" s="1" t="s">
        <v>112</v>
      </c>
      <c r="G516" s="1">
        <v>3892</v>
      </c>
    </row>
    <row r="517" spans="1:7" x14ac:dyDescent="0.3">
      <c r="A517" s="1" t="str">
        <f t="shared" si="8"/>
        <v>16 testo +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17" s="1" t="s">
        <v>3917</v>
      </c>
      <c r="D517" s="1" t="s">
        <v>3599</v>
      </c>
      <c r="E517" s="1" t="s">
        <v>3918</v>
      </c>
      <c r="F517" s="1" t="s">
        <v>112</v>
      </c>
      <c r="G517" s="1">
        <v>1877</v>
      </c>
    </row>
    <row r="518" spans="1:7" x14ac:dyDescent="0.3">
      <c r="A518" s="1" t="str">
        <f t="shared" si="8"/>
        <v>16 testo +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18" s="1" t="s">
        <v>3919</v>
      </c>
      <c r="D518" s="1" t="s">
        <v>3613</v>
      </c>
      <c r="E518" s="1" t="s">
        <v>948</v>
      </c>
      <c r="F518" s="1" t="s">
        <v>112</v>
      </c>
      <c r="G518" s="1">
        <v>1204</v>
      </c>
    </row>
    <row r="519" spans="1:7" x14ac:dyDescent="0.3">
      <c r="A519" s="1" t="str">
        <f t="shared" si="8"/>
        <v>16 testo +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19" s="1" t="s">
        <v>3920</v>
      </c>
      <c r="D519" s="1" t="s">
        <v>3107</v>
      </c>
      <c r="E519" s="1" t="s">
        <v>3921</v>
      </c>
      <c r="F519" s="1" t="s">
        <v>112</v>
      </c>
      <c r="G519" s="1">
        <v>1404</v>
      </c>
    </row>
    <row r="520" spans="1:7" x14ac:dyDescent="0.3">
      <c r="A520" s="1" t="str">
        <f t="shared" si="8"/>
        <v>16 testo +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20" s="1" t="s">
        <v>3922</v>
      </c>
      <c r="D520" s="1" t="s">
        <v>3009</v>
      </c>
      <c r="E520" s="1" t="s">
        <v>3923</v>
      </c>
      <c r="F520" s="1" t="s">
        <v>112</v>
      </c>
      <c r="G520" s="1">
        <v>2806</v>
      </c>
    </row>
    <row r="521" spans="1:7" x14ac:dyDescent="0.3">
      <c r="A521" s="1" t="str">
        <f t="shared" si="8"/>
        <v>16 testo + fad</v>
      </c>
      <c r="B5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21" s="1" t="s">
        <v>3924</v>
      </c>
      <c r="D521" s="1" t="s">
        <v>3482</v>
      </c>
      <c r="E521" s="1" t="s">
        <v>1343</v>
      </c>
      <c r="F521" s="1" t="s">
        <v>112</v>
      </c>
      <c r="G521" s="1">
        <v>726</v>
      </c>
    </row>
    <row r="522" spans="1:7" x14ac:dyDescent="0.3">
      <c r="A522" s="1" t="str">
        <f t="shared" si="8"/>
        <v>16 testo + fad</v>
      </c>
      <c r="B5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22" s="1" t="s">
        <v>3925</v>
      </c>
      <c r="D522" s="1" t="s">
        <v>2993</v>
      </c>
      <c r="E522" s="1" t="s">
        <v>1854</v>
      </c>
      <c r="F522" s="1" t="s">
        <v>112</v>
      </c>
      <c r="G522" s="1">
        <v>761</v>
      </c>
    </row>
    <row r="523" spans="1:7" x14ac:dyDescent="0.3">
      <c r="A523" s="1" t="str">
        <f t="shared" si="8"/>
        <v>16 testo +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23" s="1" t="s">
        <v>3926</v>
      </c>
      <c r="D523" s="1" t="s">
        <v>3087</v>
      </c>
      <c r="E523" s="1" t="s">
        <v>1394</v>
      </c>
      <c r="F523" s="1" t="s">
        <v>112</v>
      </c>
      <c r="G523" s="1">
        <v>1290</v>
      </c>
    </row>
    <row r="524" spans="1:7" x14ac:dyDescent="0.3">
      <c r="A524" s="1" t="str">
        <f t="shared" si="8"/>
        <v>16 testo + fad</v>
      </c>
      <c r="B5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24" s="1" t="s">
        <v>3927</v>
      </c>
      <c r="D524" s="1" t="s">
        <v>3928</v>
      </c>
      <c r="E524" s="1" t="s">
        <v>3929</v>
      </c>
      <c r="F524" s="1" t="s">
        <v>112</v>
      </c>
      <c r="G524" s="1">
        <v>4069</v>
      </c>
    </row>
    <row r="525" spans="1:7" x14ac:dyDescent="0.3">
      <c r="A525" s="1" t="str">
        <f t="shared" si="8"/>
        <v>16 testo + fad</v>
      </c>
      <c r="B5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25" s="1" t="s">
        <v>3930</v>
      </c>
      <c r="D525" s="1" t="s">
        <v>3931</v>
      </c>
      <c r="E525" s="1" t="s">
        <v>3932</v>
      </c>
      <c r="F525" s="1" t="s">
        <v>112</v>
      </c>
      <c r="G525" s="1">
        <v>4392</v>
      </c>
    </row>
    <row r="526" spans="1:7" x14ac:dyDescent="0.3">
      <c r="A526" s="1" t="str">
        <f t="shared" si="8"/>
        <v>16 testo + fad</v>
      </c>
      <c r="B5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26" s="1" t="s">
        <v>3933</v>
      </c>
      <c r="D526" s="1" t="s">
        <v>3090</v>
      </c>
      <c r="E526" s="1" t="s">
        <v>3480</v>
      </c>
      <c r="F526" s="1" t="s">
        <v>112</v>
      </c>
      <c r="G526" s="1">
        <v>1319</v>
      </c>
    </row>
    <row r="527" spans="1:7" x14ac:dyDescent="0.3">
      <c r="A527" s="1" t="str">
        <f t="shared" si="8"/>
        <v>16 testo + fad</v>
      </c>
      <c r="B5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27" s="1" t="s">
        <v>3934</v>
      </c>
      <c r="D527" s="1" t="s">
        <v>3935</v>
      </c>
      <c r="E527" s="1" t="s">
        <v>3936</v>
      </c>
      <c r="F527" s="1" t="s">
        <v>112</v>
      </c>
      <c r="G527" s="1">
        <v>7522</v>
      </c>
    </row>
    <row r="528" spans="1:7" x14ac:dyDescent="0.3">
      <c r="A528" s="1" t="str">
        <f t="shared" si="8"/>
        <v>16 testo + fad</v>
      </c>
      <c r="B5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28" s="1" t="s">
        <v>3937</v>
      </c>
      <c r="D528" s="1" t="s">
        <v>3938</v>
      </c>
      <c r="E528" s="1" t="s">
        <v>3939</v>
      </c>
      <c r="F528" s="1" t="s">
        <v>112</v>
      </c>
      <c r="G528" s="1">
        <v>6230</v>
      </c>
    </row>
    <row r="529" spans="1:10" x14ac:dyDescent="0.3">
      <c r="A529" s="1" t="str">
        <f t="shared" si="8"/>
        <v>16 testo + fad</v>
      </c>
      <c r="B5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29" s="1" t="s">
        <v>3940</v>
      </c>
      <c r="D529" s="1" t="s">
        <v>3613</v>
      </c>
      <c r="E529" s="1" t="s">
        <v>3941</v>
      </c>
      <c r="F529" s="1" t="s">
        <v>112</v>
      </c>
      <c r="G529" s="1">
        <v>1199</v>
      </c>
    </row>
    <row r="530" spans="1:10" x14ac:dyDescent="0.3">
      <c r="A530" s="1" t="str">
        <f t="shared" si="8"/>
        <v>16 testo + fad</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30" s="1" t="s">
        <v>3942</v>
      </c>
      <c r="D530" s="1" t="s">
        <v>3491</v>
      </c>
      <c r="E530" s="1" t="s">
        <v>2256</v>
      </c>
      <c r="F530" s="1" t="s">
        <v>112</v>
      </c>
      <c r="G530" s="1">
        <v>1878</v>
      </c>
    </row>
    <row r="531" spans="1:10" x14ac:dyDescent="0.3">
      <c r="A531" s="1" t="str">
        <f t="shared" si="8"/>
        <v>16 testo + fad</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31" s="1" t="s">
        <v>3943</v>
      </c>
      <c r="D531" s="1" t="s">
        <v>3107</v>
      </c>
      <c r="E531" s="1" t="s">
        <v>3944</v>
      </c>
      <c r="F531" s="1" t="s">
        <v>112</v>
      </c>
      <c r="G531" s="1">
        <v>1427</v>
      </c>
    </row>
    <row r="532" spans="1:10" x14ac:dyDescent="0.3">
      <c r="A532" s="1" t="str">
        <f t="shared" si="8"/>
        <v>16 testo + fad</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32" s="1" t="s">
        <v>3945</v>
      </c>
      <c r="D532" s="1" t="s">
        <v>2996</v>
      </c>
      <c r="E532" s="1" t="s">
        <v>3946</v>
      </c>
      <c r="F532" s="1" t="s">
        <v>112</v>
      </c>
      <c r="G532" s="1">
        <v>553</v>
      </c>
    </row>
    <row r="533" spans="1:10" x14ac:dyDescent="0.3">
      <c r="A533" s="1" t="str">
        <f t="shared" si="8"/>
        <v>16 testo + fad</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3" s="1" t="s">
        <v>3947</v>
      </c>
      <c r="D533" s="1" t="s">
        <v>3948</v>
      </c>
      <c r="E533" s="1" t="s">
        <v>3949</v>
      </c>
      <c r="F533" s="1" t="s">
        <v>112</v>
      </c>
      <c r="G533" s="1">
        <v>2344</v>
      </c>
    </row>
    <row r="534" spans="1:10" x14ac:dyDescent="0.3">
      <c r="A534" s="1" t="str">
        <f t="shared" si="8"/>
        <v>16 testo + fad</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4" s="1" t="s">
        <v>3950</v>
      </c>
      <c r="D534" s="1" t="s">
        <v>2990</v>
      </c>
      <c r="E534" s="1" t="s">
        <v>3951</v>
      </c>
      <c r="F534" s="1" t="s">
        <v>112</v>
      </c>
      <c r="G534" s="1">
        <v>1383</v>
      </c>
    </row>
    <row r="535" spans="1:10" x14ac:dyDescent="0.3">
      <c r="A535" s="1" t="str">
        <f t="shared" si="8"/>
        <v>16 testo + fad</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5" s="1" t="s">
        <v>3952</v>
      </c>
      <c r="D535" s="1" t="s">
        <v>3953</v>
      </c>
      <c r="E535" s="1" t="s">
        <v>3954</v>
      </c>
      <c r="F535" s="1" t="s">
        <v>112</v>
      </c>
      <c r="G535" s="1">
        <v>1769</v>
      </c>
    </row>
    <row r="536" spans="1:10" x14ac:dyDescent="0.3">
      <c r="A536" s="1" t="str">
        <f t="shared" si="8"/>
        <v>16 testo + fad</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36" s="1" t="s">
        <v>3955</v>
      </c>
      <c r="D536" s="1" t="s">
        <v>3956</v>
      </c>
      <c r="E536" s="1" t="s">
        <v>3957</v>
      </c>
      <c r="F536" s="1" t="s">
        <v>112</v>
      </c>
      <c r="G536" s="1">
        <v>3223</v>
      </c>
    </row>
    <row r="537" spans="1:10" x14ac:dyDescent="0.3">
      <c r="A537" s="1" t="str">
        <f t="shared" si="8"/>
        <v>16 testo + fad</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37" s="1" t="s">
        <v>3958</v>
      </c>
      <c r="D537" s="1" t="s">
        <v>3018</v>
      </c>
      <c r="E537" s="1" t="s">
        <v>253</v>
      </c>
      <c r="F537" s="1" t="s">
        <v>112</v>
      </c>
      <c r="G537" s="1">
        <v>586</v>
      </c>
    </row>
    <row r="538" spans="1:10" x14ac:dyDescent="0.3">
      <c r="A538" s="1" t="str">
        <f t="shared" si="8"/>
        <v>16 testo + fad</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38" s="1" t="s">
        <v>3959</v>
      </c>
      <c r="D538" s="1" t="s">
        <v>3102</v>
      </c>
      <c r="E538" s="1" t="s">
        <v>2685</v>
      </c>
      <c r="F538" s="1" t="s">
        <v>112</v>
      </c>
      <c r="G538" s="1">
        <v>488</v>
      </c>
    </row>
    <row r="539" spans="1:10" x14ac:dyDescent="0.3">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39" s="1" t="s">
        <v>112</v>
      </c>
    </row>
    <row r="540" spans="1:10" x14ac:dyDescent="0.3">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40" s="1" t="s">
        <v>195</v>
      </c>
      <c r="D540" s="1" t="s">
        <v>112</v>
      </c>
      <c r="E540" s="1" t="s">
        <v>196</v>
      </c>
      <c r="F540" s="1" t="s">
        <v>197</v>
      </c>
      <c r="G540" s="1" t="s">
        <v>198</v>
      </c>
      <c r="H540" s="1" t="s">
        <v>199</v>
      </c>
      <c r="I540" s="1" t="s">
        <v>200</v>
      </c>
      <c r="J540" s="1" t="s">
        <v>201</v>
      </c>
    </row>
    <row r="541" spans="1:10" x14ac:dyDescent="0.3">
      <c r="A541" s="1" t="str">
        <f t="shared" si="8"/>
        <v>16 testo + fad</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41" s="1" t="s">
        <v>3960</v>
      </c>
      <c r="D541" s="1" t="s">
        <v>112</v>
      </c>
      <c r="E541" s="1" t="s">
        <v>3961</v>
      </c>
      <c r="F541" s="1" t="s">
        <v>3962</v>
      </c>
      <c r="G541" s="1" t="s">
        <v>3963</v>
      </c>
      <c r="H541" s="1" t="s">
        <v>3964</v>
      </c>
      <c r="I541" s="1">
        <v>24</v>
      </c>
      <c r="J541" s="1">
        <v>24</v>
      </c>
    </row>
    <row r="542" spans="1:10" x14ac:dyDescent="0.3">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42" s="1" t="s">
        <v>112</v>
      </c>
    </row>
    <row r="543" spans="1:10" x14ac:dyDescent="0.3">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43" s="1" t="s">
        <v>112</v>
      </c>
    </row>
    <row r="544" spans="1:10" x14ac:dyDescent="0.3">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44" s="1" t="s">
        <v>112</v>
      </c>
    </row>
    <row r="545" spans="1:7" x14ac:dyDescent="0.3">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45" s="1" t="s">
        <v>112</v>
      </c>
    </row>
    <row r="546" spans="1:7" x14ac:dyDescent="0.3">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46" s="1" t="s">
        <v>112</v>
      </c>
    </row>
    <row r="547" spans="1:7" x14ac:dyDescent="0.3">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47" s="1" t="s">
        <v>202</v>
      </c>
      <c r="D547" s="1" t="s">
        <v>110</v>
      </c>
      <c r="E547" s="1" t="s">
        <v>111</v>
      </c>
      <c r="F547" s="1" t="s">
        <v>112</v>
      </c>
      <c r="G547" s="1" t="s">
        <v>113</v>
      </c>
    </row>
    <row r="548" spans="1:7" x14ac:dyDescent="0.3">
      <c r="A548" s="1" t="str">
        <f t="shared" si="8"/>
        <v>17 testo + duta 0.01</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48" s="1" t="s">
        <v>3965</v>
      </c>
      <c r="D548" s="1" t="s">
        <v>3966</v>
      </c>
      <c r="E548" s="1" t="s">
        <v>3967</v>
      </c>
      <c r="F548" s="1" t="s">
        <v>112</v>
      </c>
      <c r="G548" s="1">
        <v>133601</v>
      </c>
    </row>
    <row r="549" spans="1:7" x14ac:dyDescent="0.3">
      <c r="A549" s="1" t="str">
        <f t="shared" si="8"/>
        <v>17 testo + duta 0.01</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49" s="1" t="s">
        <v>3968</v>
      </c>
      <c r="D549" s="1" t="s">
        <v>3969</v>
      </c>
      <c r="E549" s="1" t="s">
        <v>3970</v>
      </c>
      <c r="F549" s="1" t="s">
        <v>112</v>
      </c>
      <c r="G549" s="1">
        <v>142738</v>
      </c>
    </row>
    <row r="550" spans="1:7" x14ac:dyDescent="0.3">
      <c r="A550" s="1" t="str">
        <f t="shared" si="8"/>
        <v>17 testo + duta 0.01</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50" s="1" t="s">
        <v>3971</v>
      </c>
      <c r="D550" s="1" t="s">
        <v>3405</v>
      </c>
      <c r="E550" s="1" t="s">
        <v>3972</v>
      </c>
      <c r="F550" s="1" t="s">
        <v>112</v>
      </c>
      <c r="G550" s="1">
        <v>121922</v>
      </c>
    </row>
    <row r="551" spans="1:7" x14ac:dyDescent="0.3">
      <c r="A551" s="1" t="str">
        <f t="shared" si="8"/>
        <v>17 testo + duta 0.01</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51" s="1" t="s">
        <v>3973</v>
      </c>
      <c r="D551" s="1" t="s">
        <v>3974</v>
      </c>
      <c r="E551" s="1" t="s">
        <v>3975</v>
      </c>
      <c r="F551" s="1" t="s">
        <v>112</v>
      </c>
      <c r="G551" s="1">
        <v>3240</v>
      </c>
    </row>
    <row r="552" spans="1:7" x14ac:dyDescent="0.3">
      <c r="A552" s="1" t="str">
        <f t="shared" si="8"/>
        <v>17 testo + duta 0.01</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52" s="1" t="s">
        <v>3976</v>
      </c>
      <c r="D552" s="1" t="s">
        <v>3541</v>
      </c>
      <c r="E552" s="1" t="s">
        <v>3977</v>
      </c>
      <c r="F552" s="1" t="s">
        <v>112</v>
      </c>
      <c r="G552" s="1">
        <v>2158</v>
      </c>
    </row>
    <row r="553" spans="1:7" x14ac:dyDescent="0.3">
      <c r="A553" s="1" t="str">
        <f t="shared" si="8"/>
        <v>17 testo + duta 0.01</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53" s="1" t="s">
        <v>3978</v>
      </c>
      <c r="D553" s="1" t="s">
        <v>3465</v>
      </c>
      <c r="E553" s="1" t="s">
        <v>3979</v>
      </c>
      <c r="F553" s="1" t="s">
        <v>112</v>
      </c>
      <c r="G553" s="1">
        <v>1442</v>
      </c>
    </row>
    <row r="554" spans="1:7" x14ac:dyDescent="0.3">
      <c r="A554" s="1" t="str">
        <f t="shared" si="8"/>
        <v>17 testo + duta 0.01</v>
      </c>
      <c r="B5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54" s="1" t="s">
        <v>3980</v>
      </c>
      <c r="D554" s="1" t="s">
        <v>3981</v>
      </c>
      <c r="E554" s="1" t="s">
        <v>3982</v>
      </c>
      <c r="F554" s="1" t="s">
        <v>112</v>
      </c>
      <c r="G554" s="1">
        <v>37280</v>
      </c>
    </row>
    <row r="555" spans="1:7" x14ac:dyDescent="0.3">
      <c r="A555" s="1" t="str">
        <f t="shared" si="8"/>
        <v>17 testo + duta 0.01</v>
      </c>
      <c r="B5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55" s="1" t="s">
        <v>3983</v>
      </c>
      <c r="D555" s="1" t="s">
        <v>3984</v>
      </c>
      <c r="E555" s="1" t="s">
        <v>3985</v>
      </c>
      <c r="F555" s="1" t="s">
        <v>112</v>
      </c>
      <c r="G555" s="1">
        <v>35045</v>
      </c>
    </row>
    <row r="556" spans="1:7" x14ac:dyDescent="0.3">
      <c r="A556" s="1" t="str">
        <f t="shared" si="8"/>
        <v>17 testo + duta 0.01</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56" s="1" t="s">
        <v>3986</v>
      </c>
      <c r="D556" s="1" t="s">
        <v>3987</v>
      </c>
      <c r="E556" s="1" t="s">
        <v>3988</v>
      </c>
      <c r="F556" s="1" t="s">
        <v>112</v>
      </c>
      <c r="G556" s="1">
        <v>29549</v>
      </c>
    </row>
    <row r="557" spans="1:7" x14ac:dyDescent="0.3">
      <c r="A557" s="1" t="str">
        <f t="shared" si="8"/>
        <v>17 testo + duta 0.01</v>
      </c>
      <c r="B5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57" s="1" t="s">
        <v>3989</v>
      </c>
      <c r="D557" s="1" t="s">
        <v>3990</v>
      </c>
      <c r="E557" s="1" t="s">
        <v>3991</v>
      </c>
      <c r="F557" s="1" t="s">
        <v>112</v>
      </c>
      <c r="G557" s="1">
        <v>74481</v>
      </c>
    </row>
    <row r="558" spans="1:7" x14ac:dyDescent="0.3">
      <c r="A558" s="1" t="str">
        <f t="shared" si="8"/>
        <v>17 testo + duta 0.01</v>
      </c>
      <c r="B5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58" s="1" t="s">
        <v>3992</v>
      </c>
      <c r="D558" s="1" t="s">
        <v>3993</v>
      </c>
      <c r="E558" s="1" t="s">
        <v>3994</v>
      </c>
      <c r="F558" s="1" t="s">
        <v>112</v>
      </c>
      <c r="G558" s="1">
        <v>62983</v>
      </c>
    </row>
    <row r="559" spans="1:7" x14ac:dyDescent="0.3">
      <c r="A559" s="1" t="str">
        <f t="shared" si="8"/>
        <v>17 testo + duta 0.01</v>
      </c>
      <c r="B5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59" s="1" t="s">
        <v>3995</v>
      </c>
      <c r="D559" s="1" t="s">
        <v>3996</v>
      </c>
      <c r="E559" s="1" t="s">
        <v>3997</v>
      </c>
      <c r="F559" s="1" t="s">
        <v>112</v>
      </c>
      <c r="G559" s="1">
        <v>68877</v>
      </c>
    </row>
    <row r="560" spans="1:7" x14ac:dyDescent="0.3">
      <c r="A560" s="1" t="str">
        <f t="shared" si="8"/>
        <v>17 testo + duta 0.01</v>
      </c>
      <c r="B5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60" s="1" t="s">
        <v>3998</v>
      </c>
      <c r="D560" s="1" t="s">
        <v>3999</v>
      </c>
      <c r="E560" s="1" t="s">
        <v>4000</v>
      </c>
      <c r="F560" s="1" t="s">
        <v>112</v>
      </c>
      <c r="G560" s="1">
        <v>72922</v>
      </c>
    </row>
    <row r="561" spans="1:10" x14ac:dyDescent="0.3">
      <c r="A561" s="1" t="str">
        <f t="shared" si="8"/>
        <v>17 testo + duta 0.01</v>
      </c>
      <c r="B5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61" s="1" t="s">
        <v>4001</v>
      </c>
      <c r="D561" s="1" t="s">
        <v>4002</v>
      </c>
      <c r="E561" s="1" t="s">
        <v>4003</v>
      </c>
      <c r="F561" s="1" t="s">
        <v>112</v>
      </c>
      <c r="G561" s="1">
        <v>80386</v>
      </c>
    </row>
    <row r="562" spans="1:10" x14ac:dyDescent="0.3">
      <c r="A562" s="1" t="str">
        <f t="shared" si="8"/>
        <v>17 testo + duta 0.01</v>
      </c>
      <c r="B5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62" s="1" t="s">
        <v>4004</v>
      </c>
      <c r="D562" s="1" t="s">
        <v>3295</v>
      </c>
      <c r="E562" s="1" t="s">
        <v>4005</v>
      </c>
      <c r="F562" s="1" t="s">
        <v>112</v>
      </c>
      <c r="G562" s="1">
        <v>66285</v>
      </c>
    </row>
    <row r="563" spans="1:10" x14ac:dyDescent="0.3">
      <c r="A563" s="1" t="str">
        <f t="shared" si="8"/>
        <v>17 testo + duta 0.01</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63" s="1" t="s">
        <v>4006</v>
      </c>
      <c r="D563" s="1" t="s">
        <v>4007</v>
      </c>
      <c r="E563" s="1" t="s">
        <v>4008</v>
      </c>
      <c r="F563" s="1" t="s">
        <v>112</v>
      </c>
      <c r="G563" s="1">
        <v>18361</v>
      </c>
    </row>
    <row r="564" spans="1:10" x14ac:dyDescent="0.3">
      <c r="A564" s="1" t="str">
        <f t="shared" si="8"/>
        <v>17 testo + duta 0.01</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64" s="1" t="s">
        <v>4009</v>
      </c>
      <c r="D564" s="1" t="s">
        <v>4010</v>
      </c>
      <c r="E564" s="1" t="s">
        <v>4011</v>
      </c>
      <c r="F564" s="1" t="s">
        <v>112</v>
      </c>
      <c r="G564" s="1">
        <v>19901</v>
      </c>
    </row>
    <row r="565" spans="1:10" x14ac:dyDescent="0.3">
      <c r="A565" s="1" t="str">
        <f t="shared" si="8"/>
        <v>17 testo + duta 0.01</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65" s="1" t="s">
        <v>4012</v>
      </c>
      <c r="D565" s="1" t="s">
        <v>4013</v>
      </c>
      <c r="E565" s="1" t="s">
        <v>4014</v>
      </c>
      <c r="F565" s="1" t="s">
        <v>112</v>
      </c>
      <c r="G565" s="1">
        <v>17451</v>
      </c>
    </row>
    <row r="566" spans="1:10" x14ac:dyDescent="0.3">
      <c r="A566" s="1" t="str">
        <f t="shared" si="8"/>
        <v>17 testo + duta 0.01</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6" s="1" t="s">
        <v>4015</v>
      </c>
      <c r="D566" s="1" t="s">
        <v>3065</v>
      </c>
      <c r="E566" s="1" t="s">
        <v>4016</v>
      </c>
      <c r="F566" s="1" t="s">
        <v>112</v>
      </c>
      <c r="G566" s="1">
        <v>368</v>
      </c>
    </row>
    <row r="567" spans="1:10" x14ac:dyDescent="0.3">
      <c r="A567" s="1" t="str">
        <f t="shared" si="8"/>
        <v>17 testo + duta 0.01</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7" s="1" t="s">
        <v>4017</v>
      </c>
      <c r="D567" s="1" t="s">
        <v>3018</v>
      </c>
      <c r="E567" s="1" t="s">
        <v>1521</v>
      </c>
      <c r="F567" s="1" t="s">
        <v>112</v>
      </c>
      <c r="G567" s="1">
        <v>593</v>
      </c>
    </row>
    <row r="568" spans="1:10" x14ac:dyDescent="0.3">
      <c r="A568" s="1" t="str">
        <f t="shared" si="8"/>
        <v>17 testo + duta 0.01</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68" s="1" t="s">
        <v>4018</v>
      </c>
      <c r="D568" s="1" t="s">
        <v>3045</v>
      </c>
      <c r="E568" s="1" t="s">
        <v>4019</v>
      </c>
      <c r="F568" s="1" t="s">
        <v>112</v>
      </c>
      <c r="G568" s="1">
        <v>320</v>
      </c>
    </row>
    <row r="569" spans="1:10" x14ac:dyDescent="0.3">
      <c r="A569" s="1" t="str">
        <f t="shared" si="8"/>
        <v>17 testo + duta 0.01</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9" s="1" t="s">
        <v>4020</v>
      </c>
      <c r="D569" s="1" t="s">
        <v>4021</v>
      </c>
      <c r="E569" s="1" t="s">
        <v>4022</v>
      </c>
      <c r="F569" s="1" t="s">
        <v>112</v>
      </c>
      <c r="G569" s="1">
        <v>75514</v>
      </c>
    </row>
    <row r="570" spans="1:10" x14ac:dyDescent="0.3">
      <c r="A570" s="1" t="str">
        <f t="shared" si="8"/>
        <v>17 testo + duta 0.01</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0" s="1" t="s">
        <v>4023</v>
      </c>
      <c r="D570" s="1" t="s">
        <v>4024</v>
      </c>
      <c r="E570" s="1" t="s">
        <v>4025</v>
      </c>
      <c r="F570" s="1" t="s">
        <v>112</v>
      </c>
      <c r="G570" s="1">
        <v>74898</v>
      </c>
    </row>
    <row r="571" spans="1:10" x14ac:dyDescent="0.3">
      <c r="A571" s="1" t="str">
        <f t="shared" si="8"/>
        <v>17 testo + duta 0.01</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1" s="1" t="s">
        <v>4026</v>
      </c>
      <c r="D571" s="1" t="s">
        <v>4027</v>
      </c>
      <c r="E571" s="1" t="s">
        <v>4028</v>
      </c>
      <c r="F571" s="1" t="s">
        <v>112</v>
      </c>
      <c r="G571" s="1">
        <v>79781</v>
      </c>
    </row>
    <row r="572" spans="1:10" x14ac:dyDescent="0.3">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2" s="1" t="s">
        <v>112</v>
      </c>
    </row>
    <row r="573" spans="1:10" x14ac:dyDescent="0.3">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3" s="1" t="s">
        <v>195</v>
      </c>
      <c r="D573" s="1" t="s">
        <v>112</v>
      </c>
      <c r="E573" s="1" t="s">
        <v>196</v>
      </c>
      <c r="F573" s="1" t="s">
        <v>197</v>
      </c>
      <c r="G573" s="1" t="s">
        <v>198</v>
      </c>
      <c r="H573" s="1" t="s">
        <v>199</v>
      </c>
      <c r="I573" s="1" t="s">
        <v>200</v>
      </c>
      <c r="J573" s="1" t="s">
        <v>201</v>
      </c>
    </row>
    <row r="574" spans="1:10" x14ac:dyDescent="0.3">
      <c r="A574" s="1" t="str">
        <f t="shared" si="8"/>
        <v>17 testo + duta 0.01</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74" s="1" t="s">
        <v>4029</v>
      </c>
      <c r="D574" s="1" t="s">
        <v>112</v>
      </c>
      <c r="E574" s="1" t="s">
        <v>4030</v>
      </c>
      <c r="F574" s="1" t="s">
        <v>4031</v>
      </c>
      <c r="G574" s="1" t="s">
        <v>4032</v>
      </c>
      <c r="H574" s="1" t="s">
        <v>4033</v>
      </c>
      <c r="I574" s="1">
        <v>24</v>
      </c>
      <c r="J574" s="1">
        <v>24</v>
      </c>
    </row>
    <row r="575" spans="1:10" x14ac:dyDescent="0.3">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5" s="1" t="s">
        <v>112</v>
      </c>
    </row>
    <row r="576" spans="1:10" x14ac:dyDescent="0.3">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6" s="1" t="s">
        <v>112</v>
      </c>
    </row>
    <row r="577" spans="1:7" x14ac:dyDescent="0.3">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7" s="1" t="s">
        <v>112</v>
      </c>
    </row>
    <row r="578" spans="1:7" x14ac:dyDescent="0.3">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8" s="1" t="s">
        <v>112</v>
      </c>
    </row>
    <row r="579" spans="1:7" x14ac:dyDescent="0.3">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79" s="1" t="s">
        <v>112</v>
      </c>
    </row>
    <row r="580" spans="1:7" x14ac:dyDescent="0.3">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0" s="1" t="s">
        <v>202</v>
      </c>
      <c r="D580" s="1" t="s">
        <v>110</v>
      </c>
      <c r="E580" s="1" t="s">
        <v>111</v>
      </c>
      <c r="F580" s="1" t="s">
        <v>112</v>
      </c>
      <c r="G580" s="1" t="s">
        <v>113</v>
      </c>
    </row>
    <row r="581" spans="1:7" x14ac:dyDescent="0.3">
      <c r="A581" s="1" t="str">
        <f t="shared" si="9"/>
        <v>18 testo + duta 0.1</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81" s="1" t="s">
        <v>4034</v>
      </c>
      <c r="D581" s="1" t="s">
        <v>4035</v>
      </c>
      <c r="E581" s="1" t="s">
        <v>4036</v>
      </c>
      <c r="F581" s="1" t="s">
        <v>112</v>
      </c>
      <c r="G581" s="1">
        <v>90742</v>
      </c>
    </row>
    <row r="582" spans="1:7" x14ac:dyDescent="0.3">
      <c r="A582" s="1" t="str">
        <f t="shared" si="9"/>
        <v>18 testo + duta 0.1</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82" s="1" t="s">
        <v>4037</v>
      </c>
      <c r="D582" s="1" t="s">
        <v>4038</v>
      </c>
      <c r="E582" s="1" t="s">
        <v>4039</v>
      </c>
      <c r="F582" s="1" t="s">
        <v>112</v>
      </c>
      <c r="G582" s="1">
        <v>106461</v>
      </c>
    </row>
    <row r="583" spans="1:7" x14ac:dyDescent="0.3">
      <c r="A583" s="1" t="str">
        <f t="shared" si="9"/>
        <v>18 testo + duta 0.1</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83" s="1" t="s">
        <v>4040</v>
      </c>
      <c r="D583" s="1" t="s">
        <v>4041</v>
      </c>
      <c r="E583" s="1" t="s">
        <v>4042</v>
      </c>
      <c r="F583" s="1" t="s">
        <v>112</v>
      </c>
      <c r="G583" s="1">
        <v>101125</v>
      </c>
    </row>
    <row r="584" spans="1:7" x14ac:dyDescent="0.3">
      <c r="A584" s="1" t="str">
        <f t="shared" si="9"/>
        <v>18 testo + duta 0.1</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84" s="1" t="s">
        <v>4043</v>
      </c>
      <c r="D584" s="1" t="s">
        <v>4044</v>
      </c>
      <c r="E584" s="1" t="s">
        <v>4045</v>
      </c>
      <c r="F584" s="1" t="s">
        <v>112</v>
      </c>
      <c r="G584" s="1">
        <v>77572</v>
      </c>
    </row>
    <row r="585" spans="1:7" x14ac:dyDescent="0.3">
      <c r="A585" s="1" t="str">
        <f t="shared" si="9"/>
        <v>18 testo + duta 0.1</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85" s="1" t="s">
        <v>4046</v>
      </c>
      <c r="D585" s="1" t="s">
        <v>4047</v>
      </c>
      <c r="E585" s="1" t="s">
        <v>4048</v>
      </c>
      <c r="F585" s="1" t="s">
        <v>112</v>
      </c>
      <c r="G585" s="1">
        <v>71615</v>
      </c>
    </row>
    <row r="586" spans="1:7" x14ac:dyDescent="0.3">
      <c r="A586" s="1" t="str">
        <f t="shared" si="9"/>
        <v>18 testo + duta 0.1</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86" s="1" t="s">
        <v>4049</v>
      </c>
      <c r="D586" s="1" t="s">
        <v>4050</v>
      </c>
      <c r="E586" s="1" t="s">
        <v>4051</v>
      </c>
      <c r="F586" s="1" t="s">
        <v>112</v>
      </c>
      <c r="G586" s="1">
        <v>65447</v>
      </c>
    </row>
    <row r="587" spans="1:7" x14ac:dyDescent="0.3">
      <c r="A587" s="1" t="str">
        <f t="shared" si="9"/>
        <v>18 testo + duta 0.1</v>
      </c>
      <c r="B5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87" s="1" t="s">
        <v>4052</v>
      </c>
      <c r="D587" s="1" t="s">
        <v>4053</v>
      </c>
      <c r="E587" s="1" t="s">
        <v>4054</v>
      </c>
      <c r="F587" s="1" t="s">
        <v>112</v>
      </c>
      <c r="G587" s="1">
        <v>128090</v>
      </c>
    </row>
    <row r="588" spans="1:7" x14ac:dyDescent="0.3">
      <c r="A588" s="1" t="str">
        <f t="shared" si="9"/>
        <v>18 testo + duta 0.1</v>
      </c>
      <c r="B5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88" s="1" t="s">
        <v>4055</v>
      </c>
      <c r="D588" s="1" t="s">
        <v>4056</v>
      </c>
      <c r="E588" s="1" t="s">
        <v>4057</v>
      </c>
      <c r="F588" s="1" t="s">
        <v>112</v>
      </c>
      <c r="G588" s="1">
        <v>84716</v>
      </c>
    </row>
    <row r="589" spans="1:7" x14ac:dyDescent="0.3">
      <c r="A589" s="1" t="str">
        <f t="shared" si="9"/>
        <v>18 testo + duta 0.1</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89" s="1" t="s">
        <v>4058</v>
      </c>
      <c r="D589" s="1" t="s">
        <v>4059</v>
      </c>
      <c r="E589" s="1" t="s">
        <v>4060</v>
      </c>
      <c r="F589" s="1" t="s">
        <v>112</v>
      </c>
      <c r="G589" s="1">
        <v>143956</v>
      </c>
    </row>
    <row r="590" spans="1:7" x14ac:dyDescent="0.3">
      <c r="A590" s="1" t="str">
        <f t="shared" si="9"/>
        <v>18 testo + duta 0.1</v>
      </c>
      <c r="B5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90" s="1" t="s">
        <v>4061</v>
      </c>
      <c r="D590" s="1" t="s">
        <v>4062</v>
      </c>
      <c r="E590" s="1" t="s">
        <v>4063</v>
      </c>
      <c r="F590" s="1" t="s">
        <v>112</v>
      </c>
      <c r="G590" s="1">
        <v>57613</v>
      </c>
    </row>
    <row r="591" spans="1:7" x14ac:dyDescent="0.3">
      <c r="A591" s="1" t="str">
        <f t="shared" si="9"/>
        <v>18 testo + duta 0.1</v>
      </c>
      <c r="B5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91" s="1" t="s">
        <v>4064</v>
      </c>
      <c r="D591" s="1" t="s">
        <v>4065</v>
      </c>
      <c r="E591" s="1" t="s">
        <v>4066</v>
      </c>
      <c r="F591" s="1" t="s">
        <v>112</v>
      </c>
      <c r="G591" s="1">
        <v>87221</v>
      </c>
    </row>
    <row r="592" spans="1:7" x14ac:dyDescent="0.3">
      <c r="A592" s="1" t="str">
        <f t="shared" si="9"/>
        <v>18 testo + duta 0.1</v>
      </c>
      <c r="B5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92" s="1" t="s">
        <v>4067</v>
      </c>
      <c r="D592" s="1" t="s">
        <v>4068</v>
      </c>
      <c r="E592" s="1" t="s">
        <v>4069</v>
      </c>
      <c r="F592" s="1" t="s">
        <v>112</v>
      </c>
      <c r="G592" s="1">
        <v>95261</v>
      </c>
    </row>
    <row r="593" spans="1:10" x14ac:dyDescent="0.3">
      <c r="A593" s="1" t="str">
        <f t="shared" si="9"/>
        <v>18 testo + duta 0.1</v>
      </c>
      <c r="B5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93" s="1" t="s">
        <v>4070</v>
      </c>
      <c r="D593" s="1" t="s">
        <v>4071</v>
      </c>
      <c r="E593" s="1" t="s">
        <v>4072</v>
      </c>
      <c r="F593" s="1" t="s">
        <v>112</v>
      </c>
      <c r="G593" s="1">
        <v>34268</v>
      </c>
    </row>
    <row r="594" spans="1:10" x14ac:dyDescent="0.3">
      <c r="A594" s="1" t="str">
        <f t="shared" si="9"/>
        <v>18 testo + duta 0.1</v>
      </c>
      <c r="B5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94" s="1" t="s">
        <v>4073</v>
      </c>
      <c r="D594" s="1" t="s">
        <v>4074</v>
      </c>
      <c r="E594" s="1" t="s">
        <v>4075</v>
      </c>
      <c r="F594" s="1" t="s">
        <v>112</v>
      </c>
      <c r="G594" s="1">
        <v>26126</v>
      </c>
    </row>
    <row r="595" spans="1:10" x14ac:dyDescent="0.3">
      <c r="A595" s="1" t="str">
        <f t="shared" si="9"/>
        <v>18 testo + duta 0.1</v>
      </c>
      <c r="B5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95" s="1" t="s">
        <v>4076</v>
      </c>
      <c r="D595" s="1" t="s">
        <v>4077</v>
      </c>
      <c r="E595" s="1" t="s">
        <v>4078</v>
      </c>
      <c r="F595" s="1" t="s">
        <v>112</v>
      </c>
      <c r="G595" s="1">
        <v>30269</v>
      </c>
    </row>
    <row r="596" spans="1:10" x14ac:dyDescent="0.3">
      <c r="A596" s="1" t="str">
        <f t="shared" si="9"/>
        <v>18 testo + duta 0.1</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96" s="1" t="s">
        <v>4079</v>
      </c>
      <c r="D596" s="1" t="s">
        <v>4080</v>
      </c>
      <c r="E596" s="1" t="s">
        <v>4081</v>
      </c>
      <c r="F596" s="1" t="s">
        <v>112</v>
      </c>
      <c r="G596" s="1">
        <v>95256</v>
      </c>
    </row>
    <row r="597" spans="1:10" x14ac:dyDescent="0.3">
      <c r="A597" s="1" t="str">
        <f t="shared" si="9"/>
        <v>18 testo + duta 0.1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97" s="1" t="s">
        <v>4082</v>
      </c>
      <c r="D597" s="1" t="s">
        <v>4083</v>
      </c>
      <c r="E597" s="1" t="s">
        <v>4084</v>
      </c>
      <c r="F597" s="1" t="s">
        <v>112</v>
      </c>
      <c r="G597" s="1">
        <v>106359</v>
      </c>
    </row>
    <row r="598" spans="1:10" x14ac:dyDescent="0.3">
      <c r="A598" s="1" t="str">
        <f t="shared" si="9"/>
        <v>18 testo + duta 0.1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98" s="1" t="s">
        <v>4085</v>
      </c>
      <c r="D598" s="1" t="s">
        <v>4086</v>
      </c>
      <c r="E598" s="1" t="s">
        <v>4087</v>
      </c>
      <c r="F598" s="1" t="s">
        <v>112</v>
      </c>
      <c r="G598" s="1">
        <v>105803</v>
      </c>
    </row>
    <row r="599" spans="1:10" x14ac:dyDescent="0.3">
      <c r="A599" s="1" t="str">
        <f t="shared" si="9"/>
        <v>18 testo + duta 0.1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99" s="1" t="s">
        <v>4088</v>
      </c>
      <c r="D599" s="1" t="s">
        <v>3953</v>
      </c>
      <c r="E599" s="1" t="s">
        <v>948</v>
      </c>
      <c r="F599" s="1" t="s">
        <v>112</v>
      </c>
      <c r="G599" s="1">
        <v>1806</v>
      </c>
    </row>
    <row r="600" spans="1:10" x14ac:dyDescent="0.3">
      <c r="A600" s="1" t="str">
        <f t="shared" si="9"/>
        <v>18 testo + duta 0.1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00" s="1" t="s">
        <v>4089</v>
      </c>
      <c r="D600" s="1" t="s">
        <v>3085</v>
      </c>
      <c r="E600" s="1" t="s">
        <v>4090</v>
      </c>
      <c r="F600" s="1" t="s">
        <v>112</v>
      </c>
      <c r="G600" s="1">
        <v>1917</v>
      </c>
    </row>
    <row r="601" spans="1:10" x14ac:dyDescent="0.3">
      <c r="A601" s="1" t="str">
        <f t="shared" si="9"/>
        <v>18 testo + duta 0.1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01" s="1" t="s">
        <v>4091</v>
      </c>
      <c r="D601" s="1" t="s">
        <v>4092</v>
      </c>
      <c r="E601" s="1" t="s">
        <v>4093</v>
      </c>
      <c r="F601" s="1" t="s">
        <v>112</v>
      </c>
      <c r="G601" s="1">
        <v>6432</v>
      </c>
    </row>
    <row r="602" spans="1:10" x14ac:dyDescent="0.3">
      <c r="A602" s="1" t="str">
        <f t="shared" si="9"/>
        <v>18 testo + duta 0.1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02" s="1" t="s">
        <v>4094</v>
      </c>
      <c r="D602" s="1" t="s">
        <v>4095</v>
      </c>
      <c r="E602" s="1" t="s">
        <v>223</v>
      </c>
      <c r="F602" s="1" t="s">
        <v>112</v>
      </c>
      <c r="G602" s="1">
        <v>24728</v>
      </c>
    </row>
    <row r="603" spans="1:10" x14ac:dyDescent="0.3">
      <c r="A603" s="1" t="str">
        <f t="shared" si="9"/>
        <v>18 testo + duta 0.1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03" s="1" t="s">
        <v>4096</v>
      </c>
      <c r="D603" s="1" t="s">
        <v>4097</v>
      </c>
      <c r="E603" s="1" t="s">
        <v>4098</v>
      </c>
      <c r="F603" s="1" t="s">
        <v>112</v>
      </c>
      <c r="G603" s="1">
        <v>25088</v>
      </c>
    </row>
    <row r="604" spans="1:10" x14ac:dyDescent="0.3">
      <c r="A604" s="1" t="str">
        <f t="shared" si="9"/>
        <v>18 testo + duta 0.1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04" s="1" t="s">
        <v>4099</v>
      </c>
      <c r="D604" s="1" t="s">
        <v>3456</v>
      </c>
      <c r="E604" s="1" t="s">
        <v>4100</v>
      </c>
      <c r="F604" s="1" t="s">
        <v>112</v>
      </c>
      <c r="G604" s="1">
        <v>24080</v>
      </c>
    </row>
    <row r="605" spans="1:10" x14ac:dyDescent="0.3">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5" s="1" t="s">
        <v>112</v>
      </c>
    </row>
    <row r="606" spans="1:10" x14ac:dyDescent="0.3">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6" s="1" t="s">
        <v>195</v>
      </c>
      <c r="D606" s="1" t="s">
        <v>112</v>
      </c>
      <c r="E606" s="1" t="s">
        <v>196</v>
      </c>
      <c r="F606" s="1" t="s">
        <v>197</v>
      </c>
      <c r="G606" s="1" t="s">
        <v>198</v>
      </c>
      <c r="H606" s="1" t="s">
        <v>199</v>
      </c>
      <c r="I606" s="1" t="s">
        <v>200</v>
      </c>
      <c r="J606" s="1" t="s">
        <v>201</v>
      </c>
    </row>
    <row r="607" spans="1:10" x14ac:dyDescent="0.3">
      <c r="A607" s="1" t="str">
        <f t="shared" si="9"/>
        <v>18 testo + duta 0.1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07" s="1" t="s">
        <v>4101</v>
      </c>
      <c r="D607" s="1" t="s">
        <v>112</v>
      </c>
      <c r="E607" s="1" t="s">
        <v>4102</v>
      </c>
      <c r="F607" s="1" t="s">
        <v>4103</v>
      </c>
      <c r="G607" s="1" t="s">
        <v>4104</v>
      </c>
      <c r="H607" s="1" t="s">
        <v>4105</v>
      </c>
      <c r="I607" s="1">
        <v>24</v>
      </c>
      <c r="J607" s="1">
        <v>24</v>
      </c>
    </row>
    <row r="608" spans="1:10" x14ac:dyDescent="0.3">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8" s="1" t="s">
        <v>112</v>
      </c>
    </row>
    <row r="609" spans="1:7" x14ac:dyDescent="0.3">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9" s="1" t="s">
        <v>112</v>
      </c>
    </row>
    <row r="610" spans="1:7" x14ac:dyDescent="0.3">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0" s="1" t="s">
        <v>112</v>
      </c>
    </row>
    <row r="611" spans="1:7" x14ac:dyDescent="0.3">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1" s="1" t="s">
        <v>112</v>
      </c>
    </row>
    <row r="612" spans="1:7" x14ac:dyDescent="0.3">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2" s="1" t="s">
        <v>112</v>
      </c>
    </row>
    <row r="613" spans="1:7" x14ac:dyDescent="0.3">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13" s="1" t="s">
        <v>202</v>
      </c>
      <c r="D613" s="1" t="s">
        <v>110</v>
      </c>
      <c r="E613" s="1" t="s">
        <v>111</v>
      </c>
      <c r="F613" s="1" t="s">
        <v>112</v>
      </c>
      <c r="G613" s="1" t="s">
        <v>113</v>
      </c>
    </row>
    <row r="614" spans="1:7" x14ac:dyDescent="0.3">
      <c r="A614" s="1" t="str">
        <f t="shared" si="9"/>
        <v>19 testo + duta 0.25</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14" s="1" t="s">
        <v>4106</v>
      </c>
      <c r="D614" s="1" t="s">
        <v>4107</v>
      </c>
      <c r="E614" s="1" t="s">
        <v>4108</v>
      </c>
      <c r="F614" s="1" t="s">
        <v>112</v>
      </c>
      <c r="G614" s="1">
        <v>143599</v>
      </c>
    </row>
    <row r="615" spans="1:7" x14ac:dyDescent="0.3">
      <c r="A615" s="1" t="str">
        <f t="shared" si="9"/>
        <v>19 testo + duta 0.25</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15" s="1" t="s">
        <v>4109</v>
      </c>
      <c r="D615" s="1" t="s">
        <v>4110</v>
      </c>
      <c r="E615" s="1" t="s">
        <v>4111</v>
      </c>
      <c r="F615" s="1" t="s">
        <v>112</v>
      </c>
      <c r="G615" s="1">
        <v>147503</v>
      </c>
    </row>
    <row r="616" spans="1:7" x14ac:dyDescent="0.3">
      <c r="A616" s="1" t="str">
        <f t="shared" si="9"/>
        <v>19 testo + duta 0.25</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16" s="1" t="s">
        <v>4112</v>
      </c>
      <c r="D616" s="1" t="s">
        <v>4113</v>
      </c>
      <c r="E616" s="1" t="s">
        <v>4114</v>
      </c>
      <c r="F616" s="1" t="s">
        <v>112</v>
      </c>
      <c r="G616" s="1">
        <v>141854</v>
      </c>
    </row>
    <row r="617" spans="1:7" x14ac:dyDescent="0.3">
      <c r="A617" s="1" t="str">
        <f t="shared" si="9"/>
        <v>19 testo + duta 0.25</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17" s="1" t="s">
        <v>4115</v>
      </c>
      <c r="D617" s="1" t="s">
        <v>4116</v>
      </c>
      <c r="E617" s="1" t="s">
        <v>4117</v>
      </c>
      <c r="F617" s="1" t="s">
        <v>112</v>
      </c>
      <c r="G617" s="1">
        <v>15248</v>
      </c>
    </row>
    <row r="618" spans="1:7" x14ac:dyDescent="0.3">
      <c r="A618" s="1" t="str">
        <f t="shared" si="9"/>
        <v>19 testo + duta 0.25</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18" s="1" t="s">
        <v>4118</v>
      </c>
      <c r="D618" s="1" t="s">
        <v>4119</v>
      </c>
      <c r="E618" s="1" t="s">
        <v>4120</v>
      </c>
      <c r="F618" s="1" t="s">
        <v>112</v>
      </c>
      <c r="G618" s="1">
        <v>13169</v>
      </c>
    </row>
    <row r="619" spans="1:7" x14ac:dyDescent="0.3">
      <c r="A619" s="1" t="str">
        <f t="shared" si="9"/>
        <v>19 testo + duta 0.25</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19" s="1" t="s">
        <v>4121</v>
      </c>
      <c r="D619" s="1" t="s">
        <v>3663</v>
      </c>
      <c r="E619" s="1" t="s">
        <v>4122</v>
      </c>
      <c r="F619" s="1" t="s">
        <v>112</v>
      </c>
      <c r="G619" s="1">
        <v>10959</v>
      </c>
    </row>
    <row r="620" spans="1:7" x14ac:dyDescent="0.3">
      <c r="A620" s="1" t="str">
        <f t="shared" si="9"/>
        <v>19 testo + duta 0.25</v>
      </c>
      <c r="B6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20" s="1" t="s">
        <v>4123</v>
      </c>
      <c r="D620" s="1" t="s">
        <v>4124</v>
      </c>
      <c r="E620" s="1" t="s">
        <v>4125</v>
      </c>
      <c r="F620" s="1" t="s">
        <v>112</v>
      </c>
      <c r="G620" s="1">
        <v>38413</v>
      </c>
    </row>
    <row r="621" spans="1:7" x14ac:dyDescent="0.3">
      <c r="A621" s="1" t="str">
        <f t="shared" si="9"/>
        <v>19 testo + duta 0.25</v>
      </c>
      <c r="B6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21" s="1" t="s">
        <v>4126</v>
      </c>
      <c r="D621" s="1" t="s">
        <v>4127</v>
      </c>
      <c r="E621" s="1" t="s">
        <v>4128</v>
      </c>
      <c r="F621" s="1" t="s">
        <v>112</v>
      </c>
      <c r="G621" s="1">
        <v>43562</v>
      </c>
    </row>
    <row r="622" spans="1:7" x14ac:dyDescent="0.3">
      <c r="A622" s="1" t="str">
        <f t="shared" si="9"/>
        <v>19 testo + duta 0.25</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22" s="1" t="s">
        <v>4129</v>
      </c>
      <c r="D622" s="1" t="s">
        <v>4130</v>
      </c>
      <c r="E622" s="1" t="s">
        <v>4131</v>
      </c>
      <c r="F622" s="1" t="s">
        <v>112</v>
      </c>
      <c r="G622" s="1">
        <v>28358</v>
      </c>
    </row>
    <row r="623" spans="1:7" x14ac:dyDescent="0.3">
      <c r="A623" s="1" t="str">
        <f t="shared" si="9"/>
        <v>19 testo + duta 0.25</v>
      </c>
      <c r="B6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23" s="1" t="s">
        <v>4132</v>
      </c>
      <c r="D623" s="1" t="s">
        <v>4133</v>
      </c>
      <c r="E623" s="1" t="s">
        <v>4134</v>
      </c>
      <c r="F623" s="1" t="s">
        <v>112</v>
      </c>
      <c r="G623" s="1">
        <v>22407</v>
      </c>
    </row>
    <row r="624" spans="1:7" x14ac:dyDescent="0.3">
      <c r="A624" s="1" t="str">
        <f t="shared" si="9"/>
        <v>19 testo + duta 0.25</v>
      </c>
      <c r="B6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24" s="1" t="s">
        <v>4135</v>
      </c>
      <c r="D624" s="1" t="s">
        <v>4136</v>
      </c>
      <c r="E624" s="1" t="s">
        <v>4137</v>
      </c>
      <c r="F624" s="1" t="s">
        <v>112</v>
      </c>
      <c r="G624" s="1">
        <v>22922</v>
      </c>
    </row>
    <row r="625" spans="1:10" x14ac:dyDescent="0.3">
      <c r="A625" s="1" t="str">
        <f t="shared" si="9"/>
        <v>19 testo + duta 0.25</v>
      </c>
      <c r="B6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25" s="1" t="s">
        <v>4138</v>
      </c>
      <c r="D625" s="1" t="s">
        <v>4139</v>
      </c>
      <c r="E625" s="1" t="s">
        <v>4140</v>
      </c>
      <c r="F625" s="1" t="s">
        <v>112</v>
      </c>
      <c r="G625" s="1">
        <v>17701</v>
      </c>
    </row>
    <row r="626" spans="1:10" x14ac:dyDescent="0.3">
      <c r="A626" s="1" t="str">
        <f t="shared" si="9"/>
        <v>19 testo + duta 0.25</v>
      </c>
      <c r="B6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26" s="1" t="s">
        <v>4141</v>
      </c>
      <c r="D626" s="1" t="s">
        <v>4142</v>
      </c>
      <c r="E626" s="1" t="s">
        <v>1450</v>
      </c>
      <c r="F626" s="1" t="s">
        <v>112</v>
      </c>
      <c r="G626" s="1">
        <v>25810</v>
      </c>
    </row>
    <row r="627" spans="1:10" x14ac:dyDescent="0.3">
      <c r="A627" s="1" t="str">
        <f t="shared" si="9"/>
        <v>19 testo + duta 0.25</v>
      </c>
      <c r="B6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27" s="1" t="s">
        <v>4143</v>
      </c>
      <c r="D627" s="1" t="s">
        <v>4144</v>
      </c>
      <c r="E627" s="1" t="s">
        <v>4145</v>
      </c>
      <c r="F627" s="1" t="s">
        <v>112</v>
      </c>
      <c r="G627" s="1">
        <v>43584</v>
      </c>
    </row>
    <row r="628" spans="1:10" x14ac:dyDescent="0.3">
      <c r="A628" s="1" t="str">
        <f t="shared" si="9"/>
        <v>19 testo + duta 0.25</v>
      </c>
      <c r="B6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28" s="1" t="s">
        <v>4146</v>
      </c>
      <c r="D628" s="1" t="s">
        <v>4147</v>
      </c>
      <c r="E628" s="1" t="s">
        <v>4148</v>
      </c>
      <c r="F628" s="1" t="s">
        <v>112</v>
      </c>
      <c r="G628" s="1">
        <v>37478</v>
      </c>
    </row>
    <row r="629" spans="1:10" x14ac:dyDescent="0.3">
      <c r="A629" s="1" t="str">
        <f t="shared" si="9"/>
        <v>19 testo + duta 0.25</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29" s="1" t="s">
        <v>4149</v>
      </c>
      <c r="D629" s="1" t="s">
        <v>4150</v>
      </c>
      <c r="E629" s="1" t="s">
        <v>4151</v>
      </c>
      <c r="F629" s="1" t="s">
        <v>112</v>
      </c>
      <c r="G629" s="1">
        <v>18007</v>
      </c>
    </row>
    <row r="630" spans="1:10" x14ac:dyDescent="0.3">
      <c r="A630" s="1" t="str">
        <f t="shared" si="9"/>
        <v>19 testo + duta 0.25</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30" s="1" t="s">
        <v>4152</v>
      </c>
      <c r="D630" s="1" t="s">
        <v>4153</v>
      </c>
      <c r="E630" s="1" t="s">
        <v>4154</v>
      </c>
      <c r="F630" s="1" t="s">
        <v>112</v>
      </c>
      <c r="G630" s="1">
        <v>16546</v>
      </c>
    </row>
    <row r="631" spans="1:10" x14ac:dyDescent="0.3">
      <c r="A631" s="1" t="str">
        <f t="shared" si="9"/>
        <v>19 testo + duta 0.25</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31" s="1" t="s">
        <v>4155</v>
      </c>
      <c r="D631" s="1" t="s">
        <v>3156</v>
      </c>
      <c r="E631" s="1" t="s">
        <v>4156</v>
      </c>
      <c r="F631" s="1" t="s">
        <v>112</v>
      </c>
      <c r="G631" s="1">
        <v>13493</v>
      </c>
    </row>
    <row r="632" spans="1:10" x14ac:dyDescent="0.3">
      <c r="A632" s="1" t="str">
        <f t="shared" si="9"/>
        <v>19 testo + duta 0.25</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32" s="1" t="s">
        <v>4157</v>
      </c>
      <c r="D632" s="1" t="s">
        <v>4158</v>
      </c>
      <c r="E632" s="1" t="s">
        <v>4159</v>
      </c>
      <c r="F632" s="1" t="s">
        <v>112</v>
      </c>
      <c r="G632" s="1">
        <v>130279</v>
      </c>
    </row>
    <row r="633" spans="1:10" x14ac:dyDescent="0.3">
      <c r="A633" s="1" t="str">
        <f t="shared" si="9"/>
        <v>19 testo + duta 0.25</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33" s="1" t="s">
        <v>4160</v>
      </c>
      <c r="D633" s="1" t="s">
        <v>4161</v>
      </c>
      <c r="E633" s="1" t="s">
        <v>4162</v>
      </c>
      <c r="F633" s="1" t="s">
        <v>112</v>
      </c>
      <c r="G633" s="1">
        <v>133775</v>
      </c>
    </row>
    <row r="634" spans="1:10" x14ac:dyDescent="0.3">
      <c r="A634" s="1" t="str">
        <f t="shared" si="9"/>
        <v>19 testo + duta 0.25</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34" s="1" t="s">
        <v>4163</v>
      </c>
      <c r="D634" s="1" t="s">
        <v>4164</v>
      </c>
      <c r="E634" s="1" t="s">
        <v>4165</v>
      </c>
      <c r="F634" s="1" t="s">
        <v>112</v>
      </c>
      <c r="G634" s="1">
        <v>110449</v>
      </c>
    </row>
    <row r="635" spans="1:10" x14ac:dyDescent="0.3">
      <c r="A635" s="1" t="str">
        <f t="shared" si="9"/>
        <v>19 testo + duta 0.25</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35" s="1" t="s">
        <v>4166</v>
      </c>
      <c r="D635" s="1" t="s">
        <v>4167</v>
      </c>
      <c r="E635" s="1" t="s">
        <v>4168</v>
      </c>
      <c r="F635" s="1" t="s">
        <v>112</v>
      </c>
      <c r="G635" s="1">
        <v>90296</v>
      </c>
    </row>
    <row r="636" spans="1:10" x14ac:dyDescent="0.3">
      <c r="A636" s="1" t="str">
        <f t="shared" si="9"/>
        <v>19 testo + duta 0.25</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36" s="1" t="s">
        <v>4169</v>
      </c>
      <c r="D636" s="1" t="s">
        <v>4170</v>
      </c>
      <c r="E636" s="1" t="s">
        <v>4171</v>
      </c>
      <c r="F636" s="1" t="s">
        <v>112</v>
      </c>
      <c r="G636" s="1">
        <v>86322</v>
      </c>
    </row>
    <row r="637" spans="1:10" x14ac:dyDescent="0.3">
      <c r="A637" s="1" t="str">
        <f t="shared" si="9"/>
        <v>19 testo + duta 0.25</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37" s="1" t="s">
        <v>4172</v>
      </c>
      <c r="D637" s="1" t="s">
        <v>4173</v>
      </c>
      <c r="E637" s="1" t="s">
        <v>4174</v>
      </c>
      <c r="F637" s="1" t="s">
        <v>112</v>
      </c>
      <c r="G637" s="1">
        <v>87065</v>
      </c>
    </row>
    <row r="638" spans="1:10" x14ac:dyDescent="0.3">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8" s="1" t="s">
        <v>112</v>
      </c>
    </row>
    <row r="639" spans="1:10" x14ac:dyDescent="0.3">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9" s="1" t="s">
        <v>195</v>
      </c>
      <c r="D639" s="1" t="s">
        <v>112</v>
      </c>
      <c r="E639" s="1" t="s">
        <v>196</v>
      </c>
      <c r="F639" s="1" t="s">
        <v>197</v>
      </c>
      <c r="G639" s="1" t="s">
        <v>198</v>
      </c>
      <c r="H639" s="1" t="s">
        <v>199</v>
      </c>
      <c r="I639" s="1" t="s">
        <v>200</v>
      </c>
      <c r="J639" s="1" t="s">
        <v>201</v>
      </c>
    </row>
    <row r="640" spans="1:10" x14ac:dyDescent="0.3">
      <c r="A640" s="1" t="str">
        <f t="shared" si="9"/>
        <v>19 testo + duta 0.25</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40" s="1" t="s">
        <v>4175</v>
      </c>
      <c r="D640" s="1" t="s">
        <v>112</v>
      </c>
      <c r="E640" s="1" t="s">
        <v>4176</v>
      </c>
      <c r="F640" s="1" t="s">
        <v>4177</v>
      </c>
      <c r="G640" s="1" t="s">
        <v>4178</v>
      </c>
      <c r="H640" s="1" t="s">
        <v>4179</v>
      </c>
      <c r="I640" s="1">
        <v>24</v>
      </c>
      <c r="J640" s="1">
        <v>24</v>
      </c>
    </row>
    <row r="641" spans="1:7" x14ac:dyDescent="0.3">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1" s="1" t="s">
        <v>112</v>
      </c>
    </row>
    <row r="642" spans="1:7" x14ac:dyDescent="0.3">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2" s="1" t="s">
        <v>112</v>
      </c>
    </row>
    <row r="643" spans="1:7" x14ac:dyDescent="0.3">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3" s="1" t="s">
        <v>112</v>
      </c>
    </row>
    <row r="644" spans="1:7" x14ac:dyDescent="0.3">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4" s="1" t="s">
        <v>112</v>
      </c>
    </row>
    <row r="645" spans="1:7" x14ac:dyDescent="0.3">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5" s="1" t="s">
        <v>112</v>
      </c>
    </row>
    <row r="646" spans="1:7" x14ac:dyDescent="0.3">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6" s="1" t="s">
        <v>202</v>
      </c>
      <c r="D646" s="1" t="s">
        <v>110</v>
      </c>
      <c r="E646" s="1" t="s">
        <v>111</v>
      </c>
      <c r="F646" s="1" t="s">
        <v>112</v>
      </c>
      <c r="G646" s="1" t="s">
        <v>113</v>
      </c>
    </row>
    <row r="647" spans="1:7" x14ac:dyDescent="0.3">
      <c r="A647" s="1" t="str">
        <f t="shared" si="10"/>
        <v>20 testo + duta 0.5</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47" s="1" t="s">
        <v>4180</v>
      </c>
    </row>
    <row r="648" spans="1:7" x14ac:dyDescent="0.3">
      <c r="A648" s="1" t="str">
        <f t="shared" si="10"/>
        <v>20 testo + duta 0.5</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48" s="1" t="s">
        <v>4181</v>
      </c>
      <c r="D648" s="1" t="s">
        <v>4182</v>
      </c>
      <c r="E648" s="1" t="s">
        <v>4183</v>
      </c>
      <c r="F648" s="1" t="s">
        <v>112</v>
      </c>
      <c r="G648" s="1">
        <v>120568</v>
      </c>
    </row>
    <row r="649" spans="1:7" x14ac:dyDescent="0.3">
      <c r="A649" s="1" t="str">
        <f t="shared" si="10"/>
        <v>20 testo + duta 0.5</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49" s="1" t="s">
        <v>4184</v>
      </c>
      <c r="D649" s="1" t="s">
        <v>4185</v>
      </c>
      <c r="E649" s="1" t="s">
        <v>4186</v>
      </c>
      <c r="F649" s="1" t="s">
        <v>112</v>
      </c>
      <c r="G649" s="1">
        <v>134147</v>
      </c>
    </row>
    <row r="650" spans="1:7" x14ac:dyDescent="0.3">
      <c r="A650" s="1" t="str">
        <f t="shared" si="10"/>
        <v>20 testo + duta 0.5</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50" s="1" t="s">
        <v>4187</v>
      </c>
      <c r="D650" s="1" t="s">
        <v>4188</v>
      </c>
      <c r="E650" s="1" t="s">
        <v>4189</v>
      </c>
      <c r="F650" s="1" t="s">
        <v>112</v>
      </c>
      <c r="G650" s="1">
        <v>126870</v>
      </c>
    </row>
    <row r="651" spans="1:7" x14ac:dyDescent="0.3">
      <c r="A651" s="1" t="str">
        <f t="shared" si="10"/>
        <v>20 testo + duta 0.5</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51" s="1" t="s">
        <v>4190</v>
      </c>
      <c r="D651" s="1" t="s">
        <v>4191</v>
      </c>
      <c r="E651" s="1" t="s">
        <v>4192</v>
      </c>
      <c r="F651" s="1" t="s">
        <v>112</v>
      </c>
      <c r="G651" s="1">
        <v>140324</v>
      </c>
    </row>
    <row r="652" spans="1:7" x14ac:dyDescent="0.3">
      <c r="A652" s="1" t="str">
        <f t="shared" si="10"/>
        <v>20 testo + duta 0.5</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52" s="1" t="s">
        <v>4193</v>
      </c>
      <c r="D652" s="1" t="s">
        <v>4194</v>
      </c>
      <c r="E652" s="1" t="s">
        <v>4195</v>
      </c>
      <c r="F652" s="1" t="s">
        <v>112</v>
      </c>
      <c r="G652" s="1">
        <v>138037</v>
      </c>
    </row>
    <row r="653" spans="1:7" x14ac:dyDescent="0.3">
      <c r="A653" s="1" t="str">
        <f t="shared" si="10"/>
        <v>20 testo + duta 0.5</v>
      </c>
      <c r="B6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53" s="1" t="s">
        <v>4196</v>
      </c>
      <c r="D653" s="1" t="s">
        <v>4197</v>
      </c>
      <c r="E653" s="1" t="s">
        <v>4198</v>
      </c>
      <c r="F653" s="1" t="s">
        <v>112</v>
      </c>
      <c r="G653" s="1">
        <v>69175</v>
      </c>
    </row>
    <row r="654" spans="1:7" x14ac:dyDescent="0.3">
      <c r="A654" s="1" t="str">
        <f t="shared" si="10"/>
        <v>20 testo + duta 0.5</v>
      </c>
      <c r="B6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54" s="1" t="s">
        <v>4199</v>
      </c>
      <c r="D654" s="1" t="s">
        <v>4200</v>
      </c>
      <c r="E654" s="1" t="s">
        <v>4201</v>
      </c>
      <c r="F654" s="1" t="s">
        <v>112</v>
      </c>
      <c r="G654" s="1">
        <v>94442</v>
      </c>
    </row>
    <row r="655" spans="1:7" x14ac:dyDescent="0.3">
      <c r="A655" s="1" t="str">
        <f t="shared" si="10"/>
        <v>20 testo + duta 0.5</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55" s="1" t="s">
        <v>4202</v>
      </c>
      <c r="D655" s="1" t="s">
        <v>4203</v>
      </c>
      <c r="E655" s="1" t="s">
        <v>4204</v>
      </c>
      <c r="F655" s="1" t="s">
        <v>112</v>
      </c>
      <c r="G655" s="1">
        <v>77867</v>
      </c>
    </row>
    <row r="656" spans="1:7" x14ac:dyDescent="0.3">
      <c r="A656" s="1" t="str">
        <f t="shared" si="10"/>
        <v>20 testo + duta 0.5</v>
      </c>
      <c r="B6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56" s="1" t="s">
        <v>4205</v>
      </c>
      <c r="D656" s="1" t="s">
        <v>4206</v>
      </c>
      <c r="E656" s="1" t="s">
        <v>4207</v>
      </c>
      <c r="F656" s="1" t="s">
        <v>112</v>
      </c>
      <c r="G656" s="1">
        <v>156395</v>
      </c>
    </row>
    <row r="657" spans="1:10" x14ac:dyDescent="0.3">
      <c r="A657" s="1" t="str">
        <f t="shared" si="10"/>
        <v>20 testo + duta 0.5</v>
      </c>
      <c r="B6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57" s="1" t="s">
        <v>4208</v>
      </c>
      <c r="D657" s="1" t="s">
        <v>4209</v>
      </c>
      <c r="E657" s="1" t="s">
        <v>3972</v>
      </c>
      <c r="F657" s="1" t="s">
        <v>112</v>
      </c>
      <c r="G657" s="1">
        <v>147483</v>
      </c>
    </row>
    <row r="658" spans="1:10" x14ac:dyDescent="0.3">
      <c r="A658" s="1" t="str">
        <f t="shared" si="10"/>
        <v>20 testo + duta 0.5</v>
      </c>
      <c r="B6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58" s="1" t="s">
        <v>4210</v>
      </c>
      <c r="D658" s="1" t="s">
        <v>4211</v>
      </c>
      <c r="E658" s="1" t="s">
        <v>4212</v>
      </c>
      <c r="F658" s="1" t="s">
        <v>112</v>
      </c>
      <c r="G658" s="1">
        <v>132255</v>
      </c>
    </row>
    <row r="659" spans="1:10" x14ac:dyDescent="0.3">
      <c r="A659" s="1" t="str">
        <f t="shared" si="10"/>
        <v>20 testo + duta 0.5</v>
      </c>
      <c r="B6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59" s="1" t="s">
        <v>4213</v>
      </c>
      <c r="D659" s="1" t="s">
        <v>4214</v>
      </c>
      <c r="E659" s="1" t="s">
        <v>4215</v>
      </c>
      <c r="F659" s="1" t="s">
        <v>112</v>
      </c>
      <c r="G659" s="1">
        <v>81907</v>
      </c>
    </row>
    <row r="660" spans="1:10" x14ac:dyDescent="0.3">
      <c r="A660" s="1" t="str">
        <f t="shared" si="10"/>
        <v>20 testo + duta 0.5</v>
      </c>
      <c r="B6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60" s="1" t="s">
        <v>4216</v>
      </c>
      <c r="D660" s="1" t="s">
        <v>4217</v>
      </c>
      <c r="E660" s="1" t="s">
        <v>4218</v>
      </c>
      <c r="F660" s="1" t="s">
        <v>112</v>
      </c>
      <c r="G660" s="1">
        <v>84599</v>
      </c>
    </row>
    <row r="661" spans="1:10" x14ac:dyDescent="0.3">
      <c r="A661" s="1" t="str">
        <f t="shared" si="10"/>
        <v>20 testo + duta 0.5</v>
      </c>
      <c r="B6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61" s="1" t="s">
        <v>4219</v>
      </c>
      <c r="D661" s="1" t="s">
        <v>4220</v>
      </c>
      <c r="E661" s="1" t="s">
        <v>4221</v>
      </c>
      <c r="F661" s="1" t="s">
        <v>112</v>
      </c>
      <c r="G661" s="1">
        <v>87037</v>
      </c>
    </row>
    <row r="662" spans="1:10" x14ac:dyDescent="0.3">
      <c r="A662" s="1" t="str">
        <f t="shared" si="10"/>
        <v>20 testo + duta 0.5</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62" s="1" t="s">
        <v>4222</v>
      </c>
      <c r="D662" s="1" t="s">
        <v>4223</v>
      </c>
      <c r="E662" s="1" t="s">
        <v>4224</v>
      </c>
      <c r="F662" s="1" t="s">
        <v>112</v>
      </c>
      <c r="G662" s="1">
        <v>57971</v>
      </c>
    </row>
    <row r="663" spans="1:10" x14ac:dyDescent="0.3">
      <c r="A663" s="1" t="str">
        <f t="shared" si="10"/>
        <v>20 testo + duta 0.5</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63" s="1" t="s">
        <v>4225</v>
      </c>
      <c r="D663" s="1" t="s">
        <v>4226</v>
      </c>
      <c r="E663" s="1" t="s">
        <v>4227</v>
      </c>
      <c r="F663" s="1" t="s">
        <v>112</v>
      </c>
      <c r="G663" s="1">
        <v>46469</v>
      </c>
    </row>
    <row r="664" spans="1:10" x14ac:dyDescent="0.3">
      <c r="A664" s="1" t="str">
        <f t="shared" si="10"/>
        <v>20 testo + duta 0.5</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64" s="1" t="s">
        <v>4228</v>
      </c>
      <c r="D664" s="1" t="s">
        <v>4229</v>
      </c>
      <c r="E664" s="1" t="s">
        <v>4230</v>
      </c>
      <c r="F664" s="1" t="s">
        <v>112</v>
      </c>
      <c r="G664" s="1">
        <v>46529</v>
      </c>
    </row>
    <row r="665" spans="1:10" x14ac:dyDescent="0.3">
      <c r="A665" s="1" t="str">
        <f t="shared" si="10"/>
        <v>20 testo + duta 0.5</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65" s="1" t="s">
        <v>4231</v>
      </c>
      <c r="D665" s="1" t="s">
        <v>4232</v>
      </c>
      <c r="E665" s="1" t="s">
        <v>4233</v>
      </c>
      <c r="F665" s="1" t="s">
        <v>112</v>
      </c>
      <c r="G665" s="1">
        <v>122431</v>
      </c>
    </row>
    <row r="666" spans="1:10" x14ac:dyDescent="0.3">
      <c r="A666" s="1" t="str">
        <f t="shared" si="10"/>
        <v>20 testo + duta 0.5</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66" s="1" t="s">
        <v>4234</v>
      </c>
      <c r="D666" s="1" t="s">
        <v>4235</v>
      </c>
      <c r="E666" s="1" t="s">
        <v>4236</v>
      </c>
      <c r="F666" s="1" t="s">
        <v>112</v>
      </c>
      <c r="G666" s="1">
        <v>125116</v>
      </c>
    </row>
    <row r="667" spans="1:10" x14ac:dyDescent="0.3">
      <c r="A667" s="1" t="str">
        <f t="shared" si="10"/>
        <v>20 testo + duta 0.5</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67" s="1" t="s">
        <v>4237</v>
      </c>
      <c r="D667" s="1" t="s">
        <v>4238</v>
      </c>
      <c r="E667" s="1" t="s">
        <v>4239</v>
      </c>
      <c r="F667" s="1" t="s">
        <v>112</v>
      </c>
      <c r="G667" s="1">
        <v>117837</v>
      </c>
    </row>
    <row r="668" spans="1:10" x14ac:dyDescent="0.3">
      <c r="A668" s="1" t="str">
        <f t="shared" si="10"/>
        <v>20 testo + duta 0.5</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68" s="1" t="s">
        <v>4240</v>
      </c>
      <c r="D668" s="1" t="s">
        <v>4241</v>
      </c>
      <c r="E668" s="1" t="s">
        <v>4242</v>
      </c>
      <c r="F668" s="1" t="s">
        <v>112</v>
      </c>
      <c r="G668" s="1">
        <v>92860</v>
      </c>
    </row>
    <row r="669" spans="1:10" x14ac:dyDescent="0.3">
      <c r="A669" s="1" t="str">
        <f t="shared" si="10"/>
        <v>20 testo + duta 0.5</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69" s="1" t="s">
        <v>4243</v>
      </c>
      <c r="D669" s="1" t="s">
        <v>4244</v>
      </c>
      <c r="E669" s="1" t="s">
        <v>4245</v>
      </c>
      <c r="F669" s="1" t="s">
        <v>112</v>
      </c>
      <c r="G669" s="1">
        <v>94762</v>
      </c>
    </row>
    <row r="670" spans="1:10" x14ac:dyDescent="0.3">
      <c r="A670" s="1" t="str">
        <f t="shared" si="10"/>
        <v>20 testo + duta 0.5</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70" s="1" t="s">
        <v>4246</v>
      </c>
      <c r="D670" s="1" t="s">
        <v>4247</v>
      </c>
      <c r="E670" s="1" t="s">
        <v>4248</v>
      </c>
      <c r="F670" s="1" t="s">
        <v>112</v>
      </c>
      <c r="G670" s="1">
        <v>102505</v>
      </c>
    </row>
    <row r="671" spans="1:10" x14ac:dyDescent="0.3">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1" s="1" t="s">
        <v>112</v>
      </c>
    </row>
    <row r="672" spans="1:10" x14ac:dyDescent="0.3">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2" s="1" t="s">
        <v>195</v>
      </c>
      <c r="D672" s="1" t="s">
        <v>112</v>
      </c>
      <c r="E672" s="1" t="s">
        <v>196</v>
      </c>
      <c r="F672" s="1" t="s">
        <v>197</v>
      </c>
      <c r="G672" s="1" t="s">
        <v>198</v>
      </c>
      <c r="H672" s="1" t="s">
        <v>199</v>
      </c>
      <c r="I672" s="1" t="s">
        <v>200</v>
      </c>
      <c r="J672" s="1" t="s">
        <v>201</v>
      </c>
    </row>
    <row r="673" spans="1:10" x14ac:dyDescent="0.3">
      <c r="A673" s="1" t="str">
        <f t="shared" si="10"/>
        <v>20 testo + duta 0.5</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73" s="1" t="s">
        <v>4249</v>
      </c>
      <c r="D673" s="1" t="s">
        <v>112</v>
      </c>
      <c r="E673" s="1" t="s">
        <v>4250</v>
      </c>
      <c r="F673" s="1" t="s">
        <v>4251</v>
      </c>
      <c r="G673" s="1" t="s">
        <v>4252</v>
      </c>
      <c r="H673" s="1" t="s">
        <v>4253</v>
      </c>
      <c r="I673" s="1">
        <v>24</v>
      </c>
      <c r="J673" s="1">
        <v>24</v>
      </c>
    </row>
    <row r="674" spans="1:10" x14ac:dyDescent="0.3">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4" s="1" t="s">
        <v>112</v>
      </c>
    </row>
    <row r="675" spans="1:10" x14ac:dyDescent="0.3">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5" s="1" t="s">
        <v>112</v>
      </c>
    </row>
    <row r="676" spans="1:10" x14ac:dyDescent="0.3">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6" s="1" t="s">
        <v>112</v>
      </c>
    </row>
    <row r="677" spans="1:10" x14ac:dyDescent="0.3">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7" s="1" t="s">
        <v>112</v>
      </c>
    </row>
    <row r="678" spans="1:10" x14ac:dyDescent="0.3">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8" s="1" t="s">
        <v>112</v>
      </c>
    </row>
    <row r="679" spans="1:10" x14ac:dyDescent="0.3">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9" s="1" t="s">
        <v>202</v>
      </c>
      <c r="D679" s="1" t="s">
        <v>110</v>
      </c>
      <c r="E679" s="1" t="s">
        <v>111</v>
      </c>
      <c r="F679" s="1" t="s">
        <v>112</v>
      </c>
      <c r="G679" s="1" t="s">
        <v>113</v>
      </c>
    </row>
    <row r="680" spans="1:10" x14ac:dyDescent="0.3">
      <c r="A680" s="1" t="str">
        <f t="shared" si="10"/>
        <v>21 testo + duta 1</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0" s="1" t="s">
        <v>4254</v>
      </c>
      <c r="D680" s="1" t="s">
        <v>4255</v>
      </c>
      <c r="E680" s="1" t="s">
        <v>4256</v>
      </c>
      <c r="F680" s="1" t="s">
        <v>112</v>
      </c>
      <c r="G680" s="1">
        <v>112026</v>
      </c>
    </row>
    <row r="681" spans="1:10" x14ac:dyDescent="0.3">
      <c r="A681" s="1" t="str">
        <f t="shared" si="10"/>
        <v>21 testo + duta 1</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1" s="1" t="s">
        <v>4257</v>
      </c>
      <c r="D681" s="1" t="s">
        <v>4258</v>
      </c>
      <c r="E681" s="1" t="s">
        <v>4259</v>
      </c>
      <c r="F681" s="1" t="s">
        <v>112</v>
      </c>
      <c r="G681" s="1">
        <v>111651</v>
      </c>
    </row>
    <row r="682" spans="1:10" x14ac:dyDescent="0.3">
      <c r="A682" s="1" t="str">
        <f t="shared" si="10"/>
        <v>21 testo + duta 1</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2" s="1" t="s">
        <v>4260</v>
      </c>
      <c r="D682" s="1" t="s">
        <v>4261</v>
      </c>
      <c r="E682" s="1" t="s">
        <v>4262</v>
      </c>
      <c r="F682" s="1" t="s">
        <v>112</v>
      </c>
      <c r="G682" s="1">
        <v>117066</v>
      </c>
    </row>
    <row r="683" spans="1:10" x14ac:dyDescent="0.3">
      <c r="A683" s="1" t="str">
        <f t="shared" si="10"/>
        <v>21 testo + duta 1</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83" s="1" t="s">
        <v>4263</v>
      </c>
      <c r="D683" s="1" t="s">
        <v>4264</v>
      </c>
      <c r="E683" s="1" t="s">
        <v>4265</v>
      </c>
      <c r="F683" s="1" t="s">
        <v>112</v>
      </c>
      <c r="G683" s="1">
        <v>76765</v>
      </c>
    </row>
    <row r="684" spans="1:10" x14ac:dyDescent="0.3">
      <c r="A684" s="1" t="str">
        <f t="shared" si="10"/>
        <v>21 testo + duta 1</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84" s="1" t="s">
        <v>4266</v>
      </c>
      <c r="D684" s="1" t="s">
        <v>4267</v>
      </c>
      <c r="E684" s="1" t="s">
        <v>4268</v>
      </c>
      <c r="F684" s="1" t="s">
        <v>112</v>
      </c>
      <c r="G684" s="1">
        <v>88180</v>
      </c>
    </row>
    <row r="685" spans="1:10" x14ac:dyDescent="0.3">
      <c r="A685" s="1" t="str">
        <f t="shared" si="10"/>
        <v>21 testo + duta 1</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85" s="1" t="s">
        <v>4269</v>
      </c>
      <c r="D685" s="1" t="s">
        <v>4024</v>
      </c>
      <c r="E685" s="1" t="s">
        <v>4270</v>
      </c>
      <c r="F685" s="1" t="s">
        <v>112</v>
      </c>
      <c r="G685" s="1">
        <v>79884</v>
      </c>
    </row>
    <row r="686" spans="1:10" x14ac:dyDescent="0.3">
      <c r="A686" s="1" t="str">
        <f t="shared" si="10"/>
        <v>21 testo + duta 1</v>
      </c>
      <c r="B6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86" s="1" t="s">
        <v>4271</v>
      </c>
      <c r="D686" s="1" t="s">
        <v>4272</v>
      </c>
      <c r="E686" s="1" t="s">
        <v>4273</v>
      </c>
      <c r="F686" s="1" t="s">
        <v>112</v>
      </c>
      <c r="G686" s="1">
        <v>77201</v>
      </c>
    </row>
    <row r="687" spans="1:10" x14ac:dyDescent="0.3">
      <c r="A687" s="1" t="str">
        <f t="shared" si="10"/>
        <v>21 testo + duta 1</v>
      </c>
      <c r="B6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87" s="1" t="s">
        <v>4274</v>
      </c>
      <c r="D687" s="1" t="s">
        <v>4275</v>
      </c>
      <c r="E687" s="1" t="s">
        <v>4276</v>
      </c>
      <c r="F687" s="1" t="s">
        <v>112</v>
      </c>
      <c r="G687" s="1">
        <v>73959</v>
      </c>
    </row>
    <row r="688" spans="1:10" x14ac:dyDescent="0.3">
      <c r="A688" s="1" t="str">
        <f t="shared" si="10"/>
        <v>21 testo + duta 1</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88" s="1" t="s">
        <v>4277</v>
      </c>
      <c r="D688" s="1" t="s">
        <v>4278</v>
      </c>
      <c r="E688" s="1" t="s">
        <v>4279</v>
      </c>
      <c r="F688" s="1" t="s">
        <v>112</v>
      </c>
      <c r="G688" s="1">
        <v>82753</v>
      </c>
    </row>
    <row r="689" spans="1:7" x14ac:dyDescent="0.3">
      <c r="A689" s="1" t="str">
        <f t="shared" si="10"/>
        <v>21 testo + duta 1</v>
      </c>
      <c r="B6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89" s="1" t="s">
        <v>4280</v>
      </c>
      <c r="D689" s="1" t="s">
        <v>4281</v>
      </c>
      <c r="E689" s="1" t="s">
        <v>4282</v>
      </c>
      <c r="F689" s="1" t="s">
        <v>112</v>
      </c>
      <c r="G689" s="1">
        <v>70298</v>
      </c>
    </row>
    <row r="690" spans="1:7" x14ac:dyDescent="0.3">
      <c r="A690" s="1" t="str">
        <f t="shared" si="10"/>
        <v>21 testo + duta 1</v>
      </c>
      <c r="B6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90" s="1" t="s">
        <v>4283</v>
      </c>
      <c r="D690" s="1" t="s">
        <v>4284</v>
      </c>
      <c r="E690" s="1" t="s">
        <v>4285</v>
      </c>
      <c r="F690" s="1" t="s">
        <v>112</v>
      </c>
      <c r="G690" s="1">
        <v>75048</v>
      </c>
    </row>
    <row r="691" spans="1:7" x14ac:dyDescent="0.3">
      <c r="A691" s="1" t="str">
        <f t="shared" si="10"/>
        <v>21 testo + duta 1</v>
      </c>
      <c r="B6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91" s="1" t="s">
        <v>4286</v>
      </c>
      <c r="D691" s="1" t="s">
        <v>4287</v>
      </c>
      <c r="E691" s="1" t="s">
        <v>4288</v>
      </c>
      <c r="F691" s="1" t="s">
        <v>112</v>
      </c>
      <c r="G691" s="1">
        <v>66350</v>
      </c>
    </row>
    <row r="692" spans="1:7" x14ac:dyDescent="0.3">
      <c r="A692" s="1" t="str">
        <f t="shared" si="10"/>
        <v>21 testo + duta 1</v>
      </c>
      <c r="B6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92" s="1" t="s">
        <v>4289</v>
      </c>
      <c r="D692" s="1" t="s">
        <v>4290</v>
      </c>
      <c r="E692" s="1" t="s">
        <v>4291</v>
      </c>
      <c r="F692" s="1" t="s">
        <v>112</v>
      </c>
      <c r="G692" s="1">
        <v>2887</v>
      </c>
    </row>
    <row r="693" spans="1:7" x14ac:dyDescent="0.3">
      <c r="A693" s="1" t="str">
        <f t="shared" si="10"/>
        <v>21 testo + duta 1</v>
      </c>
      <c r="B6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93" s="1" t="s">
        <v>4292</v>
      </c>
      <c r="D693" s="1" t="s">
        <v>4293</v>
      </c>
      <c r="E693" s="1" t="s">
        <v>451</v>
      </c>
      <c r="F693" s="1" t="s">
        <v>112</v>
      </c>
      <c r="G693" s="1">
        <v>3054</v>
      </c>
    </row>
    <row r="694" spans="1:7" x14ac:dyDescent="0.3">
      <c r="A694" s="1" t="str">
        <f t="shared" si="10"/>
        <v>21 testo + duta 1</v>
      </c>
      <c r="B6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94" s="1" t="s">
        <v>4294</v>
      </c>
      <c r="D694" s="1" t="s">
        <v>3491</v>
      </c>
      <c r="E694" s="1" t="s">
        <v>4295</v>
      </c>
      <c r="F694" s="1" t="s">
        <v>112</v>
      </c>
      <c r="G694" s="1">
        <v>1812</v>
      </c>
    </row>
    <row r="695" spans="1:7" x14ac:dyDescent="0.3">
      <c r="A695" s="1" t="str">
        <f t="shared" si="10"/>
        <v>21 testo + duta 1</v>
      </c>
      <c r="B69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95" s="1" t="s">
        <v>4296</v>
      </c>
      <c r="D695" s="1" t="s">
        <v>4297</v>
      </c>
      <c r="E695" s="1" t="s">
        <v>4298</v>
      </c>
      <c r="F695" s="1" t="s">
        <v>112</v>
      </c>
      <c r="G695" s="1">
        <v>37855</v>
      </c>
    </row>
    <row r="696" spans="1:7" x14ac:dyDescent="0.3">
      <c r="A696" s="1" t="str">
        <f t="shared" si="10"/>
        <v>21 testo + duta 1</v>
      </c>
      <c r="B6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96" s="1" t="s">
        <v>4299</v>
      </c>
      <c r="D696" s="1" t="s">
        <v>4300</v>
      </c>
      <c r="E696" s="1" t="s">
        <v>4301</v>
      </c>
      <c r="F696" s="1" t="s">
        <v>112</v>
      </c>
      <c r="G696" s="1">
        <v>14822</v>
      </c>
    </row>
    <row r="697" spans="1:7" x14ac:dyDescent="0.3">
      <c r="A697" s="1" t="str">
        <f t="shared" si="10"/>
        <v>21 testo + duta 1</v>
      </c>
      <c r="B6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97" s="1" t="s">
        <v>4302</v>
      </c>
      <c r="D697" s="1" t="s">
        <v>4303</v>
      </c>
      <c r="E697" s="1" t="s">
        <v>4304</v>
      </c>
      <c r="F697" s="1" t="s">
        <v>112</v>
      </c>
      <c r="G697" s="1">
        <v>36117</v>
      </c>
    </row>
    <row r="698" spans="1:7" x14ac:dyDescent="0.3">
      <c r="A698" s="1" t="str">
        <f t="shared" si="10"/>
        <v>21 testo + duta 1</v>
      </c>
      <c r="B6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98" s="1" t="s">
        <v>4305</v>
      </c>
      <c r="D698" s="1" t="s">
        <v>4306</v>
      </c>
      <c r="E698" s="1" t="s">
        <v>4307</v>
      </c>
      <c r="F698" s="1" t="s">
        <v>112</v>
      </c>
      <c r="G698" s="1">
        <v>11140</v>
      </c>
    </row>
    <row r="699" spans="1:7" x14ac:dyDescent="0.3">
      <c r="A699" s="1" t="str">
        <f t="shared" si="10"/>
        <v>21 testo + duta 1</v>
      </c>
      <c r="B6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99" s="1" t="s">
        <v>4308</v>
      </c>
      <c r="D699" s="1" t="s">
        <v>4309</v>
      </c>
      <c r="E699" s="1" t="s">
        <v>4310</v>
      </c>
      <c r="F699" s="1" t="s">
        <v>112</v>
      </c>
      <c r="G699" s="1">
        <v>20265</v>
      </c>
    </row>
    <row r="700" spans="1:7" x14ac:dyDescent="0.3">
      <c r="A700" s="1" t="str">
        <f t="shared" si="10"/>
        <v>21 testo + duta 1</v>
      </c>
      <c r="B7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700" s="1" t="s">
        <v>4311</v>
      </c>
      <c r="D700" s="1" t="s">
        <v>4119</v>
      </c>
      <c r="E700" s="1" t="s">
        <v>4312</v>
      </c>
      <c r="F700" s="1" t="s">
        <v>112</v>
      </c>
      <c r="G700" s="1">
        <v>13081</v>
      </c>
    </row>
    <row r="701" spans="1:7" x14ac:dyDescent="0.3">
      <c r="A701" s="1" t="str">
        <f t="shared" si="10"/>
        <v>21 testo + duta 1</v>
      </c>
      <c r="B7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01" s="1" t="s">
        <v>4313</v>
      </c>
      <c r="D701" s="1" t="s">
        <v>4314</v>
      </c>
      <c r="E701" s="1" t="s">
        <v>4315</v>
      </c>
      <c r="F701" s="1" t="s">
        <v>112</v>
      </c>
      <c r="G701" s="1">
        <v>38646</v>
      </c>
    </row>
    <row r="702" spans="1:7" x14ac:dyDescent="0.3">
      <c r="A702" s="1" t="str">
        <f t="shared" si="10"/>
        <v>21 testo + duta 1</v>
      </c>
      <c r="B7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02" s="1" t="s">
        <v>4316</v>
      </c>
      <c r="D702" s="1" t="s">
        <v>4317</v>
      </c>
      <c r="E702" s="1" t="s">
        <v>4318</v>
      </c>
      <c r="F702" s="1" t="s">
        <v>112</v>
      </c>
      <c r="G702" s="1">
        <v>29994</v>
      </c>
    </row>
    <row r="703" spans="1:7" x14ac:dyDescent="0.3">
      <c r="A703" s="1" t="str">
        <f t="shared" si="10"/>
        <v>21 testo + duta 1</v>
      </c>
      <c r="B7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703" s="1" t="s">
        <v>4319</v>
      </c>
      <c r="D703" s="1" t="s">
        <v>3253</v>
      </c>
      <c r="E703" s="1" t="s">
        <v>4320</v>
      </c>
      <c r="F703" s="1" t="s">
        <v>112</v>
      </c>
      <c r="G703" s="1">
        <v>24980</v>
      </c>
    </row>
    <row r="704" spans="1:7" x14ac:dyDescent="0.3">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04" s="1" t="s">
        <v>112</v>
      </c>
    </row>
    <row r="705" spans="1:10" x14ac:dyDescent="0.3">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05" s="1" t="s">
        <v>195</v>
      </c>
      <c r="D705" s="1" t="s">
        <v>112</v>
      </c>
      <c r="E705" s="1" t="s">
        <v>196</v>
      </c>
      <c r="F705" s="1" t="s">
        <v>197</v>
      </c>
      <c r="G705" s="1" t="s">
        <v>198</v>
      </c>
      <c r="H705" s="1" t="s">
        <v>199</v>
      </c>
      <c r="I705" s="1" t="s">
        <v>200</v>
      </c>
      <c r="J705" s="1" t="s">
        <v>201</v>
      </c>
    </row>
    <row r="706" spans="1:10" x14ac:dyDescent="0.3">
      <c r="A706" s="1" t="str">
        <f t="shared" ref="A706:A769" si="11">IFERROR(LEFT(RIGHT(C706,LEN(C706)-SEARCH("@",C706)),SEARCH("/",RIGHT(C706,LEN(C706)-SEARCH("@",C706)-1))),"")</f>
        <v>21 testo + duta 1</v>
      </c>
      <c r="B7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706" s="1" t="s">
        <v>4321</v>
      </c>
      <c r="D706" s="1" t="s">
        <v>112</v>
      </c>
      <c r="E706" s="1" t="s">
        <v>4322</v>
      </c>
      <c r="F706" s="1" t="s">
        <v>4323</v>
      </c>
      <c r="G706" s="1" t="s">
        <v>4324</v>
      </c>
      <c r="H706" s="1" t="s">
        <v>4325</v>
      </c>
      <c r="I706" s="1">
        <v>24</v>
      </c>
      <c r="J706" s="1">
        <v>24</v>
      </c>
    </row>
    <row r="707" spans="1:10" x14ac:dyDescent="0.3">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07" s="1" t="s">
        <v>112</v>
      </c>
    </row>
    <row r="708" spans="1:10" x14ac:dyDescent="0.3">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08" s="1" t="s">
        <v>112</v>
      </c>
    </row>
    <row r="709" spans="1:10" x14ac:dyDescent="0.3">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09" s="1" t="s">
        <v>112</v>
      </c>
    </row>
    <row r="710" spans="1:10" x14ac:dyDescent="0.3">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10" s="1" t="s">
        <v>112</v>
      </c>
    </row>
    <row r="711" spans="1:10" x14ac:dyDescent="0.3">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11" s="1" t="s">
        <v>112</v>
      </c>
    </row>
    <row r="712" spans="1:10" x14ac:dyDescent="0.3">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712" s="1" t="s">
        <v>112</v>
      </c>
    </row>
    <row r="713" spans="1:10" x14ac:dyDescent="0.3">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713" s="1" t="s">
        <v>4326</v>
      </c>
    </row>
    <row r="714" spans="1:10" x14ac:dyDescent="0.3">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714" s="1">
        <v>504</v>
      </c>
    </row>
    <row r="715" spans="1:10" x14ac:dyDescent="0.3">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10" x14ac:dyDescent="0.3">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10" x14ac:dyDescent="0.3">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10" x14ac:dyDescent="0.3">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10" x14ac:dyDescent="0.3">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10" x14ac:dyDescent="0.3">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5"/>
  <sheetViews>
    <sheetView showGridLines="0" topLeftCell="A16" zoomScale="55" zoomScaleNormal="55" zoomScaleSheetLayoutView="40" zoomScalePageLayoutView="30" workbookViewId="0">
      <pane xSplit="1" topLeftCell="B1" activePane="topRight" state="frozen"/>
      <selection pane="topRight" activeCell="N17" sqref="N17"/>
    </sheetView>
  </sheetViews>
  <sheetFormatPr defaultColWidth="9.21875" defaultRowHeight="14.4" x14ac:dyDescent="0.3"/>
  <cols>
    <col min="1" max="1" width="29.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8.21875" bestFit="1" customWidth="1"/>
    <col min="15" max="15" width="14.77734375" customWidth="1"/>
    <col min="16" max="16" width="17.77734375" customWidth="1"/>
    <col min="17" max="18" width="25.77734375" bestFit="1" customWidth="1"/>
    <col min="19" max="22" width="25.77734375" style="1" customWidth="1"/>
  </cols>
  <sheetData>
    <row r="1" spans="1:22" s="1" customFormat="1" ht="26.4" thickBot="1" x14ac:dyDescent="0.55000000000000004">
      <c r="A1" s="218" t="s">
        <v>40</v>
      </c>
      <c r="B1" s="219"/>
      <c r="C1" s="219"/>
      <c r="D1" s="219"/>
      <c r="E1" s="219"/>
      <c r="F1" s="219"/>
      <c r="G1" s="219"/>
      <c r="H1" s="219"/>
      <c r="I1" s="219"/>
      <c r="J1" s="219"/>
      <c r="K1" s="219"/>
      <c r="L1" s="219"/>
      <c r="M1" s="219"/>
      <c r="N1" s="219"/>
      <c r="O1" s="219"/>
      <c r="P1" s="219"/>
      <c r="Q1" s="219"/>
      <c r="R1" s="219"/>
      <c r="S1" s="219"/>
      <c r="T1" s="219"/>
      <c r="U1" s="219"/>
      <c r="V1" s="219"/>
    </row>
    <row r="2" spans="1:22" ht="15" thickBot="1" x14ac:dyDescent="0.35">
      <c r="A2"/>
      <c r="B2"/>
      <c r="C2"/>
      <c r="D2"/>
      <c r="E2"/>
      <c r="F2"/>
      <c r="G2"/>
      <c r="H2"/>
      <c r="I2"/>
      <c r="J2"/>
      <c r="K2"/>
      <c r="L2"/>
      <c r="M2"/>
      <c r="S2"/>
      <c r="T2"/>
      <c r="U2"/>
      <c r="V2"/>
    </row>
    <row r="3" spans="1:22" ht="15" thickBot="1" x14ac:dyDescent="0.35">
      <c r="A3" s="51" t="s">
        <v>17</v>
      </c>
      <c r="B3" s="226" t="s">
        <v>6</v>
      </c>
      <c r="C3" s="227"/>
      <c r="D3" s="227"/>
      <c r="E3" s="227"/>
      <c r="F3" s="227"/>
      <c r="G3" s="227"/>
      <c r="H3" s="227"/>
      <c r="I3" s="227"/>
      <c r="J3" s="227"/>
      <c r="K3" s="227"/>
      <c r="L3" s="227"/>
      <c r="M3" s="227"/>
      <c r="O3" s="226" t="s">
        <v>3</v>
      </c>
      <c r="P3" s="227"/>
      <c r="Q3" s="227"/>
      <c r="R3" s="227"/>
      <c r="S3" s="227"/>
      <c r="T3" s="227"/>
      <c r="U3" s="227"/>
      <c r="V3" s="227"/>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Dutasteride-0,01mg/L</v>
      </c>
      <c r="J4" s="35" t="str">
        <f>'Page de garde'!A16</f>
        <v>Dutasteride-0,1mg/L</v>
      </c>
      <c r="K4" s="35" t="str">
        <f>'Page de garde'!A17</f>
        <v>Dutasteride-0,25mg/L</v>
      </c>
      <c r="L4" s="35" t="str">
        <f>'Page de garde'!A18</f>
        <v>Dutasteride-0,5mg/L</v>
      </c>
      <c r="M4" s="35" t="str">
        <f>'Page de garde'!A19</f>
        <v>Dutasteride-1mg/L</v>
      </c>
      <c r="N4" s="3"/>
      <c r="O4" s="36" t="str">
        <f>'Page de garde'!A36</f>
        <v>Testo -30µg/L</v>
      </c>
      <c r="P4" s="36" t="str">
        <f>'Page de garde'!A37</f>
        <v>Testo 30µg/L + EE2 -64ng/L</v>
      </c>
      <c r="Q4" s="36" t="str">
        <f>'Page de garde'!A38</f>
        <v>Testo 30µg/L + FAD-10µg/L</v>
      </c>
      <c r="R4" s="36" t="str">
        <f>'Page de garde'!A39</f>
        <v>Dutasteride-0.01mg/L + Testostérone</v>
      </c>
      <c r="S4" s="36" t="str">
        <f>'Page de garde'!A40</f>
        <v>Dutasteride-0.1mg/L + Testostérone</v>
      </c>
      <c r="T4" s="36" t="str">
        <f>'Page de garde'!A41</f>
        <v>Dutasteride-0.25mg/L + Testostérone</v>
      </c>
      <c r="U4" s="36" t="str">
        <f>'Page de garde'!A42</f>
        <v>Dutasteride-0.5mg/L + Testostérone</v>
      </c>
      <c r="V4" s="36" t="str">
        <f>'Page de garde'!A43</f>
        <v>Dutasteride-1mg/L + Testostérone</v>
      </c>
    </row>
    <row r="5" spans="1:22" x14ac:dyDescent="0.3">
      <c r="A5" s="222" t="s">
        <v>33</v>
      </c>
      <c r="B5" s="196">
        <v>898.33333333333337</v>
      </c>
      <c r="C5" s="196">
        <v>1228.6666666666667</v>
      </c>
      <c r="D5" s="196">
        <v>841</v>
      </c>
      <c r="E5" s="196">
        <v>4087</v>
      </c>
      <c r="F5" s="196">
        <v>23266.666666666668</v>
      </c>
      <c r="G5" s="196">
        <v>76987</v>
      </c>
      <c r="H5" s="196">
        <v>289398.66666666669</v>
      </c>
      <c r="I5" s="196">
        <v>25658.333333333332</v>
      </c>
      <c r="J5" s="196">
        <v>4114.666666666667</v>
      </c>
      <c r="K5" s="196">
        <v>7253</v>
      </c>
      <c r="L5" s="196"/>
      <c r="M5" s="196">
        <v>736</v>
      </c>
      <c r="N5" s="3"/>
      <c r="O5" s="196">
        <v>87488</v>
      </c>
      <c r="P5" s="196">
        <v>179834</v>
      </c>
      <c r="Q5" s="196">
        <v>2703</v>
      </c>
      <c r="R5" s="196">
        <v>132753.66666666666</v>
      </c>
      <c r="S5" s="196">
        <v>99442.666666666672</v>
      </c>
      <c r="T5" s="196">
        <v>144318.66666666666</v>
      </c>
      <c r="U5" s="196">
        <v>127357.5</v>
      </c>
      <c r="V5" s="196">
        <v>113581</v>
      </c>
    </row>
    <row r="6" spans="1:22" x14ac:dyDescent="0.3">
      <c r="A6" s="223"/>
      <c r="B6" s="196">
        <v>655.33333333333337</v>
      </c>
      <c r="C6" s="196">
        <v>299</v>
      </c>
      <c r="D6" s="196">
        <v>1106.6666666666667</v>
      </c>
      <c r="E6" s="196">
        <v>32840.666666666664</v>
      </c>
      <c r="F6" s="196">
        <v>21138.333333333332</v>
      </c>
      <c r="G6" s="196">
        <v>160526.66666666666</v>
      </c>
      <c r="H6" s="196">
        <v>220805.33333333334</v>
      </c>
      <c r="I6" s="196">
        <v>890</v>
      </c>
      <c r="J6" s="196">
        <v>508.33333333333331</v>
      </c>
      <c r="K6" s="196">
        <v>1929</v>
      </c>
      <c r="L6" s="196">
        <v>815.66666666666663</v>
      </c>
      <c r="M6" s="196">
        <v>544.66666666666663</v>
      </c>
      <c r="N6" s="3"/>
      <c r="O6" s="199">
        <v>27740</v>
      </c>
      <c r="P6" s="196">
        <v>85611.666666666672</v>
      </c>
      <c r="Q6" s="196">
        <v>1804.6666666666667</v>
      </c>
      <c r="R6" s="196">
        <v>2280</v>
      </c>
      <c r="S6" s="196">
        <v>71544.666666666672</v>
      </c>
      <c r="T6" s="196">
        <v>13125.333333333334</v>
      </c>
      <c r="U6" s="196">
        <v>135077</v>
      </c>
      <c r="V6" s="196">
        <v>81609.666666666672</v>
      </c>
    </row>
    <row r="7" spans="1:22" x14ac:dyDescent="0.3">
      <c r="A7" s="223"/>
      <c r="B7" s="196">
        <v>7962</v>
      </c>
      <c r="C7" s="196">
        <v>3989</v>
      </c>
      <c r="D7" s="196">
        <v>517.66666666666663</v>
      </c>
      <c r="E7" s="196">
        <v>1876.5</v>
      </c>
      <c r="F7" s="196">
        <v>24673.666666666668</v>
      </c>
      <c r="G7" s="196">
        <v>101078.33333333333</v>
      </c>
      <c r="H7" s="196">
        <v>150270.66666666666</v>
      </c>
      <c r="I7" s="196">
        <v>840.66666666666663</v>
      </c>
      <c r="J7" s="196">
        <v>936</v>
      </c>
      <c r="K7" s="196">
        <v>4509.666666666667</v>
      </c>
      <c r="L7" s="196">
        <v>3784.3333333333335</v>
      </c>
      <c r="M7" s="196">
        <v>358</v>
      </c>
      <c r="N7" s="3"/>
      <c r="O7" s="199">
        <v>128175.5</v>
      </c>
      <c r="P7" s="196">
        <v>134675</v>
      </c>
      <c r="Q7" s="196">
        <v>925.66666666666663</v>
      </c>
      <c r="R7" s="196">
        <v>33958</v>
      </c>
      <c r="S7" s="196">
        <v>118920.66666666667</v>
      </c>
      <c r="T7" s="196">
        <v>36777.666666666664</v>
      </c>
      <c r="U7" s="196">
        <v>80494.666666666672</v>
      </c>
      <c r="V7" s="196">
        <v>77971</v>
      </c>
    </row>
    <row r="8" spans="1:22" x14ac:dyDescent="0.3">
      <c r="A8" s="223"/>
      <c r="B8" s="196">
        <v>2038.6666666666667</v>
      </c>
      <c r="C8" s="196">
        <v>622.66666666666663</v>
      </c>
      <c r="D8" s="196">
        <v>3250.5</v>
      </c>
      <c r="E8" s="196">
        <v>1802.6666666666667</v>
      </c>
      <c r="F8" s="196">
        <v>70945.333333333328</v>
      </c>
      <c r="G8" s="196">
        <v>4761</v>
      </c>
      <c r="H8" s="196">
        <v>48490</v>
      </c>
      <c r="I8" s="196">
        <v>740.66666666666663</v>
      </c>
      <c r="J8" s="196">
        <v>582.66666666666663</v>
      </c>
      <c r="K8" s="196">
        <v>544</v>
      </c>
      <c r="L8" s="196">
        <v>2303.6666666666665</v>
      </c>
      <c r="M8" s="196">
        <v>7337</v>
      </c>
      <c r="N8" s="3"/>
      <c r="O8" s="199">
        <v>113809</v>
      </c>
      <c r="P8" s="196">
        <v>119801</v>
      </c>
      <c r="Q8" s="196">
        <v>3260</v>
      </c>
      <c r="R8" s="196">
        <v>68780.333333333328</v>
      </c>
      <c r="S8" s="196">
        <v>80031.666666666672</v>
      </c>
      <c r="T8" s="196">
        <v>21010</v>
      </c>
      <c r="U8" s="196">
        <v>145377.66666666666</v>
      </c>
      <c r="V8" s="196">
        <v>70565.333333333328</v>
      </c>
    </row>
    <row r="9" spans="1:22" x14ac:dyDescent="0.3">
      <c r="A9" s="223"/>
      <c r="B9" s="196">
        <v>3827.3333333333335</v>
      </c>
      <c r="C9" s="196">
        <v>886.33333333333337</v>
      </c>
      <c r="D9" s="196">
        <v>9380</v>
      </c>
      <c r="E9" s="196">
        <v>5211.333333333333</v>
      </c>
      <c r="F9" s="196">
        <v>31265</v>
      </c>
      <c r="G9" s="196">
        <v>128211.66666666667</v>
      </c>
      <c r="H9" s="196">
        <v>184792.66666666666</v>
      </c>
      <c r="I9" s="196">
        <v>882.33333333333337</v>
      </c>
      <c r="J9" s="196">
        <v>10898.5</v>
      </c>
      <c r="K9" s="196">
        <v>1237</v>
      </c>
      <c r="L9" s="196">
        <v>473.33333333333331</v>
      </c>
      <c r="M9" s="196">
        <v>538</v>
      </c>
      <c r="N9" s="3"/>
      <c r="O9" s="199">
        <v>50367.333333333336</v>
      </c>
      <c r="P9" s="196">
        <v>8001</v>
      </c>
      <c r="Q9" s="196">
        <v>4983.666666666667</v>
      </c>
      <c r="R9" s="196">
        <v>73197.666666666672</v>
      </c>
      <c r="S9" s="196">
        <v>30221</v>
      </c>
      <c r="T9" s="196">
        <v>35624</v>
      </c>
      <c r="U9" s="196">
        <v>84514.333333333328</v>
      </c>
      <c r="V9" s="196">
        <v>2584.3333333333335</v>
      </c>
    </row>
    <row r="10" spans="1:22" x14ac:dyDescent="0.3">
      <c r="A10" s="223"/>
      <c r="B10" s="196">
        <v>7548</v>
      </c>
      <c r="C10" s="196">
        <v>1490</v>
      </c>
      <c r="D10" s="196">
        <v>823.66666666666663</v>
      </c>
      <c r="E10" s="196">
        <v>1377.6666666666667</v>
      </c>
      <c r="F10" s="196">
        <v>52712</v>
      </c>
      <c r="G10" s="196">
        <v>95670</v>
      </c>
      <c r="H10" s="196">
        <v>117331.33333333333</v>
      </c>
      <c r="I10" s="196">
        <v>1777.3333333333333</v>
      </c>
      <c r="J10" s="196">
        <v>3746</v>
      </c>
      <c r="K10" s="196">
        <v>1305.6666666666667</v>
      </c>
      <c r="L10" s="196">
        <v>6782</v>
      </c>
      <c r="M10" s="196">
        <v>28785</v>
      </c>
      <c r="N10" s="3"/>
      <c r="O10" s="199">
        <v>42078</v>
      </c>
      <c r="P10" s="196">
        <v>126312.66666666667</v>
      </c>
      <c r="Q10" s="196">
        <v>1286</v>
      </c>
      <c r="R10" s="196">
        <v>18571</v>
      </c>
      <c r="S10" s="196">
        <v>102472.66666666667</v>
      </c>
      <c r="T10" s="196">
        <v>16015.333333333334</v>
      </c>
      <c r="U10" s="196">
        <v>50323</v>
      </c>
      <c r="V10" s="196">
        <v>29598</v>
      </c>
    </row>
    <row r="11" spans="1:22" x14ac:dyDescent="0.3">
      <c r="A11" s="223"/>
      <c r="B11" s="196">
        <v>8112</v>
      </c>
      <c r="C11" s="196">
        <v>6912.333333333333</v>
      </c>
      <c r="D11" s="196">
        <v>1055.6666666666667</v>
      </c>
      <c r="E11" s="196">
        <v>5890.666666666667</v>
      </c>
      <c r="F11" s="196">
        <v>62986.333333333336</v>
      </c>
      <c r="G11" s="196">
        <v>143495</v>
      </c>
      <c r="H11" s="196">
        <v>190470.33333333334</v>
      </c>
      <c r="I11" s="196">
        <v>2602.6666666666665</v>
      </c>
      <c r="J11" s="196">
        <v>7991.333333333333</v>
      </c>
      <c r="K11" s="196">
        <v>564</v>
      </c>
      <c r="L11" s="196">
        <v>628</v>
      </c>
      <c r="M11" s="196">
        <v>1659</v>
      </c>
      <c r="N11" s="3"/>
      <c r="O11" s="199">
        <v>55672.333333333336</v>
      </c>
      <c r="P11" s="196">
        <v>118578.33333333333</v>
      </c>
      <c r="Q11" s="196">
        <v>1832</v>
      </c>
      <c r="R11" s="196">
        <v>427</v>
      </c>
      <c r="S11" s="196">
        <v>3385</v>
      </c>
      <c r="T11" s="196">
        <v>124834.33333333333</v>
      </c>
      <c r="U11" s="196">
        <v>121794.66666666667</v>
      </c>
      <c r="V11" s="196">
        <v>14828.666666666666</v>
      </c>
    </row>
    <row r="12" spans="1:22" x14ac:dyDescent="0.3">
      <c r="A12" s="223"/>
      <c r="B12" s="196">
        <v>643.66666666666663</v>
      </c>
      <c r="C12" s="196">
        <v>1064.3333333333333</v>
      </c>
      <c r="D12" s="196">
        <v>12822.333333333334</v>
      </c>
      <c r="E12" s="196">
        <v>7090.333333333333</v>
      </c>
      <c r="F12" s="196">
        <v>64881.333333333336</v>
      </c>
      <c r="G12" s="196">
        <v>138335</v>
      </c>
      <c r="H12" s="196">
        <v>165996.33333333334</v>
      </c>
      <c r="I12" s="196">
        <v>2072</v>
      </c>
      <c r="J12" s="196">
        <v>662</v>
      </c>
      <c r="K12" s="196">
        <v>3253.6666666666665</v>
      </c>
      <c r="L12" s="196">
        <v>652</v>
      </c>
      <c r="M12" s="196">
        <v>588</v>
      </c>
      <c r="N12" s="3"/>
      <c r="O12" s="199">
        <v>31594</v>
      </c>
      <c r="P12" s="196">
        <v>115345</v>
      </c>
      <c r="Q12" s="196">
        <v>1432.3333333333333</v>
      </c>
      <c r="R12" s="196">
        <v>76731</v>
      </c>
      <c r="S12" s="196">
        <v>24632</v>
      </c>
      <c r="T12" s="196">
        <v>87894.333333333328</v>
      </c>
      <c r="U12" s="196">
        <v>96709</v>
      </c>
      <c r="V12" s="196">
        <v>31206.666666666668</v>
      </c>
    </row>
    <row r="13" spans="1:22" ht="16.8" x14ac:dyDescent="0.3">
      <c r="A13" s="223"/>
      <c r="B13" s="14"/>
      <c r="C13" s="13"/>
      <c r="D13" s="16"/>
      <c r="E13" s="16"/>
      <c r="F13" s="16"/>
      <c r="G13" s="16"/>
      <c r="H13" s="16"/>
      <c r="I13" s="32"/>
      <c r="J13" s="16"/>
      <c r="K13" s="13"/>
      <c r="L13" s="13"/>
      <c r="M13" s="13"/>
      <c r="N13" s="3"/>
      <c r="O13" s="199">
        <v>664.5</v>
      </c>
      <c r="P13" s="13"/>
      <c r="Q13" s="13"/>
      <c r="R13" s="4"/>
      <c r="S13" s="32"/>
      <c r="T13" s="32"/>
      <c r="U13" s="32"/>
      <c r="V13" s="32"/>
    </row>
    <row r="14" spans="1:22" ht="16.8" x14ac:dyDescent="0.3">
      <c r="A14" s="223"/>
      <c r="B14" s="14"/>
      <c r="C14" s="16"/>
      <c r="D14" s="16"/>
      <c r="E14" s="16"/>
      <c r="F14" s="16"/>
      <c r="G14" s="16"/>
      <c r="H14" s="16"/>
      <c r="I14" s="32"/>
      <c r="J14" s="16"/>
      <c r="K14" s="13"/>
      <c r="L14" s="13"/>
      <c r="M14" s="13"/>
      <c r="N14" s="3"/>
      <c r="O14" s="199">
        <v>46034</v>
      </c>
      <c r="P14" s="13"/>
      <c r="Q14" s="13"/>
      <c r="R14" s="4"/>
      <c r="S14" s="32"/>
      <c r="T14" s="32"/>
      <c r="U14" s="32"/>
      <c r="V14" s="32"/>
    </row>
    <row r="15" spans="1:22" ht="16.8" x14ac:dyDescent="0.3">
      <c r="A15" s="223"/>
      <c r="B15" s="14"/>
      <c r="C15" s="16"/>
      <c r="D15" s="16"/>
      <c r="E15" s="16"/>
      <c r="F15" s="16"/>
      <c r="G15" s="16"/>
      <c r="H15" s="16"/>
      <c r="I15" s="32"/>
      <c r="J15" s="16"/>
      <c r="K15" s="13"/>
      <c r="L15" s="13"/>
      <c r="M15" s="13"/>
      <c r="N15" s="3"/>
      <c r="O15" s="199">
        <v>86265.666666666672</v>
      </c>
      <c r="P15" s="13"/>
      <c r="Q15" s="13"/>
      <c r="R15" s="4"/>
      <c r="S15" s="32"/>
      <c r="T15" s="32"/>
      <c r="U15" s="32"/>
      <c r="V15" s="32"/>
    </row>
    <row r="16" spans="1:22" ht="16.8" x14ac:dyDescent="0.3">
      <c r="A16" s="223"/>
      <c r="B16" s="14"/>
      <c r="C16" s="16"/>
      <c r="D16" s="16"/>
      <c r="E16" s="16"/>
      <c r="F16" s="16"/>
      <c r="G16" s="16"/>
      <c r="H16" s="16"/>
      <c r="I16" s="32"/>
      <c r="J16" s="16"/>
      <c r="K16" s="13"/>
      <c r="L16" s="13"/>
      <c r="M16" s="13"/>
      <c r="N16" s="3"/>
      <c r="O16" s="196">
        <v>70306</v>
      </c>
      <c r="P16" s="13"/>
      <c r="Q16" s="13"/>
      <c r="R16" s="4"/>
      <c r="S16" s="32"/>
      <c r="T16" s="32"/>
      <c r="U16" s="32"/>
      <c r="V16" s="32"/>
    </row>
    <row r="17" spans="1:22" s="1" customFormat="1" ht="16.8" x14ac:dyDescent="0.3">
      <c r="A17" s="223"/>
      <c r="B17" s="14"/>
      <c r="C17" s="32"/>
      <c r="D17" s="32"/>
      <c r="E17" s="32"/>
      <c r="F17" s="32"/>
      <c r="G17" s="32"/>
      <c r="H17" s="32"/>
      <c r="I17" s="32"/>
      <c r="J17" s="32"/>
      <c r="K17" s="13"/>
      <c r="L17" s="13"/>
      <c r="M17" s="13"/>
      <c r="N17" s="3"/>
      <c r="O17" s="196">
        <v>36335</v>
      </c>
      <c r="P17" s="13"/>
      <c r="Q17" s="13"/>
      <c r="R17" s="32"/>
      <c r="S17" s="32"/>
      <c r="T17" s="32"/>
      <c r="U17" s="32"/>
      <c r="V17" s="32"/>
    </row>
    <row r="18" spans="1:22" s="1" customFormat="1" ht="16.8" x14ac:dyDescent="0.3">
      <c r="A18" s="223"/>
      <c r="B18" s="14"/>
      <c r="C18" s="32"/>
      <c r="D18" s="32"/>
      <c r="E18" s="32"/>
      <c r="F18" s="32"/>
      <c r="G18" s="32"/>
      <c r="H18" s="32"/>
      <c r="I18" s="32"/>
      <c r="J18" s="32"/>
      <c r="K18" s="13"/>
      <c r="L18" s="13"/>
      <c r="M18" s="13"/>
      <c r="N18" s="3"/>
      <c r="O18" s="196">
        <v>74464.666666666672</v>
      </c>
      <c r="P18" s="13"/>
      <c r="Q18" s="13"/>
      <c r="R18" s="32"/>
      <c r="S18" s="32"/>
      <c r="T18" s="32"/>
      <c r="U18" s="32"/>
      <c r="V18" s="32"/>
    </row>
    <row r="19" spans="1:22" s="1" customFormat="1" ht="16.8" x14ac:dyDescent="0.3">
      <c r="A19" s="223"/>
      <c r="B19" s="14"/>
      <c r="C19" s="32"/>
      <c r="D19" s="32"/>
      <c r="E19" s="32"/>
      <c r="F19" s="32"/>
      <c r="G19" s="32"/>
      <c r="H19" s="32"/>
      <c r="I19" s="32"/>
      <c r="J19" s="32"/>
      <c r="K19" s="13"/>
      <c r="L19" s="13"/>
      <c r="M19" s="13"/>
      <c r="N19" s="3"/>
      <c r="O19" s="196">
        <v>12800</v>
      </c>
      <c r="P19" s="13"/>
      <c r="Q19" s="13"/>
      <c r="R19" s="32"/>
      <c r="S19" s="32"/>
      <c r="T19" s="32"/>
      <c r="U19" s="32"/>
      <c r="V19" s="32"/>
    </row>
    <row r="20" spans="1:22" ht="16.8" x14ac:dyDescent="0.3">
      <c r="A20" s="223"/>
      <c r="B20" s="14"/>
      <c r="C20" s="16"/>
      <c r="D20" s="16"/>
      <c r="E20" s="16"/>
      <c r="F20" s="16"/>
      <c r="G20" s="16"/>
      <c r="H20" s="16"/>
      <c r="I20" s="32"/>
      <c r="J20" s="16"/>
      <c r="K20" s="13"/>
      <c r="L20" s="13"/>
      <c r="M20" s="13"/>
      <c r="N20" s="3"/>
      <c r="O20" s="196">
        <v>54967.333333333336</v>
      </c>
      <c r="P20" s="13"/>
      <c r="Q20" s="13"/>
      <c r="R20" s="4"/>
      <c r="S20" s="32"/>
      <c r="T20" s="32"/>
      <c r="U20" s="32"/>
      <c r="V20" s="32"/>
    </row>
    <row r="21" spans="1:22" s="1" customFormat="1" ht="16.8" x14ac:dyDescent="0.3">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Dutasteride-0,01mg/L</v>
      </c>
      <c r="J22" s="68" t="str">
        <f t="shared" si="0"/>
        <v>Dutasteride-0,1mg/L</v>
      </c>
      <c r="K22" s="68" t="str">
        <f t="shared" si="0"/>
        <v>Dutasteride-0,25mg/L</v>
      </c>
      <c r="L22" s="68" t="str">
        <f t="shared" si="0"/>
        <v>Dutasteride-0,5mg/L</v>
      </c>
      <c r="M22" s="68" t="str">
        <f t="shared" si="0"/>
        <v>Dutasteride-1mg/L</v>
      </c>
      <c r="N22" s="68" t="s">
        <v>47</v>
      </c>
      <c r="O22" s="68" t="str">
        <f t="shared" ref="O22:V22" si="1">O4</f>
        <v>Testo -30µg/L</v>
      </c>
      <c r="P22" s="68" t="str">
        <f t="shared" si="1"/>
        <v>Testo 30µg/L + EE2 -64ng/L</v>
      </c>
      <c r="Q22" s="68" t="str">
        <f t="shared" si="1"/>
        <v>Testo 30µg/L + FAD-10µg/L</v>
      </c>
      <c r="R22" s="68" t="str">
        <f t="shared" si="1"/>
        <v>Dutasteride-0.01mg/L + Testostérone</v>
      </c>
      <c r="S22" s="68" t="str">
        <f t="shared" si="1"/>
        <v>Dutasteride-0.1mg/L + Testostérone</v>
      </c>
      <c r="T22" s="68" t="str">
        <f t="shared" si="1"/>
        <v>Dutasteride-0.25mg/L + Testostérone</v>
      </c>
      <c r="U22" s="68" t="str">
        <f t="shared" si="1"/>
        <v>Dutasteride-0.5mg/L + Testostérone</v>
      </c>
      <c r="V22" s="68" t="str">
        <f t="shared" si="1"/>
        <v>Dutasteride-1mg/L + Testostérone</v>
      </c>
    </row>
    <row r="23" spans="1:22" x14ac:dyDescent="0.3">
      <c r="A23" s="5" t="s">
        <v>0</v>
      </c>
      <c r="B23" s="5">
        <f t="shared" ref="B23:M23" si="2">AVERAGE(B5:B20)</f>
        <v>3960.6666666666665</v>
      </c>
      <c r="C23" s="5">
        <f t="shared" si="2"/>
        <v>2061.5416666666665</v>
      </c>
      <c r="D23" s="5">
        <f t="shared" si="2"/>
        <v>3724.6875</v>
      </c>
      <c r="E23" s="5">
        <f t="shared" si="2"/>
        <v>7522.1041666666661</v>
      </c>
      <c r="F23" s="5">
        <f t="shared" si="2"/>
        <v>43983.583333333328</v>
      </c>
      <c r="G23" s="5">
        <f t="shared" si="2"/>
        <v>106133.08333333334</v>
      </c>
      <c r="H23" s="5">
        <f t="shared" si="2"/>
        <v>170944.41666666666</v>
      </c>
      <c r="I23" s="5">
        <f t="shared" si="2"/>
        <v>4433</v>
      </c>
      <c r="J23" s="5">
        <f t="shared" si="2"/>
        <v>3679.9375</v>
      </c>
      <c r="K23" s="5">
        <f t="shared" si="2"/>
        <v>2574.5000000000005</v>
      </c>
      <c r="L23" s="5">
        <f t="shared" si="2"/>
        <v>2205.5714285714284</v>
      </c>
      <c r="M23" s="5">
        <f t="shared" si="2"/>
        <v>5068.208333333333</v>
      </c>
      <c r="N23" s="5" t="s">
        <v>0</v>
      </c>
      <c r="O23" s="5">
        <f t="shared" ref="O23:V23" si="3">AVERAGE(O5:O20)</f>
        <v>57422.583333333328</v>
      </c>
      <c r="P23" s="5">
        <f t="shared" si="3"/>
        <v>111019.83333333334</v>
      </c>
      <c r="Q23" s="5">
        <f t="shared" si="3"/>
        <v>2278.4166666666665</v>
      </c>
      <c r="R23" s="5">
        <f t="shared" si="3"/>
        <v>50837.333333333336</v>
      </c>
      <c r="S23" s="5">
        <f t="shared" si="3"/>
        <v>66331.291666666672</v>
      </c>
      <c r="T23" s="5">
        <f t="shared" si="3"/>
        <v>59949.958333333328</v>
      </c>
      <c r="U23" s="5">
        <f t="shared" si="3"/>
        <v>105205.97916666667</v>
      </c>
      <c r="V23" s="5">
        <f t="shared" si="3"/>
        <v>52743.083333333336</v>
      </c>
    </row>
    <row r="24" spans="1:22" x14ac:dyDescent="0.3">
      <c r="A24" s="3" t="s">
        <v>1</v>
      </c>
      <c r="B24" s="3">
        <f t="shared" ref="B24:M24" si="4">STDEV(B5:B20)</f>
        <v>3404.4227956334353</v>
      </c>
      <c r="C24" s="3">
        <f t="shared" si="4"/>
        <v>2262.0493092284601</v>
      </c>
      <c r="D24" s="3">
        <f t="shared" si="4"/>
        <v>4720.3032039060326</v>
      </c>
      <c r="E24" s="3">
        <f t="shared" si="4"/>
        <v>10442.742851445146</v>
      </c>
      <c r="F24" s="3">
        <f t="shared" si="4"/>
        <v>20998.887761740119</v>
      </c>
      <c r="G24" s="3">
        <f t="shared" si="4"/>
        <v>49482.784982366422</v>
      </c>
      <c r="H24" s="3">
        <f t="shared" si="4"/>
        <v>71125.533025424855</v>
      </c>
      <c r="I24" s="3">
        <f t="shared" si="4"/>
        <v>8603.9031729514372</v>
      </c>
      <c r="J24" s="3">
        <f t="shared" si="4"/>
        <v>3912.9534271843172</v>
      </c>
      <c r="K24" s="3">
        <f t="shared" si="4"/>
        <v>2332.2293034368472</v>
      </c>
      <c r="L24" s="3">
        <f t="shared" si="4"/>
        <v>2355.1578205692208</v>
      </c>
      <c r="M24" s="3">
        <f t="shared" si="4"/>
        <v>9865.291966552104</v>
      </c>
      <c r="N24" s="3" t="s">
        <v>1</v>
      </c>
      <c r="O24" s="3">
        <f t="shared" ref="O24:V24" si="5">STDEV(O5:O20)</f>
        <v>34647.951187731254</v>
      </c>
      <c r="P24" s="3">
        <f t="shared" si="5"/>
        <v>49193.828049448726</v>
      </c>
      <c r="Q24" s="3">
        <f t="shared" si="5"/>
        <v>1331.8387784360507</v>
      </c>
      <c r="R24" s="3">
        <f t="shared" si="5"/>
        <v>45399.41453961363</v>
      </c>
      <c r="S24" s="3">
        <f t="shared" si="5"/>
        <v>42068.148423619336</v>
      </c>
      <c r="T24" s="3">
        <f t="shared" si="5"/>
        <v>51929.586453085598</v>
      </c>
      <c r="U24" s="3">
        <f t="shared" si="5"/>
        <v>32502.857062017607</v>
      </c>
      <c r="V24" s="3">
        <f t="shared" si="5"/>
        <v>38621.843246252436</v>
      </c>
    </row>
    <row r="25" spans="1:22" ht="15" thickBot="1" x14ac:dyDescent="0.35"/>
    <row r="26" spans="1:22" ht="15" thickBot="1" x14ac:dyDescent="0.35">
      <c r="B26" s="226" t="s">
        <v>6</v>
      </c>
      <c r="C26" s="227"/>
      <c r="D26" s="227"/>
      <c r="E26" s="227"/>
      <c r="F26" s="227"/>
      <c r="G26" s="227"/>
      <c r="H26" s="227"/>
      <c r="I26" s="227"/>
      <c r="J26" s="227"/>
      <c r="K26" s="227"/>
      <c r="L26" s="227"/>
      <c r="M26" s="227"/>
      <c r="N26" s="1"/>
      <c r="O26" s="226" t="s">
        <v>3</v>
      </c>
      <c r="P26" s="227"/>
      <c r="Q26" s="227"/>
      <c r="R26" s="227"/>
      <c r="S26" s="227"/>
      <c r="T26" s="227"/>
      <c r="U26" s="227"/>
      <c r="V26" s="227"/>
    </row>
    <row r="27" spans="1:22" s="1" customFormat="1" x14ac:dyDescent="0.3">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Dutasteride-0,01mg/L</v>
      </c>
      <c r="J27" s="35" t="str">
        <f t="shared" si="6"/>
        <v>Dutasteride-0,1mg/L</v>
      </c>
      <c r="K27" s="35" t="str">
        <f t="shared" si="6"/>
        <v>Dutasteride-0,25mg/L</v>
      </c>
      <c r="L27" s="35" t="str">
        <f t="shared" si="6"/>
        <v>Dutasteride-0,5mg/L</v>
      </c>
      <c r="M27" s="35" t="str">
        <f t="shared" si="6"/>
        <v>Dutasteride-1mg/L</v>
      </c>
      <c r="N27" s="3"/>
      <c r="O27" s="36" t="str">
        <f t="shared" ref="O27:V27" si="7">O4</f>
        <v>Testo -30µg/L</v>
      </c>
      <c r="P27" s="36" t="str">
        <f t="shared" si="7"/>
        <v>Testo 30µg/L + EE2 -64ng/L</v>
      </c>
      <c r="Q27" s="36" t="str">
        <f t="shared" si="7"/>
        <v>Testo 30µg/L + FAD-10µg/L</v>
      </c>
      <c r="R27" s="36" t="str">
        <f t="shared" si="7"/>
        <v>Dutasteride-0.01mg/L + Testostérone</v>
      </c>
      <c r="S27" s="36" t="str">
        <f t="shared" si="7"/>
        <v>Dutasteride-0.1mg/L + Testostérone</v>
      </c>
      <c r="T27" s="36" t="str">
        <f t="shared" si="7"/>
        <v>Dutasteride-0.25mg/L + Testostérone</v>
      </c>
      <c r="U27" s="36" t="str">
        <f t="shared" si="7"/>
        <v>Dutasteride-0.5mg/L + Testostérone</v>
      </c>
      <c r="V27" s="36" t="str">
        <f t="shared" si="7"/>
        <v>Dutasteride-1mg/L + Testostérone</v>
      </c>
    </row>
    <row r="28" spans="1:22" x14ac:dyDescent="0.3">
      <c r="A28" s="224" t="s">
        <v>34</v>
      </c>
      <c r="B28" s="11">
        <f t="shared" ref="B28:M28" si="8">IF(B5="","",(B5/$O$23))</f>
        <v>1.5644251463201909E-2</v>
      </c>
      <c r="C28" s="11">
        <f t="shared" si="8"/>
        <v>2.1396924264698417E-2</v>
      </c>
      <c r="D28" s="11">
        <f t="shared" si="8"/>
        <v>1.464580572974338E-2</v>
      </c>
      <c r="E28" s="11">
        <f t="shared" si="8"/>
        <v>7.1174088011249942E-2</v>
      </c>
      <c r="F28" s="11">
        <f t="shared" si="8"/>
        <v>0.40518321043840189</v>
      </c>
      <c r="G28" s="11">
        <f t="shared" si="8"/>
        <v>1.3407094479378758</v>
      </c>
      <c r="H28" s="11">
        <f t="shared" si="8"/>
        <v>5.0398057674753405</v>
      </c>
      <c r="I28" s="11">
        <f t="shared" si="8"/>
        <v>0.44683349030796538</v>
      </c>
      <c r="J28" s="11">
        <f t="shared" si="8"/>
        <v>7.1655896126814222E-2</v>
      </c>
      <c r="K28" s="11">
        <f t="shared" si="8"/>
        <v>0.12630919019955855</v>
      </c>
      <c r="L28" s="11" t="str">
        <f t="shared" si="8"/>
        <v/>
      </c>
      <c r="M28" s="11">
        <f t="shared" si="8"/>
        <v>1.2817256857421079E-2</v>
      </c>
      <c r="N28" s="6"/>
      <c r="O28" s="11">
        <f t="shared" ref="O28:V28" si="9">IF(O5="","",(O5/$O$23))</f>
        <v>1.5235817499212709</v>
      </c>
      <c r="P28" s="11">
        <f t="shared" si="9"/>
        <v>3.131764361001987</v>
      </c>
      <c r="Q28" s="11">
        <f t="shared" si="9"/>
        <v>4.7072072398925517E-2</v>
      </c>
      <c r="R28" s="11">
        <f t="shared" si="9"/>
        <v>2.3118720712379419</v>
      </c>
      <c r="S28" s="11">
        <f t="shared" si="9"/>
        <v>1.7317692951814838</v>
      </c>
      <c r="T28" s="11">
        <f t="shared" si="9"/>
        <v>2.5132736684608696</v>
      </c>
      <c r="U28" s="11">
        <f t="shared" si="9"/>
        <v>2.2178991714932135</v>
      </c>
      <c r="V28" s="11">
        <f t="shared" si="9"/>
        <v>1.9779848520689451</v>
      </c>
    </row>
    <row r="29" spans="1:22" x14ac:dyDescent="0.3">
      <c r="A29" s="225"/>
      <c r="B29" s="11">
        <f t="shared" ref="B29:M29" si="10">IF(B6="","",(B6/$O$23))</f>
        <v>1.1412466930113154E-2</v>
      </c>
      <c r="C29" s="11">
        <f t="shared" si="10"/>
        <v>5.2070105983273137E-3</v>
      </c>
      <c r="D29" s="11">
        <f t="shared" si="10"/>
        <v>1.9272324622571554E-2</v>
      </c>
      <c r="E29" s="11">
        <f t="shared" si="10"/>
        <v>0.57191203809186575</v>
      </c>
      <c r="F29" s="11">
        <f t="shared" si="10"/>
        <v>0.36811881504228156</v>
      </c>
      <c r="G29" s="11">
        <f t="shared" si="10"/>
        <v>2.7955319553427733</v>
      </c>
      <c r="H29" s="11">
        <f t="shared" si="10"/>
        <v>3.845269935899204</v>
      </c>
      <c r="I29" s="11">
        <f t="shared" si="10"/>
        <v>1.549912853682712E-2</v>
      </c>
      <c r="J29" s="11">
        <f t="shared" si="10"/>
        <v>8.8524985088619321E-3</v>
      </c>
      <c r="K29" s="11">
        <f t="shared" si="10"/>
        <v>3.3593054997235409E-2</v>
      </c>
      <c r="L29" s="11">
        <f t="shared" si="10"/>
        <v>1.4204632033564032E-2</v>
      </c>
      <c r="M29" s="11">
        <f t="shared" si="10"/>
        <v>9.4852344678559974E-3</v>
      </c>
      <c r="N29" s="6"/>
      <c r="O29" s="11">
        <f t="shared" ref="O29:V29" si="11">IF(O6="","",(O6/$O$23))</f>
        <v>0.48308519731638688</v>
      </c>
      <c r="P29" s="11">
        <f t="shared" si="11"/>
        <v>1.4909058718187242</v>
      </c>
      <c r="Q29" s="11">
        <f t="shared" si="11"/>
        <v>3.1427820935723612E-2</v>
      </c>
      <c r="R29" s="11">
        <f t="shared" si="11"/>
        <v>3.9705632656141389E-2</v>
      </c>
      <c r="S29" s="11">
        <f t="shared" si="11"/>
        <v>1.2459325671810308</v>
      </c>
      <c r="T29" s="11">
        <f t="shared" si="11"/>
        <v>0.2285744139573426</v>
      </c>
      <c r="U29" s="11">
        <f t="shared" si="11"/>
        <v>2.3523323431112324</v>
      </c>
      <c r="V29" s="11">
        <f t="shared" si="11"/>
        <v>1.4212120376564972</v>
      </c>
    </row>
    <row r="30" spans="1:22" x14ac:dyDescent="0.3">
      <c r="A30" s="225"/>
      <c r="B30" s="11">
        <f t="shared" ref="B30:M30" si="12">IF(B7="","",(B7/$O$23))</f>
        <v>0.13865624877552532</v>
      </c>
      <c r="C30" s="11">
        <f t="shared" si="12"/>
        <v>6.9467442397082454E-2</v>
      </c>
      <c r="D30" s="11">
        <f t="shared" si="12"/>
        <v>9.0150361864016915E-3</v>
      </c>
      <c r="E30" s="11">
        <f t="shared" si="12"/>
        <v>3.2678780561074261E-2</v>
      </c>
      <c r="F30" s="11">
        <f t="shared" si="12"/>
        <v>0.42968576532752073</v>
      </c>
      <c r="G30" s="11">
        <f t="shared" si="12"/>
        <v>1.7602540231703265</v>
      </c>
      <c r="H30" s="11">
        <f t="shared" si="12"/>
        <v>2.6169262673947968</v>
      </c>
      <c r="I30" s="11">
        <f t="shared" si="12"/>
        <v>1.4640000812688389E-2</v>
      </c>
      <c r="J30" s="11">
        <f t="shared" si="12"/>
        <v>1.6300207090415939E-2</v>
      </c>
      <c r="K30" s="11">
        <f t="shared" si="12"/>
        <v>7.8534722836979071E-2</v>
      </c>
      <c r="L30" s="11">
        <f t="shared" si="12"/>
        <v>6.5903223325317714E-2</v>
      </c>
      <c r="M30" s="11">
        <f t="shared" si="12"/>
        <v>6.2344809170607968E-3</v>
      </c>
      <c r="N30" s="6"/>
      <c r="O30" s="198">
        <f t="shared" ref="O30:V30" si="13">IF(O7="","",(O7/$O$23))</f>
        <v>2.2321444379461624</v>
      </c>
      <c r="P30" s="11">
        <f t="shared" si="13"/>
        <v>2.3453316131429127</v>
      </c>
      <c r="Q30" s="11">
        <f t="shared" si="13"/>
        <v>1.6120254661711204E-2</v>
      </c>
      <c r="R30" s="11">
        <f t="shared" si="13"/>
        <v>0.59137012006019707</v>
      </c>
      <c r="S30" s="11">
        <f t="shared" si="13"/>
        <v>2.070973818372853</v>
      </c>
      <c r="T30" s="11">
        <f t="shared" si="13"/>
        <v>0.64047391342836946</v>
      </c>
      <c r="U30" s="11">
        <f t="shared" si="13"/>
        <v>1.4017945901075508</v>
      </c>
      <c r="V30" s="11">
        <f t="shared" si="13"/>
        <v>1.3578455630842106</v>
      </c>
    </row>
    <row r="31" spans="1:22" x14ac:dyDescent="0.3">
      <c r="A31" s="225"/>
      <c r="B31" s="11">
        <f t="shared" ref="B31:M31" si="14">IF(B8="","",(B8/$O$23))</f>
        <v>3.5502872708327596E-2</v>
      </c>
      <c r="C31" s="11">
        <f t="shared" si="14"/>
        <v>1.0843585058723992E-2</v>
      </c>
      <c r="D31" s="11">
        <f t="shared" si="14"/>
        <v>5.6606648661748936E-2</v>
      </c>
      <c r="E31" s="11">
        <f t="shared" si="14"/>
        <v>3.1392991433393663E-2</v>
      </c>
      <c r="F31" s="11">
        <f t="shared" si="14"/>
        <v>1.2354953263161561</v>
      </c>
      <c r="G31" s="11">
        <f t="shared" si="14"/>
        <v>8.2911630296442607E-2</v>
      </c>
      <c r="H31" s="11">
        <f t="shared" si="14"/>
        <v>0.8444412839896035</v>
      </c>
      <c r="I31" s="11">
        <f t="shared" si="14"/>
        <v>1.2898525696190958E-2</v>
      </c>
      <c r="J31" s="11">
        <f t="shared" si="14"/>
        <v>1.014699501212502E-2</v>
      </c>
      <c r="K31" s="11">
        <f t="shared" si="14"/>
        <v>9.4736246337460157E-3</v>
      </c>
      <c r="L31" s="11">
        <f t="shared" si="14"/>
        <v>4.0117781767045779E-2</v>
      </c>
      <c r="M31" s="11">
        <f t="shared" si="14"/>
        <v>0.12777202929741638</v>
      </c>
      <c r="N31" s="6"/>
      <c r="O31" s="198">
        <f t="shared" ref="O31:V31" si="15">IF(O8="","",(O8/$O$23))</f>
        <v>1.9819554153345593</v>
      </c>
      <c r="P31" s="11">
        <f t="shared" si="15"/>
        <v>2.0863046043150852</v>
      </c>
      <c r="Q31" s="11">
        <f t="shared" si="15"/>
        <v>5.6772088797816193E-2</v>
      </c>
      <c r="R31" s="11">
        <f t="shared" si="15"/>
        <v>1.1977923900439869</v>
      </c>
      <c r="S31" s="11">
        <f t="shared" si="15"/>
        <v>1.3937315603181677</v>
      </c>
      <c r="T31" s="11">
        <f t="shared" si="15"/>
        <v>0.36588392197610992</v>
      </c>
      <c r="U31" s="11">
        <f t="shared" si="15"/>
        <v>2.5317158899445777</v>
      </c>
      <c r="V31" s="11">
        <f t="shared" si="15"/>
        <v>1.2288777208734658</v>
      </c>
    </row>
    <row r="32" spans="1:22" x14ac:dyDescent="0.3">
      <c r="A32" s="225"/>
      <c r="B32" s="11">
        <f t="shared" ref="B32:M32" si="16">IF(B9="","",(B9/$O$23))</f>
        <v>6.6652057625411612E-2</v>
      </c>
      <c r="C32" s="11">
        <f t="shared" si="16"/>
        <v>1.5435274449222216E-2</v>
      </c>
      <c r="D32" s="11">
        <f t="shared" si="16"/>
        <v>0.16335036592745886</v>
      </c>
      <c r="E32" s="11">
        <f t="shared" si="16"/>
        <v>9.075407323773603E-2</v>
      </c>
      <c r="F32" s="11">
        <f t="shared" si="16"/>
        <v>0.54447219517292123</v>
      </c>
      <c r="G32" s="11">
        <f t="shared" si="16"/>
        <v>2.2327742714466292</v>
      </c>
      <c r="H32" s="11">
        <f t="shared" si="16"/>
        <v>3.2181183071120394</v>
      </c>
      <c r="I32" s="11">
        <f t="shared" si="16"/>
        <v>1.5365615444562318E-2</v>
      </c>
      <c r="J32" s="11">
        <f t="shared" si="16"/>
        <v>0.18979466557147234</v>
      </c>
      <c r="K32" s="11">
        <f t="shared" si="16"/>
        <v>2.1542047191073201E-2</v>
      </c>
      <c r="L32" s="11">
        <f t="shared" si="16"/>
        <v>8.2429822180878319E-3</v>
      </c>
      <c r="M32" s="11">
        <f t="shared" si="16"/>
        <v>9.3691361267561699E-3</v>
      </c>
      <c r="N32" s="6"/>
      <c r="O32" s="198">
        <f t="shared" ref="O32:V32" si="17">IF(O9="","",(O9/$O$23))</f>
        <v>0.87713457684331519</v>
      </c>
      <c r="P32" s="11">
        <f t="shared" si="17"/>
        <v>0.13933542407095931</v>
      </c>
      <c r="Q32" s="11">
        <f t="shared" si="17"/>
        <v>8.6789314889176891E-2</v>
      </c>
      <c r="R32" s="11">
        <f t="shared" si="17"/>
        <v>1.2747191508567335</v>
      </c>
      <c r="S32" s="11">
        <f t="shared" si="17"/>
        <v>0.52629119495668808</v>
      </c>
      <c r="T32" s="11">
        <f t="shared" si="17"/>
        <v>0.6203830955010442</v>
      </c>
      <c r="U32" s="11">
        <f t="shared" si="17"/>
        <v>1.4717960848736924</v>
      </c>
      <c r="V32" s="11">
        <f t="shared" si="17"/>
        <v>4.5005521927348566E-2</v>
      </c>
    </row>
    <row r="33" spans="1:22" x14ac:dyDescent="0.3">
      <c r="A33" s="225"/>
      <c r="B33" s="11">
        <f t="shared" ref="B33:M33" si="18">IF(B10="","",(B10/$O$23))</f>
        <v>0.13144654179322596</v>
      </c>
      <c r="C33" s="11">
        <f t="shared" si="18"/>
        <v>2.5947979235811696E-2</v>
      </c>
      <c r="D33" s="11">
        <f t="shared" si="18"/>
        <v>1.4343950042883826E-2</v>
      </c>
      <c r="E33" s="11">
        <f t="shared" si="18"/>
        <v>2.3991722188279586E-2</v>
      </c>
      <c r="F33" s="11">
        <f t="shared" si="18"/>
        <v>0.91796636340812487</v>
      </c>
      <c r="G33" s="11">
        <f t="shared" si="18"/>
        <v>1.6660692439530906</v>
      </c>
      <c r="H33" s="11">
        <f t="shared" si="18"/>
        <v>2.0432959738546539</v>
      </c>
      <c r="I33" s="11">
        <f t="shared" si="18"/>
        <v>3.095181773721431E-2</v>
      </c>
      <c r="J33" s="11">
        <f t="shared" si="18"/>
        <v>6.5235657863993698E-2</v>
      </c>
      <c r="K33" s="11">
        <f t="shared" si="18"/>
        <v>2.2737860104401438E-2</v>
      </c>
      <c r="L33" s="11">
        <f t="shared" si="18"/>
        <v>0.11810684240085566</v>
      </c>
      <c r="M33" s="11">
        <f t="shared" si="18"/>
        <v>0.50128361228378504</v>
      </c>
      <c r="N33" s="6"/>
      <c r="O33" s="198">
        <f t="shared" ref="O33:V33" si="19">IF(O10="","",(O10/$O$23))</f>
        <v>0.73277789951978833</v>
      </c>
      <c r="P33" s="11">
        <f t="shared" si="19"/>
        <v>2.1997036589843431</v>
      </c>
      <c r="Q33" s="11">
        <f t="shared" si="19"/>
        <v>2.2395369998156941E-2</v>
      </c>
      <c r="R33" s="11">
        <f t="shared" si="19"/>
        <v>0.32340934388473758</v>
      </c>
      <c r="S33" s="11">
        <f t="shared" si="19"/>
        <v>1.7845359912113559</v>
      </c>
      <c r="T33" s="11">
        <f t="shared" si="19"/>
        <v>0.27890304482411832</v>
      </c>
      <c r="U33" s="11">
        <f t="shared" si="19"/>
        <v>0.87636252287500138</v>
      </c>
      <c r="V33" s="11">
        <f t="shared" si="19"/>
        <v>0.51544180498090908</v>
      </c>
    </row>
    <row r="34" spans="1:22" x14ac:dyDescent="0.3">
      <c r="A34" s="225"/>
      <c r="B34" s="11">
        <f t="shared" ref="B34:M34" si="20">IF(B11="","",(B11/$O$23))</f>
        <v>0.14126846145027147</v>
      </c>
      <c r="C34" s="11">
        <f t="shared" si="20"/>
        <v>0.12037656496935729</v>
      </c>
      <c r="D34" s="11">
        <f t="shared" si="20"/>
        <v>1.8384172313157865E-2</v>
      </c>
      <c r="E34" s="11">
        <f t="shared" si="20"/>
        <v>0.10258449419580858</v>
      </c>
      <c r="F34" s="11">
        <f t="shared" si="20"/>
        <v>1.0968913217941259</v>
      </c>
      <c r="G34" s="11">
        <f t="shared" si="20"/>
        <v>2.4989297184179859</v>
      </c>
      <c r="H34" s="11">
        <f t="shared" si="20"/>
        <v>3.3169934593097086</v>
      </c>
      <c r="I34" s="11">
        <f t="shared" si="20"/>
        <v>4.5324792365373089E-2</v>
      </c>
      <c r="J34" s="11">
        <f t="shared" si="20"/>
        <v>0.13916708147636456</v>
      </c>
      <c r="K34" s="11">
        <f t="shared" si="20"/>
        <v>9.8219196570455015E-3</v>
      </c>
      <c r="L34" s="11">
        <f t="shared" si="20"/>
        <v>1.0936463731603856E-2</v>
      </c>
      <c r="M34" s="11">
        <f t="shared" si="20"/>
        <v>2.8891072182692351E-2</v>
      </c>
      <c r="N34" s="6"/>
      <c r="O34" s="198">
        <f t="shared" ref="O34:V34" si="21">IF(O11="","",(O11/$O$23))</f>
        <v>0.96951983177350387</v>
      </c>
      <c r="P34" s="11">
        <f t="shared" si="21"/>
        <v>2.0650121685573768</v>
      </c>
      <c r="Q34" s="11">
        <f t="shared" si="21"/>
        <v>3.1903824134232907E-2</v>
      </c>
      <c r="R34" s="11">
        <f t="shared" si="21"/>
        <v>7.4360987474440228E-3</v>
      </c>
      <c r="S34" s="11">
        <f t="shared" si="21"/>
        <v>5.8948932693437983E-2</v>
      </c>
      <c r="T34" s="11">
        <f t="shared" si="21"/>
        <v>2.1739588518454558</v>
      </c>
      <c r="U34" s="11">
        <f t="shared" si="21"/>
        <v>2.1210238132209893</v>
      </c>
      <c r="V34" s="11">
        <f t="shared" si="21"/>
        <v>0.25823754010834876</v>
      </c>
    </row>
    <row r="35" spans="1:22" x14ac:dyDescent="0.3">
      <c r="A35" s="225"/>
      <c r="B35" s="11">
        <f t="shared" ref="B35:M35" si="22">IF(B12="","",(B12/$O$23))</f>
        <v>1.1209294833188452E-2</v>
      </c>
      <c r="C35" s="11">
        <f t="shared" si="22"/>
        <v>1.8535100156587637E-2</v>
      </c>
      <c r="D35" s="11">
        <f t="shared" si="22"/>
        <v>0.2232977443543554</v>
      </c>
      <c r="E35" s="11">
        <f t="shared" si="22"/>
        <v>0.12347639067672272</v>
      </c>
      <c r="F35" s="11">
        <f t="shared" si="22"/>
        <v>1.1298922752517522</v>
      </c>
      <c r="G35" s="11">
        <f t="shared" si="22"/>
        <v>2.4090696024067189</v>
      </c>
      <c r="H35" s="11">
        <f t="shared" si="22"/>
        <v>2.8907848392981279</v>
      </c>
      <c r="I35" s="11">
        <f t="shared" si="22"/>
        <v>3.6083364413826736E-2</v>
      </c>
      <c r="J35" s="11">
        <f t="shared" si="22"/>
        <v>1.1528565271212982E-2</v>
      </c>
      <c r="K35" s="11">
        <f t="shared" si="22"/>
        <v>5.6661795373771355E-2</v>
      </c>
      <c r="L35" s="11">
        <f t="shared" si="22"/>
        <v>1.1354417759563239E-2</v>
      </c>
      <c r="M35" s="11">
        <f t="shared" si="22"/>
        <v>1.0239873685004884E-2</v>
      </c>
      <c r="N35" s="6"/>
      <c r="O35" s="198">
        <f t="shared" ref="O35:V35" si="23">IF(O12="","",(O12/$O$23))</f>
        <v>0.55020164830619778</v>
      </c>
      <c r="P35" s="11">
        <f t="shared" si="23"/>
        <v>2.0087044731239598</v>
      </c>
      <c r="Q35" s="11">
        <f t="shared" si="23"/>
        <v>2.4943728585298176E-2</v>
      </c>
      <c r="R35" s="11">
        <f t="shared" si="23"/>
        <v>1.3362512716396424</v>
      </c>
      <c r="S35" s="11">
        <f t="shared" si="23"/>
        <v>0.4289601506956468</v>
      </c>
      <c r="T35" s="11">
        <f t="shared" si="23"/>
        <v>1.5306579438113055</v>
      </c>
      <c r="U35" s="11">
        <f t="shared" si="23"/>
        <v>1.6841631704134989</v>
      </c>
      <c r="V35" s="11">
        <f t="shared" si="23"/>
        <v>0.54345633468829779</v>
      </c>
    </row>
    <row r="36" spans="1:22" s="1" customFormat="1" x14ac:dyDescent="0.3">
      <c r="A36" s="225"/>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98">
        <f t="shared" ref="O36:V36" si="25">IF(O13="","",(O13/$O$23))</f>
        <v>1.1572102149125418E-2</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
      <c r="A37" s="225"/>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98">
        <f t="shared" ref="O37:V37" si="27">IF(O14="","",(O14/$O$23))</f>
        <v>0.80167065512842661</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
      <c r="A38" s="225"/>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98">
        <f t="shared" ref="O38:R38" si="29">IF(O15="","",(O15/$O$23))</f>
        <v>1.5022951190806175</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
      <c r="A39" s="225"/>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98">
        <f t="shared" ref="O39:R39" si="32">IF(O16="","",(O16/$O$23))</f>
        <v>1.2243614954046826</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
      <c r="A40" s="225"/>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98">
        <f t="shared" ref="O40:R40" si="35">IF(O17="","",(O17/$O$23))</f>
        <v>0.63276498357934097</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
      <c r="A41" s="225"/>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1.2967836405827557</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
      <c r="A42" s="225"/>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0.22290881491167094</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
      <c r="A43" s="225"/>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0.95724243220219696</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
      <c r="A44" s="7"/>
      <c r="B44" s="3"/>
      <c r="C44" s="3"/>
      <c r="D44" s="3"/>
      <c r="E44" s="3"/>
      <c r="F44" s="3"/>
      <c r="G44" s="3"/>
      <c r="H44" s="3"/>
      <c r="I44" s="3"/>
      <c r="J44" s="3"/>
      <c r="N44" s="7"/>
      <c r="O44" s="3"/>
      <c r="P44" s="3"/>
      <c r="Q44" s="3"/>
      <c r="R44" s="3"/>
      <c r="S44" s="3"/>
      <c r="T44" s="3"/>
      <c r="U44" s="3"/>
      <c r="V44" s="3"/>
    </row>
    <row r="45" spans="1:22" s="69" customFormat="1" x14ac:dyDescent="0.3">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Dutasteride-0,01mg/L</v>
      </c>
      <c r="J45" s="70" t="str">
        <f t="shared" si="46"/>
        <v>Dutasteride-0,1mg/L</v>
      </c>
      <c r="K45" s="70" t="str">
        <f t="shared" si="46"/>
        <v>Dutasteride-0,25mg/L</v>
      </c>
      <c r="L45" s="70" t="str">
        <f t="shared" si="46"/>
        <v>Dutasteride-0,5mg/L</v>
      </c>
      <c r="M45" s="70" t="str">
        <f t="shared" si="46"/>
        <v>Dutasteride-1mg/L</v>
      </c>
      <c r="N45" s="70" t="str">
        <f>N22</f>
        <v>Nom des groupes</v>
      </c>
      <c r="O45" s="70" t="str">
        <f t="shared" ref="O45:V45" si="47">O4</f>
        <v>Testo -30µg/L</v>
      </c>
      <c r="P45" s="70" t="str">
        <f t="shared" si="47"/>
        <v>Testo 30µg/L + EE2 -64ng/L</v>
      </c>
      <c r="Q45" s="70" t="str">
        <f t="shared" si="47"/>
        <v>Testo 30µg/L + FAD-10µg/L</v>
      </c>
      <c r="R45" s="70" t="str">
        <f t="shared" si="47"/>
        <v>Dutasteride-0.01mg/L + Testostérone</v>
      </c>
      <c r="S45" s="70" t="str">
        <f t="shared" si="47"/>
        <v>Dutasteride-0.1mg/L + Testostérone</v>
      </c>
      <c r="T45" s="70" t="str">
        <f t="shared" si="47"/>
        <v>Dutasteride-0.25mg/L + Testostérone</v>
      </c>
      <c r="U45" s="70" t="str">
        <f t="shared" si="47"/>
        <v>Dutasteride-0.5mg/L + Testostérone</v>
      </c>
      <c r="V45" s="70" t="str">
        <f t="shared" si="47"/>
        <v>Dutasteride-1mg/L + Testostérone</v>
      </c>
    </row>
    <row r="46" spans="1:22" x14ac:dyDescent="0.3">
      <c r="A46" s="8" t="s">
        <v>0</v>
      </c>
      <c r="B46" s="10">
        <f t="shared" ref="B46:H46" si="48">AVERAGE(B28:B43)</f>
        <v>6.8974024447408175E-2</v>
      </c>
      <c r="C46" s="10">
        <f t="shared" si="48"/>
        <v>3.5901235141226381E-2</v>
      </c>
      <c r="D46" s="10">
        <f t="shared" si="48"/>
        <v>6.4864505979790182E-2</v>
      </c>
      <c r="E46" s="10">
        <f t="shared" si="48"/>
        <v>0.13099557229951633</v>
      </c>
      <c r="F46" s="10">
        <f t="shared" si="48"/>
        <v>0.76596315909391055</v>
      </c>
      <c r="G46" s="10">
        <f t="shared" si="48"/>
        <v>1.8482812366214805</v>
      </c>
      <c r="H46" s="10">
        <f t="shared" si="48"/>
        <v>2.9769544792916847</v>
      </c>
      <c r="I46" s="10">
        <f>AVERAGE(I28:I43)</f>
        <v>7.7199591914331039E-2</v>
      </c>
      <c r="J46" s="9">
        <f>AVERAGE(J28:J43)</f>
        <v>6.4085195865157582E-2</v>
      </c>
      <c r="K46" s="9">
        <f>AVERAGE(K28:K43)</f>
        <v>4.4834276874226316E-2</v>
      </c>
      <c r="L46" s="9">
        <f t="shared" ref="L46:M46" si="49">AVERAGE(L28:L43)</f>
        <v>3.8409477605148297E-2</v>
      </c>
      <c r="M46" s="9">
        <f t="shared" si="49"/>
        <v>8.826158697724909E-2</v>
      </c>
      <c r="N46" s="8" t="s">
        <v>0</v>
      </c>
      <c r="O46" s="10">
        <f>AVERAGE(O28:O43)</f>
        <v>1</v>
      </c>
      <c r="P46" s="10">
        <f>AVERAGE(P28:P43)</f>
        <v>1.9333827718769183</v>
      </c>
      <c r="Q46" s="10">
        <f>AVERAGE(Q28:Q43)</f>
        <v>3.9678059300130186E-2</v>
      </c>
      <c r="R46" s="10">
        <f>AVERAGE(R28:R43)</f>
        <v>0.88531950989085306</v>
      </c>
      <c r="S46" s="10">
        <f t="shared" ref="S46:V46" si="50">AVERAGE(S28:S43)</f>
        <v>1.155142938826333</v>
      </c>
      <c r="T46" s="10">
        <f t="shared" si="50"/>
        <v>1.044013606725577</v>
      </c>
      <c r="U46" s="10">
        <f t="shared" si="50"/>
        <v>1.8321359482549697</v>
      </c>
      <c r="V46" s="10">
        <f t="shared" si="50"/>
        <v>0.9185076719235028</v>
      </c>
    </row>
    <row r="47" spans="1:22" x14ac:dyDescent="0.3">
      <c r="A47" s="8" t="s">
        <v>1</v>
      </c>
      <c r="B47" s="8">
        <f t="shared" ref="B47:K47" si="51">STDEV(B28:B43)</f>
        <v>5.9287175846322419E-2</v>
      </c>
      <c r="C47" s="8">
        <f t="shared" si="51"/>
        <v>3.939302584311561E-2</v>
      </c>
      <c r="D47" s="8">
        <f t="shared" si="51"/>
        <v>8.2202905719254482E-2</v>
      </c>
      <c r="E47" s="8">
        <f t="shared" si="51"/>
        <v>0.18185776823773131</v>
      </c>
      <c r="F47" s="8">
        <f t="shared" si="51"/>
        <v>0.36569040511192785</v>
      </c>
      <c r="G47" s="8">
        <f t="shared" si="51"/>
        <v>0.86173038741783825</v>
      </c>
      <c r="H47" s="8">
        <f t="shared" si="51"/>
        <v>1.238633459113933</v>
      </c>
      <c r="I47" s="8">
        <f>STDEV(I28:I43)</f>
        <v>0.14983483280448207</v>
      </c>
      <c r="J47" s="8">
        <f t="shared" si="51"/>
        <v>6.8143110254548236E-2</v>
      </c>
      <c r="K47" s="8">
        <f t="shared" si="51"/>
        <v>4.0615192979014024E-2</v>
      </c>
      <c r="L47" s="8">
        <f t="shared" ref="L47:M47" si="52">STDEV(L28:L43)</f>
        <v>4.1014487399456151E-2</v>
      </c>
      <c r="M47" s="8">
        <f t="shared" si="52"/>
        <v>0.17180160476732478</v>
      </c>
      <c r="N47" s="8" t="s">
        <v>1</v>
      </c>
      <c r="O47" s="8">
        <f>STDEV(O28:O43)</f>
        <v>0.60338544831051533</v>
      </c>
      <c r="P47" s="8">
        <f>STDEV(P28:P43)</f>
        <v>0.8566982743336834</v>
      </c>
      <c r="Q47" s="8">
        <f>STDEV(Q28:Q43)</f>
        <v>2.3193640918327145E-2</v>
      </c>
      <c r="R47" s="8">
        <f>STDEV(R28:R43)</f>
        <v>0.79061950724288743</v>
      </c>
      <c r="S47" s="8">
        <f t="shared" ref="S47:V47" si="53">STDEV(S28:S43)</f>
        <v>0.73260633676853648</v>
      </c>
      <c r="T47" s="8">
        <f t="shared" si="53"/>
        <v>0.9043408261805056</v>
      </c>
      <c r="U47" s="8">
        <f t="shared" si="53"/>
        <v>0.56602916788576385</v>
      </c>
      <c r="V47" s="8">
        <f t="shared" si="53"/>
        <v>0.67258978966612937</v>
      </c>
    </row>
    <row r="48" spans="1:22" x14ac:dyDescent="0.3">
      <c r="A48" s="8" t="s">
        <v>2</v>
      </c>
      <c r="B48" s="8">
        <f t="shared" ref="B48:K48" si="54" xml:space="preserve"> B47/SQRT(COUNT(B28:B43))</f>
        <v>2.0961182039166935E-2</v>
      </c>
      <c r="C48" s="8">
        <f t="shared" si="54"/>
        <v>1.392753785256198E-2</v>
      </c>
      <c r="D48" s="8">
        <f t="shared" si="54"/>
        <v>2.9063116033661636E-2</v>
      </c>
      <c r="E48" s="8">
        <f t="shared" si="54"/>
        <v>6.4296430566175664E-2</v>
      </c>
      <c r="F48" s="8">
        <f t="shared" si="54"/>
        <v>0.12929108263474995</v>
      </c>
      <c r="G48" s="8">
        <f t="shared" si="54"/>
        <v>0.30466770024883205</v>
      </c>
      <c r="H48" s="8">
        <f t="shared" si="54"/>
        <v>0.43792305917200608</v>
      </c>
      <c r="I48" s="8">
        <f xml:space="preserve"> I47/SQRT(COUNT(I28:I43))</f>
        <v>5.297461316700091E-2</v>
      </c>
      <c r="J48" s="8">
        <f t="shared" si="54"/>
        <v>2.4092227676066811E-2</v>
      </c>
      <c r="K48" s="8">
        <f t="shared" si="54"/>
        <v>1.4359639187330535E-2</v>
      </c>
      <c r="L48" s="8">
        <f t="shared" ref="L48:M48" si="55" xml:space="preserve"> L47/SQRT(COUNT(L28:L43))</f>
        <v>1.5502019115679035E-2</v>
      </c>
      <c r="M48" s="8">
        <f t="shared" si="55"/>
        <v>6.0741039874853221E-2</v>
      </c>
      <c r="N48" s="8" t="s">
        <v>2</v>
      </c>
      <c r="O48" s="8">
        <f xml:space="preserve"> O47/SQRT(COUNT(O28:O43))</f>
        <v>0.15084636207762883</v>
      </c>
      <c r="P48" s="8">
        <f xml:space="preserve"> P47/SQRT(COUNT(P28:P43))</f>
        <v>0.30288857960608034</v>
      </c>
      <c r="Q48" s="8">
        <f xml:space="preserve"> Q47/SQRT(COUNT(Q28:Q43))</f>
        <v>8.2001903868774532E-3</v>
      </c>
      <c r="R48" s="8">
        <f xml:space="preserve"> R47/SQRT(COUNT(R28:R43))</f>
        <v>0.27952620745490619</v>
      </c>
      <c r="S48" s="8">
        <f t="shared" ref="S48:V48" si="56" xml:space="preserve"> S47/SQRT(COUNT(S28:S43))</f>
        <v>0.2590154543346338</v>
      </c>
      <c r="T48" s="8">
        <f t="shared" si="56"/>
        <v>0.31973276534804018</v>
      </c>
      <c r="U48" s="8">
        <f t="shared" si="56"/>
        <v>0.20012153148070119</v>
      </c>
      <c r="V48" s="8">
        <f t="shared" si="56"/>
        <v>0.23779640061487686</v>
      </c>
    </row>
    <row r="49" spans="1:22" s="1" customFormat="1"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20" t="s">
        <v>38</v>
      </c>
      <c r="B50" s="221"/>
      <c r="C50" s="221"/>
      <c r="D50" s="221"/>
      <c r="E50" s="221"/>
      <c r="F50" s="221"/>
      <c r="G50" s="221"/>
      <c r="H50" s="221"/>
      <c r="I50" s="221"/>
      <c r="J50" s="221"/>
      <c r="K50" s="221"/>
      <c r="L50" s="221"/>
      <c r="M50" s="221"/>
      <c r="N50" s="221"/>
      <c r="O50" s="221"/>
      <c r="P50" s="221"/>
      <c r="Q50" s="221"/>
      <c r="R50" s="221"/>
      <c r="S50" s="221"/>
      <c r="T50" s="221"/>
      <c r="U50" s="221"/>
      <c r="V50" s="221"/>
    </row>
    <row r="51" spans="1:22" ht="15" thickBot="1" x14ac:dyDescent="0.35">
      <c r="A51"/>
      <c r="B51"/>
      <c r="C51"/>
      <c r="D51"/>
      <c r="E51"/>
      <c r="F51"/>
      <c r="G51"/>
      <c r="H51"/>
      <c r="I51"/>
      <c r="J51"/>
      <c r="K51"/>
      <c r="L51"/>
      <c r="M51"/>
      <c r="S51"/>
      <c r="T51"/>
      <c r="U51"/>
      <c r="V51"/>
    </row>
    <row r="52" spans="1:22" x14ac:dyDescent="0.3">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Dutasteride-0,01mg/L</v>
      </c>
      <c r="J52" s="46" t="str">
        <f>J4</f>
        <v>Dutasteride-0,1mg/L</v>
      </c>
      <c r="K52" s="46" t="str">
        <f>K27</f>
        <v>Dutasteride-0,25mg/L</v>
      </c>
      <c r="L52" s="46" t="str">
        <f t="shared" ref="L52:M52" si="58">L27</f>
        <v>Dutasteride-0,5mg/L</v>
      </c>
      <c r="M52" s="46" t="str">
        <f t="shared" si="58"/>
        <v>Dutasteride-1mg/L</v>
      </c>
      <c r="N52" s="47"/>
      <c r="O52" s="46" t="str">
        <f>O27</f>
        <v>Testo -30µg/L</v>
      </c>
      <c r="P52" s="46" t="str">
        <f>P27</f>
        <v>Testo 30µg/L + EE2 -64ng/L</v>
      </c>
      <c r="Q52" s="46" t="str">
        <f>Q27</f>
        <v>Testo 30µg/L + FAD-10µg/L</v>
      </c>
      <c r="R52" s="46" t="str">
        <f>R27</f>
        <v>Dutasteride-0.01mg/L + Testostérone</v>
      </c>
      <c r="S52" s="46" t="str">
        <f t="shared" ref="S52:V52" si="59">S27</f>
        <v>Dutasteride-0.1mg/L + Testostérone</v>
      </c>
      <c r="T52" s="46" t="str">
        <f t="shared" si="59"/>
        <v>Dutasteride-0.25mg/L + Testostérone</v>
      </c>
      <c r="U52" s="46" t="str">
        <f t="shared" si="59"/>
        <v>Dutasteride-0.5mg/L + Testostérone</v>
      </c>
      <c r="V52" s="46" t="str">
        <f t="shared" si="59"/>
        <v>Dutasteride-1mg/L + Testostérone</v>
      </c>
    </row>
    <row r="53" spans="1:22" s="3" customFormat="1" x14ac:dyDescent="0.3">
      <c r="A53" s="61" t="s">
        <v>32</v>
      </c>
      <c r="B53" s="141">
        <f t="shared" ref="B53:M53" si="60">B46</f>
        <v>6.8974024447408175E-2</v>
      </c>
      <c r="C53" s="141">
        <f t="shared" si="60"/>
        <v>3.5901235141226381E-2</v>
      </c>
      <c r="D53" s="141">
        <f t="shared" si="60"/>
        <v>6.4864505979790182E-2</v>
      </c>
      <c r="E53" s="141">
        <f t="shared" si="60"/>
        <v>0.13099557229951633</v>
      </c>
      <c r="F53" s="141">
        <f t="shared" si="60"/>
        <v>0.76596315909391055</v>
      </c>
      <c r="G53" s="141">
        <f t="shared" si="60"/>
        <v>1.8482812366214805</v>
      </c>
      <c r="H53" s="141">
        <f t="shared" si="60"/>
        <v>2.9769544792916847</v>
      </c>
      <c r="I53" s="141">
        <f t="shared" si="60"/>
        <v>7.7199591914331039E-2</v>
      </c>
      <c r="J53" s="141">
        <f t="shared" si="60"/>
        <v>6.4085195865157582E-2</v>
      </c>
      <c r="K53" s="141">
        <f t="shared" si="60"/>
        <v>4.4834276874226316E-2</v>
      </c>
      <c r="L53" s="141">
        <f t="shared" si="60"/>
        <v>3.8409477605148297E-2</v>
      </c>
      <c r="M53" s="141">
        <f t="shared" si="60"/>
        <v>8.826158697724909E-2</v>
      </c>
      <c r="N53" s="141"/>
      <c r="O53" s="141">
        <f t="shared" ref="O53:V53" si="61">O46</f>
        <v>1</v>
      </c>
      <c r="P53" s="141">
        <f t="shared" si="61"/>
        <v>1.9333827718769183</v>
      </c>
      <c r="Q53" s="141">
        <f t="shared" si="61"/>
        <v>3.9678059300130186E-2</v>
      </c>
      <c r="R53" s="141">
        <f t="shared" si="61"/>
        <v>0.88531950989085306</v>
      </c>
      <c r="S53" s="141">
        <f t="shared" si="61"/>
        <v>1.155142938826333</v>
      </c>
      <c r="T53" s="141">
        <f t="shared" si="61"/>
        <v>1.044013606725577</v>
      </c>
      <c r="U53" s="141">
        <f t="shared" si="61"/>
        <v>1.8321359482549697</v>
      </c>
      <c r="V53" s="141">
        <f t="shared" si="61"/>
        <v>0.9185076719235028</v>
      </c>
    </row>
    <row r="54" spans="1:22" s="3" customFormat="1" x14ac:dyDescent="0.3">
      <c r="A54" s="61" t="s">
        <v>2</v>
      </c>
      <c r="B54" s="141">
        <f t="shared" ref="B54:M54" si="62">B48</f>
        <v>2.0961182039166935E-2</v>
      </c>
      <c r="C54" s="141">
        <f t="shared" si="62"/>
        <v>1.392753785256198E-2</v>
      </c>
      <c r="D54" s="141">
        <f t="shared" si="62"/>
        <v>2.9063116033661636E-2</v>
      </c>
      <c r="E54" s="141">
        <f t="shared" si="62"/>
        <v>6.4296430566175664E-2</v>
      </c>
      <c r="F54" s="141">
        <f t="shared" si="62"/>
        <v>0.12929108263474995</v>
      </c>
      <c r="G54" s="141">
        <f t="shared" si="62"/>
        <v>0.30466770024883205</v>
      </c>
      <c r="H54" s="141">
        <f t="shared" si="62"/>
        <v>0.43792305917200608</v>
      </c>
      <c r="I54" s="141">
        <f t="shared" si="62"/>
        <v>5.297461316700091E-2</v>
      </c>
      <c r="J54" s="141">
        <f t="shared" si="62"/>
        <v>2.4092227676066811E-2</v>
      </c>
      <c r="K54" s="141">
        <f t="shared" si="62"/>
        <v>1.4359639187330535E-2</v>
      </c>
      <c r="L54" s="141">
        <f t="shared" si="62"/>
        <v>1.5502019115679035E-2</v>
      </c>
      <c r="M54" s="141">
        <f t="shared" si="62"/>
        <v>6.0741039874853221E-2</v>
      </c>
      <c r="N54" s="141"/>
      <c r="O54" s="141">
        <f t="shared" ref="O54:V54" si="63">O48</f>
        <v>0.15084636207762883</v>
      </c>
      <c r="P54" s="141">
        <f t="shared" si="63"/>
        <v>0.30288857960608034</v>
      </c>
      <c r="Q54" s="141">
        <f t="shared" si="63"/>
        <v>8.2001903868774532E-3</v>
      </c>
      <c r="R54" s="141">
        <f t="shared" si="63"/>
        <v>0.27952620745490619</v>
      </c>
      <c r="S54" s="141">
        <f t="shared" si="63"/>
        <v>0.2590154543346338</v>
      </c>
      <c r="T54" s="141">
        <f t="shared" si="63"/>
        <v>0.31973276534804018</v>
      </c>
      <c r="U54" s="141">
        <f t="shared" si="63"/>
        <v>0.20012153148070119</v>
      </c>
      <c r="V54" s="141">
        <f t="shared" si="63"/>
        <v>0.23779640061487686</v>
      </c>
    </row>
    <row r="55" spans="1:22" s="3" customFormat="1" x14ac:dyDescent="0.3">
      <c r="A55" s="61" t="s">
        <v>79</v>
      </c>
      <c r="B55" s="141">
        <f t="shared" ref="B55:M55" si="64">(B53*100/$B$53)-100</f>
        <v>0</v>
      </c>
      <c r="C55" s="141">
        <f t="shared" si="64"/>
        <v>-47.94962969197104</v>
      </c>
      <c r="D55" s="141">
        <f t="shared" si="64"/>
        <v>-5.9580668237670409</v>
      </c>
      <c r="E55" s="141">
        <f t="shared" si="64"/>
        <v>89.920152331257412</v>
      </c>
      <c r="F55" s="141">
        <f t="shared" si="64"/>
        <v>1010.5095943443866</v>
      </c>
      <c r="G55" s="141">
        <f t="shared" si="64"/>
        <v>2579.6772428884028</v>
      </c>
      <c r="H55" s="141">
        <f t="shared" si="64"/>
        <v>4216.0515906413075</v>
      </c>
      <c r="I55" s="141">
        <f t="shared" si="64"/>
        <v>11.92560175054706</v>
      </c>
      <c r="J55" s="141">
        <f t="shared" si="64"/>
        <v>-7.0879271166470375</v>
      </c>
      <c r="K55" s="141">
        <f t="shared" si="64"/>
        <v>-34.998316781686583</v>
      </c>
      <c r="L55" s="141">
        <f t="shared" si="64"/>
        <v>-44.313126698247046</v>
      </c>
      <c r="M55" s="141">
        <f t="shared" si="64"/>
        <v>27.963516243056731</v>
      </c>
      <c r="N55" s="141"/>
      <c r="O55" s="141">
        <f>(O53*100/$O$53)-100</f>
        <v>0</v>
      </c>
      <c r="P55" s="141">
        <f t="shared" ref="P55:V55" si="65">(P53*100/$O$53)-100</f>
        <v>93.33827718769183</v>
      </c>
      <c r="Q55" s="141">
        <f t="shared" si="65"/>
        <v>-96.032194069986986</v>
      </c>
      <c r="R55" s="141">
        <f t="shared" si="65"/>
        <v>-11.468049010914697</v>
      </c>
      <c r="S55" s="141">
        <f t="shared" si="65"/>
        <v>15.514293882633297</v>
      </c>
      <c r="T55" s="141">
        <f t="shared" si="65"/>
        <v>4.4013606725577006</v>
      </c>
      <c r="U55" s="141">
        <f t="shared" si="65"/>
        <v>83.213594825496983</v>
      </c>
      <c r="V55" s="141">
        <f t="shared" si="65"/>
        <v>-8.1492328076497245</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t="shared" ref="B57:M57" ca="1" si="66">IF(B56&gt;0.05,"Oui","Non")</f>
        <v>#NAME?</v>
      </c>
      <c r="C57" s="141" t="e">
        <f t="shared" ca="1" si="66"/>
        <v>#NAME?</v>
      </c>
      <c r="D57" s="141" t="e">
        <f t="shared" ca="1" si="66"/>
        <v>#NAME?</v>
      </c>
      <c r="E57" s="141" t="e">
        <f t="shared" ca="1" si="66"/>
        <v>#NAME?</v>
      </c>
      <c r="F57" s="141" t="e">
        <f t="shared" ca="1" si="66"/>
        <v>#NAME?</v>
      </c>
      <c r="G57" s="141" t="e">
        <f t="shared" ca="1" si="66"/>
        <v>#NAME?</v>
      </c>
      <c r="H57" s="141" t="e">
        <f t="shared" ca="1" si="66"/>
        <v>#NAME?</v>
      </c>
      <c r="I57" s="141" t="e">
        <f t="shared" ca="1" si="66"/>
        <v>#NAME?</v>
      </c>
      <c r="J57" s="141" t="e">
        <f t="shared" ca="1" si="66"/>
        <v>#NAME?</v>
      </c>
      <c r="K57" s="141" t="e">
        <f t="shared" ca="1" si="66"/>
        <v>#NAME?</v>
      </c>
      <c r="L57" s="141" t="e">
        <f t="shared" ca="1" si="66"/>
        <v>#NAME?</v>
      </c>
      <c r="M57" s="141" t="e">
        <f t="shared" ca="1" si="66"/>
        <v>#NAME?</v>
      </c>
      <c r="N57" s="141"/>
      <c r="O57" s="141" t="e">
        <f t="shared" ref="O57:V57" ca="1" si="67">IF(O56&gt;0.05,"Oui","Non")</f>
        <v>#NAME?</v>
      </c>
      <c r="P57" s="141" t="e">
        <f t="shared" ca="1" si="67"/>
        <v>#NAME?</v>
      </c>
      <c r="Q57" s="141" t="e">
        <f t="shared" ca="1" si="67"/>
        <v>#NAME?</v>
      </c>
      <c r="R57" s="141" t="e">
        <f t="shared" ca="1" si="67"/>
        <v>#NAME?</v>
      </c>
      <c r="S57" s="141" t="e">
        <f t="shared" ca="1" si="67"/>
        <v>#NAME?</v>
      </c>
      <c r="T57" s="141" t="e">
        <f t="shared" ca="1" si="67"/>
        <v>#NAME?</v>
      </c>
      <c r="U57" s="141" t="e">
        <f t="shared" ca="1" si="67"/>
        <v>#NAME?</v>
      </c>
      <c r="V57" s="141" t="e">
        <f t="shared" ca="1" si="67"/>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c r="D59" s="150"/>
      <c r="E59" s="150"/>
      <c r="F59" s="150"/>
      <c r="G59" s="150"/>
      <c r="H59" s="150"/>
      <c r="I59" s="150"/>
      <c r="J59" s="150"/>
      <c r="K59" s="150"/>
      <c r="L59" s="150"/>
      <c r="M59" s="150"/>
      <c r="N59" s="150"/>
      <c r="O59" s="150"/>
      <c r="P59" s="150"/>
      <c r="Q59" s="150"/>
      <c r="R59" s="150"/>
      <c r="S59" s="150"/>
      <c r="T59" s="150"/>
      <c r="U59" s="150"/>
      <c r="V59" s="150"/>
    </row>
    <row r="60" spans="1:22" s="3" customFormat="1" ht="15.6" x14ac:dyDescent="0.3">
      <c r="A60" s="61" t="s">
        <v>83</v>
      </c>
      <c r="B60" s="151"/>
      <c r="C60" s="197"/>
      <c r="D60" s="197"/>
      <c r="E60" s="197"/>
      <c r="F60" s="197"/>
      <c r="G60" s="197"/>
      <c r="H60" s="197"/>
      <c r="I60" s="197"/>
      <c r="J60" s="197"/>
      <c r="K60" s="197"/>
      <c r="L60" s="197"/>
      <c r="M60" s="197"/>
      <c r="N60" s="151"/>
      <c r="O60" s="197"/>
      <c r="P60" s="197"/>
      <c r="Q60" s="197"/>
      <c r="R60" s="197"/>
      <c r="S60" s="197"/>
      <c r="T60" s="197"/>
      <c r="U60" s="197"/>
      <c r="V60" s="197"/>
    </row>
    <row r="61" spans="1:22" s="3" customFormat="1" ht="15" thickBot="1" x14ac:dyDescent="0.35">
      <c r="A61" s="62" t="s">
        <v>84</v>
      </c>
      <c r="B61" s="142"/>
      <c r="C61" s="142"/>
      <c r="D61" s="142"/>
      <c r="E61" s="142"/>
      <c r="F61" s="142"/>
      <c r="G61" s="142"/>
      <c r="H61" s="142"/>
      <c r="I61" s="142"/>
      <c r="J61" s="142"/>
      <c r="K61" s="142"/>
      <c r="L61" s="142"/>
      <c r="M61" s="142"/>
      <c r="N61" s="142"/>
      <c r="O61" s="142"/>
      <c r="P61" s="142"/>
      <c r="Q61" s="142"/>
      <c r="R61" s="142"/>
      <c r="S61" s="142"/>
      <c r="T61" s="142"/>
      <c r="U61" s="142"/>
      <c r="V61" s="142"/>
    </row>
    <row r="63" spans="1:22" x14ac:dyDescent="0.3">
      <c r="A63" s="2" t="s">
        <v>39</v>
      </c>
    </row>
    <row r="64" spans="1:22" x14ac:dyDescent="0.3">
      <c r="A64" s="1" t="s">
        <v>23</v>
      </c>
      <c r="B64" s="1">
        <f>B46+(3*B47)</f>
        <v>0.24683555198637541</v>
      </c>
    </row>
    <row r="65" spans="1:22" x14ac:dyDescent="0.3">
      <c r="A65" s="1" t="s">
        <v>24</v>
      </c>
      <c r="B65" s="1">
        <f>B46+(10*B47)</f>
        <v>0.66184578291063234</v>
      </c>
    </row>
    <row r="66" spans="1:22" ht="15" thickBot="1" x14ac:dyDescent="0.35"/>
    <row r="67" spans="1:22" s="1" customFormat="1" ht="26.4" thickBot="1" x14ac:dyDescent="0.55000000000000004">
      <c r="A67" s="220" t="s">
        <v>52</v>
      </c>
      <c r="B67" s="221"/>
      <c r="C67" s="221"/>
      <c r="D67" s="221"/>
      <c r="E67" s="221"/>
      <c r="F67" s="221"/>
      <c r="G67" s="221"/>
      <c r="H67" s="221"/>
      <c r="I67" s="221"/>
      <c r="J67" s="221"/>
      <c r="K67" s="221"/>
      <c r="L67" s="221"/>
      <c r="M67" s="221"/>
      <c r="N67" s="221"/>
      <c r="O67" s="221"/>
      <c r="P67" s="221"/>
      <c r="Q67" s="221"/>
      <c r="R67" s="221"/>
      <c r="S67" s="221"/>
      <c r="T67" s="221"/>
      <c r="U67" s="221"/>
      <c r="V67" s="221"/>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97"/>
      <c r="D69" s="12"/>
      <c r="E69" s="12"/>
      <c r="F69" s="12"/>
      <c r="N69" s="12"/>
      <c r="O69" s="12"/>
      <c r="Q69" s="12"/>
      <c r="R69" s="12"/>
      <c r="S69" s="12"/>
      <c r="T69" s="12"/>
      <c r="U69" s="12"/>
      <c r="V69" s="12"/>
    </row>
    <row r="70" spans="1:22" ht="16.8" x14ac:dyDescent="0.3">
      <c r="A70" s="12"/>
      <c r="B70" s="12"/>
      <c r="C70" s="197"/>
      <c r="D70" s="12"/>
      <c r="E70" s="12"/>
      <c r="F70" s="12"/>
      <c r="I70" s="197"/>
      <c r="N70" s="12"/>
      <c r="O70" s="12"/>
      <c r="Q70" s="12"/>
      <c r="R70" s="12"/>
      <c r="S70" s="12"/>
      <c r="T70" s="12"/>
      <c r="U70" s="12"/>
      <c r="V70" s="12"/>
    </row>
    <row r="71" spans="1:22" ht="16.8" x14ac:dyDescent="0.3">
      <c r="A71" s="12"/>
      <c r="B71" s="12"/>
      <c r="C71" s="197"/>
      <c r="D71" s="12"/>
      <c r="E71" s="12"/>
      <c r="F71" s="12"/>
      <c r="I71" s="197"/>
      <c r="N71" s="12"/>
      <c r="O71" s="12"/>
      <c r="Q71" s="12"/>
      <c r="R71" s="197"/>
      <c r="S71" s="12"/>
      <c r="T71" s="12"/>
      <c r="U71" s="12"/>
      <c r="V71" s="12"/>
    </row>
    <row r="72" spans="1:22" ht="16.8" x14ac:dyDescent="0.3">
      <c r="A72" s="12"/>
      <c r="B72" s="12"/>
      <c r="C72" s="197"/>
      <c r="D72" s="12"/>
      <c r="E72" s="12"/>
      <c r="F72" s="12"/>
      <c r="I72" s="197"/>
      <c r="N72" s="12"/>
      <c r="O72" s="12"/>
      <c r="Q72" s="12"/>
      <c r="R72" s="197"/>
      <c r="S72" s="12"/>
      <c r="T72" s="12"/>
      <c r="U72" s="12"/>
      <c r="V72" s="12"/>
    </row>
    <row r="73" spans="1:22" ht="16.8" x14ac:dyDescent="0.3">
      <c r="A73" s="12"/>
      <c r="B73" s="12"/>
      <c r="C73" s="197"/>
      <c r="D73" s="12"/>
      <c r="E73" s="12"/>
      <c r="F73" s="12"/>
      <c r="I73" s="197"/>
      <c r="N73" s="12"/>
      <c r="O73" s="12"/>
      <c r="Q73" s="12"/>
      <c r="R73" s="197"/>
      <c r="S73" s="12"/>
      <c r="T73" s="12"/>
      <c r="U73" s="12"/>
      <c r="V73" s="12"/>
    </row>
    <row r="74" spans="1:22" ht="16.8" x14ac:dyDescent="0.3">
      <c r="A74" s="12"/>
      <c r="B74" s="12"/>
      <c r="C74" s="197"/>
      <c r="D74" s="12"/>
      <c r="E74" s="12"/>
      <c r="F74" s="12"/>
      <c r="I74" s="197"/>
      <c r="N74" s="12"/>
      <c r="O74" s="12"/>
      <c r="Q74" s="12"/>
      <c r="R74" s="197"/>
      <c r="S74" s="12"/>
      <c r="T74" s="12"/>
      <c r="U74" s="12"/>
      <c r="V74" s="12"/>
    </row>
    <row r="75" spans="1:22" ht="15.6" x14ac:dyDescent="0.3">
      <c r="R75" s="197"/>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394" zoomScale="80" zoomScaleNormal="80" workbookViewId="0">
      <selection activeCell="C404" sqref="C404"/>
    </sheetView>
  </sheetViews>
  <sheetFormatPr defaultColWidth="11.44140625" defaultRowHeight="14.4" x14ac:dyDescent="0.3"/>
  <cols>
    <col min="1" max="2" width="15" style="1" customWidth="1"/>
    <col min="3" max="3" width="86.21875" style="1" bestFit="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J1" s="1" t="s">
        <v>390</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01 Evian + 0.2% DMSO</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425</v>
      </c>
      <c r="D2" s="1" t="s">
        <v>426</v>
      </c>
      <c r="E2" s="1" t="s">
        <v>427</v>
      </c>
      <c r="F2" s="1" t="s">
        <v>112</v>
      </c>
      <c r="G2" s="1">
        <v>415121</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01 Evian + 0.2% DMSO</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428</v>
      </c>
      <c r="D3" s="1" t="s">
        <v>217</v>
      </c>
      <c r="E3" s="1" t="s">
        <v>429</v>
      </c>
      <c r="F3" s="1" t="s">
        <v>112</v>
      </c>
      <c r="G3" s="1">
        <v>31753</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01 Evian + 0.2% DMSO</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430</v>
      </c>
      <c r="D4" s="1" t="s">
        <v>338</v>
      </c>
      <c r="E4" s="1" t="s">
        <v>431</v>
      </c>
      <c r="F4" s="1" t="s">
        <v>112</v>
      </c>
      <c r="G4" s="1">
        <v>170530</v>
      </c>
      <c r="K4" s="118" t="s">
        <v>100</v>
      </c>
      <c r="L4" s="1" t="s">
        <v>391</v>
      </c>
      <c r="M4" s="1" t="s">
        <v>392</v>
      </c>
      <c r="N4" s="1" t="s">
        <v>393</v>
      </c>
      <c r="O4" s="1" t="s">
        <v>394</v>
      </c>
      <c r="P4" s="1" t="s">
        <v>395</v>
      </c>
      <c r="Q4" s="1" t="s">
        <v>396</v>
      </c>
      <c r="R4" s="1" t="s">
        <v>397</v>
      </c>
      <c r="S4" s="1" t="s">
        <v>398</v>
      </c>
      <c r="T4" s="1" t="s">
        <v>399</v>
      </c>
      <c r="U4" s="1" t="s">
        <v>400</v>
      </c>
      <c r="V4" s="1" t="s">
        <v>401</v>
      </c>
      <c r="W4" s="1" t="s">
        <v>402</v>
      </c>
      <c r="X4" s="1" t="s">
        <v>403</v>
      </c>
      <c r="Y4" s="1" t="s">
        <v>404</v>
      </c>
      <c r="Z4" s="1" t="s">
        <v>405</v>
      </c>
      <c r="AA4" s="1" t="s">
        <v>406</v>
      </c>
      <c r="AB4" s="1" t="s">
        <v>407</v>
      </c>
      <c r="AC4" s="1" t="s">
        <v>408</v>
      </c>
      <c r="AD4" s="1" t="s">
        <v>409</v>
      </c>
      <c r="AE4" s="1" t="s">
        <v>410</v>
      </c>
      <c r="AF4" s="1" t="s">
        <v>411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01 Evian + 0.2% DMSO</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432</v>
      </c>
      <c r="D5" s="1" t="s">
        <v>229</v>
      </c>
      <c r="E5" s="1" t="s">
        <v>433</v>
      </c>
      <c r="F5" s="1" t="s">
        <v>112</v>
      </c>
      <c r="G5" s="1">
        <v>17974</v>
      </c>
      <c r="K5" s="145" t="s">
        <v>164</v>
      </c>
      <c r="L5" s="44">
        <v>205801.33333333334</v>
      </c>
      <c r="M5" s="44">
        <v>356194</v>
      </c>
      <c r="N5" s="44">
        <v>245196.33333333334</v>
      </c>
      <c r="O5" s="44">
        <v>117024.66666666667</v>
      </c>
      <c r="P5" s="44">
        <v>2570734.5</v>
      </c>
      <c r="Q5" s="44">
        <v>740867</v>
      </c>
      <c r="R5" s="44">
        <v>4506018.666666667</v>
      </c>
      <c r="S5" s="44">
        <v>306784</v>
      </c>
      <c r="T5" s="44">
        <v>49244</v>
      </c>
      <c r="U5" s="44">
        <v>12357.666666666666</v>
      </c>
      <c r="V5" s="44">
        <v>65343.666666666664</v>
      </c>
      <c r="W5" s="44">
        <v>299329</v>
      </c>
      <c r="X5" s="44">
        <v>3038682.6666666665</v>
      </c>
      <c r="Y5" s="44">
        <v>221634.33333333334</v>
      </c>
      <c r="Z5" s="44">
        <v>515447.66666666669</v>
      </c>
      <c r="AA5" s="44">
        <v>20555.666666666668</v>
      </c>
      <c r="AB5" s="44">
        <v>1316114</v>
      </c>
      <c r="AC5" s="44">
        <v>60830.333333333336</v>
      </c>
      <c r="AD5" s="44">
        <v>40931</v>
      </c>
      <c r="AE5" s="44">
        <v>87507.333333333328</v>
      </c>
      <c r="AF5" s="44">
        <v>156088.66666666666</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01 Evian + 0.2% DMSO</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434</v>
      </c>
      <c r="D6" s="1" t="s">
        <v>177</v>
      </c>
      <c r="E6" s="1" t="s">
        <v>435</v>
      </c>
      <c r="F6" s="1" t="s">
        <v>112</v>
      </c>
      <c r="G6" s="1">
        <v>23685</v>
      </c>
      <c r="K6" s="145" t="s">
        <v>412</v>
      </c>
      <c r="L6" s="44">
        <v>21420.666666666668</v>
      </c>
      <c r="M6" s="44">
        <v>40823</v>
      </c>
      <c r="N6" s="44">
        <v>88077</v>
      </c>
      <c r="O6" s="44">
        <v>485598.33333333331</v>
      </c>
      <c r="P6" s="44">
        <v>396266.66666666669</v>
      </c>
      <c r="Q6" s="44">
        <v>3910685</v>
      </c>
      <c r="R6" s="44">
        <v>930626</v>
      </c>
      <c r="S6" s="44">
        <v>127248.33333333333</v>
      </c>
      <c r="T6" s="44">
        <v>99353.333333333328</v>
      </c>
      <c r="U6" s="44">
        <v>180631</v>
      </c>
      <c r="V6" s="44">
        <v>26395.666666666668</v>
      </c>
      <c r="W6" s="44">
        <v>79497.333333333328</v>
      </c>
      <c r="X6" s="44">
        <v>2426701.3333333335</v>
      </c>
      <c r="Y6" s="44">
        <v>2827034.6666666665</v>
      </c>
      <c r="Z6" s="44">
        <v>2327787.6666666665</v>
      </c>
      <c r="AA6" s="44">
        <v>68501.5</v>
      </c>
      <c r="AB6" s="44">
        <v>113816.5</v>
      </c>
      <c r="AC6" s="44">
        <v>97435.333333333328</v>
      </c>
      <c r="AD6" s="44">
        <v>235647</v>
      </c>
      <c r="AE6" s="44">
        <v>674932</v>
      </c>
      <c r="AF6" s="44">
        <v>3155462.6666666665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01 Evian + 0.2% DMSO</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436</v>
      </c>
      <c r="D7" s="1" t="s">
        <v>305</v>
      </c>
      <c r="E7" s="1" t="s">
        <v>437</v>
      </c>
      <c r="F7" s="1" t="s">
        <v>112</v>
      </c>
      <c r="G7" s="1">
        <v>22603</v>
      </c>
      <c r="K7" s="145" t="s">
        <v>413</v>
      </c>
      <c r="L7" s="44">
        <v>256033</v>
      </c>
      <c r="M7" s="44">
        <v>292068.33333333331</v>
      </c>
      <c r="N7" s="44">
        <v>35329</v>
      </c>
      <c r="O7" s="44">
        <v>33101</v>
      </c>
      <c r="P7" s="44">
        <v>194186</v>
      </c>
      <c r="Q7" s="44">
        <v>1645537.6666666667</v>
      </c>
      <c r="R7" s="44">
        <v>4857281</v>
      </c>
      <c r="S7" s="44">
        <v>17563.666666666668</v>
      </c>
      <c r="T7" s="44">
        <v>315443.33333333331</v>
      </c>
      <c r="U7" s="44">
        <v>23086.333333333332</v>
      </c>
      <c r="V7" s="44">
        <v>47283</v>
      </c>
      <c r="W7" s="44">
        <v>18616</v>
      </c>
      <c r="X7" s="44">
        <v>2564563</v>
      </c>
      <c r="Y7" s="44">
        <v>3056246.3333333335</v>
      </c>
      <c r="Z7" s="44">
        <v>1272393</v>
      </c>
      <c r="AA7" s="44">
        <v>77298</v>
      </c>
      <c r="AB7" s="44">
        <v>174041.33333333334</v>
      </c>
      <c r="AC7" s="44">
        <v>2551419.3333333335</v>
      </c>
      <c r="AD7" s="44">
        <v>1657311.6666666667</v>
      </c>
      <c r="AE7" s="44">
        <v>206681</v>
      </c>
      <c r="AF7" s="44">
        <v>2919105.6666666665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01 Evian + 0.2% DMSO</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438</v>
      </c>
      <c r="D8" s="1" t="s">
        <v>439</v>
      </c>
      <c r="E8" s="1" t="s">
        <v>440</v>
      </c>
      <c r="F8" s="1" t="s">
        <v>112</v>
      </c>
      <c r="G8" s="1">
        <v>360181</v>
      </c>
      <c r="K8" s="145" t="s">
        <v>414</v>
      </c>
      <c r="L8" s="44">
        <v>49481.666666666664</v>
      </c>
      <c r="M8" s="44">
        <v>310187</v>
      </c>
      <c r="N8" s="44">
        <v>563119.66666666663</v>
      </c>
      <c r="O8" s="44">
        <v>865181</v>
      </c>
      <c r="P8" s="44">
        <v>3443046.6666666665</v>
      </c>
      <c r="Q8" s="44">
        <v>938586</v>
      </c>
      <c r="R8" s="44">
        <v>3644842.5</v>
      </c>
      <c r="S8" s="44">
        <v>126210.66666666667</v>
      </c>
      <c r="T8" s="44">
        <v>18983.666666666668</v>
      </c>
      <c r="U8" s="44">
        <v>132259.66666666666</v>
      </c>
      <c r="V8" s="44">
        <v>46043</v>
      </c>
      <c r="W8" s="44">
        <v>158359.66666666666</v>
      </c>
      <c r="X8" s="44">
        <v>358331.5</v>
      </c>
      <c r="Y8" s="44">
        <v>3382208.6666666665</v>
      </c>
      <c r="Z8" s="44">
        <v>1263207.6666666667</v>
      </c>
      <c r="AA8" s="44">
        <v>209968.66666666666</v>
      </c>
      <c r="AB8" s="44">
        <v>822137.66666666663</v>
      </c>
      <c r="AC8" s="44">
        <v>468691</v>
      </c>
      <c r="AD8" s="44">
        <v>3549285.3333333335</v>
      </c>
      <c r="AE8" s="44">
        <v>1021342</v>
      </c>
      <c r="AF8" s="44">
        <v>288348.33333333331</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01 Evian + 0.2% DMSO</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441</v>
      </c>
      <c r="D9" s="1" t="s">
        <v>379</v>
      </c>
      <c r="E9" s="1" t="s">
        <v>442</v>
      </c>
      <c r="F9" s="1" t="s">
        <v>112</v>
      </c>
      <c r="G9" s="1">
        <v>240957</v>
      </c>
      <c r="K9" s="145" t="s">
        <v>415</v>
      </c>
      <c r="L9" s="44">
        <v>80009</v>
      </c>
      <c r="M9" s="44">
        <v>23475.666666666668</v>
      </c>
      <c r="N9" s="44">
        <v>67009.333333333328</v>
      </c>
      <c r="O9" s="44">
        <v>180335.33333333334</v>
      </c>
      <c r="P9" s="44">
        <v>41038.666666666664</v>
      </c>
      <c r="Q9" s="44">
        <v>3298624</v>
      </c>
      <c r="R9" s="44">
        <v>2870863.6666666665</v>
      </c>
      <c r="S9" s="44">
        <v>115777.66666666667</v>
      </c>
      <c r="T9" s="44">
        <v>12826.666666666666</v>
      </c>
      <c r="U9" s="44">
        <v>200364.66666666666</v>
      </c>
      <c r="V9" s="44">
        <v>11031.333333333334</v>
      </c>
      <c r="W9" s="44">
        <v>63873.333333333336</v>
      </c>
      <c r="X9" s="44">
        <v>2918831.6666666665</v>
      </c>
      <c r="Y9" s="44">
        <v>1320880</v>
      </c>
      <c r="Z9" s="44">
        <v>2562032.3333333335</v>
      </c>
      <c r="AA9" s="44">
        <v>268903</v>
      </c>
      <c r="AB9" s="44">
        <v>3008221</v>
      </c>
      <c r="AC9" s="44">
        <v>203667</v>
      </c>
      <c r="AD9" s="44">
        <v>3087674.3333333335</v>
      </c>
      <c r="AE9" s="44">
        <v>736159.33333333337</v>
      </c>
      <c r="AF9" s="44">
        <v>2740875.3333333335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01 Evian + 0.2% DMSO</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443</v>
      </c>
      <c r="D10" s="1" t="s">
        <v>444</v>
      </c>
      <c r="E10" s="1" t="s">
        <v>445</v>
      </c>
      <c r="F10" s="1" t="s">
        <v>112</v>
      </c>
      <c r="G10" s="1">
        <v>166961</v>
      </c>
      <c r="K10" s="145" t="s">
        <v>416</v>
      </c>
      <c r="L10" s="44">
        <v>327080</v>
      </c>
      <c r="M10" s="44">
        <v>172649.66666666666</v>
      </c>
      <c r="N10" s="44">
        <v>8133</v>
      </c>
      <c r="O10" s="44">
        <v>364053</v>
      </c>
      <c r="P10" s="44">
        <v>1107926.6666666667</v>
      </c>
      <c r="Q10" s="44">
        <v>2467242.6666666665</v>
      </c>
      <c r="R10" s="44">
        <v>2571275.3333333335</v>
      </c>
      <c r="S10" s="44">
        <v>44334</v>
      </c>
      <c r="T10" s="44">
        <v>103268.33333333333</v>
      </c>
      <c r="U10" s="44">
        <v>612003.33333333337</v>
      </c>
      <c r="V10" s="44">
        <v>86527</v>
      </c>
      <c r="W10" s="44">
        <v>30591.666666666668</v>
      </c>
      <c r="X10" s="44">
        <v>4002309.3333333335</v>
      </c>
      <c r="Y10" s="44">
        <v>46936.666666666664</v>
      </c>
      <c r="Z10" s="44">
        <v>2881974.3333333335</v>
      </c>
      <c r="AA10" s="44">
        <v>247352.33333333334</v>
      </c>
      <c r="AB10" s="44">
        <v>3411877.6666666665</v>
      </c>
      <c r="AC10" s="44">
        <v>2627816</v>
      </c>
      <c r="AD10" s="44">
        <v>1987535</v>
      </c>
      <c r="AE10" s="44">
        <v>34060</v>
      </c>
      <c r="AF10" s="44">
        <v>2400586.6666666665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01 Evian + 0.2% DMSO</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446</v>
      </c>
      <c r="D11" s="1" t="s">
        <v>231</v>
      </c>
      <c r="E11" s="1" t="s">
        <v>447</v>
      </c>
      <c r="F11" s="1" t="s">
        <v>112</v>
      </c>
      <c r="G11" s="1">
        <v>69518</v>
      </c>
      <c r="K11" s="145" t="s">
        <v>417</v>
      </c>
      <c r="L11" s="44">
        <v>49677</v>
      </c>
      <c r="M11" s="44">
        <v>256891.33333333334</v>
      </c>
      <c r="N11" s="44">
        <v>20750.333333333332</v>
      </c>
      <c r="O11" s="44">
        <v>403772.66666666669</v>
      </c>
      <c r="P11" s="44">
        <v>643208</v>
      </c>
      <c r="Q11" s="44">
        <v>1911772.6666666667</v>
      </c>
      <c r="R11" s="44">
        <v>1036425.3333333334</v>
      </c>
      <c r="S11" s="44">
        <v>26388.666666666668</v>
      </c>
      <c r="T11" s="44">
        <v>526652</v>
      </c>
      <c r="U11" s="44">
        <v>24290.333333333332</v>
      </c>
      <c r="V11" s="44">
        <v>18526</v>
      </c>
      <c r="W11" s="44">
        <v>61465</v>
      </c>
      <c r="X11" s="44">
        <v>660382.5</v>
      </c>
      <c r="Y11" s="44">
        <v>3149334.3333333335</v>
      </c>
      <c r="Z11" s="44">
        <v>5377271</v>
      </c>
      <c r="AA11" s="44">
        <v>131762</v>
      </c>
      <c r="AB11" s="44">
        <v>1912717</v>
      </c>
      <c r="AC11" s="44">
        <v>1079706.6666666667</v>
      </c>
      <c r="AD11" s="44">
        <v>4463956</v>
      </c>
      <c r="AE11" s="44">
        <v>132959</v>
      </c>
      <c r="AF11" s="44">
        <v>3228319.3333333335</v>
      </c>
      <c r="AG11"/>
    </row>
    <row r="12" spans="1:144" x14ac:dyDescent="0.3">
      <c r="A12" s="1" t="str">
        <f t="shared" si="0"/>
        <v>01 Evian + 0.2% DMSO</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448</v>
      </c>
      <c r="D12" s="1" t="s">
        <v>323</v>
      </c>
      <c r="E12" s="1" t="s">
        <v>449</v>
      </c>
      <c r="F12" s="1" t="s">
        <v>112</v>
      </c>
      <c r="G12" s="1">
        <v>27059</v>
      </c>
      <c r="K12" s="145" t="s">
        <v>418</v>
      </c>
      <c r="L12" s="44">
        <v>381767.66666666669</v>
      </c>
      <c r="M12" s="44">
        <v>269649</v>
      </c>
      <c r="N12" s="44">
        <v>169080.66666666666</v>
      </c>
      <c r="O12" s="44"/>
      <c r="P12" s="44">
        <v>536407</v>
      </c>
      <c r="Q12" s="44">
        <v>2465692.6666666665</v>
      </c>
      <c r="R12" s="44">
        <v>2927317.6666666665</v>
      </c>
      <c r="S12" s="44">
        <v>158165</v>
      </c>
      <c r="T12" s="44">
        <v>170775.33333333334</v>
      </c>
      <c r="U12" s="44">
        <v>85856.333333333328</v>
      </c>
      <c r="V12" s="44">
        <v>502613.66666666669</v>
      </c>
      <c r="W12" s="44"/>
      <c r="X12" s="44">
        <v>91949</v>
      </c>
      <c r="Y12" s="44">
        <v>2556949.3333333335</v>
      </c>
      <c r="Z12" s="44">
        <v>829283</v>
      </c>
      <c r="AA12" s="44">
        <v>105186</v>
      </c>
      <c r="AB12" s="44">
        <v>83231.666666666672</v>
      </c>
      <c r="AC12" s="44">
        <v>117032</v>
      </c>
      <c r="AD12" s="44">
        <v>3344854</v>
      </c>
      <c r="AE12" s="44">
        <v>2035467</v>
      </c>
      <c r="AF12" s="44">
        <v>1101300.3333333333</v>
      </c>
      <c r="AG12"/>
    </row>
    <row r="13" spans="1:144" x14ac:dyDescent="0.3">
      <c r="A13" s="1" t="str">
        <f t="shared" si="0"/>
        <v>01 Evian + 0.2% DMSO</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450</v>
      </c>
      <c r="D13" s="1" t="s">
        <v>316</v>
      </c>
      <c r="E13" s="1" t="s">
        <v>451</v>
      </c>
      <c r="F13" s="1" t="s">
        <v>112</v>
      </c>
      <c r="G13" s="1">
        <v>51868</v>
      </c>
      <c r="K13"/>
      <c r="L13"/>
      <c r="M13"/>
      <c r="N13"/>
      <c r="O13"/>
      <c r="P13"/>
      <c r="Q13"/>
      <c r="R13"/>
      <c r="S13"/>
      <c r="T13"/>
      <c r="U13"/>
      <c r="V13"/>
      <c r="W13"/>
      <c r="X13"/>
      <c r="Y13"/>
      <c r="Z13"/>
      <c r="AA13"/>
      <c r="AB13"/>
      <c r="AC13"/>
      <c r="AD13"/>
      <c r="AE13"/>
      <c r="AF13"/>
      <c r="AG13"/>
    </row>
    <row r="14" spans="1:144" x14ac:dyDescent="0.3">
      <c r="A14" s="1" t="str">
        <f t="shared" si="0"/>
        <v>01 Evian + 0.2% DMSO</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452</v>
      </c>
      <c r="D14" s="1" t="s">
        <v>347</v>
      </c>
      <c r="E14" s="1" t="s">
        <v>453</v>
      </c>
      <c r="F14" s="1" t="s">
        <v>112</v>
      </c>
      <c r="G14" s="1">
        <v>97551</v>
      </c>
      <c r="K14"/>
      <c r="L14"/>
      <c r="M14"/>
      <c r="N14"/>
      <c r="O14"/>
      <c r="P14"/>
      <c r="Q14"/>
      <c r="R14"/>
      <c r="S14"/>
      <c r="T14"/>
      <c r="U14"/>
      <c r="V14"/>
      <c r="W14"/>
      <c r="X14"/>
      <c r="Y14"/>
      <c r="Z14"/>
      <c r="AA14"/>
      <c r="AB14"/>
      <c r="AC14"/>
      <c r="AD14"/>
      <c r="AE14"/>
      <c r="AF14"/>
      <c r="AG14"/>
    </row>
    <row r="15" spans="1:144" x14ac:dyDescent="0.3">
      <c r="A15" s="1" t="str">
        <f t="shared" si="0"/>
        <v>01 Evian + 0.2% DMSO</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454</v>
      </c>
      <c r="D15" s="1" t="s">
        <v>334</v>
      </c>
      <c r="E15" s="1" t="s">
        <v>455</v>
      </c>
      <c r="F15" s="1" t="s">
        <v>112</v>
      </c>
      <c r="G15" s="1">
        <v>35776</v>
      </c>
    </row>
    <row r="16" spans="1:144" x14ac:dyDescent="0.3">
      <c r="A16" s="1" t="str">
        <f t="shared" si="0"/>
        <v>01 Evian + 0.2% DMSO</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456</v>
      </c>
      <c r="D16" s="1" t="s">
        <v>457</v>
      </c>
      <c r="E16" s="1" t="s">
        <v>458</v>
      </c>
      <c r="F16" s="1" t="s">
        <v>112</v>
      </c>
      <c r="G16" s="1">
        <v>106700</v>
      </c>
    </row>
    <row r="17" spans="1:10" x14ac:dyDescent="0.3">
      <c r="A17" s="1" t="str">
        <f t="shared" si="0"/>
        <v>01 Evian + 0.2% DMSO</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459</v>
      </c>
      <c r="D17" s="1" t="s">
        <v>460</v>
      </c>
      <c r="E17" s="1" t="s">
        <v>461</v>
      </c>
      <c r="F17" s="1" t="s">
        <v>112</v>
      </c>
      <c r="G17" s="1">
        <v>658933</v>
      </c>
    </row>
    <row r="18" spans="1:10" x14ac:dyDescent="0.3">
      <c r="A18" s="1" t="str">
        <f t="shared" si="0"/>
        <v>01 Evian + 0.2% DMSO</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462</v>
      </c>
      <c r="D18" s="1" t="s">
        <v>329</v>
      </c>
      <c r="E18" s="1" t="s">
        <v>463</v>
      </c>
      <c r="F18" s="1" t="s">
        <v>112</v>
      </c>
      <c r="G18" s="1">
        <v>302710</v>
      </c>
    </row>
    <row r="19" spans="1:10" x14ac:dyDescent="0.3">
      <c r="A19" s="1" t="str">
        <f t="shared" si="0"/>
        <v>01 Evian + 0.2% DMSO</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464</v>
      </c>
      <c r="D19" s="1" t="s">
        <v>214</v>
      </c>
      <c r="E19" s="1" t="s">
        <v>465</v>
      </c>
      <c r="F19" s="1" t="s">
        <v>112</v>
      </c>
      <c r="G19" s="1">
        <v>19597</v>
      </c>
    </row>
    <row r="20" spans="1:10" x14ac:dyDescent="0.3">
      <c r="A20" s="1" t="str">
        <f t="shared" si="0"/>
        <v>01 Evian + 0.2% DMSO</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466</v>
      </c>
      <c r="D20" s="1" t="s">
        <v>238</v>
      </c>
      <c r="E20" s="1" t="s">
        <v>467</v>
      </c>
      <c r="F20" s="1" t="s">
        <v>112</v>
      </c>
      <c r="G20" s="1">
        <v>58574</v>
      </c>
    </row>
    <row r="21" spans="1:10" x14ac:dyDescent="0.3">
      <c r="A21" s="1" t="str">
        <f t="shared" si="0"/>
        <v>01 Evian + 0.2% DMSO</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468</v>
      </c>
      <c r="D21" s="1" t="s">
        <v>222</v>
      </c>
      <c r="E21" s="1" t="s">
        <v>193</v>
      </c>
      <c r="F21" s="1" t="s">
        <v>112</v>
      </c>
      <c r="G21" s="1">
        <v>34500</v>
      </c>
    </row>
    <row r="22" spans="1:10" x14ac:dyDescent="0.3">
      <c r="A22" s="1" t="str">
        <f t="shared" si="0"/>
        <v>01 Evian + 0.2% DMSO</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469</v>
      </c>
      <c r="D22" s="1" t="s">
        <v>233</v>
      </c>
      <c r="E22" s="1" t="s">
        <v>209</v>
      </c>
      <c r="F22" s="1" t="s">
        <v>112</v>
      </c>
      <c r="G22" s="1">
        <v>55957</v>
      </c>
    </row>
    <row r="23" spans="1:10" x14ac:dyDescent="0.3">
      <c r="A23" s="1" t="str">
        <f t="shared" si="0"/>
        <v>01 Evian + 0.2% DMSO</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470</v>
      </c>
      <c r="D23" s="1" t="s">
        <v>471</v>
      </c>
      <c r="E23" s="1" t="s">
        <v>472</v>
      </c>
      <c r="F23" s="1" t="s">
        <v>112</v>
      </c>
      <c r="G23" s="1">
        <v>596012</v>
      </c>
    </row>
    <row r="24" spans="1:10" x14ac:dyDescent="0.3">
      <c r="A24" s="1" t="str">
        <f t="shared" si="0"/>
        <v>01 Evian + 0.2% DMSO</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473</v>
      </c>
      <c r="D24" s="1" t="s">
        <v>176</v>
      </c>
      <c r="E24" s="1" t="s">
        <v>474</v>
      </c>
      <c r="F24" s="1" t="s">
        <v>112</v>
      </c>
      <c r="G24" s="1">
        <v>508194</v>
      </c>
    </row>
    <row r="25" spans="1:10" x14ac:dyDescent="0.3">
      <c r="A25" s="1" t="str">
        <f t="shared" si="0"/>
        <v>01 Evian + 0.2% DMSO</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475</v>
      </c>
      <c r="D25" s="1" t="s">
        <v>303</v>
      </c>
      <c r="E25" s="1" t="s">
        <v>181</v>
      </c>
      <c r="F25" s="1" t="s">
        <v>112</v>
      </c>
      <c r="G25" s="1">
        <v>41097</v>
      </c>
    </row>
    <row r="26" spans="1:10" x14ac:dyDescent="0.3">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3">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195</v>
      </c>
      <c r="D27" s="1" t="s">
        <v>112</v>
      </c>
      <c r="E27" s="1" t="s">
        <v>196</v>
      </c>
      <c r="F27" s="1" t="s">
        <v>197</v>
      </c>
      <c r="G27" s="1" t="s">
        <v>198</v>
      </c>
      <c r="H27" s="1" t="s">
        <v>199</v>
      </c>
      <c r="I27" s="1" t="s">
        <v>200</v>
      </c>
      <c r="J27" s="1" t="s">
        <v>201</v>
      </c>
    </row>
    <row r="28" spans="1:10" x14ac:dyDescent="0.3">
      <c r="A28" s="1" t="str">
        <f t="shared" si="0"/>
        <v>01 Evian + 0.2% DMSO</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476</v>
      </c>
      <c r="D28" s="1" t="s">
        <v>112</v>
      </c>
      <c r="E28" s="1" t="s">
        <v>477</v>
      </c>
      <c r="F28" s="1" t="s">
        <v>478</v>
      </c>
      <c r="G28" s="1" t="s">
        <v>479</v>
      </c>
      <c r="H28" s="1" t="s">
        <v>480</v>
      </c>
      <c r="I28" s="1">
        <v>24</v>
      </c>
      <c r="J28" s="1">
        <v>24</v>
      </c>
    </row>
    <row r="29" spans="1:10" x14ac:dyDescent="0.3">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3">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3">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3">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3">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3">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202</v>
      </c>
      <c r="D34" s="1" t="s">
        <v>110</v>
      </c>
      <c r="E34" s="1" t="s">
        <v>111</v>
      </c>
      <c r="F34" s="1" t="s">
        <v>112</v>
      </c>
      <c r="G34" s="1" t="s">
        <v>113</v>
      </c>
    </row>
    <row r="35" spans="1:7" x14ac:dyDescent="0.3">
      <c r="A35" s="1" t="str">
        <f t="shared" si="0"/>
        <v>02 EE2 33.8</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481</v>
      </c>
      <c r="D35" s="1" t="s">
        <v>482</v>
      </c>
      <c r="E35" s="1" t="s">
        <v>483</v>
      </c>
      <c r="F35" s="1" t="s">
        <v>112</v>
      </c>
      <c r="G35" s="1">
        <v>568369</v>
      </c>
    </row>
    <row r="36" spans="1:7" x14ac:dyDescent="0.3">
      <c r="A36" s="1" t="str">
        <f t="shared" si="0"/>
        <v>02 EE2 33.8</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484</v>
      </c>
      <c r="D36" s="1" t="s">
        <v>485</v>
      </c>
      <c r="E36" s="1" t="s">
        <v>486</v>
      </c>
      <c r="F36" s="1" t="s">
        <v>112</v>
      </c>
      <c r="G36" s="1">
        <v>230380</v>
      </c>
    </row>
    <row r="37" spans="1:7" x14ac:dyDescent="0.3">
      <c r="A37" s="1" t="str">
        <f t="shared" si="0"/>
        <v>02 EE2 33.8</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487</v>
      </c>
      <c r="D37" s="1" t="s">
        <v>488</v>
      </c>
      <c r="E37" s="1" t="s">
        <v>489</v>
      </c>
      <c r="F37" s="1" t="s">
        <v>112</v>
      </c>
      <c r="G37" s="1">
        <v>269833</v>
      </c>
    </row>
    <row r="38" spans="1:7" x14ac:dyDescent="0.3">
      <c r="A38" s="1" t="str">
        <f t="shared" si="0"/>
        <v>02 EE2 33.8</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490</v>
      </c>
      <c r="D38" s="1" t="s">
        <v>226</v>
      </c>
      <c r="E38" s="1">
        <v>64</v>
      </c>
      <c r="F38" s="1" t="s">
        <v>112</v>
      </c>
      <c r="G38" s="1">
        <v>11075</v>
      </c>
    </row>
    <row r="39" spans="1:7" x14ac:dyDescent="0.3">
      <c r="A39" s="1" t="str">
        <f t="shared" si="0"/>
        <v>02 EE2 33.8</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491</v>
      </c>
      <c r="D39" s="1" t="s">
        <v>229</v>
      </c>
      <c r="E39" s="1" t="s">
        <v>492</v>
      </c>
      <c r="F39" s="1" t="s">
        <v>112</v>
      </c>
      <c r="G39" s="1">
        <v>18018</v>
      </c>
    </row>
    <row r="40" spans="1:7" x14ac:dyDescent="0.3">
      <c r="A40" s="1" t="str">
        <f t="shared" si="0"/>
        <v>02 EE2 33.8</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493</v>
      </c>
      <c r="D40" s="1" t="s">
        <v>370</v>
      </c>
      <c r="E40" s="1" t="s">
        <v>494</v>
      </c>
      <c r="F40" s="1" t="s">
        <v>112</v>
      </c>
      <c r="G40" s="1">
        <v>93376</v>
      </c>
    </row>
    <row r="41" spans="1:7" x14ac:dyDescent="0.3">
      <c r="A41" s="1" t="str">
        <f t="shared" si="0"/>
        <v>02 EE2 33.8</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495</v>
      </c>
      <c r="D41" s="1" t="s">
        <v>496</v>
      </c>
      <c r="E41" s="1" t="s">
        <v>497</v>
      </c>
      <c r="F41" s="1" t="s">
        <v>112</v>
      </c>
      <c r="G41" s="1">
        <v>272537</v>
      </c>
    </row>
    <row r="42" spans="1:7" x14ac:dyDescent="0.3">
      <c r="A42" s="1" t="str">
        <f t="shared" si="0"/>
        <v>02 EE2 33.8</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498</v>
      </c>
      <c r="D42" s="1" t="s">
        <v>499</v>
      </c>
      <c r="E42" s="1" t="s">
        <v>500</v>
      </c>
      <c r="F42" s="1" t="s">
        <v>112</v>
      </c>
      <c r="G42" s="1">
        <v>209550</v>
      </c>
    </row>
    <row r="43" spans="1:7" x14ac:dyDescent="0.3">
      <c r="A43" s="1" t="str">
        <f t="shared" si="0"/>
        <v>02 EE2 33.8</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501</v>
      </c>
      <c r="D43" s="1" t="s">
        <v>502</v>
      </c>
      <c r="E43" s="1" t="s">
        <v>503</v>
      </c>
      <c r="F43" s="1" t="s">
        <v>112</v>
      </c>
      <c r="G43" s="1">
        <v>394118</v>
      </c>
    </row>
    <row r="44" spans="1:7" x14ac:dyDescent="0.3">
      <c r="A44" s="1" t="str">
        <f t="shared" si="0"/>
        <v>02 EE2 33.8</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504</v>
      </c>
      <c r="D44" s="1" t="s">
        <v>505</v>
      </c>
      <c r="E44" s="1" t="s">
        <v>506</v>
      </c>
      <c r="F44" s="1" t="s">
        <v>112</v>
      </c>
      <c r="G44" s="1">
        <v>388624</v>
      </c>
    </row>
    <row r="45" spans="1:7" x14ac:dyDescent="0.3">
      <c r="A45" s="1" t="str">
        <f t="shared" si="0"/>
        <v>02 EE2 33.8</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507</v>
      </c>
      <c r="D45" s="1" t="s">
        <v>508</v>
      </c>
      <c r="E45" s="1">
        <v>68</v>
      </c>
      <c r="F45" s="1" t="s">
        <v>112</v>
      </c>
      <c r="G45" s="1">
        <v>295637</v>
      </c>
    </row>
    <row r="46" spans="1:7" x14ac:dyDescent="0.3">
      <c r="A46" s="1" t="str">
        <f t="shared" si="0"/>
        <v>02 EE2 33.8</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509</v>
      </c>
      <c r="D46" s="1" t="s">
        <v>510</v>
      </c>
      <c r="E46" s="1" t="s">
        <v>511</v>
      </c>
      <c r="F46" s="1" t="s">
        <v>112</v>
      </c>
      <c r="G46" s="1">
        <v>246300</v>
      </c>
    </row>
    <row r="47" spans="1:7" x14ac:dyDescent="0.3">
      <c r="A47" s="1" t="str">
        <f t="shared" si="0"/>
        <v>02 EE2 33.8</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512</v>
      </c>
      <c r="D47" s="1" t="s">
        <v>208</v>
      </c>
      <c r="E47" s="1" t="s">
        <v>513</v>
      </c>
      <c r="F47" s="1" t="s">
        <v>112</v>
      </c>
      <c r="G47" s="1">
        <v>36446</v>
      </c>
    </row>
    <row r="48" spans="1:7" x14ac:dyDescent="0.3">
      <c r="A48" s="1" t="str">
        <f t="shared" si="0"/>
        <v>02 EE2 33.8</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514</v>
      </c>
      <c r="D48" s="1" t="s">
        <v>211</v>
      </c>
      <c r="E48" s="1" t="s">
        <v>515</v>
      </c>
      <c r="F48" s="1" t="s">
        <v>112</v>
      </c>
      <c r="G48" s="1">
        <v>24485</v>
      </c>
    </row>
    <row r="49" spans="1:10" x14ac:dyDescent="0.3">
      <c r="A49" s="1" t="str">
        <f t="shared" si="0"/>
        <v>02 EE2 33.8</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516</v>
      </c>
      <c r="D49" s="1" t="s">
        <v>185</v>
      </c>
      <c r="E49" s="1" t="s">
        <v>517</v>
      </c>
      <c r="F49" s="1" t="s">
        <v>112</v>
      </c>
      <c r="G49" s="1">
        <v>9496</v>
      </c>
    </row>
    <row r="50" spans="1:10" x14ac:dyDescent="0.3">
      <c r="A50" s="1" t="str">
        <f t="shared" si="0"/>
        <v>02 EE2 33.8</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518</v>
      </c>
      <c r="D50" s="1" t="s">
        <v>294</v>
      </c>
      <c r="E50" s="1" t="s">
        <v>519</v>
      </c>
      <c r="F50" s="1" t="s">
        <v>112</v>
      </c>
      <c r="G50" s="1">
        <v>246386</v>
      </c>
    </row>
    <row r="51" spans="1:10" x14ac:dyDescent="0.3">
      <c r="A51" s="1" t="str">
        <f t="shared" si="0"/>
        <v>02 EE2 33.8</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520</v>
      </c>
      <c r="D51" s="1" t="s">
        <v>521</v>
      </c>
      <c r="E51" s="1" t="s">
        <v>522</v>
      </c>
      <c r="F51" s="1" t="s">
        <v>112</v>
      </c>
      <c r="G51" s="1">
        <v>187228</v>
      </c>
    </row>
    <row r="52" spans="1:10" x14ac:dyDescent="0.3">
      <c r="A52" s="1" t="str">
        <f t="shared" si="0"/>
        <v>02 EE2 33.8</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523</v>
      </c>
      <c r="D52" s="1" t="s">
        <v>524</v>
      </c>
      <c r="E52" s="1" t="s">
        <v>525</v>
      </c>
      <c r="F52" s="1" t="s">
        <v>112</v>
      </c>
      <c r="G52" s="1">
        <v>84335</v>
      </c>
    </row>
    <row r="53" spans="1:10" x14ac:dyDescent="0.3">
      <c r="A53" s="1" t="str">
        <f t="shared" si="0"/>
        <v>02 EE2 33.8</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526</v>
      </c>
      <c r="D53" s="1" t="s">
        <v>205</v>
      </c>
      <c r="E53" s="1" t="s">
        <v>527</v>
      </c>
      <c r="F53" s="1" t="s">
        <v>112</v>
      </c>
      <c r="G53" s="1">
        <v>286099</v>
      </c>
    </row>
    <row r="54" spans="1:10" x14ac:dyDescent="0.3">
      <c r="A54" s="1" t="str">
        <f t="shared" si="0"/>
        <v>02 EE2 33.8</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528</v>
      </c>
      <c r="D54" s="1" t="s">
        <v>246</v>
      </c>
      <c r="E54" s="1" t="s">
        <v>529</v>
      </c>
      <c r="F54" s="1" t="s">
        <v>112</v>
      </c>
      <c r="G54" s="1">
        <v>193415</v>
      </c>
    </row>
    <row r="55" spans="1:10" x14ac:dyDescent="0.3">
      <c r="A55" s="1" t="str">
        <f t="shared" si="0"/>
        <v>02 EE2 33.8</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530</v>
      </c>
      <c r="D55" s="1" t="s">
        <v>210</v>
      </c>
      <c r="E55" s="1" t="s">
        <v>531</v>
      </c>
      <c r="F55" s="1" t="s">
        <v>112</v>
      </c>
      <c r="G55" s="1">
        <v>291160</v>
      </c>
    </row>
    <row r="56" spans="1:10" x14ac:dyDescent="0.3">
      <c r="A56" s="1" t="str">
        <f t="shared" si="0"/>
        <v>02 EE2 33.8</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532</v>
      </c>
      <c r="D56" s="1" t="s">
        <v>533</v>
      </c>
      <c r="E56" s="1" t="s">
        <v>534</v>
      </c>
      <c r="F56" s="1" t="s">
        <v>112</v>
      </c>
      <c r="G56" s="1">
        <v>483947</v>
      </c>
    </row>
    <row r="57" spans="1:10" x14ac:dyDescent="0.3">
      <c r="A57" s="1" t="str">
        <f t="shared" si="0"/>
        <v>02 EE2 33.8</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535</v>
      </c>
      <c r="D57" s="1" t="s">
        <v>285</v>
      </c>
      <c r="E57" s="1" t="s">
        <v>536</v>
      </c>
      <c r="F57" s="1" t="s">
        <v>112</v>
      </c>
      <c r="G57" s="1">
        <v>55351</v>
      </c>
    </row>
    <row r="58" spans="1:10" x14ac:dyDescent="0.3">
      <c r="A58" s="1" t="str">
        <f t="shared" si="0"/>
        <v>02 EE2 33.8</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537</v>
      </c>
    </row>
    <row r="59" spans="1:10" x14ac:dyDescent="0.3">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3">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195</v>
      </c>
      <c r="D60" s="1" t="s">
        <v>112</v>
      </c>
      <c r="E60" s="1" t="s">
        <v>196</v>
      </c>
      <c r="F60" s="1" t="s">
        <v>197</v>
      </c>
      <c r="G60" s="1" t="s">
        <v>198</v>
      </c>
      <c r="H60" s="1" t="s">
        <v>199</v>
      </c>
      <c r="I60" s="1" t="s">
        <v>200</v>
      </c>
      <c r="J60" s="1" t="s">
        <v>201</v>
      </c>
    </row>
    <row r="61" spans="1:10" x14ac:dyDescent="0.3">
      <c r="A61" s="1" t="str">
        <f t="shared" si="0"/>
        <v>02 EE2 33.8</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538</v>
      </c>
      <c r="D61" s="1" t="s">
        <v>112</v>
      </c>
      <c r="E61" s="1" t="s">
        <v>539</v>
      </c>
      <c r="F61" s="1" t="s">
        <v>540</v>
      </c>
      <c r="G61" s="1" t="s">
        <v>541</v>
      </c>
      <c r="H61" s="1" t="s">
        <v>542</v>
      </c>
      <c r="I61" s="1">
        <v>24</v>
      </c>
      <c r="J61" s="1">
        <v>24</v>
      </c>
    </row>
    <row r="62" spans="1:10" x14ac:dyDescent="0.3">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3">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3">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3">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3">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3">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202</v>
      </c>
      <c r="D67" s="1" t="s">
        <v>110</v>
      </c>
      <c r="E67" s="1" t="s">
        <v>111</v>
      </c>
      <c r="F67" s="1" t="s">
        <v>112</v>
      </c>
      <c r="G67" s="1" t="s">
        <v>113</v>
      </c>
    </row>
    <row r="68" spans="1:7" x14ac:dyDescent="0.3">
      <c r="A68" s="1" t="str">
        <f t="shared" si="1"/>
        <v>03 EE2 50.6</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543</v>
      </c>
      <c r="D68" s="1" t="s">
        <v>207</v>
      </c>
      <c r="E68" s="1" t="s">
        <v>544</v>
      </c>
      <c r="F68" s="1" t="s">
        <v>112</v>
      </c>
      <c r="G68" s="1">
        <v>419706</v>
      </c>
    </row>
    <row r="69" spans="1:7" x14ac:dyDescent="0.3">
      <c r="A69" s="1" t="str">
        <f t="shared" si="1"/>
        <v>03 EE2 50.6</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545</v>
      </c>
      <c r="D69" s="1" t="s">
        <v>334</v>
      </c>
      <c r="E69" s="1" t="s">
        <v>546</v>
      </c>
      <c r="F69" s="1" t="s">
        <v>112</v>
      </c>
      <c r="G69" s="1">
        <v>38761</v>
      </c>
    </row>
    <row r="70" spans="1:7" x14ac:dyDescent="0.3">
      <c r="A70" s="1" t="str">
        <f t="shared" si="1"/>
        <v>03 EE2 50.6</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547</v>
      </c>
      <c r="D70" s="1" t="s">
        <v>173</v>
      </c>
      <c r="E70" s="1" t="s">
        <v>548</v>
      </c>
      <c r="F70" s="1" t="s">
        <v>112</v>
      </c>
      <c r="G70" s="1">
        <v>277122</v>
      </c>
    </row>
    <row r="71" spans="1:7" x14ac:dyDescent="0.3">
      <c r="A71" s="1" t="str">
        <f t="shared" si="1"/>
        <v>03 EE2 50.6</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549</v>
      </c>
      <c r="D71" s="1" t="s">
        <v>293</v>
      </c>
      <c r="E71" s="1" t="s">
        <v>550</v>
      </c>
      <c r="F71" s="1" t="s">
        <v>112</v>
      </c>
      <c r="G71" s="1">
        <v>96513</v>
      </c>
    </row>
    <row r="72" spans="1:7" x14ac:dyDescent="0.3">
      <c r="A72" s="1" t="str">
        <f t="shared" si="1"/>
        <v>03 EE2 50.6</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551</v>
      </c>
      <c r="D72" s="1" t="s">
        <v>311</v>
      </c>
      <c r="E72" s="1" t="s">
        <v>552</v>
      </c>
      <c r="F72" s="1" t="s">
        <v>112</v>
      </c>
      <c r="G72" s="1">
        <v>96491</v>
      </c>
    </row>
    <row r="73" spans="1:7" x14ac:dyDescent="0.3">
      <c r="A73" s="1" t="str">
        <f t="shared" si="1"/>
        <v>03 EE2 50.6</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553</v>
      </c>
      <c r="D73" s="1" t="s">
        <v>299</v>
      </c>
      <c r="E73" s="1" t="s">
        <v>554</v>
      </c>
      <c r="F73" s="1" t="s">
        <v>112</v>
      </c>
      <c r="G73" s="1">
        <v>71227</v>
      </c>
    </row>
    <row r="74" spans="1:7" x14ac:dyDescent="0.3">
      <c r="A74" s="1" t="str">
        <f t="shared" si="1"/>
        <v>03 EE2 50.6</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555</v>
      </c>
      <c r="D74" s="1" t="s">
        <v>194</v>
      </c>
      <c r="E74" s="1" t="s">
        <v>301</v>
      </c>
      <c r="F74" s="1" t="s">
        <v>112</v>
      </c>
      <c r="G74" s="1">
        <v>20570</v>
      </c>
    </row>
    <row r="75" spans="1:7" x14ac:dyDescent="0.3">
      <c r="A75" s="1" t="str">
        <f t="shared" si="1"/>
        <v>03 EE2 50.6</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556</v>
      </c>
      <c r="D75" s="1" t="s">
        <v>190</v>
      </c>
      <c r="E75" s="1" t="s">
        <v>557</v>
      </c>
      <c r="F75" s="1" t="s">
        <v>112</v>
      </c>
      <c r="G75" s="1">
        <v>48711</v>
      </c>
    </row>
    <row r="76" spans="1:7" x14ac:dyDescent="0.3">
      <c r="A76" s="1" t="str">
        <f t="shared" si="1"/>
        <v>03 EE2 50.6</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558</v>
      </c>
      <c r="D76" s="1" t="s">
        <v>334</v>
      </c>
      <c r="E76" s="1" t="s">
        <v>559</v>
      </c>
      <c r="F76" s="1" t="s">
        <v>112</v>
      </c>
      <c r="G76" s="1">
        <v>36706</v>
      </c>
    </row>
    <row r="77" spans="1:7" x14ac:dyDescent="0.3">
      <c r="A77" s="1" t="str">
        <f t="shared" si="1"/>
        <v>03 EE2 50.6</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560</v>
      </c>
      <c r="D77" s="1" t="s">
        <v>561</v>
      </c>
      <c r="E77" s="1" t="s">
        <v>562</v>
      </c>
      <c r="F77" s="1" t="s">
        <v>112</v>
      </c>
      <c r="G77" s="1">
        <v>540401</v>
      </c>
    </row>
    <row r="78" spans="1:7" x14ac:dyDescent="0.3">
      <c r="A78" s="1" t="str">
        <f t="shared" si="1"/>
        <v>03 EE2 50.6</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563</v>
      </c>
      <c r="D78" s="1" t="s">
        <v>564</v>
      </c>
      <c r="E78" s="1" t="s">
        <v>565</v>
      </c>
      <c r="F78" s="1" t="s">
        <v>112</v>
      </c>
      <c r="G78" s="1">
        <v>581476</v>
      </c>
    </row>
    <row r="79" spans="1:7" x14ac:dyDescent="0.3">
      <c r="A79" s="1" t="str">
        <f t="shared" si="1"/>
        <v>03 EE2 50.6</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566</v>
      </c>
      <c r="D79" s="1" t="s">
        <v>567</v>
      </c>
      <c r="E79" s="1" t="s">
        <v>568</v>
      </c>
      <c r="F79" s="1" t="s">
        <v>112</v>
      </c>
      <c r="G79" s="1">
        <v>567482</v>
      </c>
    </row>
    <row r="80" spans="1:7" x14ac:dyDescent="0.3">
      <c r="A80" s="1" t="str">
        <f t="shared" si="1"/>
        <v>03 EE2 50.6</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569</v>
      </c>
      <c r="D80" s="1" t="s">
        <v>218</v>
      </c>
      <c r="E80" s="1" t="s">
        <v>570</v>
      </c>
      <c r="F80" s="1" t="s">
        <v>112</v>
      </c>
      <c r="G80" s="1">
        <v>39604</v>
      </c>
    </row>
    <row r="81" spans="1:10" x14ac:dyDescent="0.3">
      <c r="A81" s="1" t="str">
        <f t="shared" si="1"/>
        <v>03 EE2 50.6</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571</v>
      </c>
      <c r="D81" s="1" t="s">
        <v>572</v>
      </c>
      <c r="E81" s="1" t="s">
        <v>573</v>
      </c>
      <c r="F81" s="1" t="s">
        <v>112</v>
      </c>
      <c r="G81" s="1">
        <v>113535</v>
      </c>
    </row>
    <row r="82" spans="1:10" x14ac:dyDescent="0.3">
      <c r="A82" s="1" t="str">
        <f t="shared" si="1"/>
        <v>03 EE2 50.6</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574</v>
      </c>
      <c r="D82" s="1" t="s">
        <v>190</v>
      </c>
      <c r="E82" s="1" t="s">
        <v>575</v>
      </c>
      <c r="F82" s="1" t="s">
        <v>112</v>
      </c>
      <c r="G82" s="1">
        <v>47889</v>
      </c>
    </row>
    <row r="83" spans="1:10" x14ac:dyDescent="0.3">
      <c r="A83" s="1" t="str">
        <f t="shared" si="1"/>
        <v>03 EE2 50.6</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576</v>
      </c>
      <c r="D83" s="1" t="s">
        <v>577</v>
      </c>
      <c r="E83" s="1" t="s">
        <v>307</v>
      </c>
      <c r="F83" s="1" t="s">
        <v>112</v>
      </c>
      <c r="G83" s="1">
        <v>2704</v>
      </c>
    </row>
    <row r="84" spans="1:10" x14ac:dyDescent="0.3">
      <c r="A84" s="1" t="str">
        <f t="shared" si="1"/>
        <v>03 EE2 50.6</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578</v>
      </c>
      <c r="D84" s="1" t="s">
        <v>298</v>
      </c>
      <c r="E84" s="1" t="s">
        <v>579</v>
      </c>
      <c r="F84" s="1" t="s">
        <v>112</v>
      </c>
      <c r="G84" s="1">
        <v>6749</v>
      </c>
    </row>
    <row r="85" spans="1:10" x14ac:dyDescent="0.3">
      <c r="A85" s="1" t="str">
        <f t="shared" si="1"/>
        <v>03 EE2 50.6</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580</v>
      </c>
      <c r="D85" s="1" t="s">
        <v>182</v>
      </c>
      <c r="E85" s="1" t="s">
        <v>581</v>
      </c>
      <c r="F85" s="1" t="s">
        <v>112</v>
      </c>
      <c r="G85" s="1">
        <v>14946</v>
      </c>
    </row>
    <row r="86" spans="1:10" x14ac:dyDescent="0.3">
      <c r="A86" s="1" t="str">
        <f t="shared" si="1"/>
        <v>03 EE2 50.6</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582</v>
      </c>
      <c r="D86" s="1" t="s">
        <v>222</v>
      </c>
      <c r="E86" s="1" t="s">
        <v>232</v>
      </c>
      <c r="F86" s="1" t="s">
        <v>112</v>
      </c>
      <c r="G86" s="1">
        <v>34305</v>
      </c>
    </row>
    <row r="87" spans="1:10" x14ac:dyDescent="0.3">
      <c r="A87" s="1" t="str">
        <f t="shared" si="1"/>
        <v>03 EE2 50.6</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583</v>
      </c>
      <c r="D87" s="1" t="s">
        <v>194</v>
      </c>
      <c r="E87" s="1" t="s">
        <v>584</v>
      </c>
      <c r="F87" s="1" t="s">
        <v>112</v>
      </c>
      <c r="G87" s="1">
        <v>22279</v>
      </c>
    </row>
    <row r="88" spans="1:10" x14ac:dyDescent="0.3">
      <c r="A88" s="1" t="str">
        <f t="shared" si="1"/>
        <v>03 EE2 50.6</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585</v>
      </c>
      <c r="D88" s="1" t="s">
        <v>224</v>
      </c>
      <c r="E88" s="1" t="s">
        <v>586</v>
      </c>
      <c r="F88" s="1" t="s">
        <v>112</v>
      </c>
      <c r="G88" s="1">
        <v>5667</v>
      </c>
    </row>
    <row r="89" spans="1:10" x14ac:dyDescent="0.3">
      <c r="A89" s="1" t="str">
        <f t="shared" si="1"/>
        <v>03 EE2 50.6</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587</v>
      </c>
      <c r="D89" s="1" t="s">
        <v>310</v>
      </c>
      <c r="E89" s="1" t="s">
        <v>588</v>
      </c>
      <c r="F89" s="1" t="s">
        <v>112</v>
      </c>
      <c r="G89" s="1">
        <v>63700</v>
      </c>
    </row>
    <row r="90" spans="1:10" x14ac:dyDescent="0.3">
      <c r="A90" s="1" t="str">
        <f t="shared" si="1"/>
        <v>03 EE2 50.6</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589</v>
      </c>
      <c r="D90" s="1" t="s">
        <v>206</v>
      </c>
      <c r="E90" s="1" t="s">
        <v>590</v>
      </c>
      <c r="F90" s="1" t="s">
        <v>112</v>
      </c>
      <c r="G90" s="1">
        <v>308615</v>
      </c>
    </row>
    <row r="91" spans="1:10" x14ac:dyDescent="0.3">
      <c r="A91" s="1" t="str">
        <f t="shared" si="1"/>
        <v>03 EE2 50.6</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591</v>
      </c>
      <c r="D91" s="1" t="s">
        <v>592</v>
      </c>
      <c r="E91" s="1" t="s">
        <v>593</v>
      </c>
      <c r="F91" s="1" t="s">
        <v>112</v>
      </c>
      <c r="G91" s="1">
        <v>134927</v>
      </c>
    </row>
    <row r="92" spans="1:10" x14ac:dyDescent="0.3">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3">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195</v>
      </c>
      <c r="D93" s="1" t="s">
        <v>112</v>
      </c>
      <c r="E93" s="1" t="s">
        <v>196</v>
      </c>
      <c r="F93" s="1" t="s">
        <v>197</v>
      </c>
      <c r="G93" s="1" t="s">
        <v>198</v>
      </c>
      <c r="H93" s="1" t="s">
        <v>199</v>
      </c>
      <c r="I93" s="1" t="s">
        <v>200</v>
      </c>
      <c r="J93" s="1" t="s">
        <v>201</v>
      </c>
    </row>
    <row r="94" spans="1:10" x14ac:dyDescent="0.3">
      <c r="A94" s="1" t="str">
        <f t="shared" si="1"/>
        <v>03 EE2 50.6</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594</v>
      </c>
      <c r="D94" s="1" t="s">
        <v>112</v>
      </c>
      <c r="E94" s="1" t="s">
        <v>595</v>
      </c>
      <c r="F94" s="1" t="s">
        <v>596</v>
      </c>
      <c r="G94" s="1" t="s">
        <v>597</v>
      </c>
      <c r="H94" s="1" t="s">
        <v>598</v>
      </c>
      <c r="I94" s="1">
        <v>24</v>
      </c>
      <c r="J94" s="1">
        <v>24</v>
      </c>
    </row>
    <row r="95" spans="1:10" x14ac:dyDescent="0.3">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3">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3">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3">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3">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3">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202</v>
      </c>
      <c r="D100" s="1" t="s">
        <v>110</v>
      </c>
      <c r="E100" s="1" t="s">
        <v>111</v>
      </c>
      <c r="F100" s="1" t="s">
        <v>112</v>
      </c>
      <c r="G100" s="1" t="s">
        <v>113</v>
      </c>
    </row>
    <row r="101" spans="1:7" x14ac:dyDescent="0.3">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599</v>
      </c>
      <c r="D101" s="1" t="s">
        <v>275</v>
      </c>
      <c r="E101" s="1" t="s">
        <v>600</v>
      </c>
      <c r="F101" s="1" t="s">
        <v>112</v>
      </c>
      <c r="G101" s="1">
        <v>114292</v>
      </c>
    </row>
    <row r="102" spans="1:7" x14ac:dyDescent="0.3">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601</v>
      </c>
      <c r="D102" s="1" t="s">
        <v>231</v>
      </c>
      <c r="E102" s="1" t="s">
        <v>602</v>
      </c>
      <c r="F102" s="1" t="s">
        <v>112</v>
      </c>
      <c r="G102" s="1">
        <v>69994</v>
      </c>
    </row>
    <row r="103" spans="1:7" x14ac:dyDescent="0.3">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603</v>
      </c>
      <c r="D103" s="1" t="s">
        <v>360</v>
      </c>
      <c r="E103" s="1" t="s">
        <v>604</v>
      </c>
      <c r="F103" s="1" t="s">
        <v>112</v>
      </c>
      <c r="G103" s="1">
        <v>166788</v>
      </c>
    </row>
    <row r="104" spans="1:7" x14ac:dyDescent="0.3">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605</v>
      </c>
      <c r="D104" s="1" t="s">
        <v>606</v>
      </c>
      <c r="E104" s="1" t="s">
        <v>607</v>
      </c>
      <c r="F104" s="1" t="s">
        <v>112</v>
      </c>
      <c r="G104" s="1">
        <v>434458</v>
      </c>
    </row>
    <row r="105" spans="1:7" x14ac:dyDescent="0.3">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608</v>
      </c>
      <c r="D105" s="1" t="s">
        <v>351</v>
      </c>
      <c r="E105" s="1" t="s">
        <v>609</v>
      </c>
      <c r="F105" s="1" t="s">
        <v>112</v>
      </c>
      <c r="G105" s="1">
        <v>536876</v>
      </c>
    </row>
    <row r="106" spans="1:7" x14ac:dyDescent="0.3">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610</v>
      </c>
      <c r="D106" s="1" t="s">
        <v>611</v>
      </c>
      <c r="E106" s="1" t="s">
        <v>612</v>
      </c>
      <c r="F106" s="1" t="s">
        <v>112</v>
      </c>
      <c r="G106" s="1">
        <v>485461</v>
      </c>
    </row>
    <row r="107" spans="1:7" x14ac:dyDescent="0.3">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613</v>
      </c>
      <c r="D107" s="1" t="s">
        <v>211</v>
      </c>
      <c r="E107" s="1" t="s">
        <v>614</v>
      </c>
      <c r="F107" s="1" t="s">
        <v>112</v>
      </c>
      <c r="G107" s="1">
        <v>25004</v>
      </c>
    </row>
    <row r="108" spans="1:7" x14ac:dyDescent="0.3">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615</v>
      </c>
      <c r="D108" s="1" t="s">
        <v>190</v>
      </c>
      <c r="E108" s="1" t="s">
        <v>616</v>
      </c>
      <c r="F108" s="1" t="s">
        <v>112</v>
      </c>
      <c r="G108" s="1">
        <v>48797</v>
      </c>
    </row>
    <row r="109" spans="1:7" x14ac:dyDescent="0.3">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617</v>
      </c>
      <c r="D109" s="1" t="s">
        <v>204</v>
      </c>
      <c r="E109" s="1" t="s">
        <v>618</v>
      </c>
      <c r="F109" s="1" t="s">
        <v>112</v>
      </c>
      <c r="G109" s="1">
        <v>25502</v>
      </c>
    </row>
    <row r="110" spans="1:7" x14ac:dyDescent="0.3">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619</v>
      </c>
      <c r="D110" s="1" t="s">
        <v>620</v>
      </c>
      <c r="E110" s="1" t="s">
        <v>621</v>
      </c>
      <c r="F110" s="1" t="s">
        <v>112</v>
      </c>
      <c r="G110" s="1">
        <v>981759</v>
      </c>
    </row>
    <row r="111" spans="1:7" x14ac:dyDescent="0.3">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622</v>
      </c>
      <c r="D111" s="1" t="s">
        <v>623</v>
      </c>
      <c r="E111" s="1" t="s">
        <v>624</v>
      </c>
      <c r="F111" s="1" t="s">
        <v>112</v>
      </c>
      <c r="G111" s="1">
        <v>877135</v>
      </c>
    </row>
    <row r="112" spans="1:7" x14ac:dyDescent="0.3">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625</v>
      </c>
      <c r="D112" s="1" t="s">
        <v>626</v>
      </c>
      <c r="E112" s="1" t="s">
        <v>627</v>
      </c>
      <c r="F112" s="1" t="s">
        <v>112</v>
      </c>
      <c r="G112" s="1">
        <v>736649</v>
      </c>
    </row>
    <row r="113" spans="1:10" x14ac:dyDescent="0.3">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628</v>
      </c>
      <c r="D113" s="1" t="s">
        <v>275</v>
      </c>
      <c r="E113" s="1" t="s">
        <v>629</v>
      </c>
      <c r="F113" s="1" t="s">
        <v>112</v>
      </c>
      <c r="G113" s="1">
        <v>111372</v>
      </c>
    </row>
    <row r="114" spans="1:10" x14ac:dyDescent="0.3">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630</v>
      </c>
      <c r="D114" s="1" t="s">
        <v>485</v>
      </c>
      <c r="E114" s="1" t="s">
        <v>631</v>
      </c>
      <c r="F114" s="1" t="s">
        <v>112</v>
      </c>
      <c r="G114" s="1">
        <v>214352</v>
      </c>
    </row>
    <row r="115" spans="1:10" x14ac:dyDescent="0.3">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632</v>
      </c>
      <c r="D115" s="1" t="s">
        <v>287</v>
      </c>
      <c r="E115" s="1" t="s">
        <v>633</v>
      </c>
      <c r="F115" s="1" t="s">
        <v>112</v>
      </c>
      <c r="G115" s="1">
        <v>215282</v>
      </c>
    </row>
    <row r="116" spans="1:10" x14ac:dyDescent="0.3">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634</v>
      </c>
      <c r="D116" s="1" t="s">
        <v>635</v>
      </c>
      <c r="E116" s="1" t="s">
        <v>636</v>
      </c>
      <c r="F116" s="1" t="s">
        <v>112</v>
      </c>
      <c r="G116" s="1">
        <v>443002</v>
      </c>
    </row>
    <row r="117" spans="1:10" x14ac:dyDescent="0.3">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637</v>
      </c>
      <c r="D117" s="1" t="s">
        <v>387</v>
      </c>
      <c r="E117" s="1" t="s">
        <v>638</v>
      </c>
      <c r="F117" s="1" t="s">
        <v>112</v>
      </c>
      <c r="G117" s="1">
        <v>304376</v>
      </c>
    </row>
    <row r="118" spans="1:10" x14ac:dyDescent="0.3">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639</v>
      </c>
      <c r="D118" s="1" t="s">
        <v>640</v>
      </c>
      <c r="E118" s="1" t="s">
        <v>641</v>
      </c>
      <c r="F118" s="1" t="s">
        <v>112</v>
      </c>
      <c r="G118" s="1">
        <v>344781</v>
      </c>
    </row>
    <row r="119" spans="1:10" x14ac:dyDescent="0.3">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642</v>
      </c>
      <c r="D119" s="1" t="s">
        <v>643</v>
      </c>
      <c r="E119" s="1" t="s">
        <v>644</v>
      </c>
      <c r="F119" s="1" t="s">
        <v>112</v>
      </c>
      <c r="G119" s="1">
        <v>519983</v>
      </c>
    </row>
    <row r="120" spans="1:10" x14ac:dyDescent="0.3">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645</v>
      </c>
      <c r="D120" s="1" t="s">
        <v>384</v>
      </c>
      <c r="E120" s="1" t="s">
        <v>646</v>
      </c>
      <c r="F120" s="1" t="s">
        <v>112</v>
      </c>
      <c r="G120" s="1">
        <v>290338</v>
      </c>
    </row>
    <row r="121" spans="1:10" x14ac:dyDescent="0.3">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647</v>
      </c>
      <c r="D121" s="1" t="s">
        <v>648</v>
      </c>
      <c r="E121" s="1" t="s">
        <v>649</v>
      </c>
      <c r="F121" s="1" t="s">
        <v>112</v>
      </c>
      <c r="G121" s="1">
        <v>400997</v>
      </c>
    </row>
    <row r="122" spans="1:10" x14ac:dyDescent="0.3">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650</v>
      </c>
    </row>
    <row r="123" spans="1:10" x14ac:dyDescent="0.3">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651</v>
      </c>
    </row>
    <row r="124" spans="1:10" x14ac:dyDescent="0.3">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652</v>
      </c>
    </row>
    <row r="125" spans="1:10" x14ac:dyDescent="0.3">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3">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195</v>
      </c>
      <c r="D126" s="1" t="s">
        <v>112</v>
      </c>
      <c r="E126" s="1" t="s">
        <v>196</v>
      </c>
      <c r="F126" s="1" t="s">
        <v>197</v>
      </c>
      <c r="G126" s="1" t="s">
        <v>198</v>
      </c>
      <c r="H126" s="1" t="s">
        <v>199</v>
      </c>
      <c r="I126" s="1" t="s">
        <v>200</v>
      </c>
      <c r="J126" s="1" t="s">
        <v>201</v>
      </c>
    </row>
    <row r="127" spans="1:10" x14ac:dyDescent="0.3">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653</v>
      </c>
      <c r="D127" s="1" t="s">
        <v>112</v>
      </c>
      <c r="E127" s="1" t="s">
        <v>278</v>
      </c>
      <c r="F127" s="1" t="s">
        <v>654</v>
      </c>
      <c r="G127" s="1" t="s">
        <v>655</v>
      </c>
      <c r="H127" s="1" t="s">
        <v>656</v>
      </c>
      <c r="I127" s="1">
        <v>24</v>
      </c>
      <c r="J127" s="1">
        <v>24</v>
      </c>
    </row>
    <row r="128" spans="1:10" x14ac:dyDescent="0.3">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3">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3">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3">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3">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3">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202</v>
      </c>
      <c r="D133" s="1" t="s">
        <v>110</v>
      </c>
      <c r="E133" s="1" t="s">
        <v>111</v>
      </c>
      <c r="F133" s="1" t="s">
        <v>112</v>
      </c>
      <c r="G133" s="1" t="s">
        <v>113</v>
      </c>
    </row>
    <row r="134" spans="1:7" x14ac:dyDescent="0.3">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657</v>
      </c>
    </row>
    <row r="135" spans="1:7" x14ac:dyDescent="0.3">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658</v>
      </c>
      <c r="D135" s="1" t="s">
        <v>659</v>
      </c>
      <c r="E135" s="1" t="s">
        <v>660</v>
      </c>
      <c r="F135" s="1" t="s">
        <v>112</v>
      </c>
      <c r="G135" s="1">
        <v>2552392</v>
      </c>
    </row>
    <row r="136" spans="1:7" x14ac:dyDescent="0.3">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661</v>
      </c>
      <c r="D136" s="1" t="s">
        <v>662</v>
      </c>
      <c r="E136" s="1" t="s">
        <v>663</v>
      </c>
      <c r="F136" s="1" t="s">
        <v>112</v>
      </c>
      <c r="G136" s="1">
        <v>2589077</v>
      </c>
    </row>
    <row r="137" spans="1:7" x14ac:dyDescent="0.3">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664</v>
      </c>
      <c r="D137" s="1" t="s">
        <v>665</v>
      </c>
      <c r="E137" s="1" t="s">
        <v>666</v>
      </c>
      <c r="F137" s="1" t="s">
        <v>112</v>
      </c>
      <c r="G137" s="1">
        <v>484466</v>
      </c>
    </row>
    <row r="138" spans="1:7" x14ac:dyDescent="0.3">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667</v>
      </c>
      <c r="D138" s="1" t="s">
        <v>668</v>
      </c>
      <c r="E138" s="1" t="s">
        <v>669</v>
      </c>
      <c r="F138" s="1" t="s">
        <v>112</v>
      </c>
      <c r="G138" s="1">
        <v>445208</v>
      </c>
    </row>
    <row r="139" spans="1:7" x14ac:dyDescent="0.3">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670</v>
      </c>
      <c r="D139" s="1" t="s">
        <v>173</v>
      </c>
      <c r="E139" s="1" t="s">
        <v>671</v>
      </c>
      <c r="F139" s="1" t="s">
        <v>112</v>
      </c>
      <c r="G139" s="1">
        <v>259126</v>
      </c>
    </row>
    <row r="140" spans="1:7" x14ac:dyDescent="0.3">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672</v>
      </c>
      <c r="D140" s="1" t="s">
        <v>673</v>
      </c>
      <c r="E140" s="1" t="s">
        <v>674</v>
      </c>
      <c r="F140" s="1" t="s">
        <v>112</v>
      </c>
      <c r="G140" s="1">
        <v>429505</v>
      </c>
    </row>
    <row r="141" spans="1:7" x14ac:dyDescent="0.3">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675</v>
      </c>
      <c r="D141" s="1" t="s">
        <v>282</v>
      </c>
      <c r="E141" s="1" t="s">
        <v>676</v>
      </c>
      <c r="F141" s="1" t="s">
        <v>112</v>
      </c>
      <c r="G141" s="1">
        <v>63138</v>
      </c>
    </row>
    <row r="142" spans="1:7" x14ac:dyDescent="0.3">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677</v>
      </c>
      <c r="D142" s="1" t="s">
        <v>370</v>
      </c>
      <c r="E142" s="1" t="s">
        <v>678</v>
      </c>
      <c r="F142" s="1" t="s">
        <v>112</v>
      </c>
      <c r="G142" s="1">
        <v>89915</v>
      </c>
    </row>
    <row r="143" spans="1:7" x14ac:dyDescent="0.3">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679</v>
      </c>
      <c r="D143" s="1" t="s">
        <v>680</v>
      </c>
      <c r="E143" s="1" t="s">
        <v>681</v>
      </c>
      <c r="F143" s="1" t="s">
        <v>112</v>
      </c>
      <c r="G143" s="1">
        <v>3216928</v>
      </c>
    </row>
    <row r="144" spans="1:7" x14ac:dyDescent="0.3">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682</v>
      </c>
      <c r="D144" s="1" t="s">
        <v>683</v>
      </c>
      <c r="E144" s="1" t="s">
        <v>684</v>
      </c>
      <c r="F144" s="1" t="s">
        <v>112</v>
      </c>
      <c r="G144" s="1">
        <v>3340413</v>
      </c>
    </row>
    <row r="145" spans="1:10" x14ac:dyDescent="0.3">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685</v>
      </c>
      <c r="D145" s="1" t="s">
        <v>686</v>
      </c>
      <c r="E145" s="1" t="s">
        <v>687</v>
      </c>
      <c r="F145" s="1" t="s">
        <v>112</v>
      </c>
      <c r="G145" s="1">
        <v>3771799</v>
      </c>
    </row>
    <row r="146" spans="1:10" x14ac:dyDescent="0.3">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688</v>
      </c>
      <c r="D146" s="1" t="s">
        <v>318</v>
      </c>
      <c r="E146" s="1" t="s">
        <v>689</v>
      </c>
      <c r="F146" s="1" t="s">
        <v>112</v>
      </c>
      <c r="G146" s="1">
        <v>44449</v>
      </c>
    </row>
    <row r="147" spans="1:10" x14ac:dyDescent="0.3">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690</v>
      </c>
      <c r="D147" s="1" t="s">
        <v>221</v>
      </c>
      <c r="E147" s="1" t="s">
        <v>691</v>
      </c>
      <c r="F147" s="1" t="s">
        <v>112</v>
      </c>
      <c r="G147" s="1">
        <v>51695</v>
      </c>
    </row>
    <row r="148" spans="1:10" x14ac:dyDescent="0.3">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692</v>
      </c>
      <c r="D148" s="1" t="s">
        <v>323</v>
      </c>
      <c r="E148" s="1" t="s">
        <v>693</v>
      </c>
      <c r="F148" s="1" t="s">
        <v>112</v>
      </c>
      <c r="G148" s="1">
        <v>26972</v>
      </c>
    </row>
    <row r="149" spans="1:10" x14ac:dyDescent="0.3">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694</v>
      </c>
      <c r="D149" s="1" t="s">
        <v>695</v>
      </c>
      <c r="E149" s="1" t="s">
        <v>696</v>
      </c>
      <c r="F149" s="1" t="s">
        <v>112</v>
      </c>
      <c r="G149" s="1">
        <v>947671</v>
      </c>
    </row>
    <row r="150" spans="1:10" x14ac:dyDescent="0.3">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697</v>
      </c>
      <c r="D150" s="1" t="s">
        <v>262</v>
      </c>
      <c r="E150" s="1" t="s">
        <v>698</v>
      </c>
      <c r="F150" s="1" t="s">
        <v>112</v>
      </c>
      <c r="G150" s="1">
        <v>1351566</v>
      </c>
    </row>
    <row r="151" spans="1:10" x14ac:dyDescent="0.3">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699</v>
      </c>
      <c r="D151" s="1" t="s">
        <v>700</v>
      </c>
      <c r="E151" s="1" t="s">
        <v>701</v>
      </c>
      <c r="F151" s="1" t="s">
        <v>112</v>
      </c>
      <c r="G151" s="1">
        <v>1024543</v>
      </c>
    </row>
    <row r="152" spans="1:10" x14ac:dyDescent="0.3">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702</v>
      </c>
      <c r="D152" s="1" t="s">
        <v>703</v>
      </c>
      <c r="E152" s="1" t="s">
        <v>704</v>
      </c>
      <c r="F152" s="1" t="s">
        <v>112</v>
      </c>
      <c r="G152" s="1">
        <v>627591</v>
      </c>
    </row>
    <row r="153" spans="1:10" x14ac:dyDescent="0.3">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705</v>
      </c>
      <c r="D153" s="1" t="s">
        <v>706</v>
      </c>
      <c r="E153" s="1" t="s">
        <v>707</v>
      </c>
      <c r="F153" s="1" t="s">
        <v>112</v>
      </c>
      <c r="G153" s="1">
        <v>893574</v>
      </c>
    </row>
    <row r="154" spans="1:10" x14ac:dyDescent="0.3">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708</v>
      </c>
      <c r="D154" s="1" t="s">
        <v>709</v>
      </c>
      <c r="E154" s="1" t="s">
        <v>710</v>
      </c>
      <c r="F154" s="1" t="s">
        <v>112</v>
      </c>
      <c r="G154" s="1">
        <v>408459</v>
      </c>
    </row>
    <row r="155" spans="1:10" x14ac:dyDescent="0.3">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711</v>
      </c>
      <c r="D155" s="1" t="s">
        <v>712</v>
      </c>
      <c r="E155" s="1" t="s">
        <v>713</v>
      </c>
      <c r="F155" s="1" t="s">
        <v>112</v>
      </c>
      <c r="G155" s="1">
        <v>583834</v>
      </c>
    </row>
    <row r="156" spans="1:10" x14ac:dyDescent="0.3">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714</v>
      </c>
      <c r="D156" s="1" t="s">
        <v>321</v>
      </c>
      <c r="E156" s="1" t="s">
        <v>715</v>
      </c>
      <c r="F156" s="1" t="s">
        <v>112</v>
      </c>
      <c r="G156" s="1">
        <v>421978</v>
      </c>
    </row>
    <row r="157" spans="1:10" x14ac:dyDescent="0.3">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716</v>
      </c>
      <c r="D157" s="1" t="s">
        <v>717</v>
      </c>
      <c r="E157" s="1" t="s">
        <v>718</v>
      </c>
      <c r="F157" s="1" t="s">
        <v>112</v>
      </c>
      <c r="G157" s="1">
        <v>603409</v>
      </c>
    </row>
    <row r="158" spans="1:10" x14ac:dyDescent="0.3">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3">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195</v>
      </c>
      <c r="D159" s="1" t="s">
        <v>112</v>
      </c>
      <c r="E159" s="1" t="s">
        <v>196</v>
      </c>
      <c r="F159" s="1" t="s">
        <v>197</v>
      </c>
      <c r="G159" s="1" t="s">
        <v>198</v>
      </c>
      <c r="H159" s="1" t="s">
        <v>199</v>
      </c>
      <c r="I159" s="1" t="s">
        <v>200</v>
      </c>
      <c r="J159" s="1" t="s">
        <v>201</v>
      </c>
    </row>
    <row r="160" spans="1:10" x14ac:dyDescent="0.3">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719</v>
      </c>
      <c r="D160" s="1" t="s">
        <v>112</v>
      </c>
      <c r="E160" s="1" t="s">
        <v>720</v>
      </c>
      <c r="F160" s="1" t="s">
        <v>721</v>
      </c>
      <c r="G160" s="1" t="s">
        <v>722</v>
      </c>
      <c r="H160" s="1" t="s">
        <v>723</v>
      </c>
      <c r="I160" s="1">
        <v>24</v>
      </c>
      <c r="J160" s="1">
        <v>24</v>
      </c>
    </row>
    <row r="161" spans="1:7" x14ac:dyDescent="0.3">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3">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3">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3">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3">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3">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202</v>
      </c>
      <c r="D166" s="1" t="s">
        <v>110</v>
      </c>
      <c r="E166" s="1" t="s">
        <v>111</v>
      </c>
      <c r="F166" s="1" t="s">
        <v>112</v>
      </c>
      <c r="G166" s="1" t="s">
        <v>113</v>
      </c>
    </row>
    <row r="167" spans="1:7" x14ac:dyDescent="0.3">
      <c r="A167" s="1" t="str">
        <f t="shared" si="2"/>
        <v>06 EE2 170.9</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724</v>
      </c>
      <c r="D167" s="1" t="s">
        <v>267</v>
      </c>
      <c r="E167" s="1" t="s">
        <v>725</v>
      </c>
      <c r="F167" s="1" t="s">
        <v>112</v>
      </c>
      <c r="G167" s="1">
        <v>769505</v>
      </c>
    </row>
    <row r="168" spans="1:7" x14ac:dyDescent="0.3">
      <c r="A168" s="1" t="str">
        <f t="shared" si="2"/>
        <v>06 EE2 170.9</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726</v>
      </c>
      <c r="D168" s="1" t="s">
        <v>727</v>
      </c>
      <c r="E168" s="1" t="s">
        <v>728</v>
      </c>
      <c r="F168" s="1" t="s">
        <v>112</v>
      </c>
      <c r="G168" s="1">
        <v>779217</v>
      </c>
    </row>
    <row r="169" spans="1:7" x14ac:dyDescent="0.3">
      <c r="A169" s="1" t="str">
        <f t="shared" si="2"/>
        <v>06 EE2 170.9</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729</v>
      </c>
      <c r="D169" s="1" t="s">
        <v>730</v>
      </c>
      <c r="E169" s="1" t="s">
        <v>731</v>
      </c>
      <c r="F169" s="1" t="s">
        <v>112</v>
      </c>
      <c r="G169" s="1">
        <v>673879</v>
      </c>
    </row>
    <row r="170" spans="1:7" x14ac:dyDescent="0.3">
      <c r="A170" s="1" t="str">
        <f t="shared" si="2"/>
        <v>06 EE2 170.9</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732</v>
      </c>
      <c r="D170" s="1" t="s">
        <v>733</v>
      </c>
      <c r="E170" s="1" t="s">
        <v>734</v>
      </c>
      <c r="F170" s="1" t="s">
        <v>112</v>
      </c>
      <c r="G170" s="1">
        <v>3999476</v>
      </c>
    </row>
    <row r="171" spans="1:7" x14ac:dyDescent="0.3">
      <c r="A171" s="1" t="str">
        <f t="shared" si="2"/>
        <v>06 EE2 170.9</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735</v>
      </c>
      <c r="D171" s="1" t="s">
        <v>736</v>
      </c>
      <c r="E171" s="1" t="s">
        <v>737</v>
      </c>
      <c r="F171" s="1" t="s">
        <v>112</v>
      </c>
      <c r="G171" s="1">
        <v>3831303</v>
      </c>
    </row>
    <row r="172" spans="1:7" x14ac:dyDescent="0.3">
      <c r="A172" s="1" t="str">
        <f t="shared" si="2"/>
        <v>06 EE2 170.9</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738</v>
      </c>
      <c r="D172" s="1" t="s">
        <v>739</v>
      </c>
      <c r="E172" s="1" t="s">
        <v>740</v>
      </c>
      <c r="F172" s="1" t="s">
        <v>112</v>
      </c>
      <c r="G172" s="1">
        <v>3901276</v>
      </c>
    </row>
    <row r="173" spans="1:7" x14ac:dyDescent="0.3">
      <c r="A173" s="1" t="str">
        <f t="shared" si="2"/>
        <v>06 EE2 170.9</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741</v>
      </c>
      <c r="D173" s="1" t="s">
        <v>742</v>
      </c>
      <c r="E173" s="1" t="s">
        <v>743</v>
      </c>
      <c r="F173" s="1" t="s">
        <v>112</v>
      </c>
      <c r="G173" s="1">
        <v>1686245</v>
      </c>
    </row>
    <row r="174" spans="1:7" x14ac:dyDescent="0.3">
      <c r="A174" s="1" t="str">
        <f t="shared" si="2"/>
        <v>06 EE2 170.9</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744</v>
      </c>
      <c r="D174" s="1" t="s">
        <v>745</v>
      </c>
      <c r="E174" s="1" t="s">
        <v>746</v>
      </c>
      <c r="F174" s="1" t="s">
        <v>112</v>
      </c>
      <c r="G174" s="1">
        <v>1675279</v>
      </c>
    </row>
    <row r="175" spans="1:7" x14ac:dyDescent="0.3">
      <c r="A175" s="1" t="str">
        <f t="shared" si="2"/>
        <v>06 EE2 170.9</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747</v>
      </c>
      <c r="D175" s="1" t="s">
        <v>748</v>
      </c>
      <c r="E175" s="1" t="s">
        <v>749</v>
      </c>
      <c r="F175" s="1" t="s">
        <v>112</v>
      </c>
      <c r="G175" s="1">
        <v>1575089</v>
      </c>
    </row>
    <row r="176" spans="1:7" x14ac:dyDescent="0.3">
      <c r="A176" s="1" t="str">
        <f t="shared" si="2"/>
        <v>06 EE2 170.9</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750</v>
      </c>
      <c r="D176" s="1" t="s">
        <v>751</v>
      </c>
      <c r="E176" s="1" t="s">
        <v>752</v>
      </c>
      <c r="F176" s="1" t="s">
        <v>112</v>
      </c>
      <c r="G176" s="1">
        <v>156622</v>
      </c>
    </row>
    <row r="177" spans="1:10" x14ac:dyDescent="0.3">
      <c r="A177" s="1" t="str">
        <f t="shared" si="2"/>
        <v>06 EE2 170.9</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753</v>
      </c>
      <c r="D177" s="1" t="s">
        <v>264</v>
      </c>
      <c r="E177" s="1" t="s">
        <v>754</v>
      </c>
      <c r="F177" s="1" t="s">
        <v>112</v>
      </c>
      <c r="G177" s="1">
        <v>1009770</v>
      </c>
    </row>
    <row r="178" spans="1:10" x14ac:dyDescent="0.3">
      <c r="A178" s="1" t="str">
        <f t="shared" si="2"/>
        <v>06 EE2 170.9</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755</v>
      </c>
      <c r="D178" s="1" t="s">
        <v>756</v>
      </c>
      <c r="E178" s="1" t="s">
        <v>757</v>
      </c>
      <c r="F178" s="1" t="s">
        <v>112</v>
      </c>
      <c r="G178" s="1">
        <v>1649366</v>
      </c>
    </row>
    <row r="179" spans="1:10" x14ac:dyDescent="0.3">
      <c r="A179" s="1" t="str">
        <f t="shared" si="2"/>
        <v>06 EE2 170.9</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758</v>
      </c>
      <c r="D179" s="1" t="s">
        <v>759</v>
      </c>
      <c r="E179" s="1" t="s">
        <v>760</v>
      </c>
      <c r="F179" s="1" t="s">
        <v>112</v>
      </c>
      <c r="G179" s="1">
        <v>3635661</v>
      </c>
    </row>
    <row r="180" spans="1:10" x14ac:dyDescent="0.3">
      <c r="A180" s="1" t="str">
        <f t="shared" si="2"/>
        <v>06 EE2 170.9</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761</v>
      </c>
      <c r="D180" s="1" t="s">
        <v>762</v>
      </c>
      <c r="E180" s="1" t="s">
        <v>763</v>
      </c>
      <c r="F180" s="1" t="s">
        <v>112</v>
      </c>
      <c r="G180" s="1">
        <v>3263454</v>
      </c>
    </row>
    <row r="181" spans="1:10" x14ac:dyDescent="0.3">
      <c r="A181" s="1" t="str">
        <f t="shared" si="2"/>
        <v>06 EE2 170.9</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764</v>
      </c>
      <c r="D181" s="1" t="s">
        <v>765</v>
      </c>
      <c r="E181" s="1" t="s">
        <v>766</v>
      </c>
      <c r="F181" s="1" t="s">
        <v>112</v>
      </c>
      <c r="G181" s="1">
        <v>2996757</v>
      </c>
    </row>
    <row r="182" spans="1:10" x14ac:dyDescent="0.3">
      <c r="A182" s="1" t="str">
        <f t="shared" si="2"/>
        <v>06 EE2 170.9</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767</v>
      </c>
      <c r="D182" s="1" t="s">
        <v>768</v>
      </c>
      <c r="E182" s="1" t="s">
        <v>769</v>
      </c>
      <c r="F182" s="1" t="s">
        <v>112</v>
      </c>
      <c r="G182" s="1">
        <v>2408748</v>
      </c>
    </row>
    <row r="183" spans="1:10" x14ac:dyDescent="0.3">
      <c r="A183" s="1" t="str">
        <f t="shared" si="2"/>
        <v>06 EE2 170.9</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770</v>
      </c>
      <c r="D183" s="1" t="s">
        <v>771</v>
      </c>
      <c r="E183" s="1" t="s">
        <v>772</v>
      </c>
      <c r="F183" s="1" t="s">
        <v>112</v>
      </c>
      <c r="G183" s="1">
        <v>2617282</v>
      </c>
    </row>
    <row r="184" spans="1:10" x14ac:dyDescent="0.3">
      <c r="A184" s="1" t="str">
        <f t="shared" si="2"/>
        <v>06 EE2 170.9</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773</v>
      </c>
      <c r="D184" s="1" t="s">
        <v>774</v>
      </c>
      <c r="E184" s="1" t="s">
        <v>775</v>
      </c>
      <c r="F184" s="1" t="s">
        <v>112</v>
      </c>
      <c r="G184" s="1">
        <v>2375698</v>
      </c>
    </row>
    <row r="185" spans="1:10" x14ac:dyDescent="0.3">
      <c r="A185" s="1" t="str">
        <f t="shared" si="2"/>
        <v>06 EE2 170.9</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776</v>
      </c>
      <c r="D185" s="1" t="s">
        <v>777</v>
      </c>
      <c r="E185" s="1" t="s">
        <v>778</v>
      </c>
      <c r="F185" s="1" t="s">
        <v>112</v>
      </c>
      <c r="G185" s="1">
        <v>2008292</v>
      </c>
    </row>
    <row r="186" spans="1:10" x14ac:dyDescent="0.3">
      <c r="A186" s="1" t="str">
        <f t="shared" si="2"/>
        <v>06 EE2 170.9</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779</v>
      </c>
      <c r="D186" s="1" t="s">
        <v>780</v>
      </c>
      <c r="E186" s="1" t="s">
        <v>781</v>
      </c>
      <c r="F186" s="1" t="s">
        <v>112</v>
      </c>
      <c r="G186" s="1">
        <v>1837633</v>
      </c>
    </row>
    <row r="187" spans="1:10" x14ac:dyDescent="0.3">
      <c r="A187" s="1" t="str">
        <f t="shared" si="2"/>
        <v>06 EE2 170.9</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782</v>
      </c>
      <c r="D187" s="1" t="s">
        <v>783</v>
      </c>
      <c r="E187" s="1" t="s">
        <v>784</v>
      </c>
      <c r="F187" s="1" t="s">
        <v>112</v>
      </c>
      <c r="G187" s="1">
        <v>1889393</v>
      </c>
    </row>
    <row r="188" spans="1:10" x14ac:dyDescent="0.3">
      <c r="A188" s="1" t="str">
        <f t="shared" si="2"/>
        <v>06 EE2 170.9</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785</v>
      </c>
      <c r="D188" s="1" t="s">
        <v>786</v>
      </c>
      <c r="E188" s="1" t="s">
        <v>787</v>
      </c>
      <c r="F188" s="1" t="s">
        <v>112</v>
      </c>
      <c r="G188" s="1">
        <v>2531087</v>
      </c>
    </row>
    <row r="189" spans="1:10" x14ac:dyDescent="0.3">
      <c r="A189" s="1" t="str">
        <f t="shared" si="2"/>
        <v>06 EE2 170.9</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788</v>
      </c>
      <c r="D189" s="1" t="s">
        <v>789</v>
      </c>
      <c r="E189" s="1" t="s">
        <v>790</v>
      </c>
      <c r="F189" s="1" t="s">
        <v>112</v>
      </c>
      <c r="G189" s="1">
        <v>2572487</v>
      </c>
    </row>
    <row r="190" spans="1:10" x14ac:dyDescent="0.3">
      <c r="A190" s="1" t="str">
        <f t="shared" si="2"/>
        <v>06 EE2 170.9</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791</v>
      </c>
      <c r="D190" s="1" t="s">
        <v>792</v>
      </c>
      <c r="E190" s="1" t="s">
        <v>793</v>
      </c>
      <c r="F190" s="1" t="s">
        <v>112</v>
      </c>
      <c r="G190" s="1">
        <v>2293504</v>
      </c>
    </row>
    <row r="191" spans="1:10" x14ac:dyDescent="0.3">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3">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195</v>
      </c>
      <c r="D192" s="1" t="s">
        <v>112</v>
      </c>
      <c r="E192" s="1" t="s">
        <v>196</v>
      </c>
      <c r="F192" s="1" t="s">
        <v>197</v>
      </c>
      <c r="G192" s="1" t="s">
        <v>198</v>
      </c>
      <c r="H192" s="1" t="s">
        <v>199</v>
      </c>
      <c r="I192" s="1" t="s">
        <v>200</v>
      </c>
      <c r="J192" s="1" t="s">
        <v>201</v>
      </c>
    </row>
    <row r="193" spans="1:10" x14ac:dyDescent="0.3">
      <c r="A193" s="1" t="str">
        <f t="shared" si="2"/>
        <v>06 EE2 170.9</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794</v>
      </c>
      <c r="D193" s="1" t="s">
        <v>112</v>
      </c>
      <c r="E193" s="1" t="s">
        <v>795</v>
      </c>
      <c r="F193" s="1" t="s">
        <v>796</v>
      </c>
      <c r="G193" s="1" t="s">
        <v>797</v>
      </c>
      <c r="H193" s="1" t="s">
        <v>798</v>
      </c>
      <c r="I193" s="1">
        <v>24</v>
      </c>
      <c r="J193" s="1">
        <v>24</v>
      </c>
    </row>
    <row r="194" spans="1:10" x14ac:dyDescent="0.3">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3">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3">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3">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3">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3">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202</v>
      </c>
      <c r="D199" s="1" t="s">
        <v>110</v>
      </c>
      <c r="E199" s="1" t="s">
        <v>111</v>
      </c>
      <c r="F199" s="1" t="s">
        <v>112</v>
      </c>
      <c r="G199" s="1" t="s">
        <v>113</v>
      </c>
    </row>
    <row r="200" spans="1:10" x14ac:dyDescent="0.3">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799</v>
      </c>
      <c r="D200" s="1" t="s">
        <v>800</v>
      </c>
      <c r="E200" s="1" t="s">
        <v>801</v>
      </c>
      <c r="F200" s="1" t="s">
        <v>112</v>
      </c>
      <c r="G200" s="1">
        <v>4282481</v>
      </c>
    </row>
    <row r="201" spans="1:10" x14ac:dyDescent="0.3">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802</v>
      </c>
      <c r="D201" s="1" t="s">
        <v>803</v>
      </c>
      <c r="E201" s="1" t="s">
        <v>804</v>
      </c>
      <c r="F201" s="1" t="s">
        <v>112</v>
      </c>
      <c r="G201" s="1">
        <v>4603490</v>
      </c>
    </row>
    <row r="202" spans="1:10" x14ac:dyDescent="0.3">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805</v>
      </c>
      <c r="D202" s="1" t="s">
        <v>806</v>
      </c>
      <c r="E202" s="1" t="s">
        <v>807</v>
      </c>
      <c r="F202" s="1" t="s">
        <v>112</v>
      </c>
      <c r="G202" s="1">
        <v>4632085</v>
      </c>
    </row>
    <row r="203" spans="1:10" x14ac:dyDescent="0.3">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808</v>
      </c>
      <c r="D203" s="1" t="s">
        <v>623</v>
      </c>
      <c r="E203" s="1" t="s">
        <v>809</v>
      </c>
      <c r="F203" s="1" t="s">
        <v>112</v>
      </c>
      <c r="G203" s="1">
        <v>1004449</v>
      </c>
    </row>
    <row r="204" spans="1:10" x14ac:dyDescent="0.3">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810</v>
      </c>
      <c r="D204" s="1" t="s">
        <v>811</v>
      </c>
      <c r="E204" s="1" t="s">
        <v>812</v>
      </c>
      <c r="F204" s="1" t="s">
        <v>112</v>
      </c>
      <c r="G204" s="1">
        <v>970360</v>
      </c>
    </row>
    <row r="205" spans="1:10" x14ac:dyDescent="0.3">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813</v>
      </c>
      <c r="D205" s="1" t="s">
        <v>814</v>
      </c>
      <c r="E205" s="1" t="s">
        <v>815</v>
      </c>
      <c r="F205" s="1" t="s">
        <v>112</v>
      </c>
      <c r="G205" s="1">
        <v>817069</v>
      </c>
    </row>
    <row r="206" spans="1:10" x14ac:dyDescent="0.3">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816</v>
      </c>
      <c r="D206" s="1" t="s">
        <v>817</v>
      </c>
      <c r="E206" s="1" t="s">
        <v>818</v>
      </c>
      <c r="F206" s="1" t="s">
        <v>112</v>
      </c>
      <c r="G206" s="1">
        <v>4929669</v>
      </c>
    </row>
    <row r="207" spans="1:10" x14ac:dyDescent="0.3">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819</v>
      </c>
      <c r="D207" s="1" t="s">
        <v>820</v>
      </c>
      <c r="E207" s="1" t="s">
        <v>821</v>
      </c>
      <c r="F207" s="1" t="s">
        <v>112</v>
      </c>
      <c r="G207" s="1">
        <v>4721330</v>
      </c>
    </row>
    <row r="208" spans="1:10" x14ac:dyDescent="0.3">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822</v>
      </c>
      <c r="D208" s="1" t="s">
        <v>823</v>
      </c>
      <c r="E208" s="1" t="s">
        <v>824</v>
      </c>
      <c r="F208" s="1" t="s">
        <v>112</v>
      </c>
      <c r="G208" s="1">
        <v>4920844</v>
      </c>
    </row>
    <row r="209" spans="1:7" x14ac:dyDescent="0.3">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825</v>
      </c>
      <c r="D209" s="1" t="s">
        <v>826</v>
      </c>
      <c r="E209" s="1" t="s">
        <v>827</v>
      </c>
      <c r="F209" s="1" t="s">
        <v>112</v>
      </c>
      <c r="G209" s="1">
        <v>3561167</v>
      </c>
    </row>
    <row r="210" spans="1:7" x14ac:dyDescent="0.3">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828</v>
      </c>
      <c r="D210" s="1" t="s">
        <v>829</v>
      </c>
      <c r="E210" s="1" t="s">
        <v>830</v>
      </c>
      <c r="F210" s="1" t="s">
        <v>112</v>
      </c>
      <c r="G210" s="1">
        <v>3728518</v>
      </c>
    </row>
    <row r="211" spans="1:7" x14ac:dyDescent="0.3">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831</v>
      </c>
    </row>
    <row r="212" spans="1:7" x14ac:dyDescent="0.3">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832</v>
      </c>
      <c r="D212" s="1" t="s">
        <v>833</v>
      </c>
      <c r="E212" s="1" t="s">
        <v>834</v>
      </c>
      <c r="F212" s="1" t="s">
        <v>112</v>
      </c>
      <c r="G212" s="1">
        <v>2785476</v>
      </c>
    </row>
    <row r="213" spans="1:7" x14ac:dyDescent="0.3">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835</v>
      </c>
      <c r="D213" s="1" t="s">
        <v>836</v>
      </c>
      <c r="E213" s="1" t="s">
        <v>837</v>
      </c>
      <c r="F213" s="1" t="s">
        <v>112</v>
      </c>
      <c r="G213" s="1">
        <v>2918651</v>
      </c>
    </row>
    <row r="214" spans="1:7" x14ac:dyDescent="0.3">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838</v>
      </c>
      <c r="D214" s="1" t="s">
        <v>839</v>
      </c>
      <c r="E214" s="1" t="s">
        <v>840</v>
      </c>
      <c r="F214" s="1" t="s">
        <v>112</v>
      </c>
      <c r="G214" s="1">
        <v>2908464</v>
      </c>
    </row>
    <row r="215" spans="1:7" x14ac:dyDescent="0.3">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841</v>
      </c>
      <c r="D215" s="1" t="s">
        <v>842</v>
      </c>
      <c r="E215" s="1" t="s">
        <v>843</v>
      </c>
      <c r="F215" s="1" t="s">
        <v>112</v>
      </c>
      <c r="G215" s="1">
        <v>2697248</v>
      </c>
    </row>
    <row r="216" spans="1:7" x14ac:dyDescent="0.3">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844</v>
      </c>
      <c r="D216" s="1" t="s">
        <v>845</v>
      </c>
      <c r="E216" s="1" t="s">
        <v>846</v>
      </c>
      <c r="F216" s="1" t="s">
        <v>112</v>
      </c>
      <c r="G216" s="1">
        <v>2401113</v>
      </c>
    </row>
    <row r="217" spans="1:7" x14ac:dyDescent="0.3">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847</v>
      </c>
      <c r="D217" s="1" t="s">
        <v>848</v>
      </c>
      <c r="E217" s="1" t="s">
        <v>849</v>
      </c>
      <c r="F217" s="1" t="s">
        <v>112</v>
      </c>
      <c r="G217" s="1">
        <v>2615465</v>
      </c>
    </row>
    <row r="218" spans="1:7" x14ac:dyDescent="0.3">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850</v>
      </c>
      <c r="D218" s="1" t="s">
        <v>851</v>
      </c>
      <c r="E218" s="1" t="s">
        <v>852</v>
      </c>
      <c r="F218" s="1" t="s">
        <v>112</v>
      </c>
      <c r="G218" s="1">
        <v>950374</v>
      </c>
    </row>
    <row r="219" spans="1:7" x14ac:dyDescent="0.3">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853</v>
      </c>
      <c r="D219" s="1" t="s">
        <v>854</v>
      </c>
      <c r="E219" s="1" t="s">
        <v>855</v>
      </c>
      <c r="F219" s="1" t="s">
        <v>112</v>
      </c>
      <c r="G219" s="1">
        <v>917670</v>
      </c>
    </row>
    <row r="220" spans="1:7" x14ac:dyDescent="0.3">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856</v>
      </c>
      <c r="D220" s="1" t="s">
        <v>857</v>
      </c>
      <c r="E220" s="1" t="s">
        <v>858</v>
      </c>
      <c r="F220" s="1" t="s">
        <v>112</v>
      </c>
      <c r="G220" s="1">
        <v>1241232</v>
      </c>
    </row>
    <row r="221" spans="1:7" x14ac:dyDescent="0.3">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859</v>
      </c>
      <c r="D221" s="1" t="s">
        <v>860</v>
      </c>
      <c r="E221" s="1" t="s">
        <v>861</v>
      </c>
      <c r="F221" s="1" t="s">
        <v>112</v>
      </c>
      <c r="G221" s="1">
        <v>2840805</v>
      </c>
    </row>
    <row r="222" spans="1:7" x14ac:dyDescent="0.3">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862</v>
      </c>
      <c r="D222" s="1" t="s">
        <v>863</v>
      </c>
      <c r="E222" s="1" t="s">
        <v>864</v>
      </c>
      <c r="F222" s="1" t="s">
        <v>112</v>
      </c>
      <c r="G222" s="1">
        <v>3046095</v>
      </c>
    </row>
    <row r="223" spans="1:7" x14ac:dyDescent="0.3">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865</v>
      </c>
      <c r="D223" s="1" t="s">
        <v>866</v>
      </c>
      <c r="E223" s="1" t="s">
        <v>867</v>
      </c>
      <c r="F223" s="1" t="s">
        <v>112</v>
      </c>
      <c r="G223" s="1">
        <v>2895053</v>
      </c>
    </row>
    <row r="224" spans="1:7" x14ac:dyDescent="0.3">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3">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195</v>
      </c>
      <c r="D225" s="1" t="s">
        <v>112</v>
      </c>
      <c r="E225" s="1" t="s">
        <v>196</v>
      </c>
      <c r="F225" s="1" t="s">
        <v>197</v>
      </c>
      <c r="G225" s="1" t="s">
        <v>198</v>
      </c>
      <c r="H225" s="1" t="s">
        <v>199</v>
      </c>
      <c r="I225" s="1" t="s">
        <v>200</v>
      </c>
      <c r="J225" s="1" t="s">
        <v>201</v>
      </c>
    </row>
    <row r="226" spans="1:10" x14ac:dyDescent="0.3">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868</v>
      </c>
      <c r="D226" s="1" t="s">
        <v>112</v>
      </c>
      <c r="E226" s="1" t="s">
        <v>869</v>
      </c>
      <c r="F226" s="1" t="s">
        <v>870</v>
      </c>
      <c r="G226" s="1" t="s">
        <v>871</v>
      </c>
      <c r="H226" s="1" t="s">
        <v>872</v>
      </c>
      <c r="I226" s="1">
        <v>24</v>
      </c>
      <c r="J226" s="1">
        <v>24</v>
      </c>
    </row>
    <row r="227" spans="1:10" x14ac:dyDescent="0.3">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3">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3">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3">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3">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3">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202</v>
      </c>
      <c r="D232" s="1" t="s">
        <v>110</v>
      </c>
      <c r="E232" s="1" t="s">
        <v>111</v>
      </c>
      <c r="F232" s="1" t="s">
        <v>112</v>
      </c>
      <c r="G232" s="1" t="s">
        <v>113</v>
      </c>
    </row>
    <row r="233" spans="1:10" x14ac:dyDescent="0.3">
      <c r="A233" s="1" t="str">
        <f t="shared" si="3"/>
        <v>08 Dutastéride 0.01mg_L</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873</v>
      </c>
      <c r="D233" s="1" t="s">
        <v>874</v>
      </c>
      <c r="E233" s="1" t="s">
        <v>875</v>
      </c>
      <c r="F233" s="1" t="s">
        <v>112</v>
      </c>
      <c r="G233" s="1">
        <v>453298</v>
      </c>
    </row>
    <row r="234" spans="1:10" x14ac:dyDescent="0.3">
      <c r="A234" s="1" t="str">
        <f t="shared" si="3"/>
        <v>08 Dutastéride 0.01mg_L</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876</v>
      </c>
      <c r="D234" s="1" t="s">
        <v>877</v>
      </c>
      <c r="E234" s="1" t="s">
        <v>878</v>
      </c>
      <c r="F234" s="1" t="s">
        <v>112</v>
      </c>
      <c r="G234" s="1">
        <v>216796</v>
      </c>
    </row>
    <row r="235" spans="1:10" x14ac:dyDescent="0.3">
      <c r="A235" s="1" t="str">
        <f t="shared" si="3"/>
        <v>08 Dutastéride 0.01mg_L</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879</v>
      </c>
      <c r="D235" s="1" t="s">
        <v>294</v>
      </c>
      <c r="E235" s="1" t="s">
        <v>880</v>
      </c>
      <c r="F235" s="1" t="s">
        <v>112</v>
      </c>
      <c r="G235" s="1">
        <v>250258</v>
      </c>
    </row>
    <row r="236" spans="1:10" x14ac:dyDescent="0.3">
      <c r="A236" s="1" t="str">
        <f t="shared" si="3"/>
        <v>08 Dutastéride 0.01mg_L</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881</v>
      </c>
      <c r="D236" s="1" t="s">
        <v>508</v>
      </c>
      <c r="E236" s="1" t="s">
        <v>882</v>
      </c>
      <c r="F236" s="1" t="s">
        <v>112</v>
      </c>
      <c r="G236" s="1">
        <v>297151</v>
      </c>
    </row>
    <row r="237" spans="1:10" x14ac:dyDescent="0.3">
      <c r="A237" s="1" t="str">
        <f t="shared" si="3"/>
        <v>08 Dutastéride 0.01mg_L</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883</v>
      </c>
      <c r="D237" s="1" t="s">
        <v>326</v>
      </c>
      <c r="E237" s="1" t="s">
        <v>884</v>
      </c>
      <c r="F237" s="1" t="s">
        <v>112</v>
      </c>
      <c r="G237" s="1">
        <v>29914</v>
      </c>
    </row>
    <row r="238" spans="1:10" x14ac:dyDescent="0.3">
      <c r="A238" s="1" t="str">
        <f t="shared" si="3"/>
        <v>08 Dutastéride 0.01mg_L</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885</v>
      </c>
      <c r="D238" s="1" t="s">
        <v>233</v>
      </c>
      <c r="E238" s="1" t="s">
        <v>886</v>
      </c>
      <c r="F238" s="1" t="s">
        <v>112</v>
      </c>
      <c r="G238" s="1">
        <v>54680</v>
      </c>
    </row>
    <row r="239" spans="1:10" x14ac:dyDescent="0.3">
      <c r="A239" s="1" t="str">
        <f t="shared" si="3"/>
        <v>08 Dutastéride 0.01mg_L</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887</v>
      </c>
      <c r="D239" s="1" t="s">
        <v>211</v>
      </c>
      <c r="E239" s="1" t="s">
        <v>244</v>
      </c>
      <c r="F239" s="1" t="s">
        <v>112</v>
      </c>
      <c r="G239" s="1">
        <v>24896</v>
      </c>
    </row>
    <row r="240" spans="1:10" x14ac:dyDescent="0.3">
      <c r="A240" s="1" t="str">
        <f t="shared" si="3"/>
        <v>08 Dutastéride 0.01mg_L</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888</v>
      </c>
      <c r="D240" s="1" t="s">
        <v>192</v>
      </c>
      <c r="E240" s="1" t="s">
        <v>304</v>
      </c>
      <c r="F240" s="1" t="s">
        <v>112</v>
      </c>
      <c r="G240" s="1">
        <v>13930</v>
      </c>
    </row>
    <row r="241" spans="1:7" x14ac:dyDescent="0.3">
      <c r="A241" s="1" t="str">
        <f t="shared" si="3"/>
        <v>08 Dutastéride 0.01mg_L</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889</v>
      </c>
      <c r="D241" s="1" t="s">
        <v>192</v>
      </c>
      <c r="E241" s="1" t="s">
        <v>890</v>
      </c>
      <c r="F241" s="1" t="s">
        <v>112</v>
      </c>
      <c r="G241" s="1">
        <v>13865</v>
      </c>
    </row>
    <row r="242" spans="1:7" x14ac:dyDescent="0.3">
      <c r="A242" s="1" t="str">
        <f t="shared" si="3"/>
        <v>08 Dutastéride 0.01mg_L</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891</v>
      </c>
      <c r="D242" s="1" t="s">
        <v>235</v>
      </c>
      <c r="E242" s="1" t="s">
        <v>892</v>
      </c>
      <c r="F242" s="1" t="s">
        <v>112</v>
      </c>
      <c r="G242" s="1">
        <v>117191</v>
      </c>
    </row>
    <row r="243" spans="1:7" x14ac:dyDescent="0.3">
      <c r="A243" s="1" t="str">
        <f t="shared" si="3"/>
        <v>08 Dutastéride 0.01mg_L</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893</v>
      </c>
      <c r="D243" s="1" t="s">
        <v>299</v>
      </c>
      <c r="E243" s="1" t="s">
        <v>894</v>
      </c>
      <c r="F243" s="1" t="s">
        <v>112</v>
      </c>
      <c r="G243" s="1">
        <v>69843</v>
      </c>
    </row>
    <row r="244" spans="1:7" x14ac:dyDescent="0.3">
      <c r="A244" s="1" t="str">
        <f t="shared" si="3"/>
        <v>08 Dutastéride 0.01mg_L</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895</v>
      </c>
      <c r="D244" s="1" t="s">
        <v>246</v>
      </c>
      <c r="E244" s="1" t="s">
        <v>896</v>
      </c>
      <c r="F244" s="1" t="s">
        <v>112</v>
      </c>
      <c r="G244" s="1">
        <v>191598</v>
      </c>
    </row>
    <row r="245" spans="1:7" x14ac:dyDescent="0.3">
      <c r="A245" s="1" t="str">
        <f t="shared" si="3"/>
        <v>08 Dutastéride 0.01mg_L</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897</v>
      </c>
      <c r="D245" s="1" t="s">
        <v>898</v>
      </c>
      <c r="E245" s="1" t="s">
        <v>899</v>
      </c>
      <c r="F245" s="1" t="s">
        <v>112</v>
      </c>
      <c r="G245" s="1">
        <v>196421</v>
      </c>
    </row>
    <row r="246" spans="1:7" x14ac:dyDescent="0.3">
      <c r="A246" s="1" t="str">
        <f t="shared" si="3"/>
        <v>08 Dutastéride 0.01mg_L</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900</v>
      </c>
      <c r="D246" s="1" t="s">
        <v>322</v>
      </c>
      <c r="E246" s="1" t="s">
        <v>901</v>
      </c>
      <c r="F246" s="1" t="s">
        <v>112</v>
      </c>
      <c r="G246" s="1">
        <v>74861</v>
      </c>
    </row>
    <row r="247" spans="1:7" x14ac:dyDescent="0.3">
      <c r="A247" s="1" t="str">
        <f t="shared" si="3"/>
        <v>08 Dutastéride 0.01mg_L</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902</v>
      </c>
      <c r="D247" s="1" t="s">
        <v>349</v>
      </c>
      <c r="E247" s="1" t="s">
        <v>215</v>
      </c>
      <c r="F247" s="1" t="s">
        <v>112</v>
      </c>
      <c r="G247" s="1">
        <v>76051</v>
      </c>
    </row>
    <row r="248" spans="1:7" x14ac:dyDescent="0.3">
      <c r="A248" s="1" t="str">
        <f t="shared" si="3"/>
        <v>08 Dutastéride 0.01mg_L</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903</v>
      </c>
      <c r="D248" s="1" t="s">
        <v>282</v>
      </c>
      <c r="E248" s="1" t="s">
        <v>904</v>
      </c>
      <c r="F248" s="1" t="s">
        <v>112</v>
      </c>
      <c r="G248" s="1">
        <v>66317</v>
      </c>
    </row>
    <row r="249" spans="1:7" x14ac:dyDescent="0.3">
      <c r="A249" s="1" t="str">
        <f t="shared" si="3"/>
        <v>08 Dutastéride 0.01mg_L</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905</v>
      </c>
      <c r="D249" s="1" t="s">
        <v>308</v>
      </c>
      <c r="E249" s="1" t="s">
        <v>906</v>
      </c>
      <c r="F249" s="1" t="s">
        <v>112</v>
      </c>
      <c r="G249" s="1">
        <v>46461</v>
      </c>
    </row>
    <row r="250" spans="1:7" x14ac:dyDescent="0.3">
      <c r="A250" s="1" t="str">
        <f t="shared" si="3"/>
        <v>08 Dutastéride 0.01mg_L</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907</v>
      </c>
      <c r="D250" s="1" t="s">
        <v>194</v>
      </c>
      <c r="E250" s="1" t="s">
        <v>302</v>
      </c>
      <c r="F250" s="1" t="s">
        <v>112</v>
      </c>
      <c r="G250" s="1">
        <v>20224</v>
      </c>
    </row>
    <row r="251" spans="1:7" x14ac:dyDescent="0.3">
      <c r="A251" s="1" t="str">
        <f t="shared" si="3"/>
        <v>08 Dutastéride 0.01mg_L</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908</v>
      </c>
      <c r="D251" s="1" t="s">
        <v>226</v>
      </c>
      <c r="E251" s="1" t="s">
        <v>909</v>
      </c>
      <c r="F251" s="1" t="s">
        <v>112</v>
      </c>
      <c r="G251" s="1">
        <v>11550</v>
      </c>
    </row>
    <row r="252" spans="1:7" x14ac:dyDescent="0.3">
      <c r="A252" s="1" t="str">
        <f t="shared" si="3"/>
        <v>08 Dutastéride 0.01mg_L</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910</v>
      </c>
      <c r="D252" s="1" t="s">
        <v>308</v>
      </c>
      <c r="E252" s="1" t="s">
        <v>911</v>
      </c>
      <c r="F252" s="1" t="s">
        <v>112</v>
      </c>
      <c r="G252" s="1">
        <v>47132</v>
      </c>
    </row>
    <row r="253" spans="1:7" x14ac:dyDescent="0.3">
      <c r="A253" s="1" t="str">
        <f t="shared" si="3"/>
        <v>08 Dutastéride 0.01mg_L</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912</v>
      </c>
      <c r="D253" s="1" t="s">
        <v>194</v>
      </c>
      <c r="E253" s="1" t="s">
        <v>913</v>
      </c>
      <c r="F253" s="1" t="s">
        <v>112</v>
      </c>
      <c r="G253" s="1">
        <v>20484</v>
      </c>
    </row>
    <row r="254" spans="1:7" x14ac:dyDescent="0.3">
      <c r="A254" s="1" t="str">
        <f t="shared" si="3"/>
        <v>08 Dutastéride 0.01mg_L</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914</v>
      </c>
      <c r="D254" s="1" t="s">
        <v>353</v>
      </c>
      <c r="E254" s="1" t="s">
        <v>915</v>
      </c>
      <c r="F254" s="1" t="s">
        <v>112</v>
      </c>
      <c r="G254" s="1">
        <v>276992</v>
      </c>
    </row>
    <row r="255" spans="1:7" x14ac:dyDescent="0.3">
      <c r="A255" s="1" t="str">
        <f t="shared" si="3"/>
        <v>08 Dutastéride 0.01mg_L</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916</v>
      </c>
      <c r="D255" s="1" t="s">
        <v>290</v>
      </c>
      <c r="E255" s="1" t="s">
        <v>917</v>
      </c>
      <c r="F255" s="1" t="s">
        <v>112</v>
      </c>
      <c r="G255" s="1">
        <v>176738</v>
      </c>
    </row>
    <row r="256" spans="1:7" x14ac:dyDescent="0.3">
      <c r="A256" s="1" t="str">
        <f t="shared" si="3"/>
        <v>08 Dutastéride 0.01mg_L</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918</v>
      </c>
      <c r="D256" s="1" t="s">
        <v>194</v>
      </c>
      <c r="E256" s="1">
        <v>64</v>
      </c>
      <c r="F256" s="1" t="s">
        <v>112</v>
      </c>
      <c r="G256" s="1">
        <v>20765</v>
      </c>
    </row>
    <row r="257" spans="1:10" x14ac:dyDescent="0.3">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3">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195</v>
      </c>
      <c r="D258" s="1" t="s">
        <v>112</v>
      </c>
      <c r="E258" s="1" t="s">
        <v>196</v>
      </c>
      <c r="F258" s="1" t="s">
        <v>197</v>
      </c>
      <c r="G258" s="1" t="s">
        <v>198</v>
      </c>
      <c r="H258" s="1" t="s">
        <v>199</v>
      </c>
      <c r="I258" s="1" t="s">
        <v>200</v>
      </c>
      <c r="J258" s="1" t="s">
        <v>201</v>
      </c>
    </row>
    <row r="259" spans="1:10" x14ac:dyDescent="0.3">
      <c r="A259" s="1" t="str">
        <f t="shared" si="4"/>
        <v>08 Dutastéride 0.01mg_L</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919</v>
      </c>
      <c r="D259" s="1" t="s">
        <v>112</v>
      </c>
      <c r="E259" s="1" t="s">
        <v>920</v>
      </c>
      <c r="F259" s="1" t="s">
        <v>921</v>
      </c>
      <c r="G259" s="1">
        <v>115309</v>
      </c>
      <c r="H259" s="1" t="s">
        <v>922</v>
      </c>
      <c r="I259" s="1">
        <v>24</v>
      </c>
      <c r="J259" s="1">
        <v>24</v>
      </c>
    </row>
    <row r="260" spans="1:10" x14ac:dyDescent="0.3">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3">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3">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3">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3">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3">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202</v>
      </c>
      <c r="D265" s="1" t="s">
        <v>110</v>
      </c>
      <c r="E265" s="1" t="s">
        <v>111</v>
      </c>
      <c r="F265" s="1" t="s">
        <v>112</v>
      </c>
      <c r="G265" s="1" t="s">
        <v>113</v>
      </c>
    </row>
    <row r="266" spans="1:10" x14ac:dyDescent="0.3">
      <c r="A266" s="1" t="str">
        <f t="shared" si="4"/>
        <v>09 Dutastéride 0.1mg_L</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923</v>
      </c>
      <c r="D266" s="1" t="s">
        <v>285</v>
      </c>
      <c r="E266" s="1" t="s">
        <v>924</v>
      </c>
      <c r="F266" s="1" t="s">
        <v>112</v>
      </c>
      <c r="G266" s="1">
        <v>57709</v>
      </c>
    </row>
    <row r="267" spans="1:10" x14ac:dyDescent="0.3">
      <c r="A267" s="1" t="str">
        <f t="shared" si="4"/>
        <v>09 Dutastéride 0.1mg_L</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925</v>
      </c>
      <c r="D267" s="1" t="s">
        <v>310</v>
      </c>
      <c r="E267" s="1" t="s">
        <v>926</v>
      </c>
      <c r="F267" s="1" t="s">
        <v>112</v>
      </c>
      <c r="G267" s="1">
        <v>61688</v>
      </c>
    </row>
    <row r="268" spans="1:10" x14ac:dyDescent="0.3">
      <c r="A268" s="1" t="str">
        <f t="shared" si="4"/>
        <v>09 Dutastéride 0.1mg_L</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927</v>
      </c>
      <c r="D268" s="1" t="s">
        <v>323</v>
      </c>
      <c r="E268" s="1" t="s">
        <v>586</v>
      </c>
      <c r="F268" s="1" t="s">
        <v>112</v>
      </c>
      <c r="G268" s="1">
        <v>28335</v>
      </c>
    </row>
    <row r="269" spans="1:10" x14ac:dyDescent="0.3">
      <c r="A269" s="1" t="str">
        <f t="shared" si="4"/>
        <v>09 Dutastéride 0.1mg_L</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928</v>
      </c>
      <c r="D269" s="1" t="s">
        <v>320</v>
      </c>
      <c r="E269" s="1" t="s">
        <v>929</v>
      </c>
      <c r="F269" s="1" t="s">
        <v>112</v>
      </c>
      <c r="G269" s="1">
        <v>121344</v>
      </c>
    </row>
    <row r="270" spans="1:10" x14ac:dyDescent="0.3">
      <c r="A270" s="1" t="str">
        <f t="shared" si="4"/>
        <v>09 Dutastéride 0.1mg_L</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930</v>
      </c>
      <c r="D270" s="1" t="s">
        <v>276</v>
      </c>
      <c r="E270" s="1" t="s">
        <v>931</v>
      </c>
      <c r="F270" s="1" t="s">
        <v>112</v>
      </c>
      <c r="G270" s="1">
        <v>147689</v>
      </c>
    </row>
    <row r="271" spans="1:10" x14ac:dyDescent="0.3">
      <c r="A271" s="1" t="str">
        <f t="shared" si="4"/>
        <v>09 Dutastéride 0.1mg_L</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932</v>
      </c>
      <c r="D271" s="1" t="s">
        <v>245</v>
      </c>
      <c r="E271" s="1" t="s">
        <v>933</v>
      </c>
      <c r="F271" s="1" t="s">
        <v>112</v>
      </c>
      <c r="G271" s="1">
        <v>29027</v>
      </c>
    </row>
    <row r="272" spans="1:10" x14ac:dyDescent="0.3">
      <c r="A272" s="1" t="str">
        <f t="shared" si="4"/>
        <v>09 Dutastéride 0.1mg_L</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934</v>
      </c>
      <c r="D272" s="1" t="s">
        <v>935</v>
      </c>
      <c r="E272" s="1" t="s">
        <v>936</v>
      </c>
      <c r="F272" s="1" t="s">
        <v>112</v>
      </c>
      <c r="G272" s="1">
        <v>501597</v>
      </c>
    </row>
    <row r="273" spans="1:7" x14ac:dyDescent="0.3">
      <c r="A273" s="1" t="str">
        <f t="shared" si="4"/>
        <v>09 Dutastéride 0.1mg_L</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937</v>
      </c>
      <c r="D273" s="1" t="s">
        <v>365</v>
      </c>
      <c r="E273" s="1" t="s">
        <v>938</v>
      </c>
      <c r="F273" s="1" t="s">
        <v>112</v>
      </c>
      <c r="G273" s="1">
        <v>328883</v>
      </c>
    </row>
    <row r="274" spans="1:7" x14ac:dyDescent="0.3">
      <c r="A274" s="1" t="str">
        <f t="shared" si="4"/>
        <v>09 Dutastéride 0.1mg_L</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939</v>
      </c>
      <c r="D274" s="1" t="s">
        <v>235</v>
      </c>
      <c r="E274" s="1" t="s">
        <v>940</v>
      </c>
      <c r="F274" s="1" t="s">
        <v>112</v>
      </c>
      <c r="G274" s="1">
        <v>115850</v>
      </c>
    </row>
    <row r="275" spans="1:7" x14ac:dyDescent="0.3">
      <c r="A275" s="1" t="str">
        <f t="shared" si="4"/>
        <v>09 Dutastéride 0.1mg_L</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941</v>
      </c>
      <c r="D275" s="1" t="s">
        <v>204</v>
      </c>
      <c r="E275" s="1" t="s">
        <v>942</v>
      </c>
      <c r="F275" s="1" t="s">
        <v>112</v>
      </c>
      <c r="G275" s="1">
        <v>25718</v>
      </c>
    </row>
    <row r="276" spans="1:7" x14ac:dyDescent="0.3">
      <c r="A276" s="1" t="str">
        <f t="shared" si="4"/>
        <v>09 Dutastéride 0.1mg_L</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943</v>
      </c>
      <c r="D276" s="1" t="s">
        <v>192</v>
      </c>
      <c r="E276" s="1" t="s">
        <v>944</v>
      </c>
      <c r="F276" s="1" t="s">
        <v>112</v>
      </c>
      <c r="G276" s="1">
        <v>13540</v>
      </c>
    </row>
    <row r="277" spans="1:7" x14ac:dyDescent="0.3">
      <c r="A277" s="1" t="str">
        <f t="shared" si="4"/>
        <v>09 Dutastéride 0.1mg_L</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945</v>
      </c>
      <c r="D277" s="1" t="s">
        <v>229</v>
      </c>
      <c r="E277" s="1" t="s">
        <v>335</v>
      </c>
      <c r="F277" s="1" t="s">
        <v>112</v>
      </c>
      <c r="G277" s="1">
        <v>17693</v>
      </c>
    </row>
    <row r="278" spans="1:7" x14ac:dyDescent="0.3">
      <c r="A278" s="1" t="str">
        <f t="shared" si="4"/>
        <v>09 Dutastéride 0.1mg_L</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946</v>
      </c>
      <c r="D278" s="1" t="s">
        <v>226</v>
      </c>
      <c r="E278" s="1" t="s">
        <v>225</v>
      </c>
      <c r="F278" s="1" t="s">
        <v>112</v>
      </c>
      <c r="G278" s="1">
        <v>11118</v>
      </c>
    </row>
    <row r="279" spans="1:7" x14ac:dyDescent="0.3">
      <c r="A279" s="1" t="str">
        <f t="shared" si="4"/>
        <v>09 Dutastéride 0.1mg_L</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947</v>
      </c>
      <c r="D279" s="1" t="s">
        <v>182</v>
      </c>
      <c r="E279" s="1" t="s">
        <v>948</v>
      </c>
      <c r="F279" s="1" t="s">
        <v>112</v>
      </c>
      <c r="G279" s="1">
        <v>15336</v>
      </c>
    </row>
    <row r="280" spans="1:7" x14ac:dyDescent="0.3">
      <c r="A280" s="1" t="str">
        <f t="shared" si="4"/>
        <v>09 Dutastéride 0.1mg_L</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949</v>
      </c>
      <c r="D280" s="1" t="s">
        <v>180</v>
      </c>
      <c r="E280" s="1" t="s">
        <v>950</v>
      </c>
      <c r="F280" s="1" t="s">
        <v>112</v>
      </c>
      <c r="G280" s="1">
        <v>12026</v>
      </c>
    </row>
    <row r="281" spans="1:7" x14ac:dyDescent="0.3">
      <c r="A281" s="1" t="str">
        <f t="shared" si="4"/>
        <v>09 Dutastéride 0.1mg_L</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951</v>
      </c>
      <c r="D281" s="1" t="s">
        <v>952</v>
      </c>
      <c r="E281" s="1" t="s">
        <v>953</v>
      </c>
      <c r="F281" s="1" t="s">
        <v>112</v>
      </c>
      <c r="G281" s="1">
        <v>255168</v>
      </c>
    </row>
    <row r="282" spans="1:7" x14ac:dyDescent="0.3">
      <c r="A282" s="1" t="str">
        <f t="shared" si="4"/>
        <v>09 Dutastéride 0.1mg_L</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954</v>
      </c>
      <c r="D282" s="1" t="s">
        <v>185</v>
      </c>
      <c r="E282" s="1" t="s">
        <v>219</v>
      </c>
      <c r="F282" s="1" t="s">
        <v>112</v>
      </c>
      <c r="G282" s="1">
        <v>9452</v>
      </c>
    </row>
    <row r="283" spans="1:7" x14ac:dyDescent="0.3">
      <c r="A283" s="1" t="str">
        <f t="shared" si="4"/>
        <v>09 Dutastéride 0.1mg_L</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955</v>
      </c>
      <c r="D283" s="1" t="s">
        <v>308</v>
      </c>
      <c r="E283" s="1" t="s">
        <v>956</v>
      </c>
      <c r="F283" s="1" t="s">
        <v>112</v>
      </c>
      <c r="G283" s="1">
        <v>45185</v>
      </c>
    </row>
    <row r="284" spans="1:7" x14ac:dyDescent="0.3">
      <c r="A284" s="1" t="str">
        <f t="shared" si="4"/>
        <v>09 Dutastéride 0.1mg_L</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957</v>
      </c>
      <c r="D284" s="1" t="s">
        <v>958</v>
      </c>
      <c r="E284" s="1" t="s">
        <v>959</v>
      </c>
      <c r="F284" s="1" t="s">
        <v>112</v>
      </c>
      <c r="G284" s="1">
        <v>848562</v>
      </c>
    </row>
    <row r="285" spans="1:7" x14ac:dyDescent="0.3">
      <c r="A285" s="1" t="str">
        <f t="shared" si="4"/>
        <v>09 Dutastéride 0.1mg_L</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960</v>
      </c>
      <c r="D285" s="1" t="s">
        <v>961</v>
      </c>
      <c r="E285" s="1" t="s">
        <v>962</v>
      </c>
      <c r="F285" s="1" t="s">
        <v>112</v>
      </c>
      <c r="G285" s="1">
        <v>454466</v>
      </c>
    </row>
    <row r="286" spans="1:7" x14ac:dyDescent="0.3">
      <c r="A286" s="1" t="str">
        <f t="shared" si="4"/>
        <v>09 Dutastéride 0.1mg_L</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963</v>
      </c>
      <c r="D286" s="1" t="s">
        <v>496</v>
      </c>
      <c r="E286" s="1" t="s">
        <v>964</v>
      </c>
      <c r="F286" s="1" t="s">
        <v>112</v>
      </c>
      <c r="G286" s="1">
        <v>276928</v>
      </c>
    </row>
    <row r="287" spans="1:7" x14ac:dyDescent="0.3">
      <c r="A287" s="1" t="str">
        <f t="shared" si="4"/>
        <v>09 Dutastéride 0.1mg_L</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965</v>
      </c>
      <c r="D287" s="1" t="s">
        <v>372</v>
      </c>
      <c r="E287" s="1" t="s">
        <v>966</v>
      </c>
      <c r="F287" s="1" t="s">
        <v>112</v>
      </c>
      <c r="G287" s="1">
        <v>255038</v>
      </c>
    </row>
    <row r="288" spans="1:7" x14ac:dyDescent="0.3">
      <c r="A288" s="1" t="str">
        <f t="shared" si="4"/>
        <v>09 Dutastéride 0.1mg_L</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967</v>
      </c>
      <c r="D288" s="1" t="s">
        <v>968</v>
      </c>
      <c r="E288" s="1" t="s">
        <v>969</v>
      </c>
      <c r="F288" s="1" t="s">
        <v>112</v>
      </c>
      <c r="G288" s="1">
        <v>223156</v>
      </c>
    </row>
    <row r="289" spans="1:10" x14ac:dyDescent="0.3">
      <c r="A289" s="1" t="str">
        <f t="shared" si="4"/>
        <v>09 Dutastéride 0.1mg_L</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970</v>
      </c>
      <c r="D289" s="1" t="s">
        <v>222</v>
      </c>
      <c r="E289" s="1" t="s">
        <v>971</v>
      </c>
      <c r="F289" s="1" t="s">
        <v>112</v>
      </c>
      <c r="G289" s="1">
        <v>34132</v>
      </c>
    </row>
    <row r="290" spans="1:10" x14ac:dyDescent="0.3">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3">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195</v>
      </c>
      <c r="D291" s="1" t="s">
        <v>112</v>
      </c>
      <c r="E291" s="1" t="s">
        <v>196</v>
      </c>
      <c r="F291" s="1" t="s">
        <v>197</v>
      </c>
      <c r="G291" s="1" t="s">
        <v>198</v>
      </c>
      <c r="H291" s="1" t="s">
        <v>199</v>
      </c>
      <c r="I291" s="1" t="s">
        <v>200</v>
      </c>
      <c r="J291" s="1" t="s">
        <v>201</v>
      </c>
    </row>
    <row r="292" spans="1:10" x14ac:dyDescent="0.3">
      <c r="A292" s="1" t="str">
        <f t="shared" si="4"/>
        <v>09 Dutastéride 0.1mg_L</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972</v>
      </c>
      <c r="D292" s="1" t="s">
        <v>112</v>
      </c>
      <c r="E292" s="1" t="s">
        <v>973</v>
      </c>
      <c r="F292" s="1" t="s">
        <v>974</v>
      </c>
      <c r="G292" s="1" t="s">
        <v>975</v>
      </c>
      <c r="H292" s="1" t="s">
        <v>976</v>
      </c>
      <c r="I292" s="1">
        <v>24</v>
      </c>
      <c r="J292" s="1">
        <v>24</v>
      </c>
    </row>
    <row r="293" spans="1:10" x14ac:dyDescent="0.3">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3">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3">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3">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3">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3">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202</v>
      </c>
      <c r="D298" s="1" t="s">
        <v>110</v>
      </c>
      <c r="E298" s="1" t="s">
        <v>111</v>
      </c>
      <c r="F298" s="1" t="s">
        <v>112</v>
      </c>
      <c r="G298" s="1" t="s">
        <v>113</v>
      </c>
    </row>
    <row r="299" spans="1:10" x14ac:dyDescent="0.3">
      <c r="A299" s="1" t="str">
        <f t="shared" si="4"/>
        <v>10 Dutastéride 0.25mg_L</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977</v>
      </c>
      <c r="D299" s="1" t="s">
        <v>182</v>
      </c>
      <c r="E299" s="1" t="s">
        <v>279</v>
      </c>
      <c r="F299" s="1" t="s">
        <v>112</v>
      </c>
      <c r="G299" s="1">
        <v>15184</v>
      </c>
    </row>
    <row r="300" spans="1:10" x14ac:dyDescent="0.3">
      <c r="A300" s="1" t="str">
        <f t="shared" si="4"/>
        <v>10 Dutastéride 0.25mg_L</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978</v>
      </c>
      <c r="D300" s="1" t="s">
        <v>298</v>
      </c>
      <c r="E300" s="1" t="s">
        <v>979</v>
      </c>
      <c r="F300" s="1" t="s">
        <v>112</v>
      </c>
      <c r="G300" s="1">
        <v>7008</v>
      </c>
    </row>
    <row r="301" spans="1:10" x14ac:dyDescent="0.3">
      <c r="A301" s="1" t="str">
        <f t="shared" si="4"/>
        <v>10 Dutastéride 0.25mg_L</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980</v>
      </c>
      <c r="D301" s="1" t="s">
        <v>182</v>
      </c>
      <c r="E301" s="1" t="s">
        <v>981</v>
      </c>
      <c r="F301" s="1" t="s">
        <v>112</v>
      </c>
      <c r="G301" s="1">
        <v>14881</v>
      </c>
    </row>
    <row r="302" spans="1:10" x14ac:dyDescent="0.3">
      <c r="A302" s="1" t="str">
        <f t="shared" si="4"/>
        <v>10 Dutastéride 0.25mg_L</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982</v>
      </c>
      <c r="D302" s="1" t="s">
        <v>983</v>
      </c>
      <c r="E302" s="1" t="s">
        <v>984</v>
      </c>
      <c r="F302" s="1" t="s">
        <v>112</v>
      </c>
      <c r="G302" s="1">
        <v>136960</v>
      </c>
    </row>
    <row r="303" spans="1:10" x14ac:dyDescent="0.3">
      <c r="A303" s="1" t="str">
        <f t="shared" si="4"/>
        <v>10 Dutastéride 0.25mg_L</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985</v>
      </c>
    </row>
    <row r="304" spans="1:10" x14ac:dyDescent="0.3">
      <c r="A304" s="1" t="str">
        <f t="shared" si="4"/>
        <v>10 Dutastéride 0.25mg_L</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986</v>
      </c>
      <c r="D304" s="1" t="s">
        <v>987</v>
      </c>
      <c r="E304" s="1" t="s">
        <v>988</v>
      </c>
      <c r="F304" s="1" t="s">
        <v>112</v>
      </c>
      <c r="G304" s="1">
        <v>224302</v>
      </c>
    </row>
    <row r="305" spans="1:7" x14ac:dyDescent="0.3">
      <c r="A305" s="1" t="str">
        <f t="shared" si="4"/>
        <v>10 Dutastéride 0.25mg_L</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989</v>
      </c>
      <c r="D305" s="1" t="s">
        <v>208</v>
      </c>
      <c r="E305" s="1" t="s">
        <v>990</v>
      </c>
      <c r="F305" s="1" t="s">
        <v>112</v>
      </c>
      <c r="G305" s="1">
        <v>37398</v>
      </c>
    </row>
    <row r="306" spans="1:7" x14ac:dyDescent="0.3">
      <c r="A306" s="1" t="str">
        <f t="shared" si="4"/>
        <v>10 Dutastéride 0.25mg_L</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991</v>
      </c>
      <c r="D306" s="1" t="s">
        <v>298</v>
      </c>
      <c r="E306" s="1">
        <v>65</v>
      </c>
      <c r="F306" s="1" t="s">
        <v>112</v>
      </c>
      <c r="G306" s="1">
        <v>7030</v>
      </c>
    </row>
    <row r="307" spans="1:7" x14ac:dyDescent="0.3">
      <c r="A307" s="1" t="str">
        <f t="shared" si="4"/>
        <v>10 Dutastéride 0.25mg_L</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992</v>
      </c>
      <c r="D307" s="1" t="s">
        <v>211</v>
      </c>
      <c r="E307" s="1" t="s">
        <v>993</v>
      </c>
      <c r="F307" s="1" t="s">
        <v>112</v>
      </c>
      <c r="G307" s="1">
        <v>24831</v>
      </c>
    </row>
    <row r="308" spans="1:7" x14ac:dyDescent="0.3">
      <c r="A308" s="1" t="str">
        <f t="shared" si="4"/>
        <v>10 Dutastéride 0.25mg_L</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994</v>
      </c>
      <c r="D308" s="1" t="s">
        <v>360</v>
      </c>
      <c r="E308" s="1" t="s">
        <v>995</v>
      </c>
      <c r="F308" s="1" t="s">
        <v>112</v>
      </c>
      <c r="G308" s="1">
        <v>163782</v>
      </c>
    </row>
    <row r="309" spans="1:7" x14ac:dyDescent="0.3">
      <c r="A309" s="1" t="str">
        <f t="shared" si="4"/>
        <v>10 Dutastéride 0.25mg_L</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996</v>
      </c>
      <c r="D309" s="1" t="s">
        <v>375</v>
      </c>
      <c r="E309" s="1" t="s">
        <v>997</v>
      </c>
      <c r="F309" s="1" t="s">
        <v>112</v>
      </c>
      <c r="G309" s="1">
        <v>57276</v>
      </c>
    </row>
    <row r="310" spans="1:7" x14ac:dyDescent="0.3">
      <c r="A310" s="1" t="str">
        <f t="shared" si="4"/>
        <v>10 Dutastéride 0.25mg_L</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998</v>
      </c>
      <c r="D310" s="1" t="s">
        <v>999</v>
      </c>
      <c r="E310" s="1" t="s">
        <v>1000</v>
      </c>
      <c r="F310" s="1" t="s">
        <v>112</v>
      </c>
      <c r="G310" s="1">
        <v>175721</v>
      </c>
    </row>
    <row r="311" spans="1:7" x14ac:dyDescent="0.3">
      <c r="A311" s="1" t="str">
        <f t="shared" si="4"/>
        <v>10 Dutastéride 0.25mg_L</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1001</v>
      </c>
      <c r="D311" s="1" t="s">
        <v>1002</v>
      </c>
      <c r="E311" s="1" t="s">
        <v>1003</v>
      </c>
      <c r="F311" s="1" t="s">
        <v>112</v>
      </c>
      <c r="G311" s="1">
        <v>333619</v>
      </c>
    </row>
    <row r="312" spans="1:7" x14ac:dyDescent="0.3">
      <c r="A312" s="1" t="str">
        <f t="shared" si="4"/>
        <v>10 Dutastéride 0.25mg_L</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1004</v>
      </c>
      <c r="D312" s="1" t="s">
        <v>1005</v>
      </c>
      <c r="E312" s="1" t="s">
        <v>1006</v>
      </c>
      <c r="F312" s="1" t="s">
        <v>112</v>
      </c>
      <c r="G312" s="1">
        <v>176824</v>
      </c>
    </row>
    <row r="313" spans="1:7" x14ac:dyDescent="0.3">
      <c r="A313" s="1" t="str">
        <f t="shared" si="4"/>
        <v>10 Dutastéride 0.25mg_L</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1007</v>
      </c>
      <c r="D313" s="1" t="s">
        <v>370</v>
      </c>
      <c r="E313" s="1" t="s">
        <v>319</v>
      </c>
      <c r="F313" s="1" t="s">
        <v>112</v>
      </c>
      <c r="G313" s="1">
        <v>90651</v>
      </c>
    </row>
    <row r="314" spans="1:7" x14ac:dyDescent="0.3">
      <c r="A314" s="1" t="str">
        <f t="shared" si="4"/>
        <v>10 Dutastéride 0.25mg_L</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1008</v>
      </c>
      <c r="D314" s="1" t="s">
        <v>356</v>
      </c>
      <c r="E314" s="1" t="s">
        <v>1009</v>
      </c>
      <c r="F314" s="1" t="s">
        <v>112</v>
      </c>
      <c r="G314" s="1">
        <v>545419</v>
      </c>
    </row>
    <row r="315" spans="1:7" x14ac:dyDescent="0.3">
      <c r="A315" s="1" t="str">
        <f t="shared" si="4"/>
        <v>10 Dutastéride 0.25mg_L</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1010</v>
      </c>
      <c r="D315" s="1" t="s">
        <v>258</v>
      </c>
      <c r="E315" s="1" t="s">
        <v>1011</v>
      </c>
      <c r="F315" s="1" t="s">
        <v>112</v>
      </c>
      <c r="G315" s="1">
        <v>406685</v>
      </c>
    </row>
    <row r="316" spans="1:7" x14ac:dyDescent="0.3">
      <c r="A316" s="1" t="str">
        <f t="shared" si="4"/>
        <v>10 Dutastéride 0.25mg_L</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1012</v>
      </c>
      <c r="D316" s="1" t="s">
        <v>1013</v>
      </c>
      <c r="E316" s="1" t="s">
        <v>1014</v>
      </c>
      <c r="F316" s="1" t="s">
        <v>112</v>
      </c>
      <c r="G316" s="1">
        <v>883906</v>
      </c>
    </row>
    <row r="317" spans="1:7" x14ac:dyDescent="0.3">
      <c r="A317" s="1" t="str">
        <f t="shared" si="4"/>
        <v>10 Dutastéride 0.25mg_L</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1015</v>
      </c>
      <c r="D317" s="1" t="s">
        <v>334</v>
      </c>
      <c r="E317" s="1" t="s">
        <v>1016</v>
      </c>
      <c r="F317" s="1" t="s">
        <v>112</v>
      </c>
      <c r="G317" s="1">
        <v>36230</v>
      </c>
    </row>
    <row r="318" spans="1:7" x14ac:dyDescent="0.3">
      <c r="A318" s="1" t="str">
        <f t="shared" si="4"/>
        <v>10 Dutastéride 0.25mg_L</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1017</v>
      </c>
      <c r="D318" s="1" t="s">
        <v>214</v>
      </c>
      <c r="E318" s="1" t="s">
        <v>1018</v>
      </c>
      <c r="F318" s="1" t="s">
        <v>112</v>
      </c>
      <c r="G318" s="1">
        <v>19164</v>
      </c>
    </row>
    <row r="319" spans="1:7" x14ac:dyDescent="0.3">
      <c r="A319" s="1" t="str">
        <f t="shared" si="4"/>
        <v>10 Dutastéride 0.25mg_L</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1019</v>
      </c>
      <c r="D319" s="1" t="s">
        <v>229</v>
      </c>
      <c r="E319" s="1" t="s">
        <v>1020</v>
      </c>
      <c r="F319" s="1" t="s">
        <v>112</v>
      </c>
      <c r="G319" s="1">
        <v>17477</v>
      </c>
    </row>
    <row r="320" spans="1:7" x14ac:dyDescent="0.3">
      <c r="A320" s="1" t="str">
        <f t="shared" si="4"/>
        <v>10 Dutastéride 0.25mg_L</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1021</v>
      </c>
      <c r="D320" s="1" t="s">
        <v>288</v>
      </c>
      <c r="E320" s="1" t="s">
        <v>1022</v>
      </c>
      <c r="F320" s="1" t="s">
        <v>112</v>
      </c>
      <c r="G320" s="1">
        <v>83275</v>
      </c>
    </row>
    <row r="321" spans="1:10" x14ac:dyDescent="0.3">
      <c r="A321" s="1" t="str">
        <f t="shared" si="4"/>
        <v>10 Dutastéride 0.25mg_L</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1023</v>
      </c>
      <c r="D321" s="1" t="s">
        <v>1024</v>
      </c>
      <c r="E321" s="1" t="s">
        <v>1025</v>
      </c>
      <c r="F321" s="1" t="s">
        <v>112</v>
      </c>
      <c r="G321" s="1">
        <v>102634</v>
      </c>
    </row>
    <row r="322" spans="1:10" x14ac:dyDescent="0.3">
      <c r="A322" s="1" t="str">
        <f t="shared" ref="A322:A385" si="5">IFERROR(LEFT(RIGHT(C322,LEN(C322)-SEARCH("@",C322)),SEARCH("/",RIGHT(C322,LEN(C322)-SEARCH("@",C322)-1))),"")</f>
        <v>10 Dutastéride 0.25mg_L</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1026</v>
      </c>
      <c r="D322" s="1" t="s">
        <v>189</v>
      </c>
      <c r="E322" s="1" t="s">
        <v>1027</v>
      </c>
      <c r="F322" s="1" t="s">
        <v>112</v>
      </c>
      <c r="G322" s="1">
        <v>71660</v>
      </c>
    </row>
    <row r="323" spans="1:10" x14ac:dyDescent="0.3">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3">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195</v>
      </c>
      <c r="D324" s="1" t="s">
        <v>112</v>
      </c>
      <c r="E324" s="1" t="s">
        <v>196</v>
      </c>
      <c r="F324" s="1" t="s">
        <v>197</v>
      </c>
      <c r="G324" s="1" t="s">
        <v>198</v>
      </c>
      <c r="H324" s="1" t="s">
        <v>199</v>
      </c>
      <c r="I324" s="1" t="s">
        <v>200</v>
      </c>
      <c r="J324" s="1" t="s">
        <v>201</v>
      </c>
    </row>
    <row r="325" spans="1:10" x14ac:dyDescent="0.3">
      <c r="A325" s="1" t="str">
        <f t="shared" si="5"/>
        <v>10 Dutastéride 0.25mg_L</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1028</v>
      </c>
      <c r="D325" s="1" t="s">
        <v>112</v>
      </c>
      <c r="E325" s="1" t="s">
        <v>1029</v>
      </c>
      <c r="F325" s="1" t="s">
        <v>1030</v>
      </c>
      <c r="G325" s="1" t="s">
        <v>1031</v>
      </c>
      <c r="H325" s="1" t="s">
        <v>1032</v>
      </c>
      <c r="I325" s="1">
        <v>24</v>
      </c>
      <c r="J325" s="1">
        <v>24</v>
      </c>
    </row>
    <row r="326" spans="1:10" x14ac:dyDescent="0.3">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3">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3">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3">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3">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3">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202</v>
      </c>
      <c r="D331" s="1" t="s">
        <v>110</v>
      </c>
      <c r="E331" s="1" t="s">
        <v>111</v>
      </c>
      <c r="F331" s="1" t="s">
        <v>112</v>
      </c>
      <c r="G331" s="1" t="s">
        <v>113</v>
      </c>
    </row>
    <row r="332" spans="1:10" x14ac:dyDescent="0.3">
      <c r="A332" s="1" t="str">
        <f t="shared" si="5"/>
        <v>11 Dutastéride 0.5mg_L</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1033</v>
      </c>
      <c r="D332" s="1" t="s">
        <v>1024</v>
      </c>
      <c r="E332" s="1" t="s">
        <v>1034</v>
      </c>
      <c r="F332" s="1" t="s">
        <v>112</v>
      </c>
      <c r="G332" s="1">
        <v>105056</v>
      </c>
    </row>
    <row r="333" spans="1:10" x14ac:dyDescent="0.3">
      <c r="A333" s="1" t="str">
        <f t="shared" si="5"/>
        <v>11 Dutastéride 0.5mg_L</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1035</v>
      </c>
      <c r="D333" s="1" t="s">
        <v>245</v>
      </c>
      <c r="E333" s="1" t="s">
        <v>297</v>
      </c>
      <c r="F333" s="1" t="s">
        <v>112</v>
      </c>
      <c r="G333" s="1">
        <v>28465</v>
      </c>
    </row>
    <row r="334" spans="1:10" x14ac:dyDescent="0.3">
      <c r="A334" s="1" t="str">
        <f t="shared" si="5"/>
        <v>11 Dutastéride 0.5mg_L</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1036</v>
      </c>
      <c r="D334" s="1" t="s">
        <v>252</v>
      </c>
      <c r="E334" s="1" t="s">
        <v>1037</v>
      </c>
      <c r="F334" s="1" t="s">
        <v>112</v>
      </c>
      <c r="G334" s="1">
        <v>62510</v>
      </c>
    </row>
    <row r="335" spans="1:10" x14ac:dyDescent="0.3">
      <c r="A335" s="1" t="str">
        <f t="shared" si="5"/>
        <v>11 Dutastéride 0.5mg_L</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1038</v>
      </c>
      <c r="D335" s="1" t="s">
        <v>236</v>
      </c>
      <c r="E335" s="1" t="s">
        <v>1039</v>
      </c>
      <c r="F335" s="1" t="s">
        <v>112</v>
      </c>
      <c r="G335" s="1">
        <v>46439</v>
      </c>
    </row>
    <row r="336" spans="1:10" x14ac:dyDescent="0.3">
      <c r="A336" s="1" t="str">
        <f t="shared" si="5"/>
        <v>11 Dutastéride 0.5mg_L</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1040</v>
      </c>
      <c r="D336" s="1" t="s">
        <v>180</v>
      </c>
      <c r="E336" s="1" t="s">
        <v>350</v>
      </c>
      <c r="F336" s="1" t="s">
        <v>112</v>
      </c>
      <c r="G336" s="1">
        <v>12351</v>
      </c>
    </row>
    <row r="337" spans="1:7" x14ac:dyDescent="0.3">
      <c r="A337" s="1" t="str">
        <f t="shared" si="5"/>
        <v>11 Dutastéride 0.5mg_L</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1041</v>
      </c>
      <c r="D337" s="1" t="s">
        <v>194</v>
      </c>
      <c r="E337" s="1" t="s">
        <v>1042</v>
      </c>
      <c r="F337" s="1" t="s">
        <v>112</v>
      </c>
      <c r="G337" s="1">
        <v>20397</v>
      </c>
    </row>
    <row r="338" spans="1:7" x14ac:dyDescent="0.3">
      <c r="A338" s="1" t="str">
        <f t="shared" si="5"/>
        <v>11 Dutastéride 0.5mg_L</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1043</v>
      </c>
      <c r="D338" s="1" t="s">
        <v>229</v>
      </c>
      <c r="E338" s="1" t="s">
        <v>1044</v>
      </c>
      <c r="F338" s="1" t="s">
        <v>112</v>
      </c>
      <c r="G338" s="1">
        <v>17780</v>
      </c>
    </row>
    <row r="339" spans="1:7" x14ac:dyDescent="0.3">
      <c r="A339" s="1" t="str">
        <f t="shared" si="5"/>
        <v>11 Dutastéride 0.5mg_L</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1045</v>
      </c>
      <c r="D339" s="1" t="s">
        <v>1046</v>
      </c>
      <c r="E339" s="1" t="s">
        <v>1047</v>
      </c>
      <c r="F339" s="1" t="s">
        <v>112</v>
      </c>
      <c r="G339" s="1">
        <v>97702</v>
      </c>
    </row>
    <row r="340" spans="1:7" x14ac:dyDescent="0.3">
      <c r="A340" s="1" t="str">
        <f t="shared" si="5"/>
        <v>11 Dutastéride 0.5mg_L</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1048</v>
      </c>
      <c r="D340" s="1" t="s">
        <v>204</v>
      </c>
      <c r="E340" s="1" t="s">
        <v>1049</v>
      </c>
      <c r="F340" s="1" t="s">
        <v>112</v>
      </c>
      <c r="G340" s="1">
        <v>26367</v>
      </c>
    </row>
    <row r="341" spans="1:7" x14ac:dyDescent="0.3">
      <c r="A341" s="1" t="str">
        <f t="shared" si="5"/>
        <v>11 Dutastéride 0.5mg_L</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1050</v>
      </c>
      <c r="D341" s="1" t="s">
        <v>213</v>
      </c>
      <c r="E341" s="1" t="s">
        <v>1051</v>
      </c>
      <c r="F341" s="1" t="s">
        <v>112</v>
      </c>
      <c r="G341" s="1">
        <v>42373</v>
      </c>
    </row>
    <row r="342" spans="1:7" x14ac:dyDescent="0.3">
      <c r="A342" s="1" t="str">
        <f t="shared" si="5"/>
        <v>11 Dutastéride 0.5mg_L</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1052</v>
      </c>
      <c r="D342" s="1" t="s">
        <v>322</v>
      </c>
      <c r="E342" s="1" t="s">
        <v>1053</v>
      </c>
      <c r="F342" s="1" t="s">
        <v>112</v>
      </c>
      <c r="G342" s="1">
        <v>74061</v>
      </c>
    </row>
    <row r="343" spans="1:7" x14ac:dyDescent="0.3">
      <c r="A343" s="1" t="str">
        <f t="shared" si="5"/>
        <v>11 Dutastéride 0.5mg_L</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1054</v>
      </c>
      <c r="D343" s="1" t="s">
        <v>305</v>
      </c>
      <c r="E343" s="1" t="s">
        <v>1055</v>
      </c>
      <c r="F343" s="1" t="s">
        <v>112</v>
      </c>
      <c r="G343" s="1">
        <v>21695</v>
      </c>
    </row>
    <row r="344" spans="1:7" x14ac:dyDescent="0.3">
      <c r="A344" s="1" t="str">
        <f t="shared" si="5"/>
        <v>11 Dutastéride 0.5mg_L</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1056</v>
      </c>
      <c r="D344" s="1" t="s">
        <v>234</v>
      </c>
      <c r="E344" s="1">
        <v>64</v>
      </c>
      <c r="F344" s="1" t="s">
        <v>112</v>
      </c>
      <c r="G344" s="1">
        <v>16612</v>
      </c>
    </row>
    <row r="345" spans="1:7" x14ac:dyDescent="0.3">
      <c r="A345" s="1" t="str">
        <f t="shared" si="5"/>
        <v>11 Dutastéride 0.5mg_L</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1057</v>
      </c>
      <c r="D345" s="1" t="s">
        <v>179</v>
      </c>
      <c r="E345" s="1" t="s">
        <v>302</v>
      </c>
      <c r="F345" s="1" t="s">
        <v>112</v>
      </c>
      <c r="G345" s="1">
        <v>8090</v>
      </c>
    </row>
    <row r="346" spans="1:7" x14ac:dyDescent="0.3">
      <c r="A346" s="1" t="str">
        <f t="shared" si="5"/>
        <v>11 Dutastéride 0.5mg_L</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1058</v>
      </c>
      <c r="D346" s="1" t="s">
        <v>179</v>
      </c>
      <c r="E346" s="1" t="s">
        <v>1059</v>
      </c>
      <c r="F346" s="1" t="s">
        <v>112</v>
      </c>
      <c r="G346" s="1">
        <v>8392</v>
      </c>
    </row>
    <row r="347" spans="1:7" x14ac:dyDescent="0.3">
      <c r="A347" s="1" t="str">
        <f t="shared" si="5"/>
        <v>11 Dutastéride 0.5mg_L</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1060</v>
      </c>
      <c r="D347" s="1" t="s">
        <v>236</v>
      </c>
      <c r="E347" s="1" t="s">
        <v>1061</v>
      </c>
      <c r="F347" s="1" t="s">
        <v>112</v>
      </c>
      <c r="G347" s="1">
        <v>49922</v>
      </c>
    </row>
    <row r="348" spans="1:7" x14ac:dyDescent="0.3">
      <c r="A348" s="1" t="str">
        <f t="shared" si="5"/>
        <v>11 Dutastéride 0.5mg_L</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1062</v>
      </c>
      <c r="D348" s="1" t="s">
        <v>203</v>
      </c>
      <c r="E348" s="1" t="s">
        <v>1063</v>
      </c>
      <c r="F348" s="1" t="s">
        <v>112</v>
      </c>
      <c r="G348" s="1">
        <v>102937</v>
      </c>
    </row>
    <row r="349" spans="1:7" x14ac:dyDescent="0.3">
      <c r="A349" s="1" t="str">
        <f t="shared" si="5"/>
        <v>11 Dutastéride 0.5mg_L</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1064</v>
      </c>
      <c r="D349" s="1" t="s">
        <v>1024</v>
      </c>
      <c r="E349" s="1" t="s">
        <v>1065</v>
      </c>
      <c r="F349" s="1" t="s">
        <v>112</v>
      </c>
      <c r="G349" s="1">
        <v>106722</v>
      </c>
    </row>
    <row r="350" spans="1:7" x14ac:dyDescent="0.3">
      <c r="A350" s="1" t="str">
        <f t="shared" si="5"/>
        <v>11 Dutastéride 0.5mg_L</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1066</v>
      </c>
    </row>
    <row r="351" spans="1:7" x14ac:dyDescent="0.3">
      <c r="A351" s="1" t="str">
        <f t="shared" si="5"/>
        <v>11 Dutastéride 0.5mg_L</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1067</v>
      </c>
      <c r="D351" s="1" t="s">
        <v>234</v>
      </c>
      <c r="E351" s="1" t="s">
        <v>284</v>
      </c>
      <c r="F351" s="1" t="s">
        <v>112</v>
      </c>
      <c r="G351" s="1">
        <v>16763</v>
      </c>
    </row>
    <row r="352" spans="1:7" x14ac:dyDescent="0.3">
      <c r="A352" s="1" t="str">
        <f t="shared" si="5"/>
        <v>11 Dutastéride 0.5mg_L</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1068</v>
      </c>
      <c r="D352" s="1" t="s">
        <v>194</v>
      </c>
      <c r="E352" s="1" t="s">
        <v>1069</v>
      </c>
      <c r="F352" s="1" t="s">
        <v>112</v>
      </c>
      <c r="G352" s="1">
        <v>20289</v>
      </c>
    </row>
    <row r="353" spans="1:10" x14ac:dyDescent="0.3">
      <c r="A353" s="1" t="str">
        <f t="shared" si="5"/>
        <v>11 Dutastéride 0.5mg_L</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1070</v>
      </c>
      <c r="D353" s="1" t="s">
        <v>257</v>
      </c>
      <c r="E353" s="1" t="s">
        <v>1071</v>
      </c>
      <c r="F353" s="1" t="s">
        <v>112</v>
      </c>
      <c r="G353" s="1">
        <v>472808</v>
      </c>
    </row>
    <row r="354" spans="1:10" x14ac:dyDescent="0.3">
      <c r="A354" s="1" t="str">
        <f t="shared" si="5"/>
        <v>11 Dutastéride 0.5mg_L</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1072</v>
      </c>
      <c r="D354" s="1" t="s">
        <v>1073</v>
      </c>
      <c r="E354" s="1" t="s">
        <v>1074</v>
      </c>
      <c r="F354" s="1" t="s">
        <v>112</v>
      </c>
      <c r="G354" s="1">
        <v>453557</v>
      </c>
    </row>
    <row r="355" spans="1:10" x14ac:dyDescent="0.3">
      <c r="A355" s="1" t="str">
        <f t="shared" si="5"/>
        <v>11 Dutastéride 0.5mg_L</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1075</v>
      </c>
      <c r="D355" s="1" t="s">
        <v>1076</v>
      </c>
      <c r="E355" s="1" t="s">
        <v>1077</v>
      </c>
      <c r="F355" s="1" t="s">
        <v>112</v>
      </c>
      <c r="G355" s="1">
        <v>581476</v>
      </c>
    </row>
    <row r="356" spans="1:10" x14ac:dyDescent="0.3">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3">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195</v>
      </c>
      <c r="D357" s="1" t="s">
        <v>112</v>
      </c>
      <c r="E357" s="1" t="s">
        <v>196</v>
      </c>
      <c r="F357" s="1" t="s">
        <v>197</v>
      </c>
      <c r="G357" s="1" t="s">
        <v>198</v>
      </c>
      <c r="H357" s="1" t="s">
        <v>199</v>
      </c>
      <c r="I357" s="1" t="s">
        <v>200</v>
      </c>
      <c r="J357" s="1" t="s">
        <v>201</v>
      </c>
    </row>
    <row r="358" spans="1:10" x14ac:dyDescent="0.3">
      <c r="A358" s="1" t="str">
        <f t="shared" si="5"/>
        <v>11 Dutastéride 0.5mg_L</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1078</v>
      </c>
      <c r="D358" s="1" t="s">
        <v>112</v>
      </c>
      <c r="E358" s="1" t="s">
        <v>1079</v>
      </c>
      <c r="F358" s="1" t="s">
        <v>1080</v>
      </c>
      <c r="G358" s="1" t="s">
        <v>1081</v>
      </c>
      <c r="H358" s="1" t="s">
        <v>1082</v>
      </c>
      <c r="I358" s="1">
        <v>24</v>
      </c>
      <c r="J358" s="1">
        <v>24</v>
      </c>
    </row>
    <row r="359" spans="1:10" x14ac:dyDescent="0.3">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3">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3">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3">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3">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3">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202</v>
      </c>
      <c r="D364" s="1" t="s">
        <v>110</v>
      </c>
      <c r="E364" s="1" t="s">
        <v>111</v>
      </c>
      <c r="F364" s="1" t="s">
        <v>112</v>
      </c>
      <c r="G364" s="1" t="s">
        <v>113</v>
      </c>
    </row>
    <row r="365" spans="1:10" x14ac:dyDescent="0.3">
      <c r="A365" s="1" t="str">
        <f t="shared" si="5"/>
        <v>12 Dutastéride 1mg_L</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1083</v>
      </c>
      <c r="D365" s="1" t="s">
        <v>270</v>
      </c>
      <c r="E365" s="1" t="s">
        <v>1084</v>
      </c>
      <c r="F365" s="1" t="s">
        <v>112</v>
      </c>
      <c r="G365" s="1">
        <v>301867</v>
      </c>
    </row>
    <row r="366" spans="1:10" x14ac:dyDescent="0.3">
      <c r="A366" s="1" t="str">
        <f t="shared" si="5"/>
        <v>12 Dutastéride 1mg_L</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1085</v>
      </c>
      <c r="D366" s="1" t="s">
        <v>1086</v>
      </c>
      <c r="E366" s="1" t="s">
        <v>1087</v>
      </c>
      <c r="F366" s="1" t="s">
        <v>112</v>
      </c>
      <c r="G366" s="1">
        <v>208988</v>
      </c>
    </row>
    <row r="367" spans="1:10" x14ac:dyDescent="0.3">
      <c r="A367" s="1" t="str">
        <f t="shared" si="5"/>
        <v>12 Dutastéride 1mg_L</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1088</v>
      </c>
      <c r="D367" s="1" t="s">
        <v>1089</v>
      </c>
      <c r="E367" s="1" t="s">
        <v>1090</v>
      </c>
      <c r="F367" s="1" t="s">
        <v>112</v>
      </c>
      <c r="G367" s="1">
        <v>387132</v>
      </c>
    </row>
    <row r="368" spans="1:10" x14ac:dyDescent="0.3">
      <c r="A368" s="1" t="str">
        <f t="shared" si="5"/>
        <v>12 Dutastéride 1mg_L</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1091</v>
      </c>
      <c r="D368" s="1" t="s">
        <v>255</v>
      </c>
      <c r="E368" s="1" t="s">
        <v>388</v>
      </c>
      <c r="F368" s="1" t="s">
        <v>112</v>
      </c>
      <c r="G368" s="1">
        <v>124545</v>
      </c>
    </row>
    <row r="369" spans="1:7" x14ac:dyDescent="0.3">
      <c r="A369" s="1" t="str">
        <f t="shared" si="5"/>
        <v>12 Dutastéride 1mg_L</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1092</v>
      </c>
      <c r="D369" s="1" t="s">
        <v>309</v>
      </c>
      <c r="E369" s="1" t="s">
        <v>1093</v>
      </c>
      <c r="F369" s="1" t="s">
        <v>112</v>
      </c>
      <c r="G369" s="1">
        <v>83016</v>
      </c>
    </row>
    <row r="370" spans="1:7" x14ac:dyDescent="0.3">
      <c r="A370" s="1" t="str">
        <f t="shared" si="5"/>
        <v>12 Dutastéride 1mg_L</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1094</v>
      </c>
      <c r="D370" s="1" t="s">
        <v>217</v>
      </c>
      <c r="E370" s="1" t="s">
        <v>315</v>
      </c>
      <c r="F370" s="1" t="s">
        <v>112</v>
      </c>
      <c r="G370" s="1">
        <v>30931</v>
      </c>
    </row>
    <row r="371" spans="1:7" x14ac:dyDescent="0.3">
      <c r="A371" s="1" t="str">
        <f t="shared" si="5"/>
        <v>12 Dutastéride 1mg_L</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1095</v>
      </c>
      <c r="D371" s="1" t="s">
        <v>180</v>
      </c>
      <c r="E371" s="1" t="s">
        <v>358</v>
      </c>
      <c r="F371" s="1" t="s">
        <v>112</v>
      </c>
      <c r="G371" s="1">
        <v>12545</v>
      </c>
    </row>
    <row r="372" spans="1:7" x14ac:dyDescent="0.3">
      <c r="A372" s="1" t="str">
        <f t="shared" si="5"/>
        <v>12 Dutastéride 1mg_L</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1096</v>
      </c>
      <c r="D372" s="1" t="s">
        <v>180</v>
      </c>
      <c r="E372" s="1" t="s">
        <v>1097</v>
      </c>
      <c r="F372" s="1" t="s">
        <v>112</v>
      </c>
      <c r="G372" s="1">
        <v>12372</v>
      </c>
    </row>
    <row r="373" spans="1:7" x14ac:dyDescent="0.3">
      <c r="A373" s="1" t="str">
        <f t="shared" si="5"/>
        <v>12 Dutastéride 1mg_L</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1098</v>
      </c>
      <c r="D373" s="1" t="s">
        <v>217</v>
      </c>
      <c r="E373" s="1" t="s">
        <v>315</v>
      </c>
      <c r="F373" s="1" t="s">
        <v>112</v>
      </c>
      <c r="G373" s="1">
        <v>30931</v>
      </c>
    </row>
    <row r="374" spans="1:7" x14ac:dyDescent="0.3">
      <c r="A374" s="1" t="str">
        <f t="shared" si="5"/>
        <v>12 Dutastéride 1mg_L</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1099</v>
      </c>
      <c r="D374" s="1" t="s">
        <v>1100</v>
      </c>
      <c r="E374" s="1" t="s">
        <v>1101</v>
      </c>
      <c r="F374" s="1" t="s">
        <v>112</v>
      </c>
      <c r="G374" s="1">
        <v>233754</v>
      </c>
    </row>
    <row r="375" spans="1:7" x14ac:dyDescent="0.3">
      <c r="A375" s="1" t="str">
        <f t="shared" si="5"/>
        <v>12 Dutastéride 1mg_L</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1102</v>
      </c>
      <c r="D375" s="1" t="s">
        <v>1103</v>
      </c>
      <c r="E375" s="1" t="s">
        <v>1104</v>
      </c>
      <c r="F375" s="1" t="s">
        <v>112</v>
      </c>
      <c r="G375" s="1">
        <v>192160</v>
      </c>
    </row>
    <row r="376" spans="1:7" x14ac:dyDescent="0.3">
      <c r="A376" s="1" t="str">
        <f t="shared" si="5"/>
        <v>12 Dutastéride 1mg_L</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1105</v>
      </c>
      <c r="D376" s="1" t="s">
        <v>187</v>
      </c>
      <c r="E376" s="1" t="s">
        <v>1106</v>
      </c>
      <c r="F376" s="1" t="s">
        <v>112</v>
      </c>
      <c r="G376" s="1">
        <v>49165</v>
      </c>
    </row>
    <row r="377" spans="1:7" x14ac:dyDescent="0.3">
      <c r="A377" s="1" t="str">
        <f t="shared" si="5"/>
        <v>12 Dutastéride 1mg_L</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1107</v>
      </c>
      <c r="D377" s="1" t="s">
        <v>308</v>
      </c>
      <c r="E377" s="1" t="s">
        <v>302</v>
      </c>
      <c r="F377" s="1" t="s">
        <v>112</v>
      </c>
      <c r="G377" s="1">
        <v>44493</v>
      </c>
    </row>
    <row r="378" spans="1:7" x14ac:dyDescent="0.3">
      <c r="A378" s="1" t="str">
        <f t="shared" si="5"/>
        <v>12 Dutastéride 1mg_L</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1108</v>
      </c>
      <c r="D378" s="1" t="s">
        <v>194</v>
      </c>
      <c r="E378" s="1" t="s">
        <v>1109</v>
      </c>
      <c r="F378" s="1" t="s">
        <v>112</v>
      </c>
      <c r="G378" s="1">
        <v>20808</v>
      </c>
    </row>
    <row r="379" spans="1:7" x14ac:dyDescent="0.3">
      <c r="A379" s="1" t="str">
        <f t="shared" si="5"/>
        <v>12 Dutastéride 1mg_L</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1110</v>
      </c>
      <c r="D379" s="1" t="s">
        <v>592</v>
      </c>
      <c r="E379" s="1" t="s">
        <v>1111</v>
      </c>
      <c r="F379" s="1" t="s">
        <v>112</v>
      </c>
      <c r="G379" s="1">
        <v>126319</v>
      </c>
    </row>
    <row r="380" spans="1:7" x14ac:dyDescent="0.3">
      <c r="A380" s="1" t="str">
        <f t="shared" si="5"/>
        <v>12 Dutastéride 1mg_L</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1112</v>
      </c>
      <c r="D380" s="1" t="s">
        <v>229</v>
      </c>
      <c r="E380" s="1" t="s">
        <v>1113</v>
      </c>
      <c r="F380" s="1" t="s">
        <v>112</v>
      </c>
      <c r="G380" s="1">
        <v>18104</v>
      </c>
    </row>
    <row r="381" spans="1:7" x14ac:dyDescent="0.3">
      <c r="A381" s="1" t="str">
        <f t="shared" si="5"/>
        <v>12 Dutastéride 1mg_L</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1114</v>
      </c>
      <c r="D381" s="1" t="s">
        <v>185</v>
      </c>
      <c r="E381" s="1" t="s">
        <v>1115</v>
      </c>
      <c r="F381" s="1" t="s">
        <v>112</v>
      </c>
      <c r="G381" s="1">
        <v>9517</v>
      </c>
    </row>
    <row r="382" spans="1:7" x14ac:dyDescent="0.3">
      <c r="A382" s="1" t="str">
        <f t="shared" si="5"/>
        <v>12 Dutastéride 1mg_L</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1116</v>
      </c>
      <c r="D382" s="1" t="s">
        <v>183</v>
      </c>
      <c r="E382" s="1" t="s">
        <v>1117</v>
      </c>
      <c r="F382" s="1" t="s">
        <v>112</v>
      </c>
      <c r="G382" s="1">
        <v>64154</v>
      </c>
    </row>
    <row r="383" spans="1:7" x14ac:dyDescent="0.3">
      <c r="A383" s="1" t="str">
        <f t="shared" si="5"/>
        <v>12 Dutastéride 1mg_L</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1118</v>
      </c>
      <c r="D383" s="1" t="s">
        <v>222</v>
      </c>
      <c r="E383" s="1" t="s">
        <v>1119</v>
      </c>
      <c r="F383" s="1" t="s">
        <v>112</v>
      </c>
      <c r="G383" s="1">
        <v>35495</v>
      </c>
    </row>
    <row r="384" spans="1:7" x14ac:dyDescent="0.3">
      <c r="A384" s="1" t="str">
        <f t="shared" si="5"/>
        <v>12 Dutastéride 1mg_L</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1120</v>
      </c>
      <c r="D384" s="1" t="s">
        <v>179</v>
      </c>
      <c r="E384" s="1" t="s">
        <v>1121</v>
      </c>
      <c r="F384" s="1" t="s">
        <v>112</v>
      </c>
      <c r="G384" s="1">
        <v>7981</v>
      </c>
    </row>
    <row r="385" spans="1:10" x14ac:dyDescent="0.3">
      <c r="A385" s="1" t="str">
        <f t="shared" si="5"/>
        <v>12 Dutastéride 1mg_L</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1122</v>
      </c>
      <c r="D385" s="1" t="s">
        <v>254</v>
      </c>
      <c r="E385" s="1" t="s">
        <v>1123</v>
      </c>
      <c r="F385" s="1" t="s">
        <v>112</v>
      </c>
      <c r="G385" s="1">
        <v>140919</v>
      </c>
    </row>
    <row r="386" spans="1:10" x14ac:dyDescent="0.3">
      <c r="A386" s="1" t="str">
        <f t="shared" ref="A386:A449" si="6">IFERROR(LEFT(RIGHT(C386,LEN(C386)-SEARCH("@",C386)),SEARCH("/",RIGHT(C386,LEN(C386)-SEARCH("@",C386)-1))),"")</f>
        <v>12 Dutastéride 1mg_L</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1124</v>
      </c>
    </row>
    <row r="387" spans="1:10" x14ac:dyDescent="0.3">
      <c r="A387" s="1" t="str">
        <f t="shared" si="6"/>
        <v>12 Dutastéride 1mg_L</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1125</v>
      </c>
    </row>
    <row r="388" spans="1:10" x14ac:dyDescent="0.3">
      <c r="A388" s="1" t="str">
        <f t="shared" si="6"/>
        <v>12 Dutastéride 1mg_L</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1126</v>
      </c>
    </row>
    <row r="389" spans="1:10" x14ac:dyDescent="0.3">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3">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195</v>
      </c>
      <c r="D390" s="1" t="s">
        <v>112</v>
      </c>
      <c r="E390" s="1" t="s">
        <v>196</v>
      </c>
      <c r="F390" s="1" t="s">
        <v>197</v>
      </c>
      <c r="G390" s="1" t="s">
        <v>198</v>
      </c>
      <c r="H390" s="1" t="s">
        <v>199</v>
      </c>
      <c r="I390" s="1" t="s">
        <v>200</v>
      </c>
      <c r="J390" s="1" t="s">
        <v>201</v>
      </c>
    </row>
    <row r="391" spans="1:10" x14ac:dyDescent="0.3">
      <c r="A391" s="1" t="str">
        <f t="shared" si="6"/>
        <v>12 Dutastéride 1mg_L</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1127</v>
      </c>
      <c r="D391" s="1" t="s">
        <v>112</v>
      </c>
      <c r="E391" s="1" t="s">
        <v>1128</v>
      </c>
      <c r="F391" s="1" t="s">
        <v>1129</v>
      </c>
      <c r="G391" s="1" t="s">
        <v>1130</v>
      </c>
      <c r="H391" s="1" t="s">
        <v>1131</v>
      </c>
      <c r="I391" s="1">
        <v>24</v>
      </c>
      <c r="J391" s="1">
        <v>24</v>
      </c>
    </row>
    <row r="392" spans="1:10" x14ac:dyDescent="0.3">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3">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3">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3">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3">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3">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202</v>
      </c>
      <c r="D397" s="1" t="s">
        <v>110</v>
      </c>
      <c r="E397" s="1" t="s">
        <v>111</v>
      </c>
      <c r="F397" s="1" t="s">
        <v>112</v>
      </c>
      <c r="G397" s="1" t="s">
        <v>113</v>
      </c>
    </row>
    <row r="398" spans="1:10" x14ac:dyDescent="0.3">
      <c r="A398" s="1" t="str">
        <f t="shared" si="6"/>
        <v>01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1132</v>
      </c>
      <c r="D398" s="1" t="s">
        <v>1133</v>
      </c>
      <c r="E398" s="1" t="s">
        <v>1134</v>
      </c>
      <c r="F398" s="1" t="s">
        <v>112</v>
      </c>
      <c r="G398" s="1">
        <v>3368380</v>
      </c>
    </row>
    <row r="399" spans="1:10" x14ac:dyDescent="0.3">
      <c r="A399" s="1" t="str">
        <f t="shared" si="6"/>
        <v>01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1135</v>
      </c>
      <c r="D399" s="1" t="s">
        <v>1136</v>
      </c>
      <c r="E399" s="1" t="s">
        <v>1137</v>
      </c>
      <c r="F399" s="1" t="s">
        <v>112</v>
      </c>
      <c r="G399" s="1">
        <v>3010059</v>
      </c>
    </row>
    <row r="400" spans="1:10" x14ac:dyDescent="0.3">
      <c r="A400" s="1" t="str">
        <f t="shared" si="6"/>
        <v>01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1138</v>
      </c>
      <c r="D400" s="1" t="s">
        <v>1139</v>
      </c>
      <c r="E400" s="1" t="s">
        <v>1140</v>
      </c>
      <c r="F400" s="1" t="s">
        <v>112</v>
      </c>
      <c r="G400" s="1">
        <v>2737609</v>
      </c>
    </row>
    <row r="401" spans="1:7" x14ac:dyDescent="0.3">
      <c r="A401" s="1" t="str">
        <f t="shared" si="6"/>
        <v>01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1141</v>
      </c>
      <c r="D401" s="1" t="s">
        <v>1142</v>
      </c>
      <c r="E401" s="1" t="s">
        <v>1143</v>
      </c>
      <c r="F401" s="1" t="s">
        <v>112</v>
      </c>
      <c r="G401" s="1">
        <v>2540669</v>
      </c>
    </row>
    <row r="402" spans="1:7" x14ac:dyDescent="0.3">
      <c r="A402" s="1" t="str">
        <f t="shared" si="6"/>
        <v>01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1144</v>
      </c>
      <c r="D402" s="1" t="s">
        <v>1145</v>
      </c>
      <c r="E402" s="1" t="s">
        <v>1146</v>
      </c>
      <c r="F402" s="1" t="s">
        <v>112</v>
      </c>
      <c r="G402" s="1">
        <v>2482420</v>
      </c>
    </row>
    <row r="403" spans="1:7" x14ac:dyDescent="0.3">
      <c r="A403" s="1" t="str">
        <f t="shared" si="6"/>
        <v>01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1147</v>
      </c>
      <c r="D403" s="1" t="s">
        <v>261</v>
      </c>
      <c r="E403" s="1" t="s">
        <v>1148</v>
      </c>
      <c r="F403" s="1" t="s">
        <v>112</v>
      </c>
      <c r="G403" s="1">
        <v>2257015</v>
      </c>
    </row>
    <row r="404" spans="1:7" x14ac:dyDescent="0.3">
      <c r="A404" s="1" t="str">
        <f t="shared" si="6"/>
        <v>01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1149</v>
      </c>
      <c r="D404" s="1" t="s">
        <v>1150</v>
      </c>
      <c r="E404" s="1" t="s">
        <v>1151</v>
      </c>
      <c r="F404" s="1" t="s">
        <v>112</v>
      </c>
      <c r="G404" s="1">
        <v>2920706</v>
      </c>
    </row>
    <row r="405" spans="1:7" x14ac:dyDescent="0.3">
      <c r="A405" s="1" t="str">
        <f t="shared" si="6"/>
        <v>01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1152</v>
      </c>
      <c r="D405" s="1" t="s">
        <v>1153</v>
      </c>
      <c r="E405" s="1" t="s">
        <v>1154</v>
      </c>
      <c r="F405" s="1" t="s">
        <v>112</v>
      </c>
      <c r="G405" s="1">
        <v>2565890</v>
      </c>
    </row>
    <row r="406" spans="1:7" x14ac:dyDescent="0.3">
      <c r="A406" s="1" t="str">
        <f t="shared" si="6"/>
        <v>01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1155</v>
      </c>
      <c r="D406" s="1" t="s">
        <v>1156</v>
      </c>
      <c r="E406" s="1" t="s">
        <v>1157</v>
      </c>
      <c r="F406" s="1" t="s">
        <v>112</v>
      </c>
      <c r="G406" s="1">
        <v>2207093</v>
      </c>
    </row>
    <row r="407" spans="1:7" x14ac:dyDescent="0.3">
      <c r="A407" s="1" t="str">
        <f t="shared" si="6"/>
        <v>01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1158</v>
      </c>
      <c r="D407" s="1" t="s">
        <v>292</v>
      </c>
      <c r="E407" s="1" t="s">
        <v>1159</v>
      </c>
      <c r="F407" s="1" t="s">
        <v>112</v>
      </c>
      <c r="G407" s="1">
        <v>558116</v>
      </c>
    </row>
    <row r="408" spans="1:7" x14ac:dyDescent="0.3">
      <c r="A408" s="1" t="str">
        <f t="shared" si="6"/>
        <v>01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1160</v>
      </c>
      <c r="D408" s="1" t="s">
        <v>1161</v>
      </c>
      <c r="E408" s="1" t="s">
        <v>354</v>
      </c>
      <c r="F408" s="1" t="s">
        <v>112</v>
      </c>
      <c r="G408" s="1">
        <v>158547</v>
      </c>
    </row>
    <row r="409" spans="1:7" x14ac:dyDescent="0.3">
      <c r="A409" s="1" t="str">
        <f t="shared" si="6"/>
        <v>01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1162</v>
      </c>
    </row>
    <row r="410" spans="1:7" x14ac:dyDescent="0.3">
      <c r="A410" s="1" t="str">
        <f t="shared" si="6"/>
        <v>01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1163</v>
      </c>
      <c r="D410" s="1" t="s">
        <v>1164</v>
      </c>
      <c r="E410" s="1" t="s">
        <v>1165</v>
      </c>
      <c r="F410" s="1" t="s">
        <v>112</v>
      </c>
      <c r="G410" s="1">
        <v>2736852</v>
      </c>
    </row>
    <row r="411" spans="1:7" x14ac:dyDescent="0.3">
      <c r="A411" s="1" t="str">
        <f t="shared" si="6"/>
        <v>01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1166</v>
      </c>
      <c r="D411" s="1" t="s">
        <v>1167</v>
      </c>
      <c r="E411" s="1" t="s">
        <v>1168</v>
      </c>
      <c r="F411" s="1" t="s">
        <v>112</v>
      </c>
      <c r="G411" s="1">
        <v>2973116</v>
      </c>
    </row>
    <row r="412" spans="1:7" x14ac:dyDescent="0.3">
      <c r="A412" s="1" t="str">
        <f t="shared" si="6"/>
        <v>01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1169</v>
      </c>
      <c r="D412" s="1" t="s">
        <v>1170</v>
      </c>
      <c r="E412" s="1" t="s">
        <v>1171</v>
      </c>
      <c r="F412" s="1" t="s">
        <v>112</v>
      </c>
      <c r="G412" s="1">
        <v>3046527</v>
      </c>
    </row>
    <row r="413" spans="1:7" x14ac:dyDescent="0.3">
      <c r="A413" s="1" t="str">
        <f t="shared" si="6"/>
        <v>01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1172</v>
      </c>
      <c r="D413" s="1" t="s">
        <v>1173</v>
      </c>
      <c r="E413" s="1" t="s">
        <v>1174</v>
      </c>
      <c r="F413" s="1" t="s">
        <v>112</v>
      </c>
      <c r="G413" s="1">
        <v>4392318</v>
      </c>
    </row>
    <row r="414" spans="1:7" x14ac:dyDescent="0.3">
      <c r="A414" s="1" t="str">
        <f t="shared" si="6"/>
        <v>01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1175</v>
      </c>
      <c r="D414" s="1" t="s">
        <v>1176</v>
      </c>
      <c r="E414" s="1" t="s">
        <v>1177</v>
      </c>
      <c r="F414" s="1" t="s">
        <v>112</v>
      </c>
      <c r="G414" s="1">
        <v>3957903</v>
      </c>
    </row>
    <row r="415" spans="1:7" x14ac:dyDescent="0.3">
      <c r="A415" s="1" t="str">
        <f t="shared" si="6"/>
        <v>01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1178</v>
      </c>
      <c r="D415" s="1" t="s">
        <v>1179</v>
      </c>
      <c r="E415" s="1" t="s">
        <v>1180</v>
      </c>
      <c r="F415" s="1" t="s">
        <v>112</v>
      </c>
      <c r="G415" s="1">
        <v>3656707</v>
      </c>
    </row>
    <row r="416" spans="1:7" x14ac:dyDescent="0.3">
      <c r="A416" s="1" t="str">
        <f t="shared" si="6"/>
        <v>01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1181</v>
      </c>
      <c r="D416" s="1" t="s">
        <v>1182</v>
      </c>
      <c r="E416" s="1" t="s">
        <v>1183</v>
      </c>
      <c r="F416" s="1" t="s">
        <v>112</v>
      </c>
      <c r="G416" s="1">
        <v>733578</v>
      </c>
    </row>
    <row r="417" spans="1:10" x14ac:dyDescent="0.3">
      <c r="A417" s="1" t="str">
        <f t="shared" si="6"/>
        <v>01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1184</v>
      </c>
      <c r="D417" s="1" t="s">
        <v>1185</v>
      </c>
      <c r="E417" s="1" t="s">
        <v>1186</v>
      </c>
      <c r="F417" s="1" t="s">
        <v>112</v>
      </c>
      <c r="G417" s="1">
        <v>587187</v>
      </c>
    </row>
    <row r="418" spans="1:10" x14ac:dyDescent="0.3">
      <c r="A418" s="1" t="str">
        <f t="shared" si="6"/>
        <v>01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1187</v>
      </c>
    </row>
    <row r="419" spans="1:10" x14ac:dyDescent="0.3">
      <c r="A419" s="1" t="str">
        <f t="shared" si="6"/>
        <v>01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1188</v>
      </c>
      <c r="D419" s="1" t="s">
        <v>370</v>
      </c>
      <c r="E419" s="1" t="s">
        <v>581</v>
      </c>
      <c r="F419" s="1" t="s">
        <v>112</v>
      </c>
      <c r="G419" s="1">
        <v>89678</v>
      </c>
    </row>
    <row r="420" spans="1:10" x14ac:dyDescent="0.3">
      <c r="A420" s="1" t="str">
        <f t="shared" si="6"/>
        <v>01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1189</v>
      </c>
    </row>
    <row r="421" spans="1:10" x14ac:dyDescent="0.3">
      <c r="A421" s="1" t="str">
        <f t="shared" si="6"/>
        <v>01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1190</v>
      </c>
      <c r="D421" s="1" t="s">
        <v>311</v>
      </c>
      <c r="E421" s="1" t="s">
        <v>1191</v>
      </c>
      <c r="F421" s="1" t="s">
        <v>112</v>
      </c>
      <c r="G421" s="1">
        <v>94220</v>
      </c>
    </row>
    <row r="422" spans="1:10" x14ac:dyDescent="0.3">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3">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195</v>
      </c>
      <c r="D423" s="1" t="s">
        <v>112</v>
      </c>
      <c r="E423" s="1" t="s">
        <v>196</v>
      </c>
      <c r="F423" s="1" t="s">
        <v>197</v>
      </c>
      <c r="G423" s="1" t="s">
        <v>198</v>
      </c>
      <c r="H423" s="1" t="s">
        <v>199</v>
      </c>
      <c r="I423" s="1" t="s">
        <v>200</v>
      </c>
      <c r="J423" s="1" t="s">
        <v>201</v>
      </c>
    </row>
    <row r="424" spans="1:10" x14ac:dyDescent="0.3">
      <c r="A424" s="1" t="str">
        <f t="shared" si="6"/>
        <v>01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1192</v>
      </c>
      <c r="D424" s="1" t="s">
        <v>112</v>
      </c>
      <c r="E424" s="1" t="s">
        <v>1193</v>
      </c>
      <c r="F424" s="1" t="s">
        <v>1194</v>
      </c>
      <c r="G424" s="1" t="s">
        <v>1195</v>
      </c>
      <c r="H424" s="1" t="s">
        <v>1196</v>
      </c>
      <c r="I424" s="1">
        <v>24</v>
      </c>
      <c r="J424" s="1">
        <v>24</v>
      </c>
    </row>
    <row r="425" spans="1:10" x14ac:dyDescent="0.3">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3">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3">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3">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3">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3">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202</v>
      </c>
      <c r="D430" s="1" t="s">
        <v>110</v>
      </c>
      <c r="E430" s="1" t="s">
        <v>111</v>
      </c>
      <c r="F430" s="1" t="s">
        <v>112</v>
      </c>
      <c r="G430" s="1" t="s">
        <v>113</v>
      </c>
    </row>
    <row r="431" spans="1:10" x14ac:dyDescent="0.3">
      <c r="A431" s="1" t="str">
        <f t="shared" si="6"/>
        <v>02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1197</v>
      </c>
      <c r="D431" s="1" t="s">
        <v>206</v>
      </c>
      <c r="E431" s="1" t="s">
        <v>1198</v>
      </c>
      <c r="F431" s="1" t="s">
        <v>112</v>
      </c>
      <c r="G431" s="1">
        <v>277057</v>
      </c>
    </row>
    <row r="432" spans="1:10" x14ac:dyDescent="0.3">
      <c r="A432" s="1" t="str">
        <f t="shared" si="6"/>
        <v>02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1199</v>
      </c>
      <c r="D432" s="1" t="s">
        <v>1200</v>
      </c>
      <c r="E432" s="1" t="s">
        <v>1201</v>
      </c>
      <c r="F432" s="1" t="s">
        <v>112</v>
      </c>
      <c r="G432" s="1">
        <v>241152</v>
      </c>
    </row>
    <row r="433" spans="1:7" x14ac:dyDescent="0.3">
      <c r="A433" s="1" t="str">
        <f t="shared" si="6"/>
        <v>02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1202</v>
      </c>
      <c r="D433" s="1" t="s">
        <v>1203</v>
      </c>
      <c r="E433" s="1" t="s">
        <v>1204</v>
      </c>
      <c r="F433" s="1" t="s">
        <v>112</v>
      </c>
      <c r="G433" s="1">
        <v>146694</v>
      </c>
    </row>
    <row r="434" spans="1:7" x14ac:dyDescent="0.3">
      <c r="A434" s="1" t="str">
        <f t="shared" si="6"/>
        <v>02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1205</v>
      </c>
      <c r="D434" s="1" t="s">
        <v>1206</v>
      </c>
      <c r="E434" s="1" t="s">
        <v>1207</v>
      </c>
      <c r="F434" s="1" t="s">
        <v>112</v>
      </c>
      <c r="G434" s="1">
        <v>2949972</v>
      </c>
    </row>
    <row r="435" spans="1:7" x14ac:dyDescent="0.3">
      <c r="A435" s="1" t="str">
        <f t="shared" si="6"/>
        <v>02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1208</v>
      </c>
      <c r="D435" s="1" t="s">
        <v>1209</v>
      </c>
      <c r="E435" s="1" t="s">
        <v>1210</v>
      </c>
      <c r="F435" s="1" t="s">
        <v>112</v>
      </c>
      <c r="G435" s="1">
        <v>2778836</v>
      </c>
    </row>
    <row r="436" spans="1:7" x14ac:dyDescent="0.3">
      <c r="A436" s="1" t="str">
        <f t="shared" si="6"/>
        <v>02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1211</v>
      </c>
      <c r="D436" s="1" t="s">
        <v>1212</v>
      </c>
      <c r="E436" s="1" t="s">
        <v>1213</v>
      </c>
      <c r="F436" s="1" t="s">
        <v>112</v>
      </c>
      <c r="G436" s="1">
        <v>2752296</v>
      </c>
    </row>
    <row r="437" spans="1:7" x14ac:dyDescent="0.3">
      <c r="A437" s="1" t="str">
        <f t="shared" si="6"/>
        <v>02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1214</v>
      </c>
      <c r="D437" s="1" t="s">
        <v>1215</v>
      </c>
      <c r="E437" s="1" t="s">
        <v>1216</v>
      </c>
      <c r="F437" s="1" t="s">
        <v>112</v>
      </c>
      <c r="G437" s="1">
        <v>3082736</v>
      </c>
    </row>
    <row r="438" spans="1:7" x14ac:dyDescent="0.3">
      <c r="A438" s="1" t="str">
        <f t="shared" si="6"/>
        <v>02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1217</v>
      </c>
      <c r="D438" s="1" t="s">
        <v>1218</v>
      </c>
      <c r="E438" s="1" t="s">
        <v>1219</v>
      </c>
      <c r="F438" s="1" t="s">
        <v>112</v>
      </c>
      <c r="G438" s="1">
        <v>3036188</v>
      </c>
    </row>
    <row r="439" spans="1:7" x14ac:dyDescent="0.3">
      <c r="A439" s="1" t="str">
        <f t="shared" si="6"/>
        <v>02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1220</v>
      </c>
      <c r="D439" s="1" t="s">
        <v>1221</v>
      </c>
      <c r="E439" s="1" t="s">
        <v>1222</v>
      </c>
      <c r="F439" s="1" t="s">
        <v>112</v>
      </c>
      <c r="G439" s="1">
        <v>3049815</v>
      </c>
    </row>
    <row r="440" spans="1:7" x14ac:dyDescent="0.3">
      <c r="A440" s="1" t="str">
        <f t="shared" si="6"/>
        <v>02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1223</v>
      </c>
      <c r="D440" s="1" t="s">
        <v>1224</v>
      </c>
      <c r="E440" s="1" t="s">
        <v>1225</v>
      </c>
      <c r="F440" s="1" t="s">
        <v>112</v>
      </c>
      <c r="G440" s="1">
        <v>3318653</v>
      </c>
    </row>
    <row r="441" spans="1:7" x14ac:dyDescent="0.3">
      <c r="A441" s="1" t="str">
        <f t="shared" si="6"/>
        <v>02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1226</v>
      </c>
      <c r="D441" s="1" t="s">
        <v>1227</v>
      </c>
      <c r="E441" s="1" t="s">
        <v>1228</v>
      </c>
      <c r="F441" s="1" t="s">
        <v>112</v>
      </c>
      <c r="G441" s="1">
        <v>3602675</v>
      </c>
    </row>
    <row r="442" spans="1:7" x14ac:dyDescent="0.3">
      <c r="A442" s="1" t="str">
        <f t="shared" si="6"/>
        <v>02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1229</v>
      </c>
      <c r="D442" s="1" t="s">
        <v>1230</v>
      </c>
      <c r="E442" s="1" t="s">
        <v>1231</v>
      </c>
      <c r="F442" s="1" t="s">
        <v>112</v>
      </c>
      <c r="G442" s="1">
        <v>3225298</v>
      </c>
    </row>
    <row r="443" spans="1:7" x14ac:dyDescent="0.3">
      <c r="A443" s="1" t="str">
        <f t="shared" si="6"/>
        <v>02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1232</v>
      </c>
      <c r="D443" s="1" t="s">
        <v>1233</v>
      </c>
      <c r="E443" s="1" t="s">
        <v>1234</v>
      </c>
      <c r="F443" s="1" t="s">
        <v>112</v>
      </c>
      <c r="G443" s="1">
        <v>1510394</v>
      </c>
    </row>
    <row r="444" spans="1:7" x14ac:dyDescent="0.3">
      <c r="A444" s="1" t="str">
        <f t="shared" si="6"/>
        <v>02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1235</v>
      </c>
      <c r="D444" s="1" t="s">
        <v>1236</v>
      </c>
      <c r="E444" s="1" t="s">
        <v>1237</v>
      </c>
      <c r="F444" s="1" t="s">
        <v>112</v>
      </c>
      <c r="G444" s="1">
        <v>1100659</v>
      </c>
    </row>
    <row r="445" spans="1:7" x14ac:dyDescent="0.3">
      <c r="A445" s="1" t="str">
        <f t="shared" si="6"/>
        <v>02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1238</v>
      </c>
      <c r="D445" s="1" t="s">
        <v>1239</v>
      </c>
      <c r="E445" s="1" t="s">
        <v>1240</v>
      </c>
      <c r="F445" s="1" t="s">
        <v>112</v>
      </c>
      <c r="G445" s="1">
        <v>1351587</v>
      </c>
    </row>
    <row r="446" spans="1:7" x14ac:dyDescent="0.3">
      <c r="A446" s="1" t="str">
        <f t="shared" si="6"/>
        <v>02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1241</v>
      </c>
      <c r="D446" s="1" t="s">
        <v>357</v>
      </c>
      <c r="E446" s="1" t="s">
        <v>1242</v>
      </c>
      <c r="F446" s="1" t="s">
        <v>112</v>
      </c>
      <c r="G446" s="1">
        <v>85481</v>
      </c>
    </row>
    <row r="447" spans="1:7" x14ac:dyDescent="0.3">
      <c r="A447" s="1" t="str">
        <f t="shared" si="6"/>
        <v>02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1243</v>
      </c>
      <c r="D447" s="1" t="s">
        <v>323</v>
      </c>
      <c r="E447" s="1" t="s">
        <v>1244</v>
      </c>
      <c r="F447" s="1" t="s">
        <v>112</v>
      </c>
      <c r="G447" s="1">
        <v>27643</v>
      </c>
    </row>
    <row r="448" spans="1:7" x14ac:dyDescent="0.3">
      <c r="A448" s="1" t="str">
        <f t="shared" si="6"/>
        <v>02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1245</v>
      </c>
      <c r="D448" s="1" t="s">
        <v>323</v>
      </c>
      <c r="E448" s="1">
        <v>64</v>
      </c>
      <c r="F448" s="1" t="s">
        <v>112</v>
      </c>
      <c r="G448" s="1">
        <v>27686</v>
      </c>
    </row>
    <row r="449" spans="1:10" x14ac:dyDescent="0.3">
      <c r="A449" s="1" t="str">
        <f t="shared" si="6"/>
        <v>02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1246</v>
      </c>
      <c r="D449" s="1" t="s">
        <v>1247</v>
      </c>
      <c r="E449" s="1" t="s">
        <v>1248</v>
      </c>
      <c r="F449" s="1" t="s">
        <v>112</v>
      </c>
      <c r="G449" s="1">
        <v>3080465</v>
      </c>
    </row>
    <row r="450" spans="1:10" x14ac:dyDescent="0.3">
      <c r="A450" s="1" t="str">
        <f t="shared" ref="A450:A513" si="7">IFERROR(LEFT(RIGHT(C450,LEN(C450)-SEARCH("@",C450)),SEARCH("/",RIGHT(C450,LEN(C450)-SEARCH("@",C450)-1))),"")</f>
        <v>02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1249</v>
      </c>
      <c r="D450" s="1" t="s">
        <v>273</v>
      </c>
      <c r="E450" s="1" t="s">
        <v>1250</v>
      </c>
      <c r="F450" s="1" t="s">
        <v>112</v>
      </c>
      <c r="G450" s="1">
        <v>3262048</v>
      </c>
    </row>
    <row r="451" spans="1:10" x14ac:dyDescent="0.3">
      <c r="A451" s="1" t="str">
        <f t="shared" si="7"/>
        <v>02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1251</v>
      </c>
      <c r="D451" s="1" t="s">
        <v>1215</v>
      </c>
      <c r="E451" s="1" t="s">
        <v>1252</v>
      </c>
      <c r="F451" s="1" t="s">
        <v>112</v>
      </c>
      <c r="G451" s="1">
        <v>3105490</v>
      </c>
    </row>
    <row r="452" spans="1:10" x14ac:dyDescent="0.3">
      <c r="A452" s="1" t="str">
        <f t="shared" si="7"/>
        <v>02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1253</v>
      </c>
      <c r="D452" s="1" t="s">
        <v>1254</v>
      </c>
      <c r="E452" s="1" t="s">
        <v>1255</v>
      </c>
      <c r="F452" s="1" t="s">
        <v>112</v>
      </c>
      <c r="G452" s="1">
        <v>2622755</v>
      </c>
    </row>
    <row r="453" spans="1:10" x14ac:dyDescent="0.3">
      <c r="A453" s="1" t="str">
        <f t="shared" si="7"/>
        <v>02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1256</v>
      </c>
      <c r="D453" s="1" t="s">
        <v>1257</v>
      </c>
      <c r="E453" s="1" t="s">
        <v>1258</v>
      </c>
      <c r="F453" s="1" t="s">
        <v>112</v>
      </c>
      <c r="G453" s="1">
        <v>2930916</v>
      </c>
    </row>
    <row r="454" spans="1:10" x14ac:dyDescent="0.3">
      <c r="A454" s="1" t="str">
        <f t="shared" si="7"/>
        <v>02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1259</v>
      </c>
      <c r="D454" s="1" t="s">
        <v>1260</v>
      </c>
      <c r="E454" s="1" t="s">
        <v>1261</v>
      </c>
      <c r="F454" s="1" t="s">
        <v>112</v>
      </c>
      <c r="G454" s="1">
        <v>2117177</v>
      </c>
    </row>
    <row r="455" spans="1:10" x14ac:dyDescent="0.3">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3">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195</v>
      </c>
      <c r="D456" s="1" t="s">
        <v>112</v>
      </c>
      <c r="E456" s="1" t="s">
        <v>196</v>
      </c>
      <c r="F456" s="1" t="s">
        <v>197</v>
      </c>
      <c r="G456" s="1" t="s">
        <v>198</v>
      </c>
      <c r="H456" s="1" t="s">
        <v>199</v>
      </c>
      <c r="I456" s="1" t="s">
        <v>200</v>
      </c>
      <c r="J456" s="1" t="s">
        <v>201</v>
      </c>
    </row>
    <row r="457" spans="1:10" x14ac:dyDescent="0.3">
      <c r="A457" s="1" t="str">
        <f t="shared" si="7"/>
        <v>02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1262</v>
      </c>
      <c r="D457" s="1" t="s">
        <v>112</v>
      </c>
      <c r="E457" s="1" t="s">
        <v>1263</v>
      </c>
      <c r="F457" s="1" t="s">
        <v>1264</v>
      </c>
      <c r="G457" s="1" t="s">
        <v>1265</v>
      </c>
      <c r="H457" s="1">
        <v>1298420</v>
      </c>
      <c r="I457" s="1">
        <v>24</v>
      </c>
      <c r="J457" s="1">
        <v>24</v>
      </c>
    </row>
    <row r="458" spans="1:10" x14ac:dyDescent="0.3">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3">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3">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3">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3">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3">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202</v>
      </c>
      <c r="D463" s="1" t="s">
        <v>110</v>
      </c>
      <c r="E463" s="1" t="s">
        <v>111</v>
      </c>
      <c r="F463" s="1" t="s">
        <v>112</v>
      </c>
      <c r="G463" s="1" t="s">
        <v>113</v>
      </c>
    </row>
    <row r="464" spans="1:10" x14ac:dyDescent="0.3">
      <c r="A464" s="1" t="str">
        <f t="shared" si="7"/>
        <v>03 Testo+ EE2 64</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1266</v>
      </c>
      <c r="D464" s="1" t="s">
        <v>385</v>
      </c>
      <c r="E464" s="1" t="s">
        <v>1267</v>
      </c>
      <c r="F464" s="1" t="s">
        <v>112</v>
      </c>
      <c r="G464" s="1">
        <v>168281</v>
      </c>
    </row>
    <row r="465" spans="1:7" x14ac:dyDescent="0.3">
      <c r="A465" s="1" t="str">
        <f t="shared" si="7"/>
        <v>03 Testo+ EE2 64</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1268</v>
      </c>
      <c r="D465" s="1" t="s">
        <v>1269</v>
      </c>
      <c r="E465" s="1" t="s">
        <v>1270</v>
      </c>
      <c r="F465" s="1" t="s">
        <v>112</v>
      </c>
      <c r="G465" s="1">
        <v>562572</v>
      </c>
    </row>
    <row r="466" spans="1:7" x14ac:dyDescent="0.3">
      <c r="A466" s="1" t="str">
        <f t="shared" si="7"/>
        <v>03 Testo+ EE2 64</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1271</v>
      </c>
      <c r="D466" s="1" t="s">
        <v>1272</v>
      </c>
      <c r="E466" s="1" t="s">
        <v>1273</v>
      </c>
      <c r="F466" s="1" t="s">
        <v>112</v>
      </c>
      <c r="G466" s="1">
        <v>815490</v>
      </c>
    </row>
    <row r="467" spans="1:7" x14ac:dyDescent="0.3">
      <c r="A467" s="1" t="str">
        <f t="shared" si="7"/>
        <v>03 Testo+ EE2 64</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1274</v>
      </c>
      <c r="D467" s="1" t="s">
        <v>1275</v>
      </c>
      <c r="E467" s="1" t="s">
        <v>1276</v>
      </c>
      <c r="F467" s="1" t="s">
        <v>112</v>
      </c>
      <c r="G467" s="1">
        <v>2429664</v>
      </c>
    </row>
    <row r="468" spans="1:7" x14ac:dyDescent="0.3">
      <c r="A468" s="1" t="str">
        <f t="shared" si="7"/>
        <v>03 Testo+ EE2 64</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1277</v>
      </c>
      <c r="D468" s="1" t="s">
        <v>1278</v>
      </c>
      <c r="E468" s="1" t="s">
        <v>1279</v>
      </c>
      <c r="F468" s="1" t="s">
        <v>112</v>
      </c>
      <c r="G468" s="1">
        <v>2332979</v>
      </c>
    </row>
    <row r="469" spans="1:7" x14ac:dyDescent="0.3">
      <c r="A469" s="1" t="str">
        <f t="shared" si="7"/>
        <v>03 Testo+ EE2 64</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1280</v>
      </c>
      <c r="D469" s="1" t="s">
        <v>1281</v>
      </c>
      <c r="E469" s="1" t="s">
        <v>1282</v>
      </c>
      <c r="F469" s="1" t="s">
        <v>112</v>
      </c>
      <c r="G469" s="1">
        <v>2220720</v>
      </c>
    </row>
    <row r="470" spans="1:7" x14ac:dyDescent="0.3">
      <c r="A470" s="1" t="str">
        <f t="shared" si="7"/>
        <v>03 Testo+ EE2 64</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1283</v>
      </c>
      <c r="D470" s="1" t="s">
        <v>1284</v>
      </c>
      <c r="E470" s="1" t="s">
        <v>1285</v>
      </c>
      <c r="F470" s="1" t="s">
        <v>112</v>
      </c>
      <c r="G470" s="1">
        <v>1389721</v>
      </c>
    </row>
    <row r="471" spans="1:7" x14ac:dyDescent="0.3">
      <c r="A471" s="1" t="str">
        <f t="shared" si="7"/>
        <v>03 Testo+ EE2 64</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1286</v>
      </c>
      <c r="D471" s="1" t="s">
        <v>857</v>
      </c>
      <c r="E471" s="1" t="s">
        <v>1287</v>
      </c>
      <c r="F471" s="1" t="s">
        <v>112</v>
      </c>
      <c r="G471" s="1">
        <v>1191894</v>
      </c>
    </row>
    <row r="472" spans="1:7" x14ac:dyDescent="0.3">
      <c r="A472" s="1" t="str">
        <f t="shared" si="7"/>
        <v>03 Testo+ EE2 64</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1288</v>
      </c>
      <c r="D472" s="1" t="s">
        <v>1289</v>
      </c>
      <c r="E472" s="1" t="s">
        <v>1290</v>
      </c>
      <c r="F472" s="1" t="s">
        <v>112</v>
      </c>
      <c r="G472" s="1">
        <v>1235564</v>
      </c>
    </row>
    <row r="473" spans="1:7" x14ac:dyDescent="0.3">
      <c r="A473" s="1" t="str">
        <f t="shared" si="7"/>
        <v>03 Testo+ EE2 64</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1291</v>
      </c>
      <c r="D473" s="1" t="s">
        <v>1292</v>
      </c>
      <c r="E473" s="1" t="s">
        <v>1293</v>
      </c>
      <c r="F473" s="1" t="s">
        <v>112</v>
      </c>
      <c r="G473" s="1">
        <v>1324290</v>
      </c>
    </row>
    <row r="474" spans="1:7" x14ac:dyDescent="0.3">
      <c r="A474" s="1" t="str">
        <f t="shared" si="7"/>
        <v>03 Testo+ EE2 64</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1294</v>
      </c>
      <c r="D474" s="1" t="s">
        <v>1295</v>
      </c>
      <c r="E474" s="1" t="s">
        <v>1296</v>
      </c>
      <c r="F474" s="1" t="s">
        <v>112</v>
      </c>
      <c r="G474" s="1">
        <v>1088460</v>
      </c>
    </row>
    <row r="475" spans="1:7" x14ac:dyDescent="0.3">
      <c r="A475" s="1" t="str">
        <f t="shared" si="7"/>
        <v>03 Testo+ EE2 64</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1297</v>
      </c>
      <c r="D475" s="1" t="s">
        <v>1298</v>
      </c>
      <c r="E475" s="1" t="s">
        <v>1299</v>
      </c>
      <c r="F475" s="1" t="s">
        <v>112</v>
      </c>
      <c r="G475" s="1">
        <v>1376873</v>
      </c>
    </row>
    <row r="476" spans="1:7" x14ac:dyDescent="0.3">
      <c r="A476" s="1" t="str">
        <f t="shared" si="7"/>
        <v>03 Testo+ EE2 64</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1300</v>
      </c>
      <c r="D476" s="1" t="s">
        <v>1301</v>
      </c>
      <c r="E476" s="1" t="s">
        <v>1302</v>
      </c>
      <c r="F476" s="1" t="s">
        <v>112</v>
      </c>
      <c r="G476" s="1">
        <v>2537057</v>
      </c>
    </row>
    <row r="477" spans="1:7" x14ac:dyDescent="0.3">
      <c r="A477" s="1" t="str">
        <f t="shared" si="7"/>
        <v>03 Testo+ EE2 64</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1303</v>
      </c>
      <c r="D477" s="1" t="s">
        <v>1304</v>
      </c>
      <c r="E477" s="1" t="s">
        <v>1305</v>
      </c>
      <c r="F477" s="1" t="s">
        <v>112</v>
      </c>
      <c r="G477" s="1">
        <v>2722923</v>
      </c>
    </row>
    <row r="478" spans="1:7" x14ac:dyDescent="0.3">
      <c r="A478" s="1" t="str">
        <f t="shared" si="7"/>
        <v>03 Testo+ EE2 64</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1306</v>
      </c>
      <c r="D478" s="1" t="s">
        <v>343</v>
      </c>
      <c r="E478" s="1" t="s">
        <v>1307</v>
      </c>
      <c r="F478" s="1" t="s">
        <v>112</v>
      </c>
      <c r="G478" s="1">
        <v>2426117</v>
      </c>
    </row>
    <row r="479" spans="1:7" x14ac:dyDescent="0.3">
      <c r="A479" s="1" t="str">
        <f t="shared" si="7"/>
        <v>03 Testo+ EE2 64</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1308</v>
      </c>
      <c r="D479" s="1" t="s">
        <v>1309</v>
      </c>
      <c r="E479" s="1" t="s">
        <v>1310</v>
      </c>
      <c r="F479" s="1" t="s">
        <v>112</v>
      </c>
      <c r="G479" s="1">
        <v>3590216</v>
      </c>
    </row>
    <row r="480" spans="1:7" x14ac:dyDescent="0.3">
      <c r="A480" s="1" t="str">
        <f t="shared" si="7"/>
        <v>03 Testo+ EE2 64</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1311</v>
      </c>
      <c r="D480" s="1" t="s">
        <v>1312</v>
      </c>
      <c r="E480" s="1" t="s">
        <v>1313</v>
      </c>
      <c r="F480" s="1" t="s">
        <v>112</v>
      </c>
      <c r="G480" s="1">
        <v>2813898</v>
      </c>
    </row>
    <row r="481" spans="1:10" x14ac:dyDescent="0.3">
      <c r="A481" s="1" t="str">
        <f t="shared" si="7"/>
        <v>03 Testo+ EE2 64</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1314</v>
      </c>
      <c r="D481" s="1" t="s">
        <v>1315</v>
      </c>
      <c r="E481" s="1" t="s">
        <v>1316</v>
      </c>
      <c r="F481" s="1" t="s">
        <v>112</v>
      </c>
      <c r="G481" s="1">
        <v>2241809</v>
      </c>
    </row>
    <row r="482" spans="1:10" x14ac:dyDescent="0.3">
      <c r="A482" s="1" t="str">
        <f t="shared" si="7"/>
        <v>03 Testo+ EE2 64</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1317</v>
      </c>
      <c r="D482" s="1" t="s">
        <v>1318</v>
      </c>
      <c r="E482" s="1" t="s">
        <v>1319</v>
      </c>
      <c r="F482" s="1" t="s">
        <v>112</v>
      </c>
      <c r="G482" s="1">
        <v>5980103</v>
      </c>
    </row>
    <row r="483" spans="1:10" x14ac:dyDescent="0.3">
      <c r="A483" s="1" t="str">
        <f t="shared" si="7"/>
        <v>03 Testo+ EE2 64</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1320</v>
      </c>
      <c r="D483" s="1" t="s">
        <v>1321</v>
      </c>
      <c r="E483" s="1" t="s">
        <v>1322</v>
      </c>
      <c r="F483" s="1" t="s">
        <v>112</v>
      </c>
      <c r="G483" s="1">
        <v>4855046</v>
      </c>
    </row>
    <row r="484" spans="1:10" x14ac:dyDescent="0.3">
      <c r="A484" s="1" t="str">
        <f t="shared" si="7"/>
        <v>03 Testo+ EE2 64</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1323</v>
      </c>
      <c r="D484" s="1" t="s">
        <v>1324</v>
      </c>
      <c r="E484" s="1" t="s">
        <v>1325</v>
      </c>
      <c r="F484" s="1" t="s">
        <v>112</v>
      </c>
      <c r="G484" s="1">
        <v>5296664</v>
      </c>
    </row>
    <row r="485" spans="1:10" x14ac:dyDescent="0.3">
      <c r="A485" s="1" t="str">
        <f t="shared" si="7"/>
        <v>03 Testo+ EE2 64</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1326</v>
      </c>
      <c r="D485" s="1" t="s">
        <v>1327</v>
      </c>
      <c r="E485" s="1" t="s">
        <v>1328</v>
      </c>
      <c r="F485" s="1" t="s">
        <v>112</v>
      </c>
      <c r="G485" s="1">
        <v>877611</v>
      </c>
    </row>
    <row r="486" spans="1:10" x14ac:dyDescent="0.3">
      <c r="A486" s="1" t="str">
        <f t="shared" si="7"/>
        <v>03 Testo+ EE2 64</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1329</v>
      </c>
      <c r="D486" s="1" t="s">
        <v>381</v>
      </c>
      <c r="E486" s="1" t="s">
        <v>1330</v>
      </c>
      <c r="F486" s="1" t="s">
        <v>112</v>
      </c>
      <c r="G486" s="1">
        <v>727435</v>
      </c>
    </row>
    <row r="487" spans="1:10" x14ac:dyDescent="0.3">
      <c r="A487" s="1" t="str">
        <f t="shared" si="7"/>
        <v>03 Testo+ EE2 64</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1331</v>
      </c>
      <c r="D487" s="1" t="s">
        <v>1332</v>
      </c>
      <c r="E487" s="1" t="s">
        <v>1333</v>
      </c>
      <c r="F487" s="1" t="s">
        <v>112</v>
      </c>
      <c r="G487" s="1">
        <v>882803</v>
      </c>
    </row>
    <row r="488" spans="1:10" x14ac:dyDescent="0.3">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3">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195</v>
      </c>
      <c r="D489" s="1" t="s">
        <v>112</v>
      </c>
      <c r="E489" s="1" t="s">
        <v>196</v>
      </c>
      <c r="F489" s="1" t="s">
        <v>197</v>
      </c>
      <c r="G489" s="1" t="s">
        <v>198</v>
      </c>
      <c r="H489" s="1" t="s">
        <v>199</v>
      </c>
      <c r="I489" s="1" t="s">
        <v>200</v>
      </c>
      <c r="J489" s="1" t="s">
        <v>201</v>
      </c>
    </row>
    <row r="490" spans="1:10" x14ac:dyDescent="0.3">
      <c r="A490" s="1" t="str">
        <f t="shared" si="7"/>
        <v>03 Testo+ EE2 64</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1334</v>
      </c>
      <c r="D490" s="1" t="s">
        <v>112</v>
      </c>
      <c r="E490" s="1" t="s">
        <v>1335</v>
      </c>
      <c r="F490" s="1" t="s">
        <v>1336</v>
      </c>
      <c r="G490" s="1" t="s">
        <v>1337</v>
      </c>
      <c r="H490" s="1" t="s">
        <v>1338</v>
      </c>
      <c r="I490" s="1">
        <v>24</v>
      </c>
      <c r="J490" s="1">
        <v>24</v>
      </c>
    </row>
    <row r="491" spans="1:10" x14ac:dyDescent="0.3">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3">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3">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3">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3">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3">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202</v>
      </c>
      <c r="D496" s="1" t="s">
        <v>110</v>
      </c>
      <c r="E496" s="1" t="s">
        <v>111</v>
      </c>
      <c r="F496" s="1" t="s">
        <v>112</v>
      </c>
      <c r="G496" s="1" t="s">
        <v>113</v>
      </c>
    </row>
    <row r="497" spans="1:7" x14ac:dyDescent="0.3">
      <c r="A497" s="1" t="str">
        <f t="shared" si="7"/>
        <v>04 Testo+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1339</v>
      </c>
      <c r="D497" s="1" t="s">
        <v>214</v>
      </c>
      <c r="E497" s="1" t="s">
        <v>1340</v>
      </c>
      <c r="F497" s="1" t="s">
        <v>112</v>
      </c>
      <c r="G497" s="1">
        <v>19640</v>
      </c>
    </row>
    <row r="498" spans="1:7" x14ac:dyDescent="0.3">
      <c r="A498" s="1" t="str">
        <f t="shared" si="7"/>
        <v>04 Testo+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1341</v>
      </c>
      <c r="D498" s="1" t="s">
        <v>177</v>
      </c>
      <c r="E498" s="1">
        <v>64</v>
      </c>
      <c r="F498" s="1" t="s">
        <v>112</v>
      </c>
      <c r="G498" s="1">
        <v>23533</v>
      </c>
    </row>
    <row r="499" spans="1:7" x14ac:dyDescent="0.3">
      <c r="A499" s="1" t="str">
        <f t="shared" si="7"/>
        <v>04 Testo+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1342</v>
      </c>
      <c r="D499" s="1" t="s">
        <v>229</v>
      </c>
      <c r="E499" s="1" t="s">
        <v>1343</v>
      </c>
      <c r="F499" s="1" t="s">
        <v>112</v>
      </c>
      <c r="G499" s="1">
        <v>18494</v>
      </c>
    </row>
    <row r="500" spans="1:7" x14ac:dyDescent="0.3">
      <c r="A500" s="1" t="str">
        <f t="shared" si="7"/>
        <v>04 Testo+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1344</v>
      </c>
      <c r="D500" s="1" t="s">
        <v>349</v>
      </c>
      <c r="E500" s="1" t="s">
        <v>1345</v>
      </c>
      <c r="F500" s="1" t="s">
        <v>112</v>
      </c>
      <c r="G500" s="1">
        <v>80506</v>
      </c>
    </row>
    <row r="501" spans="1:7" x14ac:dyDescent="0.3">
      <c r="A501" s="1" t="str">
        <f t="shared" si="7"/>
        <v>04 Testo+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1346</v>
      </c>
      <c r="D501" s="1" t="s">
        <v>238</v>
      </c>
      <c r="E501" s="1" t="s">
        <v>1347</v>
      </c>
      <c r="F501" s="1" t="s">
        <v>112</v>
      </c>
      <c r="G501" s="1">
        <v>56497</v>
      </c>
    </row>
    <row r="502" spans="1:7" x14ac:dyDescent="0.3">
      <c r="A502" s="1" t="str">
        <f t="shared" si="7"/>
        <v>04 Testo+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1348</v>
      </c>
    </row>
    <row r="503" spans="1:7" x14ac:dyDescent="0.3">
      <c r="A503" s="1" t="str">
        <f t="shared" si="7"/>
        <v>04 Testo+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1349</v>
      </c>
      <c r="D503" s="1" t="s">
        <v>1024</v>
      </c>
      <c r="E503" s="1" t="s">
        <v>1350</v>
      </c>
      <c r="F503" s="1" t="s">
        <v>112</v>
      </c>
      <c r="G503" s="1">
        <v>106224</v>
      </c>
    </row>
    <row r="504" spans="1:7" x14ac:dyDescent="0.3">
      <c r="A504" s="1" t="str">
        <f t="shared" si="7"/>
        <v>04 Testo+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1351</v>
      </c>
      <c r="D504" s="1" t="s">
        <v>310</v>
      </c>
      <c r="E504" s="1" t="s">
        <v>1352</v>
      </c>
      <c r="F504" s="1" t="s">
        <v>112</v>
      </c>
      <c r="G504" s="1">
        <v>65452</v>
      </c>
    </row>
    <row r="505" spans="1:7" x14ac:dyDescent="0.3">
      <c r="A505" s="1" t="str">
        <f t="shared" si="7"/>
        <v>04 Testo+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1353</v>
      </c>
      <c r="D505" s="1" t="s">
        <v>178</v>
      </c>
      <c r="E505" s="1" t="s">
        <v>1354</v>
      </c>
      <c r="F505" s="1" t="s">
        <v>112</v>
      </c>
      <c r="G505" s="1">
        <v>60218</v>
      </c>
    </row>
    <row r="506" spans="1:7" x14ac:dyDescent="0.3">
      <c r="A506" s="1" t="str">
        <f t="shared" si="7"/>
        <v>04 Testo+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1355</v>
      </c>
      <c r="D506" s="1" t="s">
        <v>1356</v>
      </c>
      <c r="E506" s="1" t="s">
        <v>1357</v>
      </c>
      <c r="F506" s="1" t="s">
        <v>112</v>
      </c>
      <c r="G506" s="1">
        <v>259169</v>
      </c>
    </row>
    <row r="507" spans="1:7" x14ac:dyDescent="0.3">
      <c r="A507" s="1" t="str">
        <f t="shared" si="7"/>
        <v>04 Testo+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1358</v>
      </c>
      <c r="D507" s="1" t="s">
        <v>289</v>
      </c>
      <c r="E507" s="1" t="s">
        <v>1359</v>
      </c>
      <c r="F507" s="1" t="s">
        <v>112</v>
      </c>
      <c r="G507" s="1">
        <v>200596</v>
      </c>
    </row>
    <row r="508" spans="1:7" x14ac:dyDescent="0.3">
      <c r="A508" s="1" t="str">
        <f t="shared" si="7"/>
        <v>04 Testo+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1360</v>
      </c>
      <c r="D508" s="1" t="s">
        <v>338</v>
      </c>
      <c r="E508" s="1" t="s">
        <v>1361</v>
      </c>
      <c r="F508" s="1" t="s">
        <v>112</v>
      </c>
      <c r="G508" s="1">
        <v>170141</v>
      </c>
    </row>
    <row r="509" spans="1:7" x14ac:dyDescent="0.3">
      <c r="A509" s="1" t="str">
        <f t="shared" si="7"/>
        <v>04 Testo+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1362</v>
      </c>
      <c r="D509" s="1" t="s">
        <v>439</v>
      </c>
      <c r="E509" s="1" t="s">
        <v>1363</v>
      </c>
      <c r="F509" s="1" t="s">
        <v>112</v>
      </c>
      <c r="G509" s="1">
        <v>367081</v>
      </c>
    </row>
    <row r="510" spans="1:7" x14ac:dyDescent="0.3">
      <c r="A510" s="1" t="str">
        <f t="shared" si="7"/>
        <v>04 Testo+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1364</v>
      </c>
      <c r="D510" s="1" t="s">
        <v>363</v>
      </c>
      <c r="E510" s="1" t="s">
        <v>1365</v>
      </c>
      <c r="F510" s="1" t="s">
        <v>112</v>
      </c>
      <c r="G510" s="1">
        <v>254822</v>
      </c>
    </row>
    <row r="511" spans="1:7" x14ac:dyDescent="0.3">
      <c r="A511" s="1" t="str">
        <f t="shared" si="7"/>
        <v>04 Testo+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1366</v>
      </c>
      <c r="D511" s="1" t="s">
        <v>333</v>
      </c>
      <c r="E511" s="1" t="s">
        <v>1367</v>
      </c>
      <c r="F511" s="1" t="s">
        <v>112</v>
      </c>
      <c r="G511" s="1">
        <v>184806</v>
      </c>
    </row>
    <row r="512" spans="1:7" x14ac:dyDescent="0.3">
      <c r="A512" s="1" t="str">
        <f t="shared" si="7"/>
        <v>04 Testo+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1368</v>
      </c>
      <c r="D512" s="1" t="s">
        <v>1086</v>
      </c>
      <c r="E512" s="1" t="s">
        <v>1369</v>
      </c>
      <c r="F512" s="1" t="s">
        <v>112</v>
      </c>
      <c r="G512" s="1">
        <v>213941</v>
      </c>
    </row>
    <row r="513" spans="1:10" x14ac:dyDescent="0.3">
      <c r="A513" s="1" t="str">
        <f t="shared" si="7"/>
        <v>04 Testo+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1370</v>
      </c>
      <c r="D513" s="1" t="s">
        <v>355</v>
      </c>
      <c r="E513" s="1" t="s">
        <v>1371</v>
      </c>
      <c r="F513" s="1" t="s">
        <v>112</v>
      </c>
      <c r="G513" s="1">
        <v>264512</v>
      </c>
    </row>
    <row r="514" spans="1:10" x14ac:dyDescent="0.3">
      <c r="A514" s="1" t="str">
        <f t="shared" ref="A514:A577" si="8">IFERROR(LEFT(RIGHT(C514,LEN(C514)-SEARCH("@",C514)),SEARCH("/",RIGHT(C514,LEN(C514)-SEARCH("@",C514)-1))),"")</f>
        <v>04 Testo+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1372</v>
      </c>
      <c r="D514" s="1" t="s">
        <v>952</v>
      </c>
      <c r="E514" s="1" t="s">
        <v>1373</v>
      </c>
      <c r="F514" s="1" t="s">
        <v>112</v>
      </c>
      <c r="G514" s="1">
        <v>263604</v>
      </c>
    </row>
    <row r="515" spans="1:10" x14ac:dyDescent="0.3">
      <c r="A515" s="1" t="str">
        <f t="shared" si="8"/>
        <v>04 Testo+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1374</v>
      </c>
      <c r="D515" s="1" t="s">
        <v>186</v>
      </c>
      <c r="E515" s="1" t="s">
        <v>1375</v>
      </c>
      <c r="F515" s="1" t="s">
        <v>112</v>
      </c>
      <c r="G515" s="1">
        <v>112670</v>
      </c>
    </row>
    <row r="516" spans="1:10" x14ac:dyDescent="0.3">
      <c r="A516" s="1" t="str">
        <f t="shared" si="8"/>
        <v>04 Testo+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1376</v>
      </c>
      <c r="D516" s="1" t="s">
        <v>251</v>
      </c>
      <c r="E516" s="1" t="s">
        <v>1377</v>
      </c>
      <c r="F516" s="1" t="s">
        <v>112</v>
      </c>
      <c r="G516" s="1">
        <v>236696</v>
      </c>
    </row>
    <row r="517" spans="1:10" x14ac:dyDescent="0.3">
      <c r="A517" s="1" t="str">
        <f t="shared" si="8"/>
        <v>04 Testo+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1378</v>
      </c>
      <c r="D517" s="1" t="s">
        <v>318</v>
      </c>
      <c r="E517" s="1" t="s">
        <v>1379</v>
      </c>
      <c r="F517" s="1" t="s">
        <v>112</v>
      </c>
      <c r="G517" s="1">
        <v>45920</v>
      </c>
    </row>
    <row r="518" spans="1:10" x14ac:dyDescent="0.3">
      <c r="A518" s="1" t="str">
        <f t="shared" si="8"/>
        <v>04 Testo+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1380</v>
      </c>
      <c r="D518" s="1" t="s">
        <v>317</v>
      </c>
      <c r="E518" s="1" t="s">
        <v>1381</v>
      </c>
      <c r="F518" s="1" t="s">
        <v>112</v>
      </c>
      <c r="G518" s="1">
        <v>109317</v>
      </c>
    </row>
    <row r="519" spans="1:10" x14ac:dyDescent="0.3">
      <c r="A519" s="1" t="str">
        <f t="shared" si="8"/>
        <v>04 Testo+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1382</v>
      </c>
      <c r="D519" s="1" t="s">
        <v>190</v>
      </c>
      <c r="E519" s="1" t="s">
        <v>1383</v>
      </c>
      <c r="F519" s="1" t="s">
        <v>112</v>
      </c>
      <c r="G519" s="1">
        <v>47196</v>
      </c>
    </row>
    <row r="520" spans="1:10" x14ac:dyDescent="0.3">
      <c r="A520" s="1" t="str">
        <f t="shared" si="8"/>
        <v>04 Testo+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1384</v>
      </c>
      <c r="D520" s="1" t="s">
        <v>1385</v>
      </c>
      <c r="E520" s="1" t="s">
        <v>1386</v>
      </c>
      <c r="F520" s="1" t="s">
        <v>112</v>
      </c>
      <c r="G520" s="1">
        <v>159045</v>
      </c>
    </row>
    <row r="521" spans="1:10" x14ac:dyDescent="0.3">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3">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195</v>
      </c>
      <c r="D522" s="1" t="s">
        <v>112</v>
      </c>
      <c r="E522" s="1" t="s">
        <v>196</v>
      </c>
      <c r="F522" s="1" t="s">
        <v>197</v>
      </c>
      <c r="G522" s="1" t="s">
        <v>198</v>
      </c>
      <c r="H522" s="1" t="s">
        <v>199</v>
      </c>
      <c r="I522" s="1" t="s">
        <v>200</v>
      </c>
      <c r="J522" s="1" t="s">
        <v>201</v>
      </c>
    </row>
    <row r="523" spans="1:10" x14ac:dyDescent="0.3">
      <c r="A523" s="1" t="str">
        <f t="shared" si="8"/>
        <v>04 Testo+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1387</v>
      </c>
      <c r="D523" s="1" t="s">
        <v>112</v>
      </c>
      <c r="E523" s="1" t="s">
        <v>1388</v>
      </c>
      <c r="F523" s="1" t="s">
        <v>1389</v>
      </c>
      <c r="G523" s="1" t="s">
        <v>1390</v>
      </c>
      <c r="H523" s="1" t="s">
        <v>1391</v>
      </c>
      <c r="I523" s="1">
        <v>24</v>
      </c>
      <c r="J523" s="1">
        <v>24</v>
      </c>
    </row>
    <row r="524" spans="1:10" x14ac:dyDescent="0.3">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3">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3">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3">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3">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3">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202</v>
      </c>
      <c r="D529" s="1" t="s">
        <v>110</v>
      </c>
      <c r="E529" s="1" t="s">
        <v>111</v>
      </c>
      <c r="F529" s="1" t="s">
        <v>112</v>
      </c>
      <c r="G529" s="1" t="s">
        <v>113</v>
      </c>
    </row>
    <row r="530" spans="1:7" x14ac:dyDescent="0.3">
      <c r="A530" s="1" t="str">
        <f t="shared" si="8"/>
        <v>05 Dutastéride 0.01mg_L Dopé</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1392</v>
      </c>
      <c r="D530" s="1" t="s">
        <v>1393</v>
      </c>
      <c r="E530" s="1" t="s">
        <v>1394</v>
      </c>
      <c r="F530" s="1" t="s">
        <v>112</v>
      </c>
      <c r="G530" s="1">
        <v>1312805</v>
      </c>
    </row>
    <row r="531" spans="1:7" x14ac:dyDescent="0.3">
      <c r="A531" s="1" t="str">
        <f t="shared" si="8"/>
        <v>05 Dutastéride 0.01mg_L Dopé</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1395</v>
      </c>
      <c r="D531" s="1" t="s">
        <v>1396</v>
      </c>
      <c r="E531" s="1" t="s">
        <v>1397</v>
      </c>
      <c r="F531" s="1" t="s">
        <v>112</v>
      </c>
      <c r="G531" s="1">
        <v>1282912</v>
      </c>
    </row>
    <row r="532" spans="1:7" x14ac:dyDescent="0.3">
      <c r="A532" s="1" t="str">
        <f t="shared" si="8"/>
        <v>05 Dutastéride 0.01mg_L Dopé</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1398</v>
      </c>
      <c r="D532" s="1" t="s">
        <v>340</v>
      </c>
      <c r="E532" s="1" t="s">
        <v>1399</v>
      </c>
      <c r="F532" s="1" t="s">
        <v>112</v>
      </c>
      <c r="G532" s="1">
        <v>1352625</v>
      </c>
    </row>
    <row r="533" spans="1:7" x14ac:dyDescent="0.3">
      <c r="A533" s="1" t="str">
        <f t="shared" si="8"/>
        <v>05 Dutastéride 0.01mg_L Dopé</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1400</v>
      </c>
    </row>
    <row r="534" spans="1:7" x14ac:dyDescent="0.3">
      <c r="A534" s="1" t="str">
        <f t="shared" si="8"/>
        <v>05 Dutastéride 0.01mg_L Dopé</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1401</v>
      </c>
      <c r="D534" s="1" t="s">
        <v>338</v>
      </c>
      <c r="E534" s="1" t="s">
        <v>1402</v>
      </c>
      <c r="F534" s="1" t="s">
        <v>112</v>
      </c>
      <c r="G534" s="1">
        <v>172109</v>
      </c>
    </row>
    <row r="535" spans="1:7" x14ac:dyDescent="0.3">
      <c r="A535" s="1" t="str">
        <f t="shared" si="8"/>
        <v>05 Dutastéride 0.01mg_L Dopé</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1403</v>
      </c>
      <c r="D535" s="1" t="s">
        <v>285</v>
      </c>
      <c r="E535" s="1" t="s">
        <v>1404</v>
      </c>
      <c r="F535" s="1" t="s">
        <v>112</v>
      </c>
      <c r="G535" s="1">
        <v>55524</v>
      </c>
    </row>
    <row r="536" spans="1:7" x14ac:dyDescent="0.3">
      <c r="A536" s="1" t="str">
        <f t="shared" si="8"/>
        <v>05 Dutastéride 0.01mg_L Dopé</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1405</v>
      </c>
      <c r="D536" s="1" t="s">
        <v>362</v>
      </c>
      <c r="E536" s="1" t="s">
        <v>1406</v>
      </c>
      <c r="F536" s="1" t="s">
        <v>112</v>
      </c>
      <c r="G536" s="1">
        <v>222961</v>
      </c>
    </row>
    <row r="537" spans="1:7" x14ac:dyDescent="0.3">
      <c r="A537" s="1" t="str">
        <f t="shared" si="8"/>
        <v>05 Dutastéride 0.01mg_L Dopé</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1407</v>
      </c>
      <c r="D537" s="1" t="s">
        <v>338</v>
      </c>
      <c r="E537" s="1" t="s">
        <v>1408</v>
      </c>
      <c r="F537" s="1" t="s">
        <v>112</v>
      </c>
      <c r="G537" s="1">
        <v>168324</v>
      </c>
    </row>
    <row r="538" spans="1:7" x14ac:dyDescent="0.3">
      <c r="A538" s="1" t="str">
        <f t="shared" si="8"/>
        <v>05 Dutastéride 0.01mg_L Dopé</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1409</v>
      </c>
      <c r="D538" s="1" t="s">
        <v>592</v>
      </c>
      <c r="E538" s="1" t="s">
        <v>1410</v>
      </c>
      <c r="F538" s="1" t="s">
        <v>112</v>
      </c>
      <c r="G538" s="1">
        <v>130839</v>
      </c>
    </row>
    <row r="539" spans="1:7" x14ac:dyDescent="0.3">
      <c r="A539" s="1" t="str">
        <f t="shared" si="8"/>
        <v>05 Dutastéride 0.01mg_L Dopé</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1411</v>
      </c>
      <c r="D539" s="1" t="s">
        <v>1412</v>
      </c>
      <c r="E539" s="1" t="s">
        <v>1413</v>
      </c>
      <c r="F539" s="1" t="s">
        <v>112</v>
      </c>
      <c r="G539" s="1">
        <v>1100248</v>
      </c>
    </row>
    <row r="540" spans="1:7" x14ac:dyDescent="0.3">
      <c r="A540" s="1" t="str">
        <f t="shared" si="8"/>
        <v>05 Dutastéride 0.01mg_L Dopé</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1414</v>
      </c>
      <c r="D540" s="1" t="s">
        <v>268</v>
      </c>
      <c r="E540" s="1" t="s">
        <v>1415</v>
      </c>
      <c r="F540" s="1" t="s">
        <v>112</v>
      </c>
      <c r="G540" s="1">
        <v>381659</v>
      </c>
    </row>
    <row r="541" spans="1:7" x14ac:dyDescent="0.3">
      <c r="A541" s="1" t="str">
        <f t="shared" si="8"/>
        <v>05 Dutastéride 0.01mg_L Dopé</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1416</v>
      </c>
      <c r="D541" s="1" t="s">
        <v>1417</v>
      </c>
      <c r="E541" s="1" t="s">
        <v>1418</v>
      </c>
      <c r="F541" s="1" t="s">
        <v>112</v>
      </c>
      <c r="G541" s="1">
        <v>984506</v>
      </c>
    </row>
    <row r="542" spans="1:7" x14ac:dyDescent="0.3">
      <c r="A542" s="1" t="str">
        <f t="shared" si="8"/>
        <v>05 Dutastéride 0.01mg_L Dopé</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1419</v>
      </c>
      <c r="D542" s="1" t="s">
        <v>1420</v>
      </c>
      <c r="E542" s="1" t="s">
        <v>1421</v>
      </c>
      <c r="F542" s="1" t="s">
        <v>112</v>
      </c>
      <c r="G542" s="1">
        <v>3163113</v>
      </c>
    </row>
    <row r="543" spans="1:7" x14ac:dyDescent="0.3">
      <c r="A543" s="1" t="str">
        <f t="shared" si="8"/>
        <v>05 Dutastéride 0.01mg_L Dopé</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1422</v>
      </c>
      <c r="D543" s="1" t="s">
        <v>1423</v>
      </c>
      <c r="E543" s="1" t="s">
        <v>1424</v>
      </c>
      <c r="F543" s="1" t="s">
        <v>112</v>
      </c>
      <c r="G543" s="1">
        <v>3031386</v>
      </c>
    </row>
    <row r="544" spans="1:7" x14ac:dyDescent="0.3">
      <c r="A544" s="1" t="str">
        <f t="shared" si="8"/>
        <v>05 Dutastéride 0.01mg_L Dopé</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1425</v>
      </c>
      <c r="D544" s="1" t="s">
        <v>1426</v>
      </c>
      <c r="E544" s="1" t="s">
        <v>1427</v>
      </c>
      <c r="F544" s="1" t="s">
        <v>112</v>
      </c>
      <c r="G544" s="1">
        <v>2830164</v>
      </c>
    </row>
    <row r="545" spans="1:10" x14ac:dyDescent="0.3">
      <c r="A545" s="1" t="str">
        <f t="shared" si="8"/>
        <v>05 Dutastéride 0.01mg_L Dopé</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1428</v>
      </c>
      <c r="D545" s="1" t="s">
        <v>1429</v>
      </c>
      <c r="E545" s="1" t="s">
        <v>1430</v>
      </c>
      <c r="F545" s="1" t="s">
        <v>112</v>
      </c>
      <c r="G545" s="1">
        <v>3792196</v>
      </c>
    </row>
    <row r="546" spans="1:10" x14ac:dyDescent="0.3">
      <c r="A546" s="1" t="str">
        <f t="shared" si="8"/>
        <v>05 Dutastéride 0.01mg_L Dopé</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1431</v>
      </c>
      <c r="D546" s="1" t="s">
        <v>1432</v>
      </c>
      <c r="E546" s="1" t="s">
        <v>1433</v>
      </c>
      <c r="F546" s="1" t="s">
        <v>112</v>
      </c>
      <c r="G546" s="1">
        <v>3193762</v>
      </c>
    </row>
    <row r="547" spans="1:10" x14ac:dyDescent="0.3">
      <c r="A547" s="1" t="str">
        <f t="shared" si="8"/>
        <v>05 Dutastéride 0.01mg_L Dopé</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1434</v>
      </c>
      <c r="D547" s="1" t="s">
        <v>271</v>
      </c>
      <c r="E547" s="1" t="s">
        <v>1435</v>
      </c>
      <c r="F547" s="1" t="s">
        <v>112</v>
      </c>
      <c r="G547" s="1">
        <v>3249675</v>
      </c>
    </row>
    <row r="548" spans="1:10" x14ac:dyDescent="0.3">
      <c r="A548" s="1" t="str">
        <f t="shared" si="8"/>
        <v>05 Dutastéride 0.01mg_L Dopé</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1436</v>
      </c>
      <c r="D548" s="1" t="s">
        <v>1437</v>
      </c>
      <c r="E548" s="1" t="s">
        <v>1438</v>
      </c>
      <c r="F548" s="1" t="s">
        <v>112</v>
      </c>
      <c r="G548" s="1">
        <v>1615385</v>
      </c>
    </row>
    <row r="549" spans="1:10" x14ac:dyDescent="0.3">
      <c r="A549" s="1" t="str">
        <f t="shared" si="8"/>
        <v>05 Dutastéride 0.01mg_L Dopé</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1439</v>
      </c>
      <c r="D549" s="1" t="s">
        <v>1440</v>
      </c>
      <c r="E549" s="1" t="s">
        <v>1441</v>
      </c>
      <c r="F549" s="1" t="s">
        <v>112</v>
      </c>
      <c r="G549" s="1">
        <v>2184554</v>
      </c>
    </row>
    <row r="550" spans="1:10" x14ac:dyDescent="0.3">
      <c r="A550" s="1" t="str">
        <f t="shared" si="8"/>
        <v>05 Dutastéride 0.01mg_L Dopé</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1442</v>
      </c>
      <c r="D550" s="1" t="s">
        <v>1443</v>
      </c>
      <c r="E550" s="1" t="s">
        <v>1444</v>
      </c>
      <c r="F550" s="1" t="s">
        <v>112</v>
      </c>
      <c r="G550" s="1">
        <v>1938212</v>
      </c>
    </row>
    <row r="551" spans="1:10" x14ac:dyDescent="0.3">
      <c r="A551" s="1" t="str">
        <f t="shared" si="8"/>
        <v>05 Dutastéride 0.01mg_L Dopé</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1445</v>
      </c>
      <c r="D551" s="1" t="s">
        <v>248</v>
      </c>
      <c r="E551" s="1" t="s">
        <v>1446</v>
      </c>
      <c r="F551" s="1" t="s">
        <v>112</v>
      </c>
      <c r="G551" s="1">
        <v>102028</v>
      </c>
    </row>
    <row r="552" spans="1:10" x14ac:dyDescent="0.3">
      <c r="A552" s="1" t="str">
        <f t="shared" si="8"/>
        <v>05 Dutastéride 0.01mg_L Dopé</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1447</v>
      </c>
      <c r="D552" s="1" t="s">
        <v>218</v>
      </c>
      <c r="E552" s="1" t="s">
        <v>1448</v>
      </c>
      <c r="F552" s="1" t="s">
        <v>112</v>
      </c>
      <c r="G552" s="1">
        <v>39907</v>
      </c>
    </row>
    <row r="553" spans="1:10" x14ac:dyDescent="0.3">
      <c r="A553" s="1" t="str">
        <f t="shared" si="8"/>
        <v>05 Dutastéride 0.01mg_L Dopé</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1449</v>
      </c>
      <c r="D553" s="1" t="s">
        <v>317</v>
      </c>
      <c r="E553" s="1" t="s">
        <v>1450</v>
      </c>
      <c r="F553" s="1" t="s">
        <v>112</v>
      </c>
      <c r="G553" s="1">
        <v>107760</v>
      </c>
    </row>
    <row r="554" spans="1:10" x14ac:dyDescent="0.3">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3">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195</v>
      </c>
      <c r="D555" s="1" t="s">
        <v>112</v>
      </c>
      <c r="E555" s="1" t="s">
        <v>196</v>
      </c>
      <c r="F555" s="1" t="s">
        <v>197</v>
      </c>
      <c r="G555" s="1" t="s">
        <v>198</v>
      </c>
      <c r="H555" s="1" t="s">
        <v>199</v>
      </c>
      <c r="I555" s="1" t="s">
        <v>200</v>
      </c>
      <c r="J555" s="1" t="s">
        <v>201</v>
      </c>
    </row>
    <row r="556" spans="1:10" x14ac:dyDescent="0.3">
      <c r="A556" s="1" t="str">
        <f t="shared" si="8"/>
        <v>05 Dutastéride 0.01mg_L Dopé</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1451</v>
      </c>
      <c r="D556" s="1" t="s">
        <v>112</v>
      </c>
      <c r="E556" s="1" t="s">
        <v>1452</v>
      </c>
      <c r="F556" s="1" t="s">
        <v>1453</v>
      </c>
      <c r="G556" s="1" t="s">
        <v>1454</v>
      </c>
      <c r="H556" s="1" t="s">
        <v>1455</v>
      </c>
      <c r="I556" s="1">
        <v>24</v>
      </c>
      <c r="J556" s="1">
        <v>24</v>
      </c>
    </row>
    <row r="557" spans="1:10" x14ac:dyDescent="0.3">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3">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3">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3">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3">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3">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202</v>
      </c>
      <c r="D562" s="1" t="s">
        <v>110</v>
      </c>
      <c r="E562" s="1" t="s">
        <v>111</v>
      </c>
      <c r="F562" s="1" t="s">
        <v>112</v>
      </c>
      <c r="G562" s="1" t="s">
        <v>113</v>
      </c>
    </row>
    <row r="563" spans="1:7" x14ac:dyDescent="0.3">
      <c r="A563" s="1" t="str">
        <f t="shared" si="8"/>
        <v>06 Dutastéride 0.1mg_L Dopé</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1456</v>
      </c>
      <c r="D563" s="1" t="s">
        <v>238</v>
      </c>
      <c r="E563" s="1" t="s">
        <v>1457</v>
      </c>
      <c r="F563" s="1" t="s">
        <v>112</v>
      </c>
      <c r="G563" s="1">
        <v>55091</v>
      </c>
    </row>
    <row r="564" spans="1:7" x14ac:dyDescent="0.3">
      <c r="A564" s="1" t="str">
        <f t="shared" si="8"/>
        <v>06 Dutastéride 0.1mg_L Dopé</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1458</v>
      </c>
      <c r="D564" s="1" t="s">
        <v>285</v>
      </c>
      <c r="E564" s="1" t="s">
        <v>1459</v>
      </c>
      <c r="F564" s="1" t="s">
        <v>112</v>
      </c>
      <c r="G564" s="1">
        <v>58163</v>
      </c>
    </row>
    <row r="565" spans="1:7" x14ac:dyDescent="0.3">
      <c r="A565" s="1" t="str">
        <f t="shared" si="8"/>
        <v>06 Dutastéride 0.1mg_L Dopé</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1460</v>
      </c>
      <c r="D565" s="1" t="s">
        <v>231</v>
      </c>
      <c r="E565" s="1" t="s">
        <v>1461</v>
      </c>
      <c r="F565" s="1" t="s">
        <v>112</v>
      </c>
      <c r="G565" s="1">
        <v>69237</v>
      </c>
    </row>
    <row r="566" spans="1:7" x14ac:dyDescent="0.3">
      <c r="A566" s="1" t="str">
        <f t="shared" si="8"/>
        <v>06 Dutastéride 0.1mg_L Dopé</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1462</v>
      </c>
      <c r="D566" s="1" t="s">
        <v>172</v>
      </c>
      <c r="E566" s="1" t="s">
        <v>1463</v>
      </c>
      <c r="F566" s="1" t="s">
        <v>112</v>
      </c>
      <c r="G566" s="1">
        <v>133456</v>
      </c>
    </row>
    <row r="567" spans="1:7" x14ac:dyDescent="0.3">
      <c r="A567" s="1" t="str">
        <f t="shared" si="8"/>
        <v>06 Dutastéride 0.1mg_L Dopé</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1464</v>
      </c>
      <c r="D567" s="1" t="s">
        <v>183</v>
      </c>
      <c r="E567" s="1" t="s">
        <v>1465</v>
      </c>
      <c r="F567" s="1" t="s">
        <v>112</v>
      </c>
      <c r="G567" s="1">
        <v>65560</v>
      </c>
    </row>
    <row r="568" spans="1:7" x14ac:dyDescent="0.3">
      <c r="A568" s="1" t="str">
        <f t="shared" si="8"/>
        <v>06 Dutastéride 0.1mg_L Dopé</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1466</v>
      </c>
      <c r="D568" s="1" t="s">
        <v>370</v>
      </c>
      <c r="E568" s="1" t="s">
        <v>1467</v>
      </c>
      <c r="F568" s="1" t="s">
        <v>112</v>
      </c>
      <c r="G568" s="1">
        <v>93290</v>
      </c>
    </row>
    <row r="569" spans="1:7" x14ac:dyDescent="0.3">
      <c r="A569" s="1" t="str">
        <f t="shared" si="8"/>
        <v>06 Dutastéride 0.1mg_L Dopé</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1468</v>
      </c>
      <c r="D569" s="1" t="s">
        <v>1469</v>
      </c>
      <c r="E569" s="1" t="s">
        <v>1470</v>
      </c>
      <c r="F569" s="1" t="s">
        <v>112</v>
      </c>
      <c r="G569" s="1">
        <v>2934593</v>
      </c>
    </row>
    <row r="570" spans="1:7" x14ac:dyDescent="0.3">
      <c r="A570" s="1" t="str">
        <f t="shared" si="8"/>
        <v>06 Dutastéride 0.1mg_L Dopé</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1471</v>
      </c>
      <c r="D570" s="1" t="s">
        <v>1472</v>
      </c>
      <c r="E570" s="1" t="s">
        <v>1473</v>
      </c>
      <c r="F570" s="1" t="s">
        <v>112</v>
      </c>
      <c r="G570" s="1">
        <v>2050233</v>
      </c>
    </row>
    <row r="571" spans="1:7" x14ac:dyDescent="0.3">
      <c r="A571" s="1" t="str">
        <f t="shared" si="8"/>
        <v>06 Dutastéride 0.1mg_L Dopé</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1474</v>
      </c>
      <c r="D571" s="1" t="s">
        <v>1475</v>
      </c>
      <c r="E571" s="1" t="s">
        <v>1476</v>
      </c>
      <c r="F571" s="1" t="s">
        <v>112</v>
      </c>
      <c r="G571" s="1">
        <v>2669432</v>
      </c>
    </row>
    <row r="572" spans="1:7" x14ac:dyDescent="0.3">
      <c r="A572" s="1" t="str">
        <f t="shared" si="8"/>
        <v>06 Dutastéride 0.1mg_L Dopé</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1477</v>
      </c>
      <c r="D572" s="1" t="s">
        <v>1478</v>
      </c>
      <c r="E572" s="1" t="s">
        <v>1479</v>
      </c>
      <c r="F572" s="1" t="s">
        <v>112</v>
      </c>
      <c r="G572" s="1">
        <v>368033</v>
      </c>
    </row>
    <row r="573" spans="1:7" x14ac:dyDescent="0.3">
      <c r="A573" s="1" t="str">
        <f t="shared" si="8"/>
        <v>06 Dutastéride 0.1mg_L Dopé</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1480</v>
      </c>
      <c r="D573" s="1" t="s">
        <v>1481</v>
      </c>
      <c r="E573" s="1" t="s">
        <v>1482</v>
      </c>
      <c r="F573" s="1" t="s">
        <v>112</v>
      </c>
      <c r="G573" s="1">
        <v>472483</v>
      </c>
    </row>
    <row r="574" spans="1:7" x14ac:dyDescent="0.3">
      <c r="A574" s="1" t="str">
        <f t="shared" si="8"/>
        <v>06 Dutastéride 0.1mg_L Dopé</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1483</v>
      </c>
      <c r="D574" s="1" t="s">
        <v>352</v>
      </c>
      <c r="E574" s="1" t="s">
        <v>1484</v>
      </c>
      <c r="F574" s="1" t="s">
        <v>112</v>
      </c>
      <c r="G574" s="1">
        <v>565557</v>
      </c>
    </row>
    <row r="575" spans="1:7" x14ac:dyDescent="0.3">
      <c r="A575" s="1" t="str">
        <f t="shared" si="8"/>
        <v>06 Dutastéride 0.1mg_L Dopé</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1485</v>
      </c>
      <c r="D575" s="1" t="s">
        <v>1203</v>
      </c>
      <c r="E575" s="1" t="s">
        <v>1486</v>
      </c>
      <c r="F575" s="1" t="s">
        <v>112</v>
      </c>
      <c r="G575" s="1">
        <v>143060</v>
      </c>
    </row>
    <row r="576" spans="1:7" x14ac:dyDescent="0.3">
      <c r="A576" s="1" t="str">
        <f t="shared" si="8"/>
        <v>06 Dutastéride 0.1mg_L Dopé</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1487</v>
      </c>
      <c r="D576" s="1" t="s">
        <v>289</v>
      </c>
      <c r="E576" s="1" t="s">
        <v>1488</v>
      </c>
      <c r="F576" s="1" t="s">
        <v>112</v>
      </c>
      <c r="G576" s="1">
        <v>189240</v>
      </c>
    </row>
    <row r="577" spans="1:10" x14ac:dyDescent="0.3">
      <c r="A577" s="1" t="str">
        <f t="shared" si="8"/>
        <v>06 Dutastéride 0.1mg_L Dopé</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1489</v>
      </c>
      <c r="D577" s="1" t="s">
        <v>205</v>
      </c>
      <c r="E577" s="1" t="s">
        <v>1490</v>
      </c>
      <c r="F577" s="1" t="s">
        <v>112</v>
      </c>
      <c r="G577" s="1">
        <v>278701</v>
      </c>
    </row>
    <row r="578" spans="1:10" x14ac:dyDescent="0.3">
      <c r="A578" s="1" t="str">
        <f t="shared" ref="A578:A641" si="9">IFERROR(LEFT(RIGHT(C578,LEN(C578)-SEARCH("@",C578)),SEARCH("/",RIGHT(C578,LEN(C578)-SEARCH("@",C578)-1))),"")</f>
        <v>06 Dutastéride 0.1mg_L Dopé</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1491</v>
      </c>
      <c r="D578" s="1" t="s">
        <v>1492</v>
      </c>
      <c r="E578" s="1" t="s">
        <v>1493</v>
      </c>
      <c r="F578" s="1" t="s">
        <v>112</v>
      </c>
      <c r="G578" s="1">
        <v>2606900</v>
      </c>
    </row>
    <row r="579" spans="1:10" x14ac:dyDescent="0.3">
      <c r="A579" s="1" t="str">
        <f t="shared" si="9"/>
        <v>06 Dutastéride 0.1mg_L Dopé</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1494</v>
      </c>
      <c r="D579" s="1" t="s">
        <v>1495</v>
      </c>
      <c r="E579" s="1" t="s">
        <v>1496</v>
      </c>
      <c r="F579" s="1" t="s">
        <v>112</v>
      </c>
      <c r="G579" s="1">
        <v>2450775</v>
      </c>
    </row>
    <row r="580" spans="1:10" x14ac:dyDescent="0.3">
      <c r="A580" s="1" t="str">
        <f t="shared" si="9"/>
        <v>06 Dutastéride 0.1mg_L Dopé</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1497</v>
      </c>
      <c r="D580" s="1" t="s">
        <v>1498</v>
      </c>
      <c r="E580" s="1" t="s">
        <v>1499</v>
      </c>
      <c r="F580" s="1" t="s">
        <v>112</v>
      </c>
      <c r="G580" s="1">
        <v>2825773</v>
      </c>
    </row>
    <row r="581" spans="1:10" x14ac:dyDescent="0.3">
      <c r="A581" s="1" t="str">
        <f t="shared" si="9"/>
        <v>06 Dutastéride 0.1mg_L Dopé</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1500</v>
      </c>
      <c r="D581" s="1" t="s">
        <v>1501</v>
      </c>
      <c r="E581" s="1" t="s">
        <v>1502</v>
      </c>
      <c r="F581" s="1" t="s">
        <v>112</v>
      </c>
      <c r="G581" s="1">
        <v>1122894</v>
      </c>
    </row>
    <row r="582" spans="1:10" x14ac:dyDescent="0.3">
      <c r="A582" s="1" t="str">
        <f t="shared" si="9"/>
        <v>06 Dutastéride 0.1mg_L Dopé</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1503</v>
      </c>
      <c r="D582" s="1" t="s">
        <v>1295</v>
      </c>
      <c r="E582" s="1" t="s">
        <v>1504</v>
      </c>
      <c r="F582" s="1" t="s">
        <v>112</v>
      </c>
      <c r="G582" s="1">
        <v>1031292</v>
      </c>
    </row>
    <row r="583" spans="1:10" x14ac:dyDescent="0.3">
      <c r="A583" s="1" t="str">
        <f t="shared" si="9"/>
        <v>06 Dutastéride 0.1mg_L Dopé</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1505</v>
      </c>
      <c r="D583" s="1" t="s">
        <v>1506</v>
      </c>
      <c r="E583" s="1" t="s">
        <v>1507</v>
      </c>
      <c r="F583" s="1" t="s">
        <v>112</v>
      </c>
      <c r="G583" s="1">
        <v>1084934</v>
      </c>
    </row>
    <row r="584" spans="1:10" x14ac:dyDescent="0.3">
      <c r="A584" s="1" t="str">
        <f t="shared" si="9"/>
        <v>06 Dutastéride 0.1mg_L Dopé</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1508</v>
      </c>
      <c r="D584" s="1" t="s">
        <v>295</v>
      </c>
      <c r="E584" s="1" t="s">
        <v>1509</v>
      </c>
      <c r="F584" s="1" t="s">
        <v>112</v>
      </c>
      <c r="G584" s="1">
        <v>108733</v>
      </c>
    </row>
    <row r="585" spans="1:10" x14ac:dyDescent="0.3">
      <c r="A585" s="1" t="str">
        <f t="shared" si="9"/>
        <v>06 Dutastéride 0.1mg_L Dopé</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1510</v>
      </c>
      <c r="D585" s="1" t="s">
        <v>357</v>
      </c>
      <c r="E585" s="1" t="s">
        <v>1511</v>
      </c>
      <c r="F585" s="1" t="s">
        <v>112</v>
      </c>
      <c r="G585" s="1">
        <v>85936</v>
      </c>
    </row>
    <row r="586" spans="1:10" x14ac:dyDescent="0.3">
      <c r="A586" s="1" t="str">
        <f t="shared" si="9"/>
        <v>06 Dutastéride 0.1mg_L Dopé</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1512</v>
      </c>
      <c r="D586" s="1" t="s">
        <v>1513</v>
      </c>
      <c r="E586" s="1" t="s">
        <v>1514</v>
      </c>
      <c r="F586" s="1" t="s">
        <v>112</v>
      </c>
      <c r="G586" s="1">
        <v>156427</v>
      </c>
    </row>
    <row r="587" spans="1:10" x14ac:dyDescent="0.3">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3">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195</v>
      </c>
      <c r="D588" s="1" t="s">
        <v>112</v>
      </c>
      <c r="E588" s="1" t="s">
        <v>196</v>
      </c>
      <c r="F588" s="1" t="s">
        <v>197</v>
      </c>
      <c r="G588" s="1" t="s">
        <v>198</v>
      </c>
      <c r="H588" s="1" t="s">
        <v>199</v>
      </c>
      <c r="I588" s="1" t="s">
        <v>200</v>
      </c>
      <c r="J588" s="1" t="s">
        <v>201</v>
      </c>
    </row>
    <row r="589" spans="1:10" x14ac:dyDescent="0.3">
      <c r="A589" s="1" t="str">
        <f t="shared" si="9"/>
        <v>06 Dutastéride 0.1mg_L Dopé</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1515</v>
      </c>
      <c r="D589" s="1" t="s">
        <v>112</v>
      </c>
      <c r="E589" s="1" t="s">
        <v>1516</v>
      </c>
      <c r="F589" s="1" t="s">
        <v>1517</v>
      </c>
      <c r="G589" s="1" t="s">
        <v>1518</v>
      </c>
      <c r="H589" s="1" t="s">
        <v>1519</v>
      </c>
      <c r="I589" s="1">
        <v>24</v>
      </c>
      <c r="J589" s="1">
        <v>24</v>
      </c>
    </row>
    <row r="590" spans="1:10" x14ac:dyDescent="0.3">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3">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3">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3">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3">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3">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202</v>
      </c>
      <c r="D595" s="1" t="s">
        <v>110</v>
      </c>
      <c r="E595" s="1" t="s">
        <v>111</v>
      </c>
      <c r="F595" s="1" t="s">
        <v>112</v>
      </c>
      <c r="G595" s="1" t="s">
        <v>113</v>
      </c>
    </row>
    <row r="596" spans="1:7" x14ac:dyDescent="0.3">
      <c r="A596" s="1" t="str">
        <f t="shared" si="9"/>
        <v>07  Dutastéride 0.25mg_L Dopé</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1520</v>
      </c>
      <c r="D596" s="1" t="s">
        <v>308</v>
      </c>
      <c r="E596" s="1" t="s">
        <v>1521</v>
      </c>
      <c r="F596" s="1" t="s">
        <v>112</v>
      </c>
      <c r="G596" s="1">
        <v>45358</v>
      </c>
    </row>
    <row r="597" spans="1:7" x14ac:dyDescent="0.3">
      <c r="A597" s="1" t="str">
        <f t="shared" si="9"/>
        <v>07  Dutastéride 0.25mg_L Dopé</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1522</v>
      </c>
      <c r="D597" s="1" t="s">
        <v>308</v>
      </c>
      <c r="E597" s="1" t="s">
        <v>1523</v>
      </c>
      <c r="F597" s="1" t="s">
        <v>112</v>
      </c>
      <c r="G597" s="1">
        <v>45012</v>
      </c>
    </row>
    <row r="598" spans="1:7" x14ac:dyDescent="0.3">
      <c r="A598" s="1" t="str">
        <f t="shared" si="9"/>
        <v>07  Dutastéride 0.25mg_L Dopé</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1524</v>
      </c>
      <c r="D598" s="1" t="s">
        <v>188</v>
      </c>
      <c r="E598" s="1" t="s">
        <v>1525</v>
      </c>
      <c r="F598" s="1" t="s">
        <v>112</v>
      </c>
      <c r="G598" s="1">
        <v>32423</v>
      </c>
    </row>
    <row r="599" spans="1:7" x14ac:dyDescent="0.3">
      <c r="A599" s="1" t="str">
        <f t="shared" si="9"/>
        <v>07  Dutastéride 0.25mg_L Dopé</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1526</v>
      </c>
    </row>
    <row r="600" spans="1:7" x14ac:dyDescent="0.3">
      <c r="A600" s="1" t="str">
        <f t="shared" si="9"/>
        <v>07  Dutastéride 0.25mg_L Dopé</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1527</v>
      </c>
      <c r="D600" s="1" t="s">
        <v>1528</v>
      </c>
      <c r="E600" s="1" t="s">
        <v>1529</v>
      </c>
      <c r="F600" s="1" t="s">
        <v>112</v>
      </c>
      <c r="G600" s="1">
        <v>461431</v>
      </c>
    </row>
    <row r="601" spans="1:7" x14ac:dyDescent="0.3">
      <c r="A601" s="1" t="str">
        <f t="shared" si="9"/>
        <v>07  Dutastéride 0.25mg_L Dopé</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1530</v>
      </c>
      <c r="D601" s="1" t="s">
        <v>185</v>
      </c>
      <c r="E601" s="1" t="s">
        <v>1531</v>
      </c>
      <c r="F601" s="1" t="s">
        <v>112</v>
      </c>
      <c r="G601" s="1">
        <v>9863</v>
      </c>
    </row>
    <row r="602" spans="1:7" x14ac:dyDescent="0.3">
      <c r="A602" s="1" t="str">
        <f t="shared" si="9"/>
        <v>07  Dutastéride 0.25mg_L Dopé</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1532</v>
      </c>
      <c r="D602" s="1" t="s">
        <v>1533</v>
      </c>
      <c r="E602" s="1" t="s">
        <v>1534</v>
      </c>
      <c r="F602" s="1" t="s">
        <v>112</v>
      </c>
      <c r="G602" s="1">
        <v>1875853</v>
      </c>
    </row>
    <row r="603" spans="1:7" x14ac:dyDescent="0.3">
      <c r="A603" s="1" t="str">
        <f t="shared" si="9"/>
        <v>07  Dutastéride 0.25mg_L Dopé</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1535</v>
      </c>
      <c r="D603" s="1" t="s">
        <v>1536</v>
      </c>
      <c r="E603" s="1" t="s">
        <v>1537</v>
      </c>
      <c r="F603" s="1" t="s">
        <v>112</v>
      </c>
      <c r="G603" s="1">
        <v>1506241</v>
      </c>
    </row>
    <row r="604" spans="1:7" x14ac:dyDescent="0.3">
      <c r="A604" s="1" t="str">
        <f t="shared" si="9"/>
        <v>07  Dutastéride 0.25mg_L Dopé</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1538</v>
      </c>
      <c r="D604" s="1" t="s">
        <v>1539</v>
      </c>
      <c r="E604" s="1" t="s">
        <v>1540</v>
      </c>
      <c r="F604" s="1" t="s">
        <v>112</v>
      </c>
      <c r="G604" s="1">
        <v>1589841</v>
      </c>
    </row>
    <row r="605" spans="1:7" x14ac:dyDescent="0.3">
      <c r="A605" s="1" t="str">
        <f t="shared" si="9"/>
        <v>07  Dutastéride 0.25mg_L Dopé</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1541</v>
      </c>
      <c r="D605" s="1" t="s">
        <v>1542</v>
      </c>
      <c r="E605" s="1" t="s">
        <v>1543</v>
      </c>
      <c r="F605" s="1" t="s">
        <v>112</v>
      </c>
      <c r="G605" s="1">
        <v>3758951</v>
      </c>
    </row>
    <row r="606" spans="1:7" x14ac:dyDescent="0.3">
      <c r="A606" s="1" t="str">
        <f t="shared" si="9"/>
        <v>07  Dutastéride 0.25mg_L Dopé</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1544</v>
      </c>
      <c r="D606" s="1" t="s">
        <v>1545</v>
      </c>
      <c r="E606" s="1" t="s">
        <v>1546</v>
      </c>
      <c r="F606" s="1" t="s">
        <v>112</v>
      </c>
      <c r="G606" s="1">
        <v>3352374</v>
      </c>
    </row>
    <row r="607" spans="1:7" x14ac:dyDescent="0.3">
      <c r="A607" s="1" t="str">
        <f t="shared" si="9"/>
        <v>07  Dutastéride 0.25mg_L Dopé</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1547</v>
      </c>
      <c r="D607" s="1" t="s">
        <v>1548</v>
      </c>
      <c r="E607" s="1" t="s">
        <v>1549</v>
      </c>
      <c r="F607" s="1" t="s">
        <v>112</v>
      </c>
      <c r="G607" s="1">
        <v>3536531</v>
      </c>
    </row>
    <row r="608" spans="1:7" x14ac:dyDescent="0.3">
      <c r="A608" s="1" t="str">
        <f t="shared" si="9"/>
        <v>07  Dutastéride 0.25mg_L Dopé</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1550</v>
      </c>
      <c r="D608" s="1" t="s">
        <v>1551</v>
      </c>
      <c r="E608" s="1" t="s">
        <v>1552</v>
      </c>
      <c r="F608" s="1" t="s">
        <v>112</v>
      </c>
      <c r="G608" s="1">
        <v>2838058</v>
      </c>
    </row>
    <row r="609" spans="1:10" x14ac:dyDescent="0.3">
      <c r="A609" s="1" t="str">
        <f t="shared" si="9"/>
        <v>07  Dutastéride 0.25mg_L Dopé</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1553</v>
      </c>
      <c r="D609" s="1" t="s">
        <v>1554</v>
      </c>
      <c r="E609" s="1" t="s">
        <v>1555</v>
      </c>
      <c r="F609" s="1" t="s">
        <v>112</v>
      </c>
      <c r="G609" s="1">
        <v>2558492</v>
      </c>
    </row>
    <row r="610" spans="1:10" x14ac:dyDescent="0.3">
      <c r="A610" s="1" t="str">
        <f t="shared" si="9"/>
        <v>07  Dutastéride 0.25mg_L Dopé</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1556</v>
      </c>
      <c r="D610" s="1" t="s">
        <v>1557</v>
      </c>
      <c r="E610" s="1" t="s">
        <v>1558</v>
      </c>
      <c r="F610" s="1" t="s">
        <v>112</v>
      </c>
      <c r="G610" s="1">
        <v>3866473</v>
      </c>
    </row>
    <row r="611" spans="1:10" x14ac:dyDescent="0.3">
      <c r="A611" s="1" t="str">
        <f t="shared" si="9"/>
        <v>07  Dutastéride 0.25mg_L Dopé</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1559</v>
      </c>
      <c r="D611" s="1" t="s">
        <v>1301</v>
      </c>
      <c r="E611" s="1" t="s">
        <v>1560</v>
      </c>
      <c r="F611" s="1" t="s">
        <v>112</v>
      </c>
      <c r="G611" s="1">
        <v>2124532</v>
      </c>
    </row>
    <row r="612" spans="1:10" x14ac:dyDescent="0.3">
      <c r="A612" s="1" t="str">
        <f t="shared" si="9"/>
        <v>07  Dutastéride 0.25mg_L Dopé</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1561</v>
      </c>
      <c r="D612" s="1" t="s">
        <v>1562</v>
      </c>
      <c r="E612" s="1" t="s">
        <v>1563</v>
      </c>
      <c r="F612" s="1" t="s">
        <v>112</v>
      </c>
      <c r="G612" s="1">
        <v>1955256</v>
      </c>
    </row>
    <row r="613" spans="1:10" x14ac:dyDescent="0.3">
      <c r="A613" s="1" t="str">
        <f t="shared" si="9"/>
        <v>07  Dutastéride 0.25mg_L Dopé</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1564</v>
      </c>
      <c r="D613" s="1" t="s">
        <v>1565</v>
      </c>
      <c r="E613" s="1" t="s">
        <v>1566</v>
      </c>
      <c r="F613" s="1" t="s">
        <v>112</v>
      </c>
      <c r="G613" s="1">
        <v>1882817</v>
      </c>
    </row>
    <row r="614" spans="1:10" x14ac:dyDescent="0.3">
      <c r="A614" s="1" t="str">
        <f t="shared" si="9"/>
        <v>07  Dutastéride 0.25mg_L Dopé</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1567</v>
      </c>
      <c r="D614" s="1" t="s">
        <v>1568</v>
      </c>
      <c r="E614" s="1" t="s">
        <v>1569</v>
      </c>
      <c r="F614" s="1" t="s">
        <v>112</v>
      </c>
      <c r="G614" s="1">
        <v>4630398</v>
      </c>
    </row>
    <row r="615" spans="1:10" x14ac:dyDescent="0.3">
      <c r="A615" s="1" t="str">
        <f t="shared" si="9"/>
        <v>07  Dutastéride 0.25mg_L Dopé</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1570</v>
      </c>
      <c r="D615" s="1" t="s">
        <v>1571</v>
      </c>
      <c r="E615" s="1" t="s">
        <v>1572</v>
      </c>
      <c r="F615" s="1" t="s">
        <v>112</v>
      </c>
      <c r="G615" s="1">
        <v>4568320</v>
      </c>
    </row>
    <row r="616" spans="1:10" x14ac:dyDescent="0.3">
      <c r="A616" s="1" t="str">
        <f t="shared" si="9"/>
        <v>07  Dutastéride 0.25mg_L Dopé</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1573</v>
      </c>
      <c r="D616" s="1" t="s">
        <v>1574</v>
      </c>
      <c r="E616" s="1" t="s">
        <v>1575</v>
      </c>
      <c r="F616" s="1" t="s">
        <v>112</v>
      </c>
      <c r="G616" s="1">
        <v>4193150</v>
      </c>
    </row>
    <row r="617" spans="1:10" x14ac:dyDescent="0.3">
      <c r="A617" s="1" t="str">
        <f t="shared" si="9"/>
        <v>07  Dutastéride 0.25mg_L Dopé</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1576</v>
      </c>
      <c r="D617" s="1" t="s">
        <v>1577</v>
      </c>
      <c r="E617" s="1" t="s">
        <v>1578</v>
      </c>
      <c r="F617" s="1" t="s">
        <v>112</v>
      </c>
      <c r="G617" s="1">
        <v>3603497</v>
      </c>
    </row>
    <row r="618" spans="1:10" x14ac:dyDescent="0.3">
      <c r="A618" s="1" t="str">
        <f t="shared" si="9"/>
        <v>07  Dutastéride 0.25mg_L Dopé</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1579</v>
      </c>
      <c r="D618" s="1" t="s">
        <v>1580</v>
      </c>
      <c r="E618" s="1" t="s">
        <v>1581</v>
      </c>
      <c r="F618" s="1" t="s">
        <v>112</v>
      </c>
      <c r="G618" s="1">
        <v>3497359</v>
      </c>
    </row>
    <row r="619" spans="1:10" x14ac:dyDescent="0.3">
      <c r="A619" s="1" t="str">
        <f t="shared" si="9"/>
        <v>07  Dutastéride 0.25mg_L Dopé</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1582</v>
      </c>
      <c r="D619" s="1" t="s">
        <v>1583</v>
      </c>
      <c r="E619" s="1" t="s">
        <v>1584</v>
      </c>
      <c r="F619" s="1" t="s">
        <v>112</v>
      </c>
      <c r="G619" s="1">
        <v>2933706</v>
      </c>
    </row>
    <row r="620" spans="1:10" x14ac:dyDescent="0.3">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3">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195</v>
      </c>
      <c r="D621" s="1" t="s">
        <v>112</v>
      </c>
      <c r="E621" s="1" t="s">
        <v>196</v>
      </c>
      <c r="F621" s="1" t="s">
        <v>197</v>
      </c>
      <c r="G621" s="1" t="s">
        <v>198</v>
      </c>
      <c r="H621" s="1" t="s">
        <v>199</v>
      </c>
      <c r="I621" s="1" t="s">
        <v>200</v>
      </c>
      <c r="J621" s="1" t="s">
        <v>201</v>
      </c>
    </row>
    <row r="622" spans="1:10" x14ac:dyDescent="0.3">
      <c r="A622" s="1" t="str">
        <f t="shared" si="9"/>
        <v>07  Dutastéride 0.25mg_L Dopé</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1585</v>
      </c>
      <c r="D622" s="1" t="s">
        <v>112</v>
      </c>
      <c r="E622" s="1" t="s">
        <v>1586</v>
      </c>
      <c r="F622" s="1" t="s">
        <v>1587</v>
      </c>
      <c r="G622" s="1" t="s">
        <v>1588</v>
      </c>
      <c r="H622" s="1" t="s">
        <v>1589</v>
      </c>
      <c r="I622" s="1">
        <v>24</v>
      </c>
      <c r="J622" s="1">
        <v>24</v>
      </c>
    </row>
    <row r="623" spans="1:10" x14ac:dyDescent="0.3">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3">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3">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3">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3">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3">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202</v>
      </c>
      <c r="D628" s="1" t="s">
        <v>110</v>
      </c>
      <c r="E628" s="1" t="s">
        <v>111</v>
      </c>
      <c r="F628" s="1" t="s">
        <v>112</v>
      </c>
      <c r="G628" s="1" t="s">
        <v>113</v>
      </c>
    </row>
    <row r="629" spans="1:7" x14ac:dyDescent="0.3">
      <c r="A629" s="1" t="str">
        <f t="shared" si="9"/>
        <v>08 Dutastéride 0.5 mg_L Dopé</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1590</v>
      </c>
      <c r="D629" s="1" t="s">
        <v>189</v>
      </c>
      <c r="E629" s="1" t="s">
        <v>1591</v>
      </c>
      <c r="F629" s="1" t="s">
        <v>112</v>
      </c>
      <c r="G629" s="1">
        <v>71357</v>
      </c>
    </row>
    <row r="630" spans="1:7" x14ac:dyDescent="0.3">
      <c r="A630" s="1" t="str">
        <f t="shared" si="9"/>
        <v>08 Dutastéride 0.5 mg_L Dopé</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1592</v>
      </c>
      <c r="D630" s="1" t="s">
        <v>1593</v>
      </c>
      <c r="E630" s="1" t="s">
        <v>1594</v>
      </c>
      <c r="F630" s="1" t="s">
        <v>112</v>
      </c>
      <c r="G630" s="1">
        <v>171201</v>
      </c>
    </row>
    <row r="631" spans="1:7" x14ac:dyDescent="0.3">
      <c r="A631" s="1" t="str">
        <f t="shared" si="9"/>
        <v>08 Dutastéride 0.5 mg_L Dopé</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1595</v>
      </c>
      <c r="D631" s="1" t="s">
        <v>194</v>
      </c>
      <c r="E631" s="1" t="s">
        <v>1596</v>
      </c>
      <c r="F631" s="1" t="s">
        <v>112</v>
      </c>
      <c r="G631" s="1">
        <v>19964</v>
      </c>
    </row>
    <row r="632" spans="1:7" x14ac:dyDescent="0.3">
      <c r="A632" s="1" t="str">
        <f t="shared" si="9"/>
        <v>08 Dutastéride 0.5 mg_L Dopé</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1597</v>
      </c>
      <c r="D632" s="1" t="s">
        <v>341</v>
      </c>
      <c r="E632" s="1" t="s">
        <v>1598</v>
      </c>
      <c r="F632" s="1" t="s">
        <v>112</v>
      </c>
      <c r="G632" s="1">
        <v>948341</v>
      </c>
    </row>
    <row r="633" spans="1:7" x14ac:dyDescent="0.3">
      <c r="A633" s="1" t="str">
        <f t="shared" si="9"/>
        <v>08 Dutastéride 0.5 mg_L Dopé</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1599</v>
      </c>
      <c r="D633" s="1" t="s">
        <v>1600</v>
      </c>
      <c r="E633" s="1" t="s">
        <v>1601</v>
      </c>
      <c r="F633" s="1" t="s">
        <v>112</v>
      </c>
      <c r="G633" s="1">
        <v>259386</v>
      </c>
    </row>
    <row r="634" spans="1:7" x14ac:dyDescent="0.3">
      <c r="A634" s="1" t="str">
        <f t="shared" si="9"/>
        <v>08 Dutastéride 0.5 mg_L Dopé</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1602</v>
      </c>
      <c r="D634" s="1" t="s">
        <v>1603</v>
      </c>
      <c r="E634" s="1" t="s">
        <v>1604</v>
      </c>
      <c r="F634" s="1" t="s">
        <v>112</v>
      </c>
      <c r="G634" s="1">
        <v>817069</v>
      </c>
    </row>
    <row r="635" spans="1:7" x14ac:dyDescent="0.3">
      <c r="A635" s="1" t="str">
        <f t="shared" si="9"/>
        <v>08 Dutastéride 0.5 mg_L Dopé</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1605</v>
      </c>
      <c r="D635" s="1" t="s">
        <v>1606</v>
      </c>
      <c r="E635" s="1" t="s">
        <v>1607</v>
      </c>
      <c r="F635" s="1" t="s">
        <v>112</v>
      </c>
      <c r="G635" s="1">
        <v>202932</v>
      </c>
    </row>
    <row r="636" spans="1:7" x14ac:dyDescent="0.3">
      <c r="A636" s="1" t="str">
        <f t="shared" si="9"/>
        <v>08 Dutastéride 0.5 mg_L Dopé</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1608</v>
      </c>
      <c r="D636" s="1" t="s">
        <v>377</v>
      </c>
      <c r="E636" s="1" t="s">
        <v>1609</v>
      </c>
      <c r="F636" s="1" t="s">
        <v>112</v>
      </c>
      <c r="G636" s="1">
        <v>197200</v>
      </c>
    </row>
    <row r="637" spans="1:7" x14ac:dyDescent="0.3">
      <c r="A637" s="1" t="str">
        <f t="shared" si="9"/>
        <v>08 Dutastéride 0.5 mg_L Dopé</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1610</v>
      </c>
      <c r="D637" s="1" t="s">
        <v>362</v>
      </c>
      <c r="E637" s="1" t="s">
        <v>1611</v>
      </c>
      <c r="F637" s="1" t="s">
        <v>112</v>
      </c>
      <c r="G637" s="1">
        <v>219911</v>
      </c>
    </row>
    <row r="638" spans="1:7" x14ac:dyDescent="0.3">
      <c r="A638" s="1" t="str">
        <f t="shared" si="9"/>
        <v>08 Dutastéride 0.5 mg_L Dopé</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1612</v>
      </c>
      <c r="D638" s="1" t="s">
        <v>373</v>
      </c>
      <c r="E638" s="1" t="s">
        <v>1613</v>
      </c>
      <c r="F638" s="1" t="s">
        <v>112</v>
      </c>
      <c r="G638" s="1">
        <v>913517</v>
      </c>
    </row>
    <row r="639" spans="1:7" x14ac:dyDescent="0.3">
      <c r="A639" s="1" t="str">
        <f t="shared" si="9"/>
        <v>08 Dutastéride 0.5 mg_L Dopé</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1614</v>
      </c>
      <c r="D639" s="1" t="s">
        <v>1615</v>
      </c>
      <c r="E639" s="1" t="s">
        <v>1616</v>
      </c>
      <c r="F639" s="1" t="s">
        <v>112</v>
      </c>
      <c r="G639" s="1">
        <v>1129167</v>
      </c>
    </row>
    <row r="640" spans="1:7" x14ac:dyDescent="0.3">
      <c r="A640" s="1" t="str">
        <f t="shared" si="9"/>
        <v>08 Dutastéride 0.5 mg_L Dopé</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1617</v>
      </c>
    </row>
    <row r="641" spans="1:10" x14ac:dyDescent="0.3">
      <c r="A641" s="1" t="str">
        <f t="shared" si="9"/>
        <v>08 Dutastéride 0.5 mg_L Dopé</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1618</v>
      </c>
      <c r="D641" s="1" t="s">
        <v>1619</v>
      </c>
      <c r="E641" s="1" t="s">
        <v>1620</v>
      </c>
      <c r="F641" s="1" t="s">
        <v>112</v>
      </c>
      <c r="G641" s="1">
        <v>855917</v>
      </c>
    </row>
    <row r="642" spans="1:10" x14ac:dyDescent="0.3">
      <c r="A642" s="1" t="str">
        <f t="shared" ref="A642:A705" si="10">IFERROR(LEFT(RIGHT(C642,LEN(C642)-SEARCH("@",C642)),SEARCH("/",RIGHT(C642,LEN(C642)-SEARCH("@",C642)-1))),"")</f>
        <v>08 Dutastéride 0.5 mg_L Dopé</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1621</v>
      </c>
      <c r="D642" s="1" t="s">
        <v>367</v>
      </c>
      <c r="E642" s="1" t="s">
        <v>1622</v>
      </c>
      <c r="F642" s="1" t="s">
        <v>112</v>
      </c>
      <c r="G642" s="1">
        <v>643403</v>
      </c>
    </row>
    <row r="643" spans="1:10" x14ac:dyDescent="0.3">
      <c r="A643" s="1" t="str">
        <f t="shared" si="10"/>
        <v>08 Dutastéride 0.5 mg_L Dopé</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1623</v>
      </c>
      <c r="D643" s="1" t="s">
        <v>1624</v>
      </c>
      <c r="E643" s="1" t="s">
        <v>1625</v>
      </c>
      <c r="F643" s="1" t="s">
        <v>112</v>
      </c>
      <c r="G643" s="1">
        <v>709158</v>
      </c>
    </row>
    <row r="644" spans="1:10" x14ac:dyDescent="0.3">
      <c r="A644" s="1" t="str">
        <f t="shared" si="10"/>
        <v>08 Dutastéride 0.5 mg_L Dopé</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1626</v>
      </c>
      <c r="D644" s="1" t="s">
        <v>204</v>
      </c>
      <c r="E644" s="1" t="s">
        <v>1627</v>
      </c>
      <c r="F644" s="1" t="s">
        <v>112</v>
      </c>
      <c r="G644" s="1">
        <v>26042</v>
      </c>
    </row>
    <row r="645" spans="1:10" x14ac:dyDescent="0.3">
      <c r="A645" s="1" t="str">
        <f t="shared" si="10"/>
        <v>08 Dutastéride 0.5 mg_L Dopé</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1628</v>
      </c>
      <c r="D645" s="1" t="s">
        <v>316</v>
      </c>
      <c r="E645" s="1" t="s">
        <v>1629</v>
      </c>
      <c r="F645" s="1" t="s">
        <v>112</v>
      </c>
      <c r="G645" s="1">
        <v>51631</v>
      </c>
    </row>
    <row r="646" spans="1:10" x14ac:dyDescent="0.3">
      <c r="A646" s="1" t="str">
        <f t="shared" si="10"/>
        <v>08 Dutastéride 0.5 mg_L Dopé</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1630</v>
      </c>
      <c r="D646" s="1" t="s">
        <v>211</v>
      </c>
      <c r="E646" s="1" t="s">
        <v>314</v>
      </c>
      <c r="F646" s="1" t="s">
        <v>112</v>
      </c>
      <c r="G646" s="1">
        <v>24507</v>
      </c>
    </row>
    <row r="647" spans="1:10" x14ac:dyDescent="0.3">
      <c r="A647" s="1" t="str">
        <f t="shared" si="10"/>
        <v>08 Dutastéride 0.5 mg_L Dopé</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1631</v>
      </c>
      <c r="D647" s="1" t="s">
        <v>290</v>
      </c>
      <c r="E647" s="1" t="s">
        <v>525</v>
      </c>
      <c r="F647" s="1" t="s">
        <v>112</v>
      </c>
      <c r="G647" s="1">
        <v>168670</v>
      </c>
    </row>
    <row r="648" spans="1:10" x14ac:dyDescent="0.3">
      <c r="A648" s="1" t="str">
        <f t="shared" si="10"/>
        <v>08 Dutastéride 0.5 mg_L Dopé</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1632</v>
      </c>
      <c r="D648" s="1" t="s">
        <v>877</v>
      </c>
      <c r="E648" s="1" t="s">
        <v>1633</v>
      </c>
      <c r="F648" s="1" t="s">
        <v>112</v>
      </c>
      <c r="G648" s="1">
        <v>208534</v>
      </c>
    </row>
    <row r="649" spans="1:10" x14ac:dyDescent="0.3">
      <c r="A649" s="1" t="str">
        <f t="shared" si="10"/>
        <v>08 Dutastéride 0.5 mg_L Dopé</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1634</v>
      </c>
      <c r="D649" s="1" t="s">
        <v>305</v>
      </c>
      <c r="E649" s="1" t="s">
        <v>1635</v>
      </c>
      <c r="F649" s="1" t="s">
        <v>112</v>
      </c>
      <c r="G649" s="1">
        <v>21673</v>
      </c>
    </row>
    <row r="650" spans="1:10" x14ac:dyDescent="0.3">
      <c r="A650" s="1" t="str">
        <f t="shared" si="10"/>
        <v>08 Dutastéride 0.5 mg_L Dopé</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1636</v>
      </c>
      <c r="D650" s="1" t="s">
        <v>1533</v>
      </c>
      <c r="E650" s="1" t="s">
        <v>1637</v>
      </c>
      <c r="F650" s="1" t="s">
        <v>112</v>
      </c>
      <c r="G650" s="1">
        <v>1958003</v>
      </c>
    </row>
    <row r="651" spans="1:10" x14ac:dyDescent="0.3">
      <c r="A651" s="1" t="str">
        <f t="shared" si="10"/>
        <v>08 Dutastéride 0.5 mg_L Dopé</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1638</v>
      </c>
      <c r="D651" s="1" t="s">
        <v>1639</v>
      </c>
      <c r="E651" s="1" t="s">
        <v>1640</v>
      </c>
      <c r="F651" s="1" t="s">
        <v>112</v>
      </c>
      <c r="G651" s="1">
        <v>2123991</v>
      </c>
    </row>
    <row r="652" spans="1:10" x14ac:dyDescent="0.3">
      <c r="A652" s="1" t="str">
        <f t="shared" si="10"/>
        <v>08 Dutastéride 0.5 mg_L Dopé</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1641</v>
      </c>
      <c r="D652" s="1" t="s">
        <v>1642</v>
      </c>
      <c r="E652" s="1" t="s">
        <v>1643</v>
      </c>
      <c r="F652" s="1" t="s">
        <v>112</v>
      </c>
      <c r="G652" s="1">
        <v>2024407</v>
      </c>
    </row>
    <row r="653" spans="1:10" x14ac:dyDescent="0.3">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3">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195</v>
      </c>
      <c r="D654" s="1" t="s">
        <v>112</v>
      </c>
      <c r="E654" s="1" t="s">
        <v>196</v>
      </c>
      <c r="F654" s="1" t="s">
        <v>197</v>
      </c>
      <c r="G654" s="1" t="s">
        <v>198</v>
      </c>
      <c r="H654" s="1" t="s">
        <v>199</v>
      </c>
      <c r="I654" s="1" t="s">
        <v>200</v>
      </c>
      <c r="J654" s="1" t="s">
        <v>201</v>
      </c>
    </row>
    <row r="655" spans="1:10" x14ac:dyDescent="0.3">
      <c r="A655" s="1" t="str">
        <f t="shared" si="10"/>
        <v>08 Dutastéride 0.5 mg_L Dopé</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1644</v>
      </c>
      <c r="D655" s="1" t="s">
        <v>112</v>
      </c>
      <c r="E655" s="1" t="s">
        <v>1645</v>
      </c>
      <c r="F655" s="1" t="s">
        <v>1646</v>
      </c>
      <c r="G655" s="1" t="s">
        <v>1647</v>
      </c>
      <c r="H655" s="1" t="s">
        <v>1648</v>
      </c>
      <c r="I655" s="1">
        <v>24</v>
      </c>
      <c r="J655" s="1">
        <v>24</v>
      </c>
    </row>
    <row r="656" spans="1:10" x14ac:dyDescent="0.3">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3">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3">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3">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3">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202</v>
      </c>
      <c r="D661" s="1" t="s">
        <v>110</v>
      </c>
      <c r="E661" s="1" t="s">
        <v>111</v>
      </c>
      <c r="F661" s="1" t="s">
        <v>112</v>
      </c>
      <c r="G661" s="1" t="s">
        <v>113</v>
      </c>
    </row>
    <row r="662" spans="1:7" x14ac:dyDescent="0.3">
      <c r="A662" s="1" t="str">
        <f t="shared" si="10"/>
        <v>09 Dutastéride 1mg_L Dopé</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1649</v>
      </c>
      <c r="D662" s="1" t="s">
        <v>1005</v>
      </c>
      <c r="E662" s="1" t="s">
        <v>1650</v>
      </c>
      <c r="F662" s="1" t="s">
        <v>112</v>
      </c>
      <c r="G662" s="1">
        <v>176673</v>
      </c>
    </row>
    <row r="663" spans="1:7" x14ac:dyDescent="0.3">
      <c r="A663" s="1" t="str">
        <f t="shared" si="10"/>
        <v>09 Dutastéride 1mg_L Dopé</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1651</v>
      </c>
      <c r="D663" s="1" t="s">
        <v>1652</v>
      </c>
      <c r="E663" s="1" t="s">
        <v>1653</v>
      </c>
      <c r="F663" s="1" t="s">
        <v>112</v>
      </c>
      <c r="G663" s="1">
        <v>88726</v>
      </c>
    </row>
    <row r="664" spans="1:7" x14ac:dyDescent="0.3">
      <c r="A664" s="1" t="str">
        <f t="shared" si="10"/>
        <v>09 Dutastéride 1mg_L Dopé</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1654</v>
      </c>
      <c r="D664" s="1" t="s">
        <v>1655</v>
      </c>
      <c r="E664" s="1" t="s">
        <v>1656</v>
      </c>
      <c r="F664" s="1" t="s">
        <v>112</v>
      </c>
      <c r="G664" s="1">
        <v>202867</v>
      </c>
    </row>
    <row r="665" spans="1:7" x14ac:dyDescent="0.3">
      <c r="A665" s="1" t="str">
        <f t="shared" si="10"/>
        <v>09 Dutastéride 1mg_L Dopé</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1657</v>
      </c>
      <c r="D665" s="1" t="s">
        <v>1658</v>
      </c>
      <c r="E665" s="1" t="s">
        <v>1659</v>
      </c>
      <c r="F665" s="1" t="s">
        <v>112</v>
      </c>
      <c r="G665" s="1">
        <v>3210655</v>
      </c>
    </row>
    <row r="666" spans="1:7" x14ac:dyDescent="0.3">
      <c r="A666" s="1" t="str">
        <f t="shared" si="10"/>
        <v>09 Dutastéride 1mg_L Dopé</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1660</v>
      </c>
      <c r="D666" s="1" t="s">
        <v>1661</v>
      </c>
      <c r="E666" s="1" t="s">
        <v>1662</v>
      </c>
      <c r="F666" s="1" t="s">
        <v>112</v>
      </c>
      <c r="G666" s="1">
        <v>3168844</v>
      </c>
    </row>
    <row r="667" spans="1:7" x14ac:dyDescent="0.3">
      <c r="A667" s="1" t="str">
        <f t="shared" si="10"/>
        <v>09 Dutastéride 1mg_L Dopé</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1663</v>
      </c>
      <c r="D667" s="1" t="s">
        <v>1664</v>
      </c>
      <c r="E667" s="1" t="s">
        <v>1665</v>
      </c>
      <c r="F667" s="1" t="s">
        <v>112</v>
      </c>
      <c r="G667" s="1">
        <v>3086889</v>
      </c>
    </row>
    <row r="668" spans="1:7" x14ac:dyDescent="0.3">
      <c r="A668" s="1" t="str">
        <f t="shared" si="10"/>
        <v>09 Dutastéride 1mg_L Dopé</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1666</v>
      </c>
      <c r="D668" s="1" t="s">
        <v>1667</v>
      </c>
      <c r="E668" s="1" t="s">
        <v>1668</v>
      </c>
      <c r="F668" s="1" t="s">
        <v>112</v>
      </c>
      <c r="G668" s="1">
        <v>2941860</v>
      </c>
    </row>
    <row r="669" spans="1:7" x14ac:dyDescent="0.3">
      <c r="A669" s="1" t="str">
        <f t="shared" si="10"/>
        <v>09 Dutastéride 1mg_L Dopé</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1669</v>
      </c>
      <c r="D669" s="1" t="s">
        <v>1670</v>
      </c>
      <c r="E669" s="1" t="s">
        <v>1671</v>
      </c>
      <c r="F669" s="1" t="s">
        <v>112</v>
      </c>
      <c r="G669" s="1">
        <v>3073608</v>
      </c>
    </row>
    <row r="670" spans="1:7" x14ac:dyDescent="0.3">
      <c r="A670" s="1" t="str">
        <f t="shared" si="10"/>
        <v>09 Dutastéride 1mg_L Dopé</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1672</v>
      </c>
      <c r="D670" s="1" t="s">
        <v>1673</v>
      </c>
      <c r="E670" s="1" t="s">
        <v>1674</v>
      </c>
      <c r="F670" s="1" t="s">
        <v>112</v>
      </c>
      <c r="G670" s="1">
        <v>2741849</v>
      </c>
    </row>
    <row r="671" spans="1:7" x14ac:dyDescent="0.3">
      <c r="A671" s="1" t="str">
        <f t="shared" si="10"/>
        <v>09 Dutastéride 1mg_L Dopé</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1675</v>
      </c>
      <c r="D671" s="1" t="s">
        <v>259</v>
      </c>
      <c r="E671" s="1" t="s">
        <v>1676</v>
      </c>
      <c r="F671" s="1" t="s">
        <v>112</v>
      </c>
      <c r="G671" s="1">
        <v>295746</v>
      </c>
    </row>
    <row r="672" spans="1:7" x14ac:dyDescent="0.3">
      <c r="A672" s="1" t="str">
        <f t="shared" si="10"/>
        <v>09 Dutastéride 1mg_L Dopé</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1677</v>
      </c>
      <c r="D672" s="1" t="s">
        <v>287</v>
      </c>
      <c r="E672" s="1" t="s">
        <v>1678</v>
      </c>
      <c r="F672" s="1" t="s">
        <v>112</v>
      </c>
      <c r="G672" s="1">
        <v>222031</v>
      </c>
    </row>
    <row r="673" spans="1:10" x14ac:dyDescent="0.3">
      <c r="A673" s="1" t="str">
        <f t="shared" si="10"/>
        <v>09 Dutastéride 1mg_L Dopé</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1679</v>
      </c>
      <c r="D673" s="1" t="s">
        <v>1680</v>
      </c>
      <c r="E673" s="1" t="s">
        <v>1681</v>
      </c>
      <c r="F673" s="1" t="s">
        <v>112</v>
      </c>
      <c r="G673" s="1">
        <v>347268</v>
      </c>
    </row>
    <row r="674" spans="1:10" x14ac:dyDescent="0.3">
      <c r="A674" s="1" t="str">
        <f t="shared" si="10"/>
        <v>09 Dutastéride 1mg_L Dopé</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1682</v>
      </c>
      <c r="D674" s="1" t="s">
        <v>1683</v>
      </c>
      <c r="E674" s="1" t="s">
        <v>1684</v>
      </c>
      <c r="F674" s="1" t="s">
        <v>112</v>
      </c>
      <c r="G674" s="1">
        <v>3019533</v>
      </c>
    </row>
    <row r="675" spans="1:10" x14ac:dyDescent="0.3">
      <c r="A675" s="1" t="str">
        <f t="shared" si="10"/>
        <v>09 Dutastéride 1mg_L Dopé</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1685</v>
      </c>
      <c r="D675" s="1" t="s">
        <v>1686</v>
      </c>
      <c r="E675" s="1" t="s">
        <v>1687</v>
      </c>
      <c r="F675" s="1" t="s">
        <v>112</v>
      </c>
      <c r="G675" s="1">
        <v>2686606</v>
      </c>
    </row>
    <row r="676" spans="1:10" x14ac:dyDescent="0.3">
      <c r="A676" s="1" t="str">
        <f t="shared" si="10"/>
        <v>09 Dutastéride 1mg_L Dopé</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1688</v>
      </c>
      <c r="D676" s="1" t="s">
        <v>1689</v>
      </c>
      <c r="E676" s="1" t="s">
        <v>1690</v>
      </c>
      <c r="F676" s="1" t="s">
        <v>112</v>
      </c>
      <c r="G676" s="1">
        <v>2516487</v>
      </c>
    </row>
    <row r="677" spans="1:10" x14ac:dyDescent="0.3">
      <c r="A677" s="1" t="str">
        <f t="shared" si="10"/>
        <v>09 Dutastéride 1mg_L Dopé</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1691</v>
      </c>
      <c r="D677" s="1" t="s">
        <v>1692</v>
      </c>
      <c r="E677" s="1" t="s">
        <v>1693</v>
      </c>
      <c r="F677" s="1" t="s">
        <v>112</v>
      </c>
      <c r="G677" s="1">
        <v>2481382</v>
      </c>
    </row>
    <row r="678" spans="1:10" x14ac:dyDescent="0.3">
      <c r="A678" s="1" t="str">
        <f t="shared" si="10"/>
        <v>09 Dutastéride 1mg_L Dopé</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1694</v>
      </c>
      <c r="D678" s="1" t="s">
        <v>1695</v>
      </c>
      <c r="E678" s="1" t="s">
        <v>1696</v>
      </c>
      <c r="F678" s="1" t="s">
        <v>112</v>
      </c>
      <c r="G678" s="1">
        <v>2825967</v>
      </c>
    </row>
    <row r="679" spans="1:10" x14ac:dyDescent="0.3">
      <c r="A679" s="1" t="str">
        <f t="shared" si="10"/>
        <v>09 Dutastéride 1mg_L Dopé</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1697</v>
      </c>
      <c r="D679" s="1" t="s">
        <v>1698</v>
      </c>
      <c r="E679" s="1" t="s">
        <v>1699</v>
      </c>
      <c r="F679" s="1" t="s">
        <v>112</v>
      </c>
      <c r="G679" s="1">
        <v>1894411</v>
      </c>
    </row>
    <row r="680" spans="1:10" x14ac:dyDescent="0.3">
      <c r="A680" s="1" t="str">
        <f t="shared" si="10"/>
        <v>09 Dutastéride 1mg_L Dopé</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1700</v>
      </c>
      <c r="D680" s="1" t="s">
        <v>1701</v>
      </c>
      <c r="E680" s="1" t="s">
        <v>1702</v>
      </c>
      <c r="F680" s="1" t="s">
        <v>112</v>
      </c>
      <c r="G680" s="1">
        <v>3408698</v>
      </c>
    </row>
    <row r="681" spans="1:10" x14ac:dyDescent="0.3">
      <c r="A681" s="1" t="str">
        <f t="shared" si="10"/>
        <v>09 Dutastéride 1mg_L Dopé</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1703</v>
      </c>
      <c r="D681" s="1" t="s">
        <v>1704</v>
      </c>
      <c r="E681" s="1" t="s">
        <v>1705</v>
      </c>
      <c r="F681" s="1" t="s">
        <v>112</v>
      </c>
      <c r="G681" s="1">
        <v>3359815</v>
      </c>
    </row>
    <row r="682" spans="1:10" x14ac:dyDescent="0.3">
      <c r="A682" s="1" t="str">
        <f t="shared" si="10"/>
        <v>09 Dutastéride 1mg_L Dopé</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1706</v>
      </c>
      <c r="D682" s="1" t="s">
        <v>1707</v>
      </c>
      <c r="E682" s="1" t="s">
        <v>1708</v>
      </c>
      <c r="F682" s="1" t="s">
        <v>112</v>
      </c>
      <c r="G682" s="1">
        <v>2916445</v>
      </c>
    </row>
    <row r="683" spans="1:10" x14ac:dyDescent="0.3">
      <c r="A683" s="1" t="str">
        <f t="shared" si="10"/>
        <v>09 Dutastéride 1mg_L Dopé</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1709</v>
      </c>
      <c r="D683" s="1" t="s">
        <v>1710</v>
      </c>
      <c r="E683" s="1" t="s">
        <v>1711</v>
      </c>
      <c r="F683" s="1" t="s">
        <v>112</v>
      </c>
      <c r="G683" s="1">
        <v>1329438</v>
      </c>
    </row>
    <row r="684" spans="1:10" x14ac:dyDescent="0.3">
      <c r="A684" s="1" t="str">
        <f t="shared" si="10"/>
        <v>09 Dutastéride 1mg_L Dopé</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1712</v>
      </c>
      <c r="D684" s="1" t="s">
        <v>1713</v>
      </c>
      <c r="E684" s="1" t="s">
        <v>1714</v>
      </c>
      <c r="F684" s="1" t="s">
        <v>112</v>
      </c>
      <c r="G684" s="1">
        <v>1172448</v>
      </c>
    </row>
    <row r="685" spans="1:10" x14ac:dyDescent="0.3">
      <c r="A685" s="1" t="str">
        <f t="shared" si="10"/>
        <v>09 Dutastéride 1mg_L Dopé</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1715</v>
      </c>
      <c r="D685" s="1" t="s">
        <v>344</v>
      </c>
      <c r="E685" s="1" t="s">
        <v>1716</v>
      </c>
      <c r="F685" s="1" t="s">
        <v>112</v>
      </c>
      <c r="G685" s="1">
        <v>802015</v>
      </c>
    </row>
    <row r="686" spans="1:10" x14ac:dyDescent="0.3">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3">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195</v>
      </c>
      <c r="D687" s="1" t="s">
        <v>112</v>
      </c>
      <c r="E687" s="1" t="s">
        <v>196</v>
      </c>
      <c r="F687" s="1" t="s">
        <v>197</v>
      </c>
      <c r="G687" s="1" t="s">
        <v>198</v>
      </c>
      <c r="H687" s="1" t="s">
        <v>199</v>
      </c>
      <c r="I687" s="1" t="s">
        <v>200</v>
      </c>
      <c r="J687" s="1" t="s">
        <v>201</v>
      </c>
    </row>
    <row r="688" spans="1:10" x14ac:dyDescent="0.3">
      <c r="A688" s="1" t="str">
        <f t="shared" si="10"/>
        <v>09 Dutastéride 1mg_L Dopé</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1717</v>
      </c>
      <c r="D688" s="1" t="s">
        <v>112</v>
      </c>
      <c r="E688" s="1" t="s">
        <v>1718</v>
      </c>
      <c r="F688" s="1" t="s">
        <v>1719</v>
      </c>
      <c r="G688" s="1" t="s">
        <v>1720</v>
      </c>
      <c r="H688" s="1" t="s">
        <v>1721</v>
      </c>
      <c r="I688" s="1">
        <v>24</v>
      </c>
      <c r="J688" s="1">
        <v>24</v>
      </c>
    </row>
    <row r="689" spans="1:3" x14ac:dyDescent="0.3">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3">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3" x14ac:dyDescent="0.3">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3" x14ac:dyDescent="0.3">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3" x14ac:dyDescent="0.3">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3">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3">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3">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3">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3">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3">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3">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3">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3">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3">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3">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5"/>
  <sheetViews>
    <sheetView showGridLines="0" topLeftCell="O22" zoomScale="85" zoomScaleNormal="85" zoomScaleSheetLayoutView="40" zoomScalePageLayoutView="30" workbookViewId="0">
      <selection activeCell="P10" sqref="P10"/>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8" t="s">
        <v>43</v>
      </c>
      <c r="B1" s="219"/>
      <c r="C1" s="219"/>
      <c r="D1" s="219"/>
      <c r="E1" s="219"/>
      <c r="F1" s="219"/>
      <c r="G1" s="219"/>
      <c r="H1" s="219"/>
      <c r="I1" s="219"/>
      <c r="J1" s="219"/>
      <c r="K1" s="219"/>
      <c r="L1" s="219"/>
      <c r="M1" s="219"/>
      <c r="N1" s="219"/>
      <c r="O1" s="219"/>
      <c r="P1" s="219"/>
      <c r="Q1" s="219"/>
      <c r="R1" s="219"/>
      <c r="S1" s="219"/>
      <c r="T1" s="219"/>
      <c r="U1" s="219"/>
      <c r="V1" s="219"/>
    </row>
    <row r="2" spans="1:22" customFormat="1" ht="15" thickBot="1" x14ac:dyDescent="0.35"/>
    <row r="3" spans="1:22" ht="15" thickBot="1" x14ac:dyDescent="0.35">
      <c r="A3" s="51" t="s">
        <v>18</v>
      </c>
      <c r="B3" s="226" t="s">
        <v>6</v>
      </c>
      <c r="C3" s="227"/>
      <c r="D3" s="227"/>
      <c r="E3" s="227"/>
      <c r="F3" s="227"/>
      <c r="G3" s="227"/>
      <c r="H3" s="227"/>
      <c r="I3" s="227"/>
      <c r="J3" s="227"/>
      <c r="K3" s="227"/>
      <c r="L3" s="227"/>
      <c r="M3" s="227"/>
      <c r="O3" s="226" t="s">
        <v>3</v>
      </c>
      <c r="P3" s="227"/>
      <c r="Q3" s="227"/>
      <c r="R3" s="227"/>
      <c r="S3" s="227"/>
      <c r="T3" s="227"/>
      <c r="U3" s="227"/>
      <c r="V3" s="227"/>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Dutasteride-0,01mg/L</v>
      </c>
      <c r="J4" s="35" t="str">
        <f>'Page de garde'!A16</f>
        <v>Dutasteride-0,1mg/L</v>
      </c>
      <c r="K4" s="35" t="str">
        <f>'Page de garde'!A17</f>
        <v>Dutasteride-0,25mg/L</v>
      </c>
      <c r="L4" s="35" t="str">
        <f>'Page de garde'!A18</f>
        <v>Dutasteride-0,5mg/L</v>
      </c>
      <c r="M4" s="35" t="str">
        <f>'Page de garde'!A19</f>
        <v>Dutasteride-1mg/L</v>
      </c>
      <c r="N4" s="3"/>
      <c r="O4" s="36" t="str">
        <f>'Page de garde'!A36</f>
        <v>Testo -30µg/L</v>
      </c>
      <c r="P4" s="36" t="str">
        <f>'Page de garde'!A37</f>
        <v>Testo 30µg/L + EE2 -64ng/L</v>
      </c>
      <c r="Q4" s="36" t="str">
        <f>'Page de garde'!A38</f>
        <v>Testo 30µg/L + FAD-10µg/L</v>
      </c>
      <c r="R4" s="36" t="str">
        <f>'Page de garde'!A39</f>
        <v>Dutasteride-0.01mg/L + Testostérone</v>
      </c>
      <c r="S4" s="36" t="str">
        <f>'Page de garde'!A40</f>
        <v>Dutasteride-0.1mg/L + Testostérone</v>
      </c>
      <c r="T4" s="36" t="str">
        <f>'Page de garde'!A41</f>
        <v>Dutasteride-0.25mg/L + Testostérone</v>
      </c>
      <c r="U4" s="36" t="str">
        <f>'Page de garde'!A42</f>
        <v>Dutasteride-0.5mg/L + Testostérone</v>
      </c>
      <c r="V4" s="36" t="str">
        <f>'Page de garde'!A43</f>
        <v>Dutasteride-1mg/L + Testostérone</v>
      </c>
    </row>
    <row r="5" spans="1:22" x14ac:dyDescent="0.3">
      <c r="A5" s="228" t="s">
        <v>33</v>
      </c>
      <c r="B5" s="196">
        <v>51970</v>
      </c>
      <c r="C5" s="196">
        <v>50425</v>
      </c>
      <c r="D5" s="196"/>
      <c r="E5" s="196">
        <v>183884.5</v>
      </c>
      <c r="F5" s="196">
        <v>405783.5</v>
      </c>
      <c r="G5" s="196">
        <v>783171.66666666663</v>
      </c>
      <c r="H5" s="196">
        <v>5788022</v>
      </c>
      <c r="I5" s="196">
        <v>37213.333333333336</v>
      </c>
      <c r="J5" s="196">
        <v>565953</v>
      </c>
      <c r="K5" s="196">
        <v>22863</v>
      </c>
      <c r="L5" s="196">
        <v>14379</v>
      </c>
      <c r="M5" s="196">
        <v>60976</v>
      </c>
      <c r="N5" s="3"/>
      <c r="O5" s="196">
        <v>3283881.3333333335</v>
      </c>
      <c r="P5" s="196">
        <v>4764920.666666667</v>
      </c>
      <c r="Q5" s="196">
        <v>148541.66666666666</v>
      </c>
      <c r="R5" s="196">
        <v>184341.33333333334</v>
      </c>
      <c r="S5" s="196">
        <v>2917635.3333333335</v>
      </c>
      <c r="T5" s="196">
        <v>4737105</v>
      </c>
      <c r="U5" s="196">
        <v>5066732.333333333</v>
      </c>
      <c r="V5" s="196">
        <v>5412428.666666667</v>
      </c>
    </row>
    <row r="6" spans="1:22" x14ac:dyDescent="0.3">
      <c r="A6" s="228"/>
      <c r="B6" s="196">
        <v>77465</v>
      </c>
      <c r="C6" s="196">
        <v>37894.666666666664</v>
      </c>
      <c r="D6" s="196">
        <v>143473.33333333334</v>
      </c>
      <c r="E6" s="196">
        <v>498915</v>
      </c>
      <c r="F6" s="196">
        <v>1289900</v>
      </c>
      <c r="G6" s="196">
        <v>3589224.6666666665</v>
      </c>
      <c r="H6" s="196">
        <v>8486429.666666666</v>
      </c>
      <c r="I6" s="196">
        <v>119283</v>
      </c>
      <c r="J6" s="196">
        <v>290456</v>
      </c>
      <c r="K6" s="196">
        <v>75202.666666666672</v>
      </c>
      <c r="L6" s="196">
        <v>20086</v>
      </c>
      <c r="M6" s="196">
        <v>45712</v>
      </c>
      <c r="N6" s="3"/>
      <c r="O6" s="196">
        <v>3004251.6666666665</v>
      </c>
      <c r="P6" s="196">
        <v>4282313.666666667</v>
      </c>
      <c r="Q6" s="196">
        <v>98667.666666666672</v>
      </c>
      <c r="R6" s="196">
        <v>330581</v>
      </c>
      <c r="S6" s="196">
        <v>2742235</v>
      </c>
      <c r="T6" s="196">
        <v>3600616.3333333335</v>
      </c>
      <c r="U6" s="196">
        <v>2834434.3333333335</v>
      </c>
      <c r="V6" s="196">
        <v>4093157.3333333335</v>
      </c>
    </row>
    <row r="7" spans="1:22" x14ac:dyDescent="0.3">
      <c r="A7" s="228"/>
      <c r="B7" s="196">
        <v>139920</v>
      </c>
      <c r="C7" s="196">
        <v>83937</v>
      </c>
      <c r="D7" s="196">
        <v>154161.66666666666</v>
      </c>
      <c r="E7" s="196">
        <v>1629965.3333333333</v>
      </c>
      <c r="F7" s="196">
        <v>181317.66666666666</v>
      </c>
      <c r="G7" s="196">
        <v>3683650.3333333335</v>
      </c>
      <c r="H7" s="196">
        <v>7449203.333333333</v>
      </c>
      <c r="I7" s="196">
        <v>93497.666666666672</v>
      </c>
      <c r="J7" s="196">
        <v>93846</v>
      </c>
      <c r="K7" s="196">
        <v>55679</v>
      </c>
      <c r="L7" s="196">
        <v>137839</v>
      </c>
      <c r="M7" s="196">
        <v>53674</v>
      </c>
      <c r="N7" s="3"/>
      <c r="O7" s="196">
        <v>5556815.333333333</v>
      </c>
      <c r="P7" s="196">
        <v>4278398</v>
      </c>
      <c r="Q7" s="196">
        <v>214158.33333333334</v>
      </c>
      <c r="R7" s="196">
        <v>3111468.6666666665</v>
      </c>
      <c r="S7" s="196">
        <v>5109130.333333333</v>
      </c>
      <c r="T7" s="196">
        <v>1237245</v>
      </c>
      <c r="U7" s="196">
        <v>3679531.3333333335</v>
      </c>
      <c r="V7" s="196">
        <v>3545006.3333333335</v>
      </c>
    </row>
    <row r="8" spans="1:22" x14ac:dyDescent="0.3">
      <c r="A8" s="228"/>
      <c r="B8" s="196">
        <v>424633.5</v>
      </c>
      <c r="C8" s="196">
        <v>167536.5</v>
      </c>
      <c r="D8" s="196">
        <v>359909</v>
      </c>
      <c r="E8" s="196">
        <v>164219</v>
      </c>
      <c r="F8" s="196">
        <v>1131565</v>
      </c>
      <c r="G8" s="196">
        <v>4323957.666666667</v>
      </c>
      <c r="H8" s="196">
        <v>8503898.333333334</v>
      </c>
      <c r="I8" s="196">
        <v>156815.66666666666</v>
      </c>
      <c r="J8" s="196">
        <v>125533.33333333333</v>
      </c>
      <c r="K8" s="196">
        <v>75714</v>
      </c>
      <c r="L8" s="196">
        <v>207640</v>
      </c>
      <c r="M8" s="196">
        <v>155815</v>
      </c>
      <c r="N8" s="3"/>
      <c r="O8" s="196">
        <v>1334789</v>
      </c>
      <c r="P8" s="196">
        <v>3145100</v>
      </c>
      <c r="Q8" s="196">
        <v>19382.666666666668</v>
      </c>
      <c r="R8" s="196">
        <v>4680023.333333333</v>
      </c>
      <c r="S8" s="196">
        <v>1512937.6666666667</v>
      </c>
      <c r="T8" s="196">
        <v>3731276.6666666665</v>
      </c>
      <c r="U8" s="196">
        <v>329939</v>
      </c>
      <c r="V8" s="196">
        <v>3328070.6666666665</v>
      </c>
    </row>
    <row r="9" spans="1:22" x14ac:dyDescent="0.3">
      <c r="A9" s="228"/>
      <c r="B9" s="196">
        <v>168881.66666666666</v>
      </c>
      <c r="C9" s="196">
        <v>93012</v>
      </c>
      <c r="D9" s="196">
        <v>81547.666666666672</v>
      </c>
      <c r="E9" s="196">
        <v>92040</v>
      </c>
      <c r="F9" s="196">
        <v>1038256</v>
      </c>
      <c r="G9" s="196">
        <v>1915538</v>
      </c>
      <c r="H9" s="196">
        <v>4824732.5</v>
      </c>
      <c r="I9" s="196">
        <v>37035.5</v>
      </c>
      <c r="J9" s="196">
        <v>450433</v>
      </c>
      <c r="K9" s="196">
        <v>64470.666666666664</v>
      </c>
      <c r="L9" s="196">
        <v>29230</v>
      </c>
      <c r="M9" s="196">
        <v>25198</v>
      </c>
      <c r="N9" s="3"/>
      <c r="O9" s="196">
        <v>1747254.3333333333</v>
      </c>
      <c r="P9" s="196">
        <v>4553902.333333333</v>
      </c>
      <c r="Q9" s="196">
        <v>85441.666666666672</v>
      </c>
      <c r="R9" s="196">
        <v>2147502</v>
      </c>
      <c r="S9" s="196">
        <v>4592848.5</v>
      </c>
      <c r="T9" s="196">
        <v>3363449.6666666665</v>
      </c>
      <c r="U9" s="196">
        <v>1915287.5</v>
      </c>
      <c r="V9" s="196">
        <v>1371639.3333333333</v>
      </c>
    </row>
    <row r="10" spans="1:22" x14ac:dyDescent="0.3">
      <c r="A10" s="228"/>
      <c r="B10" s="196">
        <v>86623</v>
      </c>
      <c r="C10" s="196">
        <v>121610.66666666667</v>
      </c>
      <c r="D10" s="196">
        <v>305249</v>
      </c>
      <c r="E10" s="196">
        <v>488078</v>
      </c>
      <c r="F10" s="196">
        <v>1094159.5</v>
      </c>
      <c r="G10" s="196">
        <v>2849205.3333333335</v>
      </c>
      <c r="H10" s="196">
        <v>4637647</v>
      </c>
      <c r="I10" s="196">
        <v>153980.33333333334</v>
      </c>
      <c r="J10" s="196">
        <v>27682</v>
      </c>
      <c r="K10" s="196">
        <v>147563</v>
      </c>
      <c r="L10" s="196">
        <v>81402.666666666672</v>
      </c>
      <c r="M10" s="196">
        <v>25821.5</v>
      </c>
      <c r="N10" s="3"/>
      <c r="O10" s="196">
        <v>473405</v>
      </c>
      <c r="P10" s="199"/>
      <c r="Q10" s="196">
        <v>62781.333333333336</v>
      </c>
      <c r="R10" s="196">
        <v>2357433</v>
      </c>
      <c r="S10" s="196">
        <v>3718122.6666666665</v>
      </c>
      <c r="T10" s="196">
        <v>2752691.3333333335</v>
      </c>
      <c r="U10" s="196">
        <v>2650049.6666666665</v>
      </c>
      <c r="V10" s="196">
        <v>3710248</v>
      </c>
    </row>
    <row r="11" spans="1:22" x14ac:dyDescent="0.3">
      <c r="A11" s="228"/>
      <c r="B11" s="196">
        <v>34762.5</v>
      </c>
      <c r="C11" s="196">
        <v>89310</v>
      </c>
      <c r="D11" s="196">
        <v>106137</v>
      </c>
      <c r="E11" s="196">
        <v>46284.666666666664</v>
      </c>
      <c r="F11" s="196">
        <v>194536.66666666666</v>
      </c>
      <c r="G11" s="196">
        <v>3065517</v>
      </c>
      <c r="H11" s="196">
        <v>2932101.6666666665</v>
      </c>
      <c r="I11" s="196">
        <v>35654.5</v>
      </c>
      <c r="J11" s="196">
        <v>248529.33333333334</v>
      </c>
      <c r="K11" s="196">
        <v>165611</v>
      </c>
      <c r="L11" s="196">
        <v>234832</v>
      </c>
      <c r="M11" s="196">
        <v>185711.66666666666</v>
      </c>
      <c r="N11" s="3"/>
      <c r="O11" s="196">
        <v>139071.5</v>
      </c>
      <c r="P11" s="196">
        <v>3339005.6666666665</v>
      </c>
      <c r="Q11" s="196">
        <v>180153.5</v>
      </c>
      <c r="R11" s="196">
        <v>3766129.5</v>
      </c>
      <c r="S11" s="196">
        <v>630293.33333333337</v>
      </c>
      <c r="T11" s="196">
        <v>3875975.6666666665</v>
      </c>
      <c r="U11" s="196">
        <v>3987891</v>
      </c>
      <c r="V11" s="196">
        <v>6435870</v>
      </c>
    </row>
    <row r="12" spans="1:22" x14ac:dyDescent="0.3">
      <c r="A12" s="228"/>
      <c r="B12" s="196">
        <v>256585.5</v>
      </c>
      <c r="C12" s="196">
        <v>179262</v>
      </c>
      <c r="D12" s="196">
        <v>158715.66666666666</v>
      </c>
      <c r="E12" s="196">
        <v>425014</v>
      </c>
      <c r="F12" s="196">
        <v>343172.66666666669</v>
      </c>
      <c r="G12" s="196">
        <v>4402793.333333333</v>
      </c>
      <c r="H12" s="196">
        <v>6381826.666666667</v>
      </c>
      <c r="I12" s="196"/>
      <c r="J12" s="196">
        <v>49925</v>
      </c>
      <c r="K12" s="196">
        <v>188743</v>
      </c>
      <c r="L12" s="196">
        <v>104816.66666666667</v>
      </c>
      <c r="M12" s="196">
        <v>126955</v>
      </c>
      <c r="N12" s="3"/>
      <c r="O12" s="196">
        <v>4198054</v>
      </c>
      <c r="P12" s="196">
        <v>4105637</v>
      </c>
      <c r="Q12" s="196">
        <v>33414</v>
      </c>
      <c r="R12" s="196">
        <v>4301739.666666667</v>
      </c>
      <c r="S12" s="196">
        <v>2302939.5</v>
      </c>
      <c r="T12" s="196">
        <v>3914385.3333333335</v>
      </c>
      <c r="U12" s="196">
        <v>3850451</v>
      </c>
      <c r="V12" s="196">
        <v>3790802</v>
      </c>
    </row>
    <row r="13" spans="1:22" ht="16.8" x14ac:dyDescent="0.3">
      <c r="A13" s="228"/>
      <c r="B13" s="14"/>
      <c r="C13" s="13"/>
      <c r="D13" s="32"/>
      <c r="E13" s="32"/>
      <c r="F13" s="32"/>
      <c r="G13" s="32"/>
      <c r="H13" s="32"/>
      <c r="I13" s="32"/>
      <c r="J13" s="32"/>
      <c r="K13" s="13"/>
      <c r="L13" s="13"/>
      <c r="M13" s="13"/>
      <c r="N13" s="3"/>
      <c r="O13" s="196">
        <v>1664760.5</v>
      </c>
      <c r="P13" s="13"/>
      <c r="Q13" s="13"/>
      <c r="R13" s="32"/>
      <c r="S13" s="32"/>
      <c r="T13" s="32"/>
      <c r="U13" s="32"/>
      <c r="V13" s="32"/>
    </row>
    <row r="14" spans="1:22" ht="16.8" x14ac:dyDescent="0.3">
      <c r="A14" s="228"/>
      <c r="B14" s="14"/>
      <c r="C14" s="32"/>
      <c r="D14" s="32"/>
      <c r="E14" s="32"/>
      <c r="F14" s="32"/>
      <c r="G14" s="32"/>
      <c r="H14" s="32"/>
      <c r="I14" s="32"/>
      <c r="J14" s="32"/>
      <c r="K14" s="13"/>
      <c r="L14" s="13"/>
      <c r="M14" s="13"/>
      <c r="N14" s="3"/>
      <c r="O14" s="196">
        <v>2593591.3333333335</v>
      </c>
      <c r="P14" s="13"/>
      <c r="Q14" s="13"/>
      <c r="R14" s="32"/>
      <c r="S14" s="32"/>
      <c r="T14" s="32"/>
      <c r="U14" s="32"/>
      <c r="V14" s="32"/>
    </row>
    <row r="15" spans="1:22" ht="16.8" x14ac:dyDescent="0.3">
      <c r="A15" s="228"/>
      <c r="B15" s="14"/>
      <c r="C15" s="32"/>
      <c r="D15" s="32"/>
      <c r="E15" s="32"/>
      <c r="F15" s="32"/>
      <c r="G15" s="32"/>
      <c r="H15" s="32"/>
      <c r="I15" s="32"/>
      <c r="J15" s="32"/>
      <c r="K15" s="13"/>
      <c r="L15" s="13"/>
      <c r="M15" s="13"/>
      <c r="N15" s="3"/>
      <c r="O15" s="196">
        <v>3318129.3333333335</v>
      </c>
      <c r="P15" s="13"/>
      <c r="Q15" s="13"/>
      <c r="R15" s="32"/>
      <c r="S15" s="32"/>
      <c r="T15" s="32"/>
      <c r="U15" s="32"/>
      <c r="V15" s="32"/>
    </row>
    <row r="16" spans="1:22" ht="16.8" x14ac:dyDescent="0.3">
      <c r="A16" s="228"/>
      <c r="B16" s="14"/>
      <c r="C16" s="32"/>
      <c r="D16" s="32"/>
      <c r="E16" s="32"/>
      <c r="F16" s="32"/>
      <c r="G16" s="32"/>
      <c r="H16" s="32"/>
      <c r="I16" s="32"/>
      <c r="J16" s="32"/>
      <c r="K16" s="13"/>
      <c r="L16" s="13"/>
      <c r="M16" s="13"/>
      <c r="N16" s="3"/>
      <c r="O16" s="196">
        <v>4156511.5</v>
      </c>
      <c r="P16" s="13"/>
      <c r="Q16" s="13"/>
      <c r="R16" s="32"/>
      <c r="S16" s="32"/>
      <c r="T16" s="32"/>
      <c r="U16" s="32"/>
      <c r="V16" s="32"/>
    </row>
    <row r="17" spans="1:22" ht="16.8" x14ac:dyDescent="0.3">
      <c r="A17" s="228"/>
      <c r="B17" s="14"/>
      <c r="C17" s="32"/>
      <c r="D17" s="32"/>
      <c r="E17" s="32"/>
      <c r="F17" s="32"/>
      <c r="G17" s="32"/>
      <c r="H17" s="32"/>
      <c r="I17" s="32"/>
      <c r="J17" s="32"/>
      <c r="K17" s="13"/>
      <c r="L17" s="13"/>
      <c r="M17" s="13"/>
      <c r="N17" s="3"/>
      <c r="O17" s="196">
        <v>3417004</v>
      </c>
      <c r="P17" s="13"/>
      <c r="Q17" s="13"/>
      <c r="R17" s="32"/>
      <c r="S17" s="32"/>
      <c r="T17" s="32"/>
      <c r="U17" s="32"/>
      <c r="V17" s="32"/>
    </row>
    <row r="18" spans="1:22" ht="16.8" x14ac:dyDescent="0.3">
      <c r="A18" s="228"/>
      <c r="B18" s="14"/>
      <c r="C18" s="32"/>
      <c r="D18" s="32"/>
      <c r="E18" s="32"/>
      <c r="F18" s="32"/>
      <c r="G18" s="32"/>
      <c r="H18" s="32"/>
      <c r="I18" s="32"/>
      <c r="J18" s="32"/>
      <c r="K18" s="13"/>
      <c r="L18" s="13"/>
      <c r="M18" s="13"/>
      <c r="N18" s="3"/>
      <c r="O18" s="196">
        <v>2375959.3333333335</v>
      </c>
      <c r="P18" s="13"/>
      <c r="Q18" s="13"/>
      <c r="R18" s="32"/>
      <c r="S18" s="32"/>
      <c r="T18" s="32"/>
      <c r="U18" s="32"/>
      <c r="V18" s="32"/>
    </row>
    <row r="19" spans="1:22" ht="16.8" x14ac:dyDescent="0.3">
      <c r="A19" s="228"/>
      <c r="B19" s="14"/>
      <c r="C19" s="32"/>
      <c r="D19" s="32"/>
      <c r="E19" s="32"/>
      <c r="F19" s="32"/>
      <c r="G19" s="32"/>
      <c r="H19" s="32"/>
      <c r="I19" s="32"/>
      <c r="J19" s="32"/>
      <c r="K19" s="13"/>
      <c r="L19" s="13"/>
      <c r="M19" s="13"/>
      <c r="N19" s="3"/>
      <c r="O19" s="196">
        <v>4853545.5</v>
      </c>
      <c r="P19" s="13"/>
      <c r="Q19" s="13"/>
      <c r="R19" s="32"/>
      <c r="S19" s="32"/>
      <c r="T19" s="32"/>
      <c r="U19" s="32"/>
      <c r="V19" s="32"/>
    </row>
    <row r="20" spans="1:22" ht="16.8" x14ac:dyDescent="0.3">
      <c r="A20" s="228"/>
      <c r="B20" s="14"/>
      <c r="C20" s="32"/>
      <c r="D20" s="32"/>
      <c r="E20" s="32"/>
      <c r="F20" s="32"/>
      <c r="G20" s="32"/>
      <c r="H20" s="32"/>
      <c r="I20" s="32"/>
      <c r="J20" s="32"/>
      <c r="K20" s="13"/>
      <c r="L20" s="13"/>
      <c r="M20" s="13"/>
      <c r="N20" s="3"/>
      <c r="O20" s="196">
        <v>1829926</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Dutasteride-0,01mg/L</v>
      </c>
      <c r="J22" s="3" t="str">
        <f t="shared" si="0"/>
        <v>Dutasteride-0,1mg/L</v>
      </c>
      <c r="K22" s="3" t="str">
        <f t="shared" si="0"/>
        <v>Dutasteride-0,25mg/L</v>
      </c>
      <c r="L22" s="3" t="str">
        <f t="shared" si="0"/>
        <v>Dutasteride-0,5mg/L</v>
      </c>
      <c r="M22" s="3" t="str">
        <f t="shared" si="0"/>
        <v>Dutasteride-1mg/L</v>
      </c>
      <c r="N22" s="3" t="s">
        <v>41</v>
      </c>
      <c r="O22" s="3" t="str">
        <f t="shared" si="0"/>
        <v>Testo -30µg/L</v>
      </c>
      <c r="P22" s="3" t="str">
        <f t="shared" si="0"/>
        <v>Testo 30µg/L + EE2 -64ng/L</v>
      </c>
      <c r="Q22" s="3" t="str">
        <f t="shared" si="0"/>
        <v>Testo 30µg/L + FAD-10µg/L</v>
      </c>
      <c r="R22" s="3" t="str">
        <f t="shared" si="0"/>
        <v>Dutasteride-0.01mg/L + Testostérone</v>
      </c>
      <c r="S22" s="3" t="str">
        <f t="shared" si="0"/>
        <v>Dutasteride-0.1mg/L + Testostérone</v>
      </c>
      <c r="T22" s="3" t="str">
        <f t="shared" si="0"/>
        <v>Dutasteride-0.25mg/L + Testostérone</v>
      </c>
      <c r="U22" s="3" t="str">
        <f t="shared" si="0"/>
        <v>Dutasteride-0.5mg/L + Testostérone</v>
      </c>
      <c r="V22" s="3" t="str">
        <f t="shared" si="0"/>
        <v>Dutasteride-1mg/L + Testostérone</v>
      </c>
    </row>
    <row r="23" spans="1:22" x14ac:dyDescent="0.3">
      <c r="A23" s="5" t="s">
        <v>0</v>
      </c>
      <c r="B23" s="5">
        <f t="shared" ref="B23:J23" si="1">AVERAGE(B5:B20)</f>
        <v>155105.14583333331</v>
      </c>
      <c r="C23" s="5">
        <f t="shared" si="1"/>
        <v>102873.47916666666</v>
      </c>
      <c r="D23" s="5">
        <f t="shared" si="1"/>
        <v>187027.61904761902</v>
      </c>
      <c r="E23" s="5">
        <f t="shared" si="1"/>
        <v>441050.06249999994</v>
      </c>
      <c r="F23" s="5">
        <f t="shared" si="1"/>
        <v>709836.37500000012</v>
      </c>
      <c r="G23" s="5">
        <f t="shared" si="1"/>
        <v>3076632.2499999995</v>
      </c>
      <c r="H23" s="5">
        <f t="shared" si="1"/>
        <v>6125482.645833333</v>
      </c>
      <c r="I23" s="5">
        <f t="shared" si="1"/>
        <v>90497.142857142855</v>
      </c>
      <c r="J23" s="5">
        <f t="shared" si="1"/>
        <v>231544.70833333331</v>
      </c>
      <c r="K23" s="5"/>
      <c r="L23" s="5">
        <f>AVERAGE(L5:L20)</f>
        <v>103778.16666666667</v>
      </c>
      <c r="M23" s="5"/>
      <c r="N23" s="5" t="s">
        <v>0</v>
      </c>
      <c r="O23" s="5">
        <f>AVERAGE(O5:O20)</f>
        <v>2746684.3541666665</v>
      </c>
      <c r="P23" s="5">
        <f>AVERAGE(P5:P20)</f>
        <v>4067039.6190476194</v>
      </c>
      <c r="Q23" s="5">
        <f>AVERAGE(Q5:Q20)</f>
        <v>105317.60416666667</v>
      </c>
      <c r="R23" s="5">
        <f>AVERAGE(R5:R20)</f>
        <v>2609902.3125</v>
      </c>
      <c r="S23" s="5">
        <f>AVERAGE(S5:S20)</f>
        <v>2940767.791666667</v>
      </c>
      <c r="T23" s="5">
        <f t="shared" ref="T23:V23" si="2">AVERAGE(T5:T20)</f>
        <v>3401593.125</v>
      </c>
      <c r="U23" s="5">
        <f t="shared" si="2"/>
        <v>3039289.520833333</v>
      </c>
      <c r="V23" s="5">
        <f t="shared" si="2"/>
        <v>3960902.7916666665</v>
      </c>
    </row>
    <row r="24" spans="1:22" x14ac:dyDescent="0.3">
      <c r="A24" s="3" t="s">
        <v>1</v>
      </c>
      <c r="B24" s="3">
        <f t="shared" ref="B24:J24" si="3">STDEV(B5:B20)</f>
        <v>130494.21684888368</v>
      </c>
      <c r="C24" s="3">
        <f t="shared" si="3"/>
        <v>50681.767074140596</v>
      </c>
      <c r="D24" s="3">
        <f t="shared" si="3"/>
        <v>104333.03461839183</v>
      </c>
      <c r="E24" s="3">
        <f t="shared" si="3"/>
        <v>512661.67618380336</v>
      </c>
      <c r="F24" s="3">
        <f t="shared" si="3"/>
        <v>469292.59787756333</v>
      </c>
      <c r="G24" s="3">
        <f t="shared" si="3"/>
        <v>1230893.6189975482</v>
      </c>
      <c r="H24" s="3">
        <f t="shared" si="3"/>
        <v>1973613.3776020308</v>
      </c>
      <c r="I24" s="3">
        <f t="shared" si="3"/>
        <v>54727.99082401616</v>
      </c>
      <c r="J24" s="3">
        <f t="shared" si="3"/>
        <v>195756.80092055249</v>
      </c>
      <c r="K24" s="3"/>
      <c r="L24" s="3">
        <f>STDEV(L5:L20)</f>
        <v>84665.972604954208</v>
      </c>
      <c r="M24" s="3"/>
      <c r="N24" s="3" t="s">
        <v>1</v>
      </c>
      <c r="O24" s="3">
        <f>STDEV(O5:O20)</f>
        <v>1520794.0478967656</v>
      </c>
      <c r="P24" s="3">
        <f>STDEV(P5:P20)</f>
        <v>605059.83103189582</v>
      </c>
      <c r="Q24" s="3">
        <f>STDEV(Q5:Q20)</f>
        <v>69814.638131128726</v>
      </c>
      <c r="R24" s="3">
        <f>STDEV(R5:R20)</f>
        <v>1694206.5695701633</v>
      </c>
      <c r="S24" s="3">
        <f>STDEV(S5:S20)</f>
        <v>1505191.671646158</v>
      </c>
      <c r="T24" s="3">
        <f t="shared" ref="T24:V24" si="4">STDEV(T5:T20)</f>
        <v>1036947.3986497612</v>
      </c>
      <c r="U24" s="3">
        <f t="shared" si="4"/>
        <v>1457772.0646583007</v>
      </c>
      <c r="V24" s="3">
        <f t="shared" si="4"/>
        <v>1493766.8126952895</v>
      </c>
    </row>
    <row r="25" spans="1:22" ht="15" thickBot="1" x14ac:dyDescent="0.35"/>
    <row r="26" spans="1:22" ht="15" thickBot="1" x14ac:dyDescent="0.35">
      <c r="B26" s="226" t="s">
        <v>6</v>
      </c>
      <c r="C26" s="227"/>
      <c r="D26" s="227"/>
      <c r="E26" s="227"/>
      <c r="F26" s="227"/>
      <c r="G26" s="227"/>
      <c r="H26" s="227"/>
      <c r="I26" s="227"/>
      <c r="J26" s="227"/>
      <c r="K26" s="227"/>
      <c r="L26" s="227"/>
      <c r="M26" s="227"/>
      <c r="O26" s="226" t="s">
        <v>3</v>
      </c>
      <c r="P26" s="227"/>
      <c r="Q26" s="227"/>
      <c r="R26" s="227"/>
      <c r="S26" s="227"/>
      <c r="T26" s="227"/>
      <c r="U26" s="227"/>
      <c r="V26" s="227"/>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Dutasteride-0,01mg/L</v>
      </c>
      <c r="J27" s="35" t="str">
        <f t="shared" si="5"/>
        <v>Dutasteride-0,1mg/L</v>
      </c>
      <c r="K27" s="35" t="str">
        <f t="shared" si="5"/>
        <v>Dutasteride-0,25mg/L</v>
      </c>
      <c r="L27" s="35" t="str">
        <f t="shared" si="5"/>
        <v>Dutasteride-0,5mg/L</v>
      </c>
      <c r="M27" s="35" t="str">
        <f t="shared" si="5"/>
        <v>Dutasteride-1mg/L</v>
      </c>
      <c r="N27" s="3"/>
      <c r="O27" s="36" t="str">
        <f>O4</f>
        <v>Testo -30µg/L</v>
      </c>
      <c r="P27" s="36" t="str">
        <f t="shared" ref="P27:R27" si="6">P4</f>
        <v>Testo 30µg/L + EE2 -64ng/L</v>
      </c>
      <c r="Q27" s="36" t="str">
        <f t="shared" si="6"/>
        <v>Testo 30µg/L + FAD-10µg/L</v>
      </c>
      <c r="R27" s="36" t="str">
        <f t="shared" si="6"/>
        <v>Dutasteride-0.01mg/L + Testostérone</v>
      </c>
      <c r="S27" s="36" t="str">
        <f t="shared" ref="S27:V27" si="7">S4</f>
        <v>Dutasteride-0.1mg/L + Testostérone</v>
      </c>
      <c r="T27" s="36" t="str">
        <f t="shared" si="7"/>
        <v>Dutasteride-0.25mg/L + Testostérone</v>
      </c>
      <c r="U27" s="36" t="str">
        <f t="shared" si="7"/>
        <v>Dutasteride-0.5mg/L + Testostérone</v>
      </c>
      <c r="V27" s="36" t="str">
        <f t="shared" si="7"/>
        <v>Dutasteride-1mg/L + Testostérone</v>
      </c>
    </row>
    <row r="28" spans="1:22" x14ac:dyDescent="0.3">
      <c r="A28" s="229" t="s">
        <v>34</v>
      </c>
      <c r="B28" s="11">
        <f t="shared" ref="B28:M28" si="8">IF(B5="","",(B5/$O$23))</f>
        <v>1.892099466076709E-2</v>
      </c>
      <c r="C28" s="11">
        <f t="shared" si="8"/>
        <v>1.8358498283032144E-2</v>
      </c>
      <c r="D28" s="11" t="str">
        <f t="shared" si="8"/>
        <v/>
      </c>
      <c r="E28" s="11">
        <f t="shared" si="8"/>
        <v>6.6947809172557743E-2</v>
      </c>
      <c r="F28" s="11">
        <f t="shared" si="8"/>
        <v>0.14773575980233564</v>
      </c>
      <c r="G28" s="11">
        <f t="shared" si="8"/>
        <v>0.28513347938164446</v>
      </c>
      <c r="H28" s="11">
        <f t="shared" si="8"/>
        <v>2.1072759930421867</v>
      </c>
      <c r="I28" s="11">
        <f t="shared" si="8"/>
        <v>1.3548456442358015E-2</v>
      </c>
      <c r="J28" s="11">
        <f t="shared" si="8"/>
        <v>0.20604952263315598</v>
      </c>
      <c r="K28" s="11">
        <f t="shared" si="8"/>
        <v>8.323854164501019E-3</v>
      </c>
      <c r="L28" s="11">
        <f t="shared" si="8"/>
        <v>5.2350391038516447E-3</v>
      </c>
      <c r="M28" s="11">
        <f t="shared" si="8"/>
        <v>2.2199857041272544E-2</v>
      </c>
      <c r="N28" s="6"/>
      <c r="O28" s="11">
        <f t="shared" ref="O28:S37" si="9">IF(O5="","",(O5/$O$23))</f>
        <v>1.195580164991201</v>
      </c>
      <c r="P28" s="11">
        <f t="shared" si="9"/>
        <v>1.734790042197013</v>
      </c>
      <c r="Q28" s="11">
        <f t="shared" si="9"/>
        <v>5.4080355626350676E-2</v>
      </c>
      <c r="R28" s="11">
        <f t="shared" si="9"/>
        <v>6.711413091704227E-2</v>
      </c>
      <c r="S28" s="11">
        <f t="shared" si="9"/>
        <v>1.0622390333666618</v>
      </c>
      <c r="T28" s="11">
        <f t="shared" ref="T28:V28" si="10">IF(T5="","",(T5/$O$23))</f>
        <v>1.7246630443042734</v>
      </c>
      <c r="U28" s="11">
        <f t="shared" si="10"/>
        <v>1.8446722229466226</v>
      </c>
      <c r="V28" s="11">
        <f t="shared" si="10"/>
        <v>1.970531727992741</v>
      </c>
    </row>
    <row r="29" spans="1:22" x14ac:dyDescent="0.3">
      <c r="A29" s="229"/>
      <c r="B29" s="11">
        <f t="shared" ref="B29:M29" si="11">IF(B6="","",(B6/$O$23))</f>
        <v>2.8203095081707191E-2</v>
      </c>
      <c r="C29" s="11">
        <f t="shared" si="11"/>
        <v>1.3796513097393661E-2</v>
      </c>
      <c r="D29" s="11">
        <f t="shared" si="11"/>
        <v>5.22351005188081E-2</v>
      </c>
      <c r="E29" s="11">
        <f t="shared" si="11"/>
        <v>0.18164264096934024</v>
      </c>
      <c r="F29" s="11">
        <f t="shared" si="11"/>
        <v>0.46962076222673599</v>
      </c>
      <c r="G29" s="11">
        <f t="shared" si="11"/>
        <v>1.3067481384316633</v>
      </c>
      <c r="H29" s="11">
        <f t="shared" si="11"/>
        <v>3.0896996423316416</v>
      </c>
      <c r="I29" s="11">
        <f t="shared" si="11"/>
        <v>4.3427997039066399E-2</v>
      </c>
      <c r="J29" s="11">
        <f t="shared" si="11"/>
        <v>0.1057478627128683</v>
      </c>
      <c r="K29" s="11">
        <f t="shared" si="11"/>
        <v>2.7379435337222383E-2</v>
      </c>
      <c r="L29" s="11">
        <f t="shared" si="11"/>
        <v>7.3128169858796954E-3</v>
      </c>
      <c r="M29" s="11">
        <f t="shared" si="11"/>
        <v>1.6642611274446512E-2</v>
      </c>
      <c r="N29" s="6"/>
      <c r="O29" s="11">
        <f t="shared" si="9"/>
        <v>1.0937739031094984</v>
      </c>
      <c r="P29" s="11">
        <f t="shared" si="9"/>
        <v>1.5590847416342111</v>
      </c>
      <c r="Q29" s="11">
        <f t="shared" si="9"/>
        <v>3.5922462847611067E-2</v>
      </c>
      <c r="R29" s="11">
        <f t="shared" si="9"/>
        <v>0.12035638514433414</v>
      </c>
      <c r="S29" s="11">
        <f t="shared" si="9"/>
        <v>0.99838009993397425</v>
      </c>
      <c r="T29" s="11">
        <f t="shared" ref="T29:V29" si="12">IF(T6="","",(T6/$O$23))</f>
        <v>1.3108955631801189</v>
      </c>
      <c r="U29" s="11">
        <f t="shared" si="12"/>
        <v>1.0319476022184901</v>
      </c>
      <c r="V29" s="11">
        <f t="shared" si="12"/>
        <v>1.4902175880253927</v>
      </c>
    </row>
    <row r="30" spans="1:22" x14ac:dyDescent="0.3">
      <c r="A30" s="229"/>
      <c r="B30" s="11">
        <f t="shared" ref="B30:M30" si="13">IF(B7="","",(B7/$O$23))</f>
        <v>5.094141952923862E-2</v>
      </c>
      <c r="C30" s="11">
        <f t="shared" si="13"/>
        <v>3.0559390587662251E-2</v>
      </c>
      <c r="D30" s="11">
        <f t="shared" si="13"/>
        <v>5.6126458955069382E-2</v>
      </c>
      <c r="E30" s="11">
        <f t="shared" si="13"/>
        <v>0.59343015911555608</v>
      </c>
      <c r="F30" s="11">
        <f t="shared" si="13"/>
        <v>6.6013288491490227E-2</v>
      </c>
      <c r="G30" s="11">
        <f t="shared" si="13"/>
        <v>1.3411261937489496</v>
      </c>
      <c r="H30" s="11">
        <f t="shared" si="13"/>
        <v>2.7120711275152667</v>
      </c>
      <c r="I30" s="11">
        <f t="shared" si="13"/>
        <v>3.4040193415320018E-2</v>
      </c>
      <c r="J30" s="11">
        <f t="shared" si="13"/>
        <v>3.4167012986999201E-2</v>
      </c>
      <c r="K30" s="11">
        <f t="shared" si="13"/>
        <v>2.0271350042656355E-2</v>
      </c>
      <c r="L30" s="11">
        <f t="shared" si="13"/>
        <v>5.018377877709207E-2</v>
      </c>
      <c r="M30" s="11">
        <f t="shared" si="13"/>
        <v>1.9541379015239807E-2</v>
      </c>
      <c r="N30" s="6"/>
      <c r="O30" s="11">
        <f t="shared" si="9"/>
        <v>2.023099350642076</v>
      </c>
      <c r="P30" s="11">
        <f t="shared" si="9"/>
        <v>1.5576591440184067</v>
      </c>
      <c r="Q30" s="11">
        <f t="shared" si="9"/>
        <v>7.7969764894338642E-2</v>
      </c>
      <c r="R30" s="11">
        <f t="shared" si="9"/>
        <v>1.1328089672723511</v>
      </c>
      <c r="S30" s="11">
        <f t="shared" si="9"/>
        <v>1.8601082885927107</v>
      </c>
      <c r="T30" s="11">
        <f t="shared" ref="T30:V30" si="14">IF(T7="","",(T7/$O$23))</f>
        <v>0.45045037596807347</v>
      </c>
      <c r="U30" s="11">
        <f t="shared" si="14"/>
        <v>1.3396265674836485</v>
      </c>
      <c r="V30" s="11">
        <f t="shared" si="14"/>
        <v>1.2906493343349148</v>
      </c>
    </row>
    <row r="31" spans="1:22" x14ac:dyDescent="0.3">
      <c r="A31" s="229"/>
      <c r="B31" s="11">
        <f t="shared" ref="B31:M31" si="15">IF(B8="","",(B8/$O$23))</f>
        <v>0.15459857968602736</v>
      </c>
      <c r="C31" s="11">
        <f t="shared" si="15"/>
        <v>6.0995905753003767E-2</v>
      </c>
      <c r="D31" s="11">
        <f t="shared" si="15"/>
        <v>0.13103398628751245</v>
      </c>
      <c r="E31" s="11">
        <f t="shared" si="15"/>
        <v>5.9788085861006555E-2</v>
      </c>
      <c r="F31" s="11">
        <f t="shared" si="15"/>
        <v>0.41197489558035238</v>
      </c>
      <c r="G31" s="11">
        <f t="shared" si="15"/>
        <v>1.5742462944849516</v>
      </c>
      <c r="H31" s="11">
        <f t="shared" si="15"/>
        <v>3.0960595528325219</v>
      </c>
      <c r="I31" s="11">
        <f t="shared" si="15"/>
        <v>5.7092714868667148E-2</v>
      </c>
      <c r="J31" s="11">
        <f t="shared" si="15"/>
        <v>4.5703589181225614E-2</v>
      </c>
      <c r="K31" s="11">
        <f t="shared" si="15"/>
        <v>2.7565599186940917E-2</v>
      </c>
      <c r="L31" s="11">
        <f t="shared" si="15"/>
        <v>7.5596600564973609E-2</v>
      </c>
      <c r="M31" s="11">
        <f t="shared" si="15"/>
        <v>5.6728396826388763E-2</v>
      </c>
      <c r="N31" s="6"/>
      <c r="O31" s="11">
        <f t="shared" si="9"/>
        <v>0.48596373950838262</v>
      </c>
      <c r="P31" s="11">
        <f t="shared" si="9"/>
        <v>1.1450533058991452</v>
      </c>
      <c r="Q31" s="11">
        <f t="shared" si="9"/>
        <v>7.0567506736853624E-3</v>
      </c>
      <c r="R31" s="11">
        <f t="shared" si="9"/>
        <v>1.7038810179385298</v>
      </c>
      <c r="S31" s="11">
        <f t="shared" si="9"/>
        <v>0.55082327329369674</v>
      </c>
      <c r="T31" s="11">
        <f t="shared" ref="T31:V31" si="16">IF(T8="","",(T8/$O$23))</f>
        <v>1.3584657665546436</v>
      </c>
      <c r="U31" s="11">
        <f t="shared" si="16"/>
        <v>0.12012264878543069</v>
      </c>
      <c r="V31" s="11">
        <f t="shared" si="16"/>
        <v>1.211668410903513</v>
      </c>
    </row>
    <row r="32" spans="1:22" x14ac:dyDescent="0.3">
      <c r="A32" s="229"/>
      <c r="B32" s="11">
        <f t="shared" ref="B32:M32" si="17">IF(B9="","",(B9/$O$23))</f>
        <v>6.1485647744880648E-2</v>
      </c>
      <c r="C32" s="11">
        <f t="shared" si="17"/>
        <v>3.3863374165619943E-2</v>
      </c>
      <c r="D32" s="11">
        <f t="shared" si="17"/>
        <v>2.9689493276852309E-2</v>
      </c>
      <c r="E32" s="11">
        <f t="shared" si="17"/>
        <v>3.3509492949336216E-2</v>
      </c>
      <c r="F32" s="11">
        <f t="shared" si="17"/>
        <v>0.37800339104309016</v>
      </c>
      <c r="G32" s="11">
        <f t="shared" si="17"/>
        <v>0.69740012065607981</v>
      </c>
      <c r="H32" s="11">
        <f t="shared" si="17"/>
        <v>1.756566054880305</v>
      </c>
      <c r="I32" s="11">
        <f t="shared" si="17"/>
        <v>1.3483711713658642E-2</v>
      </c>
      <c r="J32" s="11">
        <f t="shared" si="17"/>
        <v>0.16399154104355018</v>
      </c>
      <c r="K32" s="11">
        <f t="shared" si="17"/>
        <v>2.3472178945085527E-2</v>
      </c>
      <c r="L32" s="11">
        <f t="shared" si="17"/>
        <v>1.0641921761289629E-2</v>
      </c>
      <c r="M32" s="11">
        <f t="shared" si="17"/>
        <v>9.1739700492978471E-3</v>
      </c>
      <c r="N32" s="6"/>
      <c r="O32" s="11">
        <f t="shared" si="9"/>
        <v>0.63613218995578524</v>
      </c>
      <c r="P32" s="11">
        <f t="shared" si="9"/>
        <v>1.6579634738244138</v>
      </c>
      <c r="Q32" s="11">
        <f t="shared" si="9"/>
        <v>3.110720259393961E-2</v>
      </c>
      <c r="R32" s="11">
        <f t="shared" si="9"/>
        <v>0.78185248943595631</v>
      </c>
      <c r="S32" s="11">
        <f t="shared" si="9"/>
        <v>1.6721428121264603</v>
      </c>
      <c r="T32" s="11">
        <f t="shared" ref="T32:V32" si="18">IF(T9="","",(T9/$O$23))</f>
        <v>1.2245490318406551</v>
      </c>
      <c r="U32" s="11">
        <f t="shared" si="18"/>
        <v>0.69730891978706844</v>
      </c>
      <c r="V32" s="11">
        <f t="shared" si="18"/>
        <v>0.49938003660762226</v>
      </c>
    </row>
    <row r="33" spans="1:22" x14ac:dyDescent="0.3">
      <c r="A33" s="229"/>
      <c r="B33" s="11">
        <f t="shared" ref="B33:M33" si="19">IF(B10="","",(B10/$O$23))</f>
        <v>3.1537296911672653E-2</v>
      </c>
      <c r="C33" s="11">
        <f t="shared" si="19"/>
        <v>4.4275443038143666E-2</v>
      </c>
      <c r="D33" s="11">
        <f t="shared" si="19"/>
        <v>0.11113362900143339</v>
      </c>
      <c r="E33" s="11">
        <f t="shared" si="19"/>
        <v>0.17769715666803693</v>
      </c>
      <c r="F33" s="11">
        <f t="shared" si="19"/>
        <v>0.39835647599629764</v>
      </c>
      <c r="G33" s="11">
        <f t="shared" si="19"/>
        <v>1.0373253588498965</v>
      </c>
      <c r="H33" s="11">
        <f t="shared" si="19"/>
        <v>1.6884528405911585</v>
      </c>
      <c r="I33" s="11">
        <f t="shared" si="19"/>
        <v>5.6060439962731135E-2</v>
      </c>
      <c r="J33" s="11">
        <f t="shared" si="19"/>
        <v>1.0078333157578499E-2</v>
      </c>
      <c r="K33" s="11">
        <f t="shared" si="19"/>
        <v>5.3724047241230984E-2</v>
      </c>
      <c r="L33" s="11">
        <f t="shared" si="19"/>
        <v>2.9636702354670065E-2</v>
      </c>
      <c r="M33" s="11">
        <f t="shared" si="19"/>
        <v>9.4009710146814966E-3</v>
      </c>
      <c r="N33" s="6"/>
      <c r="O33" s="198">
        <f t="shared" si="9"/>
        <v>0.17235507941851924</v>
      </c>
      <c r="P33" s="11" t="str">
        <f t="shared" si="9"/>
        <v/>
      </c>
      <c r="Q33" s="11">
        <f t="shared" si="9"/>
        <v>2.2857134362051935E-2</v>
      </c>
      <c r="R33" s="11">
        <f t="shared" si="9"/>
        <v>0.85828318657140934</v>
      </c>
      <c r="S33" s="11">
        <f t="shared" si="9"/>
        <v>1.3536767197244004</v>
      </c>
      <c r="T33" s="11">
        <f t="shared" ref="T33:V33" si="20">IF(T10="","",(T10/$O$23))</f>
        <v>1.002186992894744</v>
      </c>
      <c r="U33" s="11">
        <f t="shared" si="20"/>
        <v>0.96481769470401391</v>
      </c>
      <c r="V33" s="11">
        <f t="shared" si="20"/>
        <v>1.3508097478953585</v>
      </c>
    </row>
    <row r="34" spans="1:22" x14ac:dyDescent="0.3">
      <c r="A34" s="229"/>
      <c r="B34" s="11">
        <f t="shared" ref="B34:M34" si="21">IF(B11="","",(B11/$O$23))</f>
        <v>1.265616849903629E-2</v>
      </c>
      <c r="C34" s="11">
        <f t="shared" si="21"/>
        <v>3.2515567311008443E-2</v>
      </c>
      <c r="D34" s="11">
        <f t="shared" si="21"/>
        <v>3.8641862811426529E-2</v>
      </c>
      <c r="E34" s="11">
        <f t="shared" si="21"/>
        <v>1.6851105077455925E-2</v>
      </c>
      <c r="F34" s="11">
        <f t="shared" si="21"/>
        <v>7.0826000217883919E-2</v>
      </c>
      <c r="G34" s="11">
        <f t="shared" si="21"/>
        <v>1.1160790992782519</v>
      </c>
      <c r="H34" s="11">
        <f t="shared" si="21"/>
        <v>1.0675058683822645</v>
      </c>
      <c r="I34" s="11">
        <f t="shared" si="21"/>
        <v>1.2980923689288439E-2</v>
      </c>
      <c r="J34" s="11">
        <f t="shared" si="21"/>
        <v>9.0483397903482865E-2</v>
      </c>
      <c r="K34" s="11">
        <f t="shared" si="21"/>
        <v>6.0294878713956099E-2</v>
      </c>
      <c r="L34" s="11">
        <f t="shared" si="21"/>
        <v>8.5496536813108662E-2</v>
      </c>
      <c r="M34" s="11">
        <f t="shared" si="21"/>
        <v>6.761303547127491E-2</v>
      </c>
      <c r="N34" s="6"/>
      <c r="O34" s="198">
        <f t="shared" si="9"/>
        <v>5.0632501615641146E-2</v>
      </c>
      <c r="P34" s="11">
        <f t="shared" si="9"/>
        <v>1.2156495745867049</v>
      </c>
      <c r="Q34" s="11">
        <f t="shared" si="9"/>
        <v>6.5589444133509797E-2</v>
      </c>
      <c r="R34" s="11">
        <f t="shared" si="9"/>
        <v>1.3711548231914072</v>
      </c>
      <c r="S34" s="11">
        <f t="shared" si="9"/>
        <v>0.22947425042749842</v>
      </c>
      <c r="T34" s="11">
        <f t="shared" ref="T34:V34" si="22">IF(T11="","",(T11/$O$23))</f>
        <v>1.4111471020639439</v>
      </c>
      <c r="U34" s="11">
        <f t="shared" si="22"/>
        <v>1.4518927134639432</v>
      </c>
      <c r="V34" s="11">
        <f t="shared" si="22"/>
        <v>2.3431414644485491</v>
      </c>
    </row>
    <row r="35" spans="1:22" x14ac:dyDescent="0.3">
      <c r="A35" s="229"/>
      <c r="B35" s="11">
        <f t="shared" ref="B35:M35" si="23">IF(B12="","",(B12/$O$23))</f>
        <v>9.3416449404084168E-2</v>
      </c>
      <c r="C35" s="11">
        <f t="shared" si="23"/>
        <v>6.5264870980920334E-2</v>
      </c>
      <c r="D35" s="11">
        <f t="shared" si="23"/>
        <v>5.778445798691724E-2</v>
      </c>
      <c r="E35" s="11">
        <f t="shared" si="23"/>
        <v>0.15473711034734008</v>
      </c>
      <c r="F35" s="11">
        <f t="shared" si="23"/>
        <v>0.12494070028326351</v>
      </c>
      <c r="G35" s="11">
        <f t="shared" si="23"/>
        <v>1.602948415479333</v>
      </c>
      <c r="H35" s="11">
        <f t="shared" si="23"/>
        <v>2.323465620279797</v>
      </c>
      <c r="I35" s="11" t="str">
        <f t="shared" si="23"/>
        <v/>
      </c>
      <c r="J35" s="11">
        <f t="shared" si="23"/>
        <v>1.8176460620334751E-2</v>
      </c>
      <c r="K35" s="11">
        <f t="shared" si="23"/>
        <v>6.8716669140988312E-2</v>
      </c>
      <c r="L35" s="11">
        <f t="shared" si="23"/>
        <v>3.8161162023463611E-2</v>
      </c>
      <c r="M35" s="11">
        <f t="shared" si="23"/>
        <v>4.6221182935495209E-2</v>
      </c>
      <c r="N35" s="6"/>
      <c r="O35" s="198">
        <f t="shared" si="9"/>
        <v>1.5284078760748878</v>
      </c>
      <c r="P35" s="11">
        <f t="shared" si="9"/>
        <v>1.494761126727878</v>
      </c>
      <c r="Q35" s="11">
        <f t="shared" si="9"/>
        <v>1.216521292274142E-2</v>
      </c>
      <c r="R35" s="11">
        <f t="shared" si="9"/>
        <v>1.5661572689053302</v>
      </c>
      <c r="S35" s="11">
        <f t="shared" si="9"/>
        <v>0.83844344782700853</v>
      </c>
      <c r="T35" s="11">
        <f t="shared" ref="T35:V35" si="24">IF(T12="","",(T12/$O$23))</f>
        <v>1.4251311139539158</v>
      </c>
      <c r="U35" s="11">
        <f t="shared" si="24"/>
        <v>1.4018542007416837</v>
      </c>
      <c r="V35" s="11">
        <f t="shared" si="24"/>
        <v>1.3801374716572101</v>
      </c>
    </row>
    <row r="36" spans="1:22" x14ac:dyDescent="0.3">
      <c r="A36" s="229"/>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98">
        <f t="shared" si="9"/>
        <v>0.60609822074188857</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3">
      <c r="A37" s="229"/>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98">
        <f t="shared" si="9"/>
        <v>0.94426260862443334</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3">
      <c r="A38" s="229"/>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98">
        <f t="shared" ref="O38:V38" si="30">IF(O15="","",(O15/$O$23))</f>
        <v>1.2080490167353217</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3">
      <c r="A39" s="229"/>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98">
        <f t="shared" ref="O39:V39" si="32">IF(O16="","",(O16/$O$23))</f>
        <v>1.5132832768696749</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3">
      <c r="A40" s="229"/>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98">
        <f t="shared" ref="O40:V40" si="34">IF(O17="","",(O17/$O$23))</f>
        <v>1.2440468431752894</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3">
      <c r="A41" s="229"/>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98">
        <f t="shared" ref="O41:V41" si="36">IF(O18="","",(O18/$O$23))</f>
        <v>0.86502816740811506</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3">
      <c r="A42" s="229"/>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98">
        <f t="shared" ref="O42:V42" si="38">IF(O19="","",(O19/$O$23))</f>
        <v>1.7670561572309051</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3">
      <c r="A43" s="229"/>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98">
        <f t="shared" ref="O43:V43" si="40">IF(O20="","",(O20/$O$23))</f>
        <v>0.66623090389838135</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Dutasteride-0,01mg/L</v>
      </c>
      <c r="J45" s="7" t="str">
        <f t="shared" si="41"/>
        <v>Dutasteride-0,1mg/L</v>
      </c>
      <c r="K45" s="7" t="str">
        <f t="shared" ref="K45:M45" si="42">K4</f>
        <v>Dutasteride-0,25mg/L</v>
      </c>
      <c r="L45" s="7" t="str">
        <f t="shared" si="42"/>
        <v>Dutasteride-0,5mg/L</v>
      </c>
      <c r="M45" s="7" t="str">
        <f t="shared" si="42"/>
        <v>Dutasteride-1mg/L</v>
      </c>
      <c r="N45" s="7"/>
      <c r="O45" s="7" t="str">
        <f t="shared" si="41"/>
        <v>Testo -30µg/L</v>
      </c>
      <c r="P45" s="7" t="str">
        <f t="shared" si="41"/>
        <v>Testo 30µg/L + EE2 -64ng/L</v>
      </c>
      <c r="Q45" s="7" t="str">
        <f t="shared" si="41"/>
        <v>Testo 30µg/L + FAD-10µg/L</v>
      </c>
      <c r="R45" s="7" t="str">
        <f t="shared" si="41"/>
        <v>Dutasteride-0.01mg/L + Testostérone</v>
      </c>
      <c r="S45" s="7" t="str">
        <f t="shared" ref="S45:V45" si="43">S4</f>
        <v>Dutasteride-0.1mg/L + Testostérone</v>
      </c>
      <c r="T45" s="7" t="str">
        <f t="shared" si="43"/>
        <v>Dutasteride-0.25mg/L + Testostérone</v>
      </c>
      <c r="U45" s="7" t="str">
        <f t="shared" si="43"/>
        <v>Dutasteride-0.5mg/L + Testostérone</v>
      </c>
      <c r="V45" s="7" t="str">
        <f t="shared" si="43"/>
        <v>Dutasteride-1mg/L + Testostérone</v>
      </c>
    </row>
    <row r="46" spans="1:22" x14ac:dyDescent="0.3">
      <c r="A46" s="8" t="s">
        <v>0</v>
      </c>
      <c r="B46" s="10">
        <f t="shared" ref="B46:H46" si="44">AVERAGE(B28:B43)</f>
        <v>5.6469956439676755E-2</v>
      </c>
      <c r="C46" s="10">
        <f t="shared" si="44"/>
        <v>3.7453695402098024E-2</v>
      </c>
      <c r="D46" s="10">
        <f t="shared" si="44"/>
        <v>6.8092141262574193E-2</v>
      </c>
      <c r="E46" s="10">
        <f t="shared" si="44"/>
        <v>0.16057544502007873</v>
      </c>
      <c r="F46" s="10">
        <f t="shared" si="44"/>
        <v>0.25843390920518122</v>
      </c>
      <c r="G46" s="10">
        <f t="shared" si="44"/>
        <v>1.1201258875388462</v>
      </c>
      <c r="H46" s="10">
        <f t="shared" si="44"/>
        <v>2.2301370874818929</v>
      </c>
      <c r="I46" s="10">
        <f>AVERAGE(I28:I43)</f>
        <v>3.2947776733012829E-2</v>
      </c>
      <c r="J46" s="9">
        <f>AVERAGE(J28:J43)</f>
        <v>8.4299715029899414E-2</v>
      </c>
      <c r="K46" s="9">
        <f t="shared" ref="K46:M46" si="45">AVERAGE(K28:K43)</f>
        <v>3.6218501596572694E-2</v>
      </c>
      <c r="L46" s="9">
        <f t="shared" si="45"/>
        <v>3.7783069798041122E-2</v>
      </c>
      <c r="M46" s="9">
        <f t="shared" si="45"/>
        <v>3.0940175453512138E-2</v>
      </c>
      <c r="N46" s="8" t="s">
        <v>0</v>
      </c>
      <c r="O46" s="10">
        <f t="shared" ref="O46:R46" si="46">AVERAGE(O28:O43)</f>
        <v>0.99999999999999989</v>
      </c>
      <c r="P46" s="10">
        <f t="shared" si="46"/>
        <v>1.4807087726982533</v>
      </c>
      <c r="Q46" s="10">
        <f t="shared" si="46"/>
        <v>3.8343541006778566E-2</v>
      </c>
      <c r="R46" s="10">
        <f t="shared" si="46"/>
        <v>0.95020103367204511</v>
      </c>
      <c r="S46" s="10">
        <f t="shared" ref="S46:V46" si="47">AVERAGE(S28:S43)</f>
        <v>1.0706609906615514</v>
      </c>
      <c r="T46" s="10">
        <f t="shared" si="47"/>
        <v>1.2384361238450461</v>
      </c>
      <c r="U46" s="10">
        <f t="shared" si="47"/>
        <v>1.1065303212663626</v>
      </c>
      <c r="V46" s="10">
        <f t="shared" si="47"/>
        <v>1.4420669727331625</v>
      </c>
    </row>
    <row r="47" spans="1:22" x14ac:dyDescent="0.3">
      <c r="A47" s="8" t="s">
        <v>1</v>
      </c>
      <c r="B47" s="8">
        <f t="shared" ref="B47:J47" si="48">STDEV(B28:B43)</f>
        <v>4.7509724461395231E-2</v>
      </c>
      <c r="C47" s="8">
        <f t="shared" si="48"/>
        <v>1.8451980839100549E-2</v>
      </c>
      <c r="D47" s="8">
        <f t="shared" si="48"/>
        <v>3.7985083528116581E-2</v>
      </c>
      <c r="E47" s="8">
        <f t="shared" si="48"/>
        <v>0.18664746657405518</v>
      </c>
      <c r="F47" s="8">
        <f t="shared" si="48"/>
        <v>0.17085785527763889</v>
      </c>
      <c r="G47" s="8">
        <f t="shared" si="48"/>
        <v>0.44813799486289929</v>
      </c>
      <c r="H47" s="8">
        <f t="shared" si="48"/>
        <v>0.71854393265396355</v>
      </c>
      <c r="I47" s="8">
        <f t="shared" si="48"/>
        <v>1.9925111067456605E-2</v>
      </c>
      <c r="J47" s="8">
        <f t="shared" si="48"/>
        <v>7.1270220993392738E-2</v>
      </c>
      <c r="K47" s="8">
        <f t="shared" ref="K47:M47" si="49">STDEV(K28:K43)</f>
        <v>2.1679946325669455E-2</v>
      </c>
      <c r="L47" s="8">
        <f t="shared" si="49"/>
        <v>3.0824791526014847E-2</v>
      </c>
      <c r="M47" s="8">
        <f t="shared" si="49"/>
        <v>2.2652313998235307E-2</v>
      </c>
      <c r="N47" s="8" t="s">
        <v>1</v>
      </c>
      <c r="O47" s="8">
        <f t="shared" ref="O47:R47" si="50">STDEV(O28:O43)</f>
        <v>0.55368358784647098</v>
      </c>
      <c r="P47" s="8">
        <f t="shared" si="50"/>
        <v>0.22028735486625325</v>
      </c>
      <c r="Q47" s="8">
        <f t="shared" si="50"/>
        <v>2.5417787094910011E-2</v>
      </c>
      <c r="R47" s="8">
        <f t="shared" si="50"/>
        <v>0.61681880810224332</v>
      </c>
      <c r="S47" s="8">
        <f t="shared" ref="S47:V47" si="51">STDEV(S28:S43)</f>
        <v>0.54800314763609914</v>
      </c>
      <c r="T47" s="8">
        <f t="shared" si="51"/>
        <v>0.37752696158068993</v>
      </c>
      <c r="U47" s="8">
        <f t="shared" si="51"/>
        <v>0.53073883879190131</v>
      </c>
      <c r="V47" s="8">
        <f t="shared" si="51"/>
        <v>0.54384363839597194</v>
      </c>
    </row>
    <row r="48" spans="1:22" x14ac:dyDescent="0.3">
      <c r="A48" s="8" t="s">
        <v>2</v>
      </c>
      <c r="B48" s="8">
        <f t="shared" ref="B48:J48" si="52" xml:space="preserve"> B47/SQRT(COUNT(B28:B43))</f>
        <v>1.6797224169478479E-2</v>
      </c>
      <c r="C48" s="8">
        <f t="shared" si="52"/>
        <v>6.5237603888261197E-3</v>
      </c>
      <c r="D48" s="8">
        <f t="shared" si="52"/>
        <v>1.4357012077916061E-2</v>
      </c>
      <c r="E48" s="8">
        <f t="shared" si="52"/>
        <v>6.5989844652901933E-2</v>
      </c>
      <c r="F48" s="8">
        <f t="shared" si="52"/>
        <v>6.0407374042904097E-2</v>
      </c>
      <c r="G48" s="8">
        <f t="shared" si="52"/>
        <v>0.15844070753744913</v>
      </c>
      <c r="H48" s="8">
        <f t="shared" si="52"/>
        <v>0.25404364368003374</v>
      </c>
      <c r="I48" s="8">
        <f t="shared" si="52"/>
        <v>7.5309841042615561E-3</v>
      </c>
      <c r="J48" s="8">
        <f t="shared" si="52"/>
        <v>2.5197828280545922E-2</v>
      </c>
      <c r="K48" s="8">
        <f t="shared" ref="K48:M48" si="53" xml:space="preserve"> K47/SQRT(COUNT(K28:K43))</f>
        <v>7.6650185313206229E-3</v>
      </c>
      <c r="L48" s="8">
        <f t="shared" si="53"/>
        <v>1.0898209558353361E-2</v>
      </c>
      <c r="M48" s="8">
        <f t="shared" si="53"/>
        <v>8.0088024188595692E-3</v>
      </c>
      <c r="N48" s="8" t="s">
        <v>2</v>
      </c>
      <c r="O48" s="8">
        <f t="shared" ref="O48:R48" si="54" xml:space="preserve"> O47/SQRT(COUNT(O28:O43))</f>
        <v>0.13842089696161775</v>
      </c>
      <c r="P48" s="8">
        <f t="shared" si="54"/>
        <v>8.3260793992620027E-2</v>
      </c>
      <c r="Q48" s="8">
        <f t="shared" si="54"/>
        <v>8.9865448087833918E-3</v>
      </c>
      <c r="R48" s="8">
        <f t="shared" si="54"/>
        <v>0.21807838098624999</v>
      </c>
      <c r="S48" s="8">
        <f t="shared" ref="S48:V48" si="55" xml:space="preserve"> S47/SQRT(COUNT(S28:S43))</f>
        <v>0.19374837090252922</v>
      </c>
      <c r="T48" s="8">
        <f t="shared" si="55"/>
        <v>0.13347593730722951</v>
      </c>
      <c r="U48" s="8">
        <f t="shared" si="55"/>
        <v>0.18764451597441362</v>
      </c>
      <c r="V48" s="8">
        <f t="shared" si="55"/>
        <v>0.1922777623074782</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20" t="s">
        <v>44</v>
      </c>
      <c r="B50" s="221"/>
      <c r="C50" s="221"/>
      <c r="D50" s="221"/>
      <c r="E50" s="221"/>
      <c r="F50" s="221"/>
      <c r="G50" s="221"/>
      <c r="H50" s="221"/>
      <c r="I50" s="221"/>
      <c r="J50" s="221"/>
      <c r="K50" s="221"/>
      <c r="L50" s="221"/>
      <c r="M50" s="221"/>
      <c r="N50" s="221"/>
      <c r="O50" s="221"/>
      <c r="P50" s="221"/>
      <c r="Q50" s="221"/>
      <c r="R50" s="221"/>
      <c r="S50" s="221"/>
      <c r="T50" s="221"/>
      <c r="U50" s="221"/>
      <c r="V50" s="221"/>
    </row>
    <row r="51" spans="1:22" customFormat="1" ht="15" thickBot="1" x14ac:dyDescent="0.35"/>
    <row r="52" spans="1:22" x14ac:dyDescent="0.3">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Dutasteride-0,01mg/L</v>
      </c>
      <c r="J52" s="46" t="str">
        <f>J4</f>
        <v>Dutasteride-0,1mg/L</v>
      </c>
      <c r="K52" s="46" t="str">
        <f t="shared" ref="K52:M52" si="57">K4</f>
        <v>Dutasteride-0,25mg/L</v>
      </c>
      <c r="L52" s="46" t="str">
        <f t="shared" si="57"/>
        <v>Dutasteride-0,5mg/L</v>
      </c>
      <c r="M52" s="46" t="str">
        <f t="shared" si="57"/>
        <v>Dutasteride-1mg/L</v>
      </c>
      <c r="N52" s="47"/>
      <c r="O52" s="46" t="str">
        <f>O27</f>
        <v>Testo -30µg/L</v>
      </c>
      <c r="P52" s="46" t="str">
        <f>P27</f>
        <v>Testo 30µg/L + EE2 -64ng/L</v>
      </c>
      <c r="Q52" s="46" t="str">
        <f>Q27</f>
        <v>Testo 30µg/L + FAD-10µg/L</v>
      </c>
      <c r="R52" s="46" t="str">
        <f>R27</f>
        <v>Dutasteride-0.01mg/L + Testostérone</v>
      </c>
      <c r="S52" s="46" t="str">
        <f t="shared" ref="S52:V52" si="58">S27</f>
        <v>Dutasteride-0.1mg/L + Testostérone</v>
      </c>
      <c r="T52" s="46" t="str">
        <f t="shared" si="58"/>
        <v>Dutasteride-0.25mg/L + Testostérone</v>
      </c>
      <c r="U52" s="46" t="str">
        <f t="shared" si="58"/>
        <v>Dutasteride-0.5mg/L + Testostérone</v>
      </c>
      <c r="V52" s="46" t="str">
        <f t="shared" si="58"/>
        <v>Dutasteride-1mg/L + Testostérone</v>
      </c>
    </row>
    <row r="53" spans="1:22" s="3" customFormat="1" x14ac:dyDescent="0.3">
      <c r="A53" s="61" t="s">
        <v>32</v>
      </c>
      <c r="B53" s="141">
        <f t="shared" ref="B53" si="59">B46</f>
        <v>5.6469956439676755E-2</v>
      </c>
      <c r="C53" s="141">
        <f t="shared" ref="C53:V53" si="60">C46</f>
        <v>3.7453695402098024E-2</v>
      </c>
      <c r="D53" s="141">
        <f t="shared" si="60"/>
        <v>6.8092141262574193E-2</v>
      </c>
      <c r="E53" s="141">
        <f t="shared" si="60"/>
        <v>0.16057544502007873</v>
      </c>
      <c r="F53" s="141">
        <f t="shared" si="60"/>
        <v>0.25843390920518122</v>
      </c>
      <c r="G53" s="141">
        <f t="shared" si="60"/>
        <v>1.1201258875388462</v>
      </c>
      <c r="H53" s="141">
        <f t="shared" si="60"/>
        <v>2.2301370874818929</v>
      </c>
      <c r="I53" s="141">
        <f t="shared" si="60"/>
        <v>3.2947776733012829E-2</v>
      </c>
      <c r="J53" s="141">
        <f t="shared" si="60"/>
        <v>8.4299715029899414E-2</v>
      </c>
      <c r="K53" s="141">
        <f t="shared" si="60"/>
        <v>3.6218501596572694E-2</v>
      </c>
      <c r="L53" s="141">
        <f t="shared" si="60"/>
        <v>3.7783069798041122E-2</v>
      </c>
      <c r="M53" s="141">
        <f t="shared" si="60"/>
        <v>3.0940175453512138E-2</v>
      </c>
      <c r="N53" s="141"/>
      <c r="O53" s="141">
        <f t="shared" si="60"/>
        <v>0.99999999999999989</v>
      </c>
      <c r="P53" s="141">
        <f t="shared" si="60"/>
        <v>1.4807087726982533</v>
      </c>
      <c r="Q53" s="141">
        <f t="shared" si="60"/>
        <v>3.8343541006778566E-2</v>
      </c>
      <c r="R53" s="141">
        <f t="shared" si="60"/>
        <v>0.95020103367204511</v>
      </c>
      <c r="S53" s="141">
        <f t="shared" si="60"/>
        <v>1.0706609906615514</v>
      </c>
      <c r="T53" s="141">
        <f t="shared" si="60"/>
        <v>1.2384361238450461</v>
      </c>
      <c r="U53" s="141">
        <f t="shared" si="60"/>
        <v>1.1065303212663626</v>
      </c>
      <c r="V53" s="141">
        <f t="shared" si="60"/>
        <v>1.4420669727331625</v>
      </c>
    </row>
    <row r="54" spans="1:22" s="3" customFormat="1" x14ac:dyDescent="0.3">
      <c r="A54" s="61" t="s">
        <v>2</v>
      </c>
      <c r="B54" s="141">
        <f t="shared" ref="B54" si="61">B48</f>
        <v>1.6797224169478479E-2</v>
      </c>
      <c r="C54" s="141">
        <f t="shared" ref="C54:V54" si="62">C48</f>
        <v>6.5237603888261197E-3</v>
      </c>
      <c r="D54" s="141">
        <f t="shared" si="62"/>
        <v>1.4357012077916061E-2</v>
      </c>
      <c r="E54" s="141">
        <f t="shared" si="62"/>
        <v>6.5989844652901933E-2</v>
      </c>
      <c r="F54" s="141">
        <f t="shared" si="62"/>
        <v>6.0407374042904097E-2</v>
      </c>
      <c r="G54" s="141">
        <f t="shared" si="62"/>
        <v>0.15844070753744913</v>
      </c>
      <c r="H54" s="141">
        <f t="shared" si="62"/>
        <v>0.25404364368003374</v>
      </c>
      <c r="I54" s="141">
        <f t="shared" si="62"/>
        <v>7.5309841042615561E-3</v>
      </c>
      <c r="J54" s="141">
        <f t="shared" si="62"/>
        <v>2.5197828280545922E-2</v>
      </c>
      <c r="K54" s="141">
        <f t="shared" si="62"/>
        <v>7.6650185313206229E-3</v>
      </c>
      <c r="L54" s="141">
        <f t="shared" si="62"/>
        <v>1.0898209558353361E-2</v>
      </c>
      <c r="M54" s="141">
        <f t="shared" si="62"/>
        <v>8.0088024188595692E-3</v>
      </c>
      <c r="N54" s="141"/>
      <c r="O54" s="141">
        <f t="shared" si="62"/>
        <v>0.13842089696161775</v>
      </c>
      <c r="P54" s="141">
        <f t="shared" si="62"/>
        <v>8.3260793992620027E-2</v>
      </c>
      <c r="Q54" s="141">
        <f t="shared" si="62"/>
        <v>8.9865448087833918E-3</v>
      </c>
      <c r="R54" s="141">
        <f t="shared" si="62"/>
        <v>0.21807838098624999</v>
      </c>
      <c r="S54" s="141">
        <f t="shared" si="62"/>
        <v>0.19374837090252922</v>
      </c>
      <c r="T54" s="141">
        <f t="shared" si="62"/>
        <v>0.13347593730722951</v>
      </c>
      <c r="U54" s="141">
        <f t="shared" si="62"/>
        <v>0.18764451597441362</v>
      </c>
      <c r="V54" s="141">
        <f t="shared" si="62"/>
        <v>0.1922777623074782</v>
      </c>
    </row>
    <row r="55" spans="1:22" s="3" customFormat="1" x14ac:dyDescent="0.3">
      <c r="A55" s="61" t="s">
        <v>79</v>
      </c>
      <c r="B55" s="141">
        <f>(B53*100/$B53)-100</f>
        <v>0</v>
      </c>
      <c r="C55" s="141">
        <f t="shared" ref="C55:M55" si="63">(C53*100/$B53)-100</f>
        <v>-33.675005678271745</v>
      </c>
      <c r="D55" s="141">
        <f t="shared" si="63"/>
        <v>20.581182553793326</v>
      </c>
      <c r="E55" s="141">
        <f t="shared" si="63"/>
        <v>184.35553193955656</v>
      </c>
      <c r="F55" s="141">
        <f t="shared" si="63"/>
        <v>357.64850107729347</v>
      </c>
      <c r="G55" s="141">
        <f t="shared" si="63"/>
        <v>1883.5784515530929</v>
      </c>
      <c r="H55" s="141">
        <f t="shared" si="63"/>
        <v>3849.2452767591662</v>
      </c>
      <c r="I55" s="141">
        <f t="shared" si="63"/>
        <v>-41.654325927789877</v>
      </c>
      <c r="J55" s="141">
        <f t="shared" si="63"/>
        <v>49.282415544186591</v>
      </c>
      <c r="K55" s="141">
        <f t="shared" si="63"/>
        <v>-35.862352514362911</v>
      </c>
      <c r="L55" s="141">
        <f t="shared" si="63"/>
        <v>-33.09173199309555</v>
      </c>
      <c r="M55" s="141">
        <f t="shared" si="63"/>
        <v>-45.209492968949689</v>
      </c>
      <c r="N55" s="141"/>
      <c r="O55" s="141">
        <f>(O53*100/$O53)-100</f>
        <v>0</v>
      </c>
      <c r="P55" s="141">
        <f t="shared" ref="P55:V55" si="64">(P53*100/$O53)-100</f>
        <v>48.07087726982536</v>
      </c>
      <c r="Q55" s="141">
        <f t="shared" si="64"/>
        <v>-96.165645899322143</v>
      </c>
      <c r="R55" s="141">
        <f t="shared" si="64"/>
        <v>-4.979896632795473</v>
      </c>
      <c r="S55" s="141">
        <f t="shared" si="64"/>
        <v>7.0660990661551608</v>
      </c>
      <c r="T55" s="141">
        <f t="shared" si="64"/>
        <v>23.843612384504624</v>
      </c>
      <c r="U55" s="141">
        <f t="shared" si="64"/>
        <v>10.653032126636276</v>
      </c>
      <c r="V55" s="141">
        <f t="shared" si="64"/>
        <v>44.20669727331628</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65">IF(C56&gt;0.05,"Oui","Non")</f>
        <v>#NAME?</v>
      </c>
      <c r="D57" s="141" t="e">
        <f t="shared" ca="1" si="65"/>
        <v>#NAME?</v>
      </c>
      <c r="E57" s="141" t="e">
        <f t="shared" ca="1" si="65"/>
        <v>#NAME?</v>
      </c>
      <c r="F57" s="141" t="e">
        <f t="shared" ca="1" si="65"/>
        <v>#NAME?</v>
      </c>
      <c r="G57" s="141" t="e">
        <f t="shared" ca="1" si="65"/>
        <v>#NAME?</v>
      </c>
      <c r="H57" s="141" t="e">
        <f t="shared" ca="1" si="65"/>
        <v>#NAME?</v>
      </c>
      <c r="I57" s="141" t="e">
        <f t="shared" ca="1" si="65"/>
        <v>#NAME?</v>
      </c>
      <c r="J57" s="141" t="e">
        <f t="shared" ca="1" si="65"/>
        <v>#NAME?</v>
      </c>
      <c r="K57" s="141" t="e">
        <f t="shared" ca="1" si="65"/>
        <v>#NAME?</v>
      </c>
      <c r="L57" s="141" t="e">
        <f t="shared" ca="1" si="65"/>
        <v>#NAME?</v>
      </c>
      <c r="M57" s="141" t="e">
        <f t="shared" ca="1" si="65"/>
        <v>#NAME?</v>
      </c>
      <c r="N57" s="141"/>
      <c r="O57" s="141" t="e">
        <f t="shared" ca="1" si="65"/>
        <v>#NAME?</v>
      </c>
      <c r="P57" s="141" t="e">
        <f t="shared" ca="1" si="65"/>
        <v>#NAME?</v>
      </c>
      <c r="Q57" s="141" t="e">
        <f t="shared" ca="1" si="65"/>
        <v>#NAME?</v>
      </c>
      <c r="R57" s="141" t="e">
        <f t="shared" ca="1" si="65"/>
        <v>#NAME?</v>
      </c>
      <c r="S57" s="141" t="e">
        <f t="shared" ca="1" si="65"/>
        <v>#NAME?</v>
      </c>
      <c r="T57" s="141" t="e">
        <f t="shared" ca="1" si="65"/>
        <v>#NAME?</v>
      </c>
      <c r="U57" s="141" t="e">
        <f t="shared" ca="1" si="65"/>
        <v>#NAME?</v>
      </c>
      <c r="V57" s="141" t="e">
        <f t="shared" ca="1" si="65"/>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c r="D59" s="150"/>
      <c r="E59" s="150"/>
      <c r="F59" s="150"/>
      <c r="G59" s="150"/>
      <c r="H59" s="150"/>
      <c r="I59" s="150"/>
      <c r="J59" s="150"/>
      <c r="K59" s="150"/>
      <c r="L59" s="150"/>
      <c r="M59" s="150"/>
      <c r="N59" s="150"/>
      <c r="O59" s="150"/>
      <c r="P59" s="150"/>
      <c r="Q59" s="150"/>
      <c r="R59" s="150"/>
      <c r="S59" s="150"/>
      <c r="T59" s="150"/>
      <c r="U59" s="150"/>
      <c r="V59" s="150"/>
    </row>
    <row r="60" spans="1:22" s="3" customFormat="1" ht="15.6" x14ac:dyDescent="0.3">
      <c r="A60" s="61" t="s">
        <v>83</v>
      </c>
      <c r="B60" s="151"/>
      <c r="C60" s="197"/>
      <c r="D60" s="197"/>
      <c r="E60" s="197"/>
      <c r="F60" s="197"/>
      <c r="G60" s="197"/>
      <c r="H60" s="197"/>
      <c r="I60" s="197"/>
      <c r="J60" s="197"/>
      <c r="K60" s="197"/>
      <c r="L60" s="197"/>
      <c r="M60" s="197"/>
      <c r="N60" s="151"/>
      <c r="O60" s="197"/>
      <c r="P60" s="197"/>
      <c r="Q60" s="197"/>
      <c r="R60" s="197"/>
      <c r="S60" s="197"/>
      <c r="T60" s="197"/>
      <c r="U60" s="197"/>
      <c r="V60" s="197"/>
    </row>
    <row r="61" spans="1:22" s="3" customFormat="1" ht="15" thickBot="1" x14ac:dyDescent="0.35">
      <c r="A61" s="62" t="s">
        <v>84</v>
      </c>
      <c r="B61" s="142"/>
      <c r="C61" s="142"/>
      <c r="D61" s="142"/>
      <c r="E61" s="142"/>
      <c r="F61" s="142"/>
      <c r="G61" s="142"/>
      <c r="H61" s="142"/>
      <c r="I61" s="142"/>
      <c r="J61" s="142"/>
      <c r="K61" s="142"/>
      <c r="L61" s="142"/>
      <c r="M61" s="142"/>
      <c r="N61" s="142"/>
      <c r="O61" s="142"/>
      <c r="P61" s="142"/>
      <c r="Q61" s="142"/>
      <c r="R61" s="142"/>
      <c r="S61" s="142"/>
      <c r="T61" s="142"/>
      <c r="U61" s="142"/>
      <c r="V61" s="142"/>
    </row>
    <row r="63" spans="1:22" x14ac:dyDescent="0.3">
      <c r="A63" s="2" t="s">
        <v>39</v>
      </c>
    </row>
    <row r="64" spans="1:22" x14ac:dyDescent="0.3">
      <c r="A64" s="1" t="s">
        <v>23</v>
      </c>
      <c r="B64" s="1">
        <f>B46+(3*B47)</f>
        <v>0.19899912982386245</v>
      </c>
    </row>
    <row r="65" spans="1:22" x14ac:dyDescent="0.3">
      <c r="A65" s="1" t="s">
        <v>24</v>
      </c>
      <c r="B65" s="1">
        <f>B46+(10*B47)</f>
        <v>0.53156720105362909</v>
      </c>
    </row>
    <row r="66" spans="1:22" ht="15" thickBot="1" x14ac:dyDescent="0.35"/>
    <row r="67" spans="1:22" ht="26.4" thickBot="1" x14ac:dyDescent="0.55000000000000004">
      <c r="A67" s="220" t="s">
        <v>45</v>
      </c>
      <c r="B67" s="221"/>
      <c r="C67" s="221"/>
      <c r="D67" s="221"/>
      <c r="E67" s="221"/>
      <c r="F67" s="221"/>
      <c r="G67" s="221"/>
      <c r="H67" s="221"/>
      <c r="I67" s="221"/>
      <c r="J67" s="221"/>
      <c r="K67" s="221"/>
      <c r="L67" s="221"/>
      <c r="M67" s="221"/>
      <c r="N67" s="221"/>
      <c r="O67" s="221"/>
      <c r="P67" s="221"/>
      <c r="Q67" s="221"/>
      <c r="R67" s="221"/>
      <c r="S67" s="221"/>
      <c r="T67" s="221"/>
      <c r="U67" s="221"/>
      <c r="V67" s="221"/>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I69" s="197"/>
      <c r="N69" s="12"/>
      <c r="O69" s="12"/>
      <c r="P69" s="12"/>
      <c r="Q69" s="12"/>
      <c r="R69" s="12"/>
      <c r="S69" s="12"/>
      <c r="T69" s="12"/>
      <c r="U69" s="12"/>
      <c r="V69" s="12"/>
    </row>
    <row r="70" spans="1:22" ht="16.8" x14ac:dyDescent="0.3">
      <c r="A70" s="12"/>
      <c r="B70" s="12"/>
      <c r="C70" s="12"/>
      <c r="D70" s="197"/>
      <c r="E70" s="12"/>
      <c r="F70" s="12"/>
      <c r="I70" s="197"/>
      <c r="N70" s="12"/>
      <c r="O70" s="12"/>
      <c r="P70" s="12"/>
      <c r="Q70" s="12"/>
      <c r="R70" s="197"/>
      <c r="S70" s="12"/>
      <c r="T70" s="12"/>
      <c r="U70" s="12"/>
      <c r="V70" s="12"/>
    </row>
    <row r="71" spans="1:22" ht="16.8" x14ac:dyDescent="0.3">
      <c r="A71" s="12"/>
      <c r="B71" s="12"/>
      <c r="C71" s="12"/>
      <c r="D71" s="197"/>
      <c r="E71" s="12"/>
      <c r="F71" s="12"/>
      <c r="I71" s="197"/>
      <c r="N71" s="12"/>
      <c r="O71" s="12"/>
      <c r="P71" s="12"/>
      <c r="Q71" s="12"/>
      <c r="R71" s="197"/>
      <c r="S71" s="12"/>
      <c r="T71" s="12"/>
      <c r="U71" s="12"/>
      <c r="V71" s="12"/>
    </row>
    <row r="72" spans="1:22" ht="16.8" x14ac:dyDescent="0.3">
      <c r="A72" s="12"/>
      <c r="B72" s="12"/>
      <c r="C72" s="12"/>
      <c r="D72" s="197"/>
      <c r="E72" s="12"/>
      <c r="F72" s="12"/>
      <c r="I72" s="197"/>
      <c r="N72" s="12"/>
      <c r="O72" s="12"/>
      <c r="P72" s="12"/>
      <c r="Q72" s="12"/>
      <c r="R72" s="197"/>
      <c r="S72" s="12"/>
      <c r="T72" s="12"/>
      <c r="U72" s="12"/>
      <c r="V72" s="12"/>
    </row>
    <row r="73" spans="1:22" ht="16.8" x14ac:dyDescent="0.3">
      <c r="A73" s="12"/>
      <c r="B73" s="12"/>
      <c r="C73" s="12"/>
      <c r="D73" s="197"/>
      <c r="E73" s="12"/>
      <c r="F73" s="12"/>
      <c r="I73" s="197"/>
      <c r="N73" s="12"/>
      <c r="O73" s="12"/>
      <c r="P73" s="12"/>
      <c r="Q73" s="12"/>
      <c r="R73" s="197"/>
      <c r="S73" s="12"/>
      <c r="T73" s="12"/>
      <c r="U73" s="12"/>
      <c r="V73" s="12"/>
    </row>
    <row r="74" spans="1:22" ht="16.8" x14ac:dyDescent="0.3">
      <c r="A74" s="12"/>
      <c r="B74" s="12"/>
      <c r="C74" s="12"/>
      <c r="D74" s="197"/>
      <c r="E74" s="12"/>
      <c r="F74" s="12"/>
      <c r="N74" s="12"/>
      <c r="O74" s="12"/>
      <c r="P74" s="12"/>
      <c r="Q74" s="12"/>
      <c r="R74" s="197"/>
      <c r="S74" s="12"/>
      <c r="T74" s="12"/>
      <c r="U74" s="12"/>
      <c r="V74" s="12"/>
    </row>
    <row r="75" spans="1:22" ht="15.6" x14ac:dyDescent="0.3">
      <c r="D75" s="197"/>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D523" zoomScale="80" zoomScaleNormal="80" workbookViewId="0">
      <selection activeCell="I530" sqref="I530:I532"/>
    </sheetView>
  </sheetViews>
  <sheetFormatPr defaultColWidth="11.44140625" defaultRowHeight="14.4" x14ac:dyDescent="0.3"/>
  <cols>
    <col min="1" max="2" width="15" style="1" customWidth="1"/>
    <col min="3" max="3" width="86.109375" style="1" bestFit="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27" width="11.44140625" style="1"/>
    <col min="28" max="28" width="27.44140625" style="1" bestFit="1" customWidth="1"/>
    <col min="29" max="29" width="26.33203125" style="1" bestFit="1" customWidth="1"/>
    <col min="30" max="30" width="27.88671875" style="1" bestFit="1" customWidth="1"/>
    <col min="31" max="31" width="26.88671875" style="1" bestFit="1" customWidth="1"/>
    <col min="32" max="32" width="24.77734375" style="1" bestFit="1" customWidth="1"/>
    <col min="33" max="16384" width="11.44140625" style="1"/>
  </cols>
  <sheetData>
    <row r="1" spans="1:144" x14ac:dyDescent="0.3">
      <c r="A1" s="1" t="s">
        <v>107</v>
      </c>
      <c r="B1" s="1" t="s">
        <v>108</v>
      </c>
      <c r="C1" s="1" t="s">
        <v>109</v>
      </c>
      <c r="D1" s="1" t="s">
        <v>110</v>
      </c>
      <c r="E1" s="1" t="s">
        <v>111</v>
      </c>
      <c r="F1" s="1" t="s">
        <v>112</v>
      </c>
      <c r="G1" s="1" t="s">
        <v>113</v>
      </c>
      <c r="H1" s="1" t="s">
        <v>117</v>
      </c>
      <c r="I1" s="1" t="s">
        <v>118</v>
      </c>
      <c r="J1" s="1" t="s">
        <v>390</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01 Evian + 0.2% DMSO</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1722</v>
      </c>
      <c r="D2" s="1" t="s">
        <v>1723</v>
      </c>
      <c r="E2" s="1" t="s">
        <v>1724</v>
      </c>
      <c r="F2" s="1" t="s">
        <v>112</v>
      </c>
      <c r="G2" s="1">
        <v>317484</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01 Evian + 0.2% DMSO</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1725</v>
      </c>
      <c r="D3" s="1" t="s">
        <v>665</v>
      </c>
      <c r="E3" s="1" t="s">
        <v>1726</v>
      </c>
      <c r="F3" s="1" t="s">
        <v>112</v>
      </c>
      <c r="G3" s="1">
        <v>560452</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01 Evian + 0.2% DMSO</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1727</v>
      </c>
      <c r="D4" s="1" t="s">
        <v>1076</v>
      </c>
      <c r="E4" s="1" t="s">
        <v>1728</v>
      </c>
      <c r="F4" s="1" t="s">
        <v>112</v>
      </c>
      <c r="G4" s="1">
        <v>602263</v>
      </c>
      <c r="K4" s="118" t="s">
        <v>100</v>
      </c>
      <c r="L4" s="1" t="s">
        <v>391</v>
      </c>
      <c r="M4" s="1" t="s">
        <v>392</v>
      </c>
      <c r="N4" s="1" t="s">
        <v>393</v>
      </c>
      <c r="O4" s="1" t="s">
        <v>394</v>
      </c>
      <c r="P4" s="1" t="s">
        <v>395</v>
      </c>
      <c r="Q4" s="1" t="s">
        <v>396</v>
      </c>
      <c r="R4" s="1" t="s">
        <v>397</v>
      </c>
      <c r="S4" s="1" t="s">
        <v>398</v>
      </c>
      <c r="T4" s="1" t="s">
        <v>399</v>
      </c>
      <c r="U4" s="1" t="s">
        <v>400</v>
      </c>
      <c r="V4" s="1" t="s">
        <v>401</v>
      </c>
      <c r="W4" s="1" t="s">
        <v>402</v>
      </c>
      <c r="X4" s="1" t="s">
        <v>403</v>
      </c>
      <c r="Y4" s="1" t="s">
        <v>404</v>
      </c>
      <c r="Z4" s="1" t="s">
        <v>405</v>
      </c>
      <c r="AA4" s="1" t="s">
        <v>406</v>
      </c>
      <c r="AB4" s="1" t="s">
        <v>407</v>
      </c>
      <c r="AC4" s="1" t="s">
        <v>408</v>
      </c>
      <c r="AD4" s="1" t="s">
        <v>409</v>
      </c>
      <c r="AE4" s="1" t="s">
        <v>410</v>
      </c>
      <c r="AF4" s="1" t="s">
        <v>411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01 Evian + 0.2% DMSO</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1729</v>
      </c>
      <c r="D5" s="1" t="s">
        <v>189</v>
      </c>
      <c r="E5" s="1" t="s">
        <v>1730</v>
      </c>
      <c r="F5" s="1" t="s">
        <v>112</v>
      </c>
      <c r="G5" s="1">
        <v>74472</v>
      </c>
      <c r="K5" s="145" t="s">
        <v>164</v>
      </c>
      <c r="L5" s="44">
        <v>493399.66666666669</v>
      </c>
      <c r="M5" s="44">
        <v>108748.33333333333</v>
      </c>
      <c r="N5" s="44">
        <v>69778</v>
      </c>
      <c r="O5" s="44">
        <v>139664.33333333334</v>
      </c>
      <c r="P5" s="44">
        <v>1430774</v>
      </c>
      <c r="Q5" s="44">
        <v>2473926.3333333335</v>
      </c>
      <c r="R5" s="44">
        <v>1261520.3333333333</v>
      </c>
      <c r="S5" s="44">
        <v>69842.666666666672</v>
      </c>
      <c r="T5" s="44">
        <v>433888.33333333331</v>
      </c>
      <c r="U5" s="44">
        <v>16669.666666666668</v>
      </c>
      <c r="V5" s="44">
        <v>417320</v>
      </c>
      <c r="W5" s="44">
        <v>401515.66666666669</v>
      </c>
      <c r="X5" s="44">
        <v>28840</v>
      </c>
      <c r="Y5" s="44">
        <v>2654017</v>
      </c>
      <c r="Z5" s="44">
        <v>4977110.666666667</v>
      </c>
      <c r="AA5" s="44">
        <v>101487.5</v>
      </c>
      <c r="AB5" s="44">
        <v>3977333.6666666665</v>
      </c>
      <c r="AC5" s="44">
        <v>18789.333333333332</v>
      </c>
      <c r="AD5" s="44">
        <v>108906.33333333333</v>
      </c>
      <c r="AE5" s="44">
        <v>170703</v>
      </c>
      <c r="AF5" s="44">
        <v>3573071.3333333335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01 Evian + 0.2% DMSO</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1731</v>
      </c>
      <c r="D6" s="1" t="s">
        <v>188</v>
      </c>
      <c r="E6" s="1" t="s">
        <v>1732</v>
      </c>
      <c r="F6" s="1" t="s">
        <v>112</v>
      </c>
      <c r="G6" s="1">
        <v>35062</v>
      </c>
      <c r="K6" s="145" t="s">
        <v>412</v>
      </c>
      <c r="L6" s="44">
        <v>96779.333333333328</v>
      </c>
      <c r="M6" s="44">
        <v>430766.66666666669</v>
      </c>
      <c r="N6" s="44">
        <v>3212652.3333333335</v>
      </c>
      <c r="O6" s="44">
        <v>181792</v>
      </c>
      <c r="P6" s="44">
        <v>965565.66666666663</v>
      </c>
      <c r="Q6" s="44">
        <v>1998819</v>
      </c>
      <c r="R6" s="44">
        <v>1291571.6666666667</v>
      </c>
      <c r="S6" s="44">
        <v>45487.5</v>
      </c>
      <c r="T6" s="44">
        <v>699719.66666666663</v>
      </c>
      <c r="U6" s="44">
        <v>74911.333333333328</v>
      </c>
      <c r="V6" s="44">
        <v>86916.333333333328</v>
      </c>
      <c r="W6" s="44">
        <v>442043</v>
      </c>
      <c r="X6" s="44">
        <v>1958406.6666666667</v>
      </c>
      <c r="Y6" s="44">
        <v>651622</v>
      </c>
      <c r="Z6" s="44">
        <v>2552774.3333333335</v>
      </c>
      <c r="AA6" s="44">
        <v>403390.33333333331</v>
      </c>
      <c r="AB6" s="44">
        <v>2158497.3333333335</v>
      </c>
      <c r="AC6" s="44">
        <v>1042301.5</v>
      </c>
      <c r="AD6" s="44">
        <v>1037066.6666666666</v>
      </c>
      <c r="AE6" s="44">
        <v>2150660.3333333335</v>
      </c>
      <c r="AF6" s="44"/>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01 Evian + 0.2% DMSO</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1733</v>
      </c>
      <c r="D7" s="1" t="s">
        <v>999</v>
      </c>
      <c r="E7" s="1" t="s">
        <v>1734</v>
      </c>
      <c r="F7" s="1" t="s">
        <v>112</v>
      </c>
      <c r="G7" s="1">
        <v>180804</v>
      </c>
      <c r="K7" s="145" t="s">
        <v>413</v>
      </c>
      <c r="L7" s="44">
        <v>268708</v>
      </c>
      <c r="M7" s="44">
        <v>323395.66666666669</v>
      </c>
      <c r="N7" s="44">
        <v>84897.333333333328</v>
      </c>
      <c r="O7" s="44">
        <v>215613.66666666666</v>
      </c>
      <c r="P7" s="44">
        <v>1386678</v>
      </c>
      <c r="Q7" s="44">
        <v>4554996.333333333</v>
      </c>
      <c r="R7" s="44">
        <v>3278432</v>
      </c>
      <c r="S7" s="44">
        <v>525577.66666666663</v>
      </c>
      <c r="T7" s="44">
        <v>845967</v>
      </c>
      <c r="U7" s="44">
        <v>101307.33333333333</v>
      </c>
      <c r="V7" s="44">
        <v>149779.66666666666</v>
      </c>
      <c r="W7" s="44">
        <v>107940.33333333333</v>
      </c>
      <c r="X7" s="44">
        <v>1398091.3333333333</v>
      </c>
      <c r="Y7" s="44">
        <v>121430.66666666667</v>
      </c>
      <c r="Z7" s="44">
        <v>1472441</v>
      </c>
      <c r="AA7" s="44">
        <v>21208</v>
      </c>
      <c r="AB7" s="44">
        <v>1129888.3333333333</v>
      </c>
      <c r="AC7" s="44">
        <v>29907</v>
      </c>
      <c r="AD7" s="44">
        <v>40614</v>
      </c>
      <c r="AE7" s="44">
        <v>1334391.3333333333</v>
      </c>
      <c r="AF7" s="44">
        <v>1711314</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01 Evian + 0.2% DMSO</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1735</v>
      </c>
      <c r="D8" s="1" t="s">
        <v>508</v>
      </c>
      <c r="E8" s="1" t="s">
        <v>1736</v>
      </c>
      <c r="F8" s="1" t="s">
        <v>112</v>
      </c>
      <c r="G8" s="1">
        <v>288435</v>
      </c>
      <c r="K8" s="145" t="s">
        <v>414</v>
      </c>
      <c r="L8" s="44">
        <v>83715</v>
      </c>
      <c r="M8" s="44">
        <v>81206</v>
      </c>
      <c r="N8" s="44">
        <v>164740.33333333334</v>
      </c>
      <c r="O8" s="44">
        <v>696043</v>
      </c>
      <c r="P8" s="44">
        <v>1431466.3333333333</v>
      </c>
      <c r="Q8" s="44">
        <v>1029503.6666666666</v>
      </c>
      <c r="R8" s="44">
        <v>5052801</v>
      </c>
      <c r="S8" s="44">
        <v>127248.66666666667</v>
      </c>
      <c r="T8" s="44">
        <v>231324.66666666666</v>
      </c>
      <c r="U8" s="44">
        <v>458070.66666666669</v>
      </c>
      <c r="V8" s="44">
        <v>89951.666666666672</v>
      </c>
      <c r="W8" s="44">
        <v>137724.66666666666</v>
      </c>
      <c r="X8" s="44">
        <v>3219177.3333333335</v>
      </c>
      <c r="Y8" s="44">
        <v>219897</v>
      </c>
      <c r="Z8" s="44">
        <v>3361098</v>
      </c>
      <c r="AA8" s="44">
        <v>137501.33333333334</v>
      </c>
      <c r="AB8" s="44">
        <v>25537.666666666668</v>
      </c>
      <c r="AC8" s="44">
        <v>1963835.6666666667</v>
      </c>
      <c r="AD8" s="44">
        <v>986589.66666666663</v>
      </c>
      <c r="AE8" s="44">
        <v>586812</v>
      </c>
      <c r="AF8" s="44">
        <v>1064591</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01 Evian + 0.2% DMSO</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1737</v>
      </c>
      <c r="D9" s="1" t="s">
        <v>172</v>
      </c>
      <c r="E9" s="1" t="s">
        <v>1738</v>
      </c>
      <c r="F9" s="1" t="s">
        <v>112</v>
      </c>
      <c r="G9" s="1">
        <v>130298</v>
      </c>
      <c r="K9" s="145" t="s">
        <v>415</v>
      </c>
      <c r="L9" s="44">
        <v>30613.333333333332</v>
      </c>
      <c r="M9" s="44">
        <v>10649.333333333334</v>
      </c>
      <c r="N9" s="44">
        <v>42640</v>
      </c>
      <c r="O9" s="44">
        <v>699929</v>
      </c>
      <c r="P9" s="44">
        <v>225462.66666666666</v>
      </c>
      <c r="Q9" s="44">
        <v>1024110.5</v>
      </c>
      <c r="R9" s="44">
        <v>4650348.333333333</v>
      </c>
      <c r="S9" s="44">
        <v>129577.33333333333</v>
      </c>
      <c r="T9" s="44">
        <v>210941.66666666666</v>
      </c>
      <c r="U9" s="44">
        <v>32098.666666666668</v>
      </c>
      <c r="V9" s="44">
        <v>246516</v>
      </c>
      <c r="W9" s="44">
        <v>415337</v>
      </c>
      <c r="X9" s="44">
        <v>1460810.6666666667</v>
      </c>
      <c r="Y9" s="44">
        <v>3156248.6666666665</v>
      </c>
      <c r="Z9" s="44">
        <v>334073.66666666669</v>
      </c>
      <c r="AA9" s="44">
        <v>205224.33333333334</v>
      </c>
      <c r="AB9" s="44">
        <v>2961269.6666666665</v>
      </c>
      <c r="AC9" s="44">
        <v>500872.5</v>
      </c>
      <c r="AD9" s="44">
        <v>338659</v>
      </c>
      <c r="AE9" s="44">
        <v>73657</v>
      </c>
      <c r="AF9" s="44">
        <v>417291.33333333331</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01 Evian + 0.2% DMSO</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1739</v>
      </c>
      <c r="D10" s="1" t="s">
        <v>376</v>
      </c>
      <c r="E10" s="1" t="s">
        <v>1740</v>
      </c>
      <c r="F10" s="1" t="s">
        <v>112</v>
      </c>
      <c r="G10" s="1">
        <v>387391</v>
      </c>
      <c r="K10" s="145" t="s">
        <v>416</v>
      </c>
      <c r="L10" s="44">
        <v>22069.666666666668</v>
      </c>
      <c r="M10" s="44">
        <v>315032</v>
      </c>
      <c r="N10" s="44">
        <v>82438.666666666672</v>
      </c>
      <c r="O10" s="44">
        <v>510443.66666666669</v>
      </c>
      <c r="P10" s="44">
        <v>1320851</v>
      </c>
      <c r="Q10" s="44">
        <v>947267</v>
      </c>
      <c r="R10" s="44">
        <v>5272373.333333333</v>
      </c>
      <c r="S10" s="44">
        <v>327065.66666666669</v>
      </c>
      <c r="T10" s="44">
        <v>215123.66666666666</v>
      </c>
      <c r="U10" s="44">
        <v>20180.666666666668</v>
      </c>
      <c r="V10" s="44">
        <v>268737</v>
      </c>
      <c r="W10" s="44">
        <v>18306</v>
      </c>
      <c r="X10" s="44">
        <v>985292</v>
      </c>
      <c r="Y10" s="44">
        <v>116700.66666666667</v>
      </c>
      <c r="Z10" s="44">
        <v>3975213.6666666665</v>
      </c>
      <c r="AA10" s="44">
        <v>16532.333333333332</v>
      </c>
      <c r="AB10" s="44">
        <v>4026866.3333333335</v>
      </c>
      <c r="AC10" s="44">
        <v>2620252.6666666665</v>
      </c>
      <c r="AD10" s="44">
        <v>24088.666666666668</v>
      </c>
      <c r="AE10" s="44">
        <v>2529811</v>
      </c>
      <c r="AF10" s="44">
        <v>435009.5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01 Evian + 0.2% DMSO</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1741</v>
      </c>
      <c r="D11" s="1" t="s">
        <v>243</v>
      </c>
      <c r="E11" s="1" t="s">
        <v>1742</v>
      </c>
      <c r="F11" s="1" t="s">
        <v>112</v>
      </c>
      <c r="G11" s="1">
        <v>107674</v>
      </c>
      <c r="K11" s="145" t="s">
        <v>417</v>
      </c>
      <c r="L11" s="44">
        <v>43361</v>
      </c>
      <c r="M11" s="44">
        <v>9582</v>
      </c>
      <c r="N11" s="44">
        <v>585240.33333333337</v>
      </c>
      <c r="O11" s="44">
        <v>425661.66666666669</v>
      </c>
      <c r="P11" s="44">
        <v>1800350</v>
      </c>
      <c r="Q11" s="44">
        <v>2403391.3333333335</v>
      </c>
      <c r="R11" s="44">
        <v>3422498</v>
      </c>
      <c r="S11" s="44">
        <v>368191</v>
      </c>
      <c r="T11" s="44">
        <v>156449</v>
      </c>
      <c r="U11" s="44">
        <v>79771</v>
      </c>
      <c r="V11" s="44">
        <v>14831</v>
      </c>
      <c r="W11" s="44">
        <v>308063.5</v>
      </c>
      <c r="X11" s="44">
        <v>3220929.3333333335</v>
      </c>
      <c r="Y11" s="44">
        <v>853241.66666666663</v>
      </c>
      <c r="Z11" s="44">
        <v>4419081.333333333</v>
      </c>
      <c r="AA11" s="44">
        <v>54994</v>
      </c>
      <c r="AB11" s="44"/>
      <c r="AC11" s="44">
        <v>1666086</v>
      </c>
      <c r="AD11" s="44">
        <v>472079.33333333331</v>
      </c>
      <c r="AE11" s="44">
        <v>2085980</v>
      </c>
      <c r="AF11" s="44">
        <v>14376.666666666666</v>
      </c>
      <c r="AG11"/>
    </row>
    <row r="12" spans="1:144" x14ac:dyDescent="0.3">
      <c r="A12" s="1" t="str">
        <f t="shared" si="0"/>
        <v>01 Evian + 0.2% DMSO</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1743</v>
      </c>
      <c r="D12" s="1" t="s">
        <v>293</v>
      </c>
      <c r="E12" s="1" t="s">
        <v>1744</v>
      </c>
      <c r="F12" s="1" t="s">
        <v>112</v>
      </c>
      <c r="G12" s="1">
        <v>94717</v>
      </c>
      <c r="K12" s="145" t="s">
        <v>418</v>
      </c>
      <c r="L12" s="44">
        <v>48768.333333333336</v>
      </c>
      <c r="M12" s="44">
        <v>21046</v>
      </c>
      <c r="N12" s="44">
        <v>148114.33333333334</v>
      </c>
      <c r="O12" s="44">
        <v>358472.33333333331</v>
      </c>
      <c r="P12" s="44">
        <v>2514381.3333333335</v>
      </c>
      <c r="Q12" s="44">
        <v>2203725.6666666665</v>
      </c>
      <c r="R12" s="44">
        <v>2731992.6666666665</v>
      </c>
      <c r="S12" s="44"/>
      <c r="T12" s="44">
        <v>81321.333333333328</v>
      </c>
      <c r="U12" s="44">
        <v>318802.66666666669</v>
      </c>
      <c r="V12" s="44">
        <v>60534.666666666664</v>
      </c>
      <c r="W12" s="44">
        <v>9654.3333333333339</v>
      </c>
      <c r="X12" s="44">
        <v>1001305.6666666666</v>
      </c>
      <c r="Y12" s="44">
        <v>171114</v>
      </c>
      <c r="Z12" s="44">
        <v>536897</v>
      </c>
      <c r="AA12" s="44">
        <v>83217.333333333328</v>
      </c>
      <c r="AB12" s="44">
        <v>335999</v>
      </c>
      <c r="AC12" s="44">
        <v>98827</v>
      </c>
      <c r="AD12" s="44">
        <v>2056649.6666666667</v>
      </c>
      <c r="AE12" s="44">
        <v>2712980</v>
      </c>
      <c r="AF12" s="44">
        <v>1418993</v>
      </c>
      <c r="AG12"/>
    </row>
    <row r="13" spans="1:144" x14ac:dyDescent="0.3">
      <c r="A13" s="1" t="str">
        <f t="shared" si="0"/>
        <v>01 Evian + 0.2% DMSO</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1745</v>
      </c>
      <c r="D13" s="1" t="s">
        <v>187</v>
      </c>
      <c r="E13" s="1" t="s">
        <v>1746</v>
      </c>
      <c r="F13" s="1" t="s">
        <v>112</v>
      </c>
      <c r="G13" s="1">
        <v>48754</v>
      </c>
      <c r="K13"/>
      <c r="L13"/>
      <c r="M13"/>
      <c r="N13"/>
      <c r="O13"/>
      <c r="P13"/>
      <c r="Q13"/>
      <c r="R13"/>
      <c r="S13"/>
      <c r="T13"/>
      <c r="U13"/>
      <c r="V13"/>
      <c r="W13"/>
      <c r="X13"/>
      <c r="Y13"/>
      <c r="Z13"/>
      <c r="AA13"/>
      <c r="AB13"/>
      <c r="AC13"/>
      <c r="AD13"/>
      <c r="AE13"/>
      <c r="AF13"/>
      <c r="AG13"/>
    </row>
    <row r="14" spans="1:144" x14ac:dyDescent="0.3">
      <c r="A14" s="1" t="str">
        <f t="shared" si="0"/>
        <v>01 Evian + 0.2% DMSO</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1747</v>
      </c>
      <c r="D14" s="1" t="s">
        <v>296</v>
      </c>
      <c r="E14" s="1" t="s">
        <v>330</v>
      </c>
      <c r="F14" s="1" t="s">
        <v>112</v>
      </c>
      <c r="G14" s="1">
        <v>4239</v>
      </c>
      <c r="K14"/>
      <c r="L14"/>
      <c r="M14"/>
      <c r="N14"/>
      <c r="O14"/>
      <c r="P14"/>
      <c r="Q14"/>
      <c r="R14"/>
      <c r="S14"/>
      <c r="T14"/>
      <c r="U14"/>
      <c r="V14"/>
      <c r="W14"/>
      <c r="X14"/>
      <c r="Y14"/>
      <c r="Z14"/>
      <c r="AA14"/>
      <c r="AB14"/>
      <c r="AC14"/>
      <c r="AD14"/>
      <c r="AE14"/>
      <c r="AF14"/>
      <c r="AG14"/>
    </row>
    <row r="15" spans="1:144" x14ac:dyDescent="0.3">
      <c r="A15" s="1" t="str">
        <f t="shared" si="0"/>
        <v>01 Evian + 0.2% DMSO</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1748</v>
      </c>
      <c r="D15" s="1" t="s">
        <v>185</v>
      </c>
      <c r="E15" s="1" t="s">
        <v>1531</v>
      </c>
      <c r="F15" s="1" t="s">
        <v>112</v>
      </c>
      <c r="G15" s="1">
        <v>9863</v>
      </c>
    </row>
    <row r="16" spans="1:144" x14ac:dyDescent="0.3">
      <c r="A16" s="1" t="str">
        <f t="shared" si="0"/>
        <v>01 Evian + 0.2% DMSO</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1749</v>
      </c>
      <c r="D16" s="1" t="s">
        <v>191</v>
      </c>
      <c r="E16" s="1" t="s">
        <v>1750</v>
      </c>
      <c r="F16" s="1" t="s">
        <v>112</v>
      </c>
      <c r="G16" s="1">
        <v>77738</v>
      </c>
    </row>
    <row r="17" spans="1:10" x14ac:dyDescent="0.3">
      <c r="A17" s="1" t="str">
        <f t="shared" si="0"/>
        <v>01 Evian + 0.2% DMSO</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1751</v>
      </c>
      <c r="D17" s="1" t="s">
        <v>182</v>
      </c>
      <c r="E17" s="1" t="s">
        <v>1752</v>
      </c>
      <c r="F17" s="1" t="s">
        <v>112</v>
      </c>
      <c r="G17" s="1">
        <v>14730</v>
      </c>
    </row>
    <row r="18" spans="1:10" x14ac:dyDescent="0.3">
      <c r="A18" s="1" t="str">
        <f t="shared" si="0"/>
        <v>01 Evian + 0.2% DMSO</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1753</v>
      </c>
      <c r="D18" s="1" t="s">
        <v>222</v>
      </c>
      <c r="E18" s="1" t="s">
        <v>1754</v>
      </c>
      <c r="F18" s="1" t="s">
        <v>112</v>
      </c>
      <c r="G18" s="1">
        <v>35754</v>
      </c>
    </row>
    <row r="19" spans="1:10" x14ac:dyDescent="0.3">
      <c r="A19" s="1" t="str">
        <f t="shared" si="0"/>
        <v>01 Evian + 0.2% DMSO</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1755</v>
      </c>
      <c r="D19" s="1" t="s">
        <v>182</v>
      </c>
      <c r="E19" s="1" t="s">
        <v>1756</v>
      </c>
      <c r="F19" s="1" t="s">
        <v>112</v>
      </c>
      <c r="G19" s="1">
        <v>15725</v>
      </c>
    </row>
    <row r="20" spans="1:10" x14ac:dyDescent="0.3">
      <c r="A20" s="1" t="str">
        <f t="shared" si="0"/>
        <v>01 Evian + 0.2% DMSO</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1757</v>
      </c>
      <c r="D20" s="1" t="s">
        <v>281</v>
      </c>
      <c r="E20" s="1" t="s">
        <v>1758</v>
      </c>
      <c r="F20" s="1" t="s">
        <v>112</v>
      </c>
      <c r="G20" s="1">
        <v>78690</v>
      </c>
    </row>
    <row r="21" spans="1:10" x14ac:dyDescent="0.3">
      <c r="A21" s="1" t="str">
        <f t="shared" si="0"/>
        <v>01 Evian + 0.2% DMSO</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1759</v>
      </c>
      <c r="D21" s="1" t="s">
        <v>182</v>
      </c>
      <c r="E21" s="1" t="s">
        <v>1760</v>
      </c>
      <c r="F21" s="1" t="s">
        <v>112</v>
      </c>
      <c r="G21" s="1">
        <v>14687</v>
      </c>
    </row>
    <row r="22" spans="1:10" x14ac:dyDescent="0.3">
      <c r="A22" s="1" t="str">
        <f t="shared" si="0"/>
        <v>01 Evian + 0.2% DMSO</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1761</v>
      </c>
      <c r="D22" s="1" t="s">
        <v>208</v>
      </c>
      <c r="E22" s="1" t="s">
        <v>1762</v>
      </c>
      <c r="F22" s="1" t="s">
        <v>112</v>
      </c>
      <c r="G22" s="1">
        <v>36706</v>
      </c>
    </row>
    <row r="23" spans="1:10" x14ac:dyDescent="0.3">
      <c r="A23" s="1" t="str">
        <f t="shared" si="0"/>
        <v>01 Evian + 0.2% DMSO</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1763</v>
      </c>
      <c r="D23" s="1" t="s">
        <v>231</v>
      </c>
      <c r="E23" s="1" t="s">
        <v>1764</v>
      </c>
      <c r="F23" s="1" t="s">
        <v>112</v>
      </c>
      <c r="G23" s="1">
        <v>70470</v>
      </c>
    </row>
    <row r="24" spans="1:10" x14ac:dyDescent="0.3">
      <c r="A24" s="1" t="str">
        <f t="shared" si="0"/>
        <v>01 Evian + 0.2% DMSO</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1765</v>
      </c>
      <c r="D24" s="1" t="s">
        <v>328</v>
      </c>
      <c r="E24" s="1" t="s">
        <v>1766</v>
      </c>
      <c r="F24" s="1" t="s">
        <v>112</v>
      </c>
      <c r="G24" s="1">
        <v>70384</v>
      </c>
    </row>
    <row r="25" spans="1:10" x14ac:dyDescent="0.3">
      <c r="A25" s="1" t="str">
        <f t="shared" si="0"/>
        <v>01 Evian + 0.2% DMSO</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1767</v>
      </c>
      <c r="D25" s="1" t="s">
        <v>224</v>
      </c>
      <c r="E25" s="1">
        <v>63</v>
      </c>
      <c r="F25" s="1" t="s">
        <v>112</v>
      </c>
      <c r="G25" s="1">
        <v>5451</v>
      </c>
    </row>
    <row r="26" spans="1:10" x14ac:dyDescent="0.3">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3">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195</v>
      </c>
      <c r="D27" s="1" t="s">
        <v>112</v>
      </c>
      <c r="E27" s="1" t="s">
        <v>196</v>
      </c>
      <c r="F27" s="1" t="s">
        <v>197</v>
      </c>
      <c r="G27" s="1" t="s">
        <v>198</v>
      </c>
      <c r="H27" s="1" t="s">
        <v>199</v>
      </c>
      <c r="I27" s="1" t="s">
        <v>200</v>
      </c>
      <c r="J27" s="1" t="s">
        <v>201</v>
      </c>
    </row>
    <row r="28" spans="1:10" x14ac:dyDescent="0.3">
      <c r="A28" s="1" t="str">
        <f t="shared" si="0"/>
        <v>01 Evian + 0.2% DMSO</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1768</v>
      </c>
      <c r="D28" s="1" t="s">
        <v>112</v>
      </c>
      <c r="E28" s="1" t="s">
        <v>1769</v>
      </c>
      <c r="F28" s="1" t="s">
        <v>1770</v>
      </c>
      <c r="G28" s="1" t="s">
        <v>1771</v>
      </c>
      <c r="H28" s="1" t="s">
        <v>1772</v>
      </c>
      <c r="I28" s="1">
        <v>24</v>
      </c>
      <c r="J28" s="1">
        <v>24</v>
      </c>
    </row>
    <row r="29" spans="1:10" x14ac:dyDescent="0.3">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3">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3">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3">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3">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3">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202</v>
      </c>
      <c r="D34" s="1" t="s">
        <v>110</v>
      </c>
      <c r="E34" s="1" t="s">
        <v>111</v>
      </c>
      <c r="F34" s="1" t="s">
        <v>112</v>
      </c>
      <c r="G34" s="1" t="s">
        <v>113</v>
      </c>
    </row>
    <row r="35" spans="1:7" x14ac:dyDescent="0.3">
      <c r="A35" s="1" t="str">
        <f t="shared" si="0"/>
        <v>02 EE2 33.8</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1773</v>
      </c>
      <c r="D35" s="1" t="s">
        <v>191</v>
      </c>
      <c r="E35" s="1" t="s">
        <v>1774</v>
      </c>
      <c r="F35" s="1" t="s">
        <v>112</v>
      </c>
      <c r="G35" s="1">
        <v>74191</v>
      </c>
    </row>
    <row r="36" spans="1:7" x14ac:dyDescent="0.3">
      <c r="A36" s="1" t="str">
        <f t="shared" si="0"/>
        <v>02 EE2 33.8</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1775</v>
      </c>
      <c r="D36" s="1" t="s">
        <v>214</v>
      </c>
      <c r="E36" s="1" t="s">
        <v>1776</v>
      </c>
      <c r="F36" s="1" t="s">
        <v>112</v>
      </c>
      <c r="G36" s="1">
        <v>19251</v>
      </c>
    </row>
    <row r="37" spans="1:7" x14ac:dyDescent="0.3">
      <c r="A37" s="1" t="str">
        <f t="shared" si="0"/>
        <v>02 EE2 33.8</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1777</v>
      </c>
      <c r="D37" s="1" t="s">
        <v>362</v>
      </c>
      <c r="E37" s="1" t="s">
        <v>1778</v>
      </c>
      <c r="F37" s="1" t="s">
        <v>112</v>
      </c>
      <c r="G37" s="1">
        <v>232803</v>
      </c>
    </row>
    <row r="38" spans="1:7" x14ac:dyDescent="0.3">
      <c r="A38" s="1" t="str">
        <f t="shared" si="0"/>
        <v>02 EE2 33.8</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1779</v>
      </c>
      <c r="D38" s="1" t="s">
        <v>378</v>
      </c>
      <c r="E38" s="1" t="s">
        <v>1780</v>
      </c>
      <c r="F38" s="1" t="s">
        <v>112</v>
      </c>
      <c r="G38" s="1">
        <v>369201</v>
      </c>
    </row>
    <row r="39" spans="1:7" x14ac:dyDescent="0.3">
      <c r="A39" s="1" t="str">
        <f t="shared" si="0"/>
        <v>02 EE2 33.8</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1781</v>
      </c>
      <c r="D39" s="1" t="s">
        <v>332</v>
      </c>
      <c r="E39" s="1" t="s">
        <v>1782</v>
      </c>
      <c r="F39" s="1" t="s">
        <v>112</v>
      </c>
      <c r="G39" s="1">
        <v>438589</v>
      </c>
    </row>
    <row r="40" spans="1:7" x14ac:dyDescent="0.3">
      <c r="A40" s="1" t="str">
        <f t="shared" si="0"/>
        <v>02 EE2 33.8</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1783</v>
      </c>
      <c r="D40" s="1" t="s">
        <v>368</v>
      </c>
      <c r="E40" s="1" t="s">
        <v>1784</v>
      </c>
      <c r="F40" s="1" t="s">
        <v>112</v>
      </c>
      <c r="G40" s="1">
        <v>484510</v>
      </c>
    </row>
    <row r="41" spans="1:7" x14ac:dyDescent="0.3">
      <c r="A41" s="1" t="str">
        <f t="shared" si="0"/>
        <v>02 EE2 33.8</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1785</v>
      </c>
      <c r="D41" s="1" t="s">
        <v>1593</v>
      </c>
      <c r="E41" s="1" t="s">
        <v>1786</v>
      </c>
      <c r="F41" s="1" t="s">
        <v>112</v>
      </c>
      <c r="G41" s="1">
        <v>170573</v>
      </c>
    </row>
    <row r="42" spans="1:7" x14ac:dyDescent="0.3">
      <c r="A42" s="1" t="str">
        <f t="shared" si="0"/>
        <v>02 EE2 33.8</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1787</v>
      </c>
      <c r="D42" s="1" t="s">
        <v>668</v>
      </c>
      <c r="E42" s="1" t="s">
        <v>1788</v>
      </c>
      <c r="F42" s="1" t="s">
        <v>112</v>
      </c>
      <c r="G42" s="1">
        <v>505599</v>
      </c>
    </row>
    <row r="43" spans="1:7" x14ac:dyDescent="0.3">
      <c r="A43" s="1" t="str">
        <f t="shared" si="0"/>
        <v>02 EE2 33.8</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1789</v>
      </c>
      <c r="D43" s="1" t="s">
        <v>1790</v>
      </c>
      <c r="E43" s="1">
        <v>69</v>
      </c>
      <c r="F43" s="1" t="s">
        <v>112</v>
      </c>
      <c r="G43" s="1">
        <v>294015</v>
      </c>
    </row>
    <row r="44" spans="1:7" x14ac:dyDescent="0.3">
      <c r="A44" s="1" t="str">
        <f t="shared" si="0"/>
        <v>02 EE2 33.8</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1791</v>
      </c>
      <c r="D44" s="1" t="s">
        <v>189</v>
      </c>
      <c r="E44" s="1" t="s">
        <v>1792</v>
      </c>
      <c r="F44" s="1" t="s">
        <v>112</v>
      </c>
      <c r="G44" s="1">
        <v>72049</v>
      </c>
    </row>
    <row r="45" spans="1:7" x14ac:dyDescent="0.3">
      <c r="A45" s="1" t="str">
        <f t="shared" si="0"/>
        <v>02 EE2 33.8</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1793</v>
      </c>
      <c r="D45" s="1" t="s">
        <v>187</v>
      </c>
      <c r="E45" s="1" t="s">
        <v>1794</v>
      </c>
      <c r="F45" s="1" t="s">
        <v>112</v>
      </c>
      <c r="G45" s="1">
        <v>50506</v>
      </c>
    </row>
    <row r="46" spans="1:7" x14ac:dyDescent="0.3">
      <c r="A46" s="1" t="str">
        <f t="shared" si="0"/>
        <v>02 EE2 33.8</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1795</v>
      </c>
      <c r="D46" s="1" t="s">
        <v>255</v>
      </c>
      <c r="E46" s="1" t="s">
        <v>1796</v>
      </c>
      <c r="F46" s="1" t="s">
        <v>112</v>
      </c>
      <c r="G46" s="1">
        <v>121063</v>
      </c>
    </row>
    <row r="47" spans="1:7" x14ac:dyDescent="0.3">
      <c r="A47" s="1" t="str">
        <f t="shared" si="0"/>
        <v>02 EE2 33.8</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1797</v>
      </c>
      <c r="D47" s="1" t="s">
        <v>180</v>
      </c>
      <c r="E47" s="1">
        <v>64</v>
      </c>
      <c r="F47" s="1" t="s">
        <v>112</v>
      </c>
      <c r="G47" s="1">
        <v>12459</v>
      </c>
    </row>
    <row r="48" spans="1:7" x14ac:dyDescent="0.3">
      <c r="A48" s="1" t="str">
        <f t="shared" si="0"/>
        <v>02 EE2 33.8</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1798</v>
      </c>
      <c r="D48" s="1" t="s">
        <v>226</v>
      </c>
      <c r="E48" s="1" t="s">
        <v>1799</v>
      </c>
      <c r="F48" s="1" t="s">
        <v>112</v>
      </c>
      <c r="G48" s="1">
        <v>11291</v>
      </c>
    </row>
    <row r="49" spans="1:10" x14ac:dyDescent="0.3">
      <c r="A49" s="1" t="str">
        <f t="shared" si="0"/>
        <v>02 EE2 33.8</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1800</v>
      </c>
      <c r="D49" s="1" t="s">
        <v>179</v>
      </c>
      <c r="E49" s="1" t="s">
        <v>1801</v>
      </c>
      <c r="F49" s="1" t="s">
        <v>112</v>
      </c>
      <c r="G49" s="1">
        <v>8198</v>
      </c>
    </row>
    <row r="50" spans="1:10" x14ac:dyDescent="0.3">
      <c r="A50" s="1" t="str">
        <f t="shared" si="0"/>
        <v>02 EE2 33.8</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1802</v>
      </c>
      <c r="D50" s="1" t="s">
        <v>1803</v>
      </c>
      <c r="E50" s="1" t="s">
        <v>1804</v>
      </c>
      <c r="F50" s="1" t="s">
        <v>112</v>
      </c>
      <c r="G50" s="1">
        <v>450226</v>
      </c>
    </row>
    <row r="51" spans="1:10" x14ac:dyDescent="0.3">
      <c r="A51" s="1" t="str">
        <f t="shared" si="0"/>
        <v>02 EE2 33.8</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1805</v>
      </c>
      <c r="D51" s="1" t="s">
        <v>377</v>
      </c>
      <c r="E51" s="1" t="s">
        <v>1806</v>
      </c>
      <c r="F51" s="1" t="s">
        <v>112</v>
      </c>
      <c r="G51" s="1">
        <v>211670</v>
      </c>
    </row>
    <row r="52" spans="1:10" x14ac:dyDescent="0.3">
      <c r="A52" s="1" t="str">
        <f t="shared" si="0"/>
        <v>02 EE2 33.8</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1807</v>
      </c>
      <c r="D52" s="1" t="s">
        <v>250</v>
      </c>
      <c r="E52" s="1" t="s">
        <v>1808</v>
      </c>
      <c r="F52" s="1" t="s">
        <v>112</v>
      </c>
      <c r="G52" s="1">
        <v>283200</v>
      </c>
    </row>
    <row r="53" spans="1:10" x14ac:dyDescent="0.3">
      <c r="A53" s="1" t="str">
        <f t="shared" si="0"/>
        <v>02 EE2 33.8</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1809</v>
      </c>
    </row>
    <row r="54" spans="1:10" x14ac:dyDescent="0.3">
      <c r="A54" s="1" t="str">
        <f t="shared" si="0"/>
        <v>02 EE2 33.8</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1810</v>
      </c>
    </row>
    <row r="55" spans="1:10" x14ac:dyDescent="0.3">
      <c r="A55" s="1" t="str">
        <f t="shared" si="0"/>
        <v>02 EE2 33.8</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1811</v>
      </c>
      <c r="D55" s="1" t="s">
        <v>185</v>
      </c>
      <c r="E55" s="1" t="s">
        <v>1018</v>
      </c>
      <c r="F55" s="1" t="s">
        <v>112</v>
      </c>
      <c r="G55" s="1">
        <v>9582</v>
      </c>
    </row>
    <row r="56" spans="1:10" x14ac:dyDescent="0.3">
      <c r="A56" s="1" t="str">
        <f t="shared" si="0"/>
        <v>02 EE2 33.8</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1812</v>
      </c>
      <c r="D56" s="1" t="s">
        <v>214</v>
      </c>
      <c r="E56" s="1" t="s">
        <v>1115</v>
      </c>
      <c r="F56" s="1" t="s">
        <v>112</v>
      </c>
      <c r="G56" s="1">
        <v>19034</v>
      </c>
    </row>
    <row r="57" spans="1:10" x14ac:dyDescent="0.3">
      <c r="A57" s="1" t="str">
        <f t="shared" si="0"/>
        <v>02 EE2 33.8</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1813</v>
      </c>
      <c r="D57" s="1" t="s">
        <v>192</v>
      </c>
      <c r="E57" s="1" t="s">
        <v>361</v>
      </c>
      <c r="F57" s="1" t="s">
        <v>112</v>
      </c>
      <c r="G57" s="1">
        <v>13995</v>
      </c>
    </row>
    <row r="58" spans="1:10" x14ac:dyDescent="0.3">
      <c r="A58" s="1" t="str">
        <f t="shared" si="0"/>
        <v>02 EE2 33.8</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1814</v>
      </c>
      <c r="D58" s="1" t="s">
        <v>326</v>
      </c>
      <c r="E58" s="1" t="s">
        <v>1815</v>
      </c>
      <c r="F58" s="1" t="s">
        <v>112</v>
      </c>
      <c r="G58" s="1">
        <v>30109</v>
      </c>
    </row>
    <row r="59" spans="1:10" x14ac:dyDescent="0.3">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3">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195</v>
      </c>
      <c r="D60" s="1" t="s">
        <v>112</v>
      </c>
      <c r="E60" s="1" t="s">
        <v>196</v>
      </c>
      <c r="F60" s="1" t="s">
        <v>197</v>
      </c>
      <c r="G60" s="1" t="s">
        <v>198</v>
      </c>
      <c r="H60" s="1" t="s">
        <v>199</v>
      </c>
      <c r="I60" s="1" t="s">
        <v>200</v>
      </c>
      <c r="J60" s="1" t="s">
        <v>201</v>
      </c>
    </row>
    <row r="61" spans="1:10" x14ac:dyDescent="0.3">
      <c r="A61" s="1" t="str">
        <f t="shared" si="0"/>
        <v>02 EE2 33.8</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1816</v>
      </c>
      <c r="D61" s="1" t="s">
        <v>112</v>
      </c>
      <c r="E61" s="1" t="s">
        <v>1817</v>
      </c>
      <c r="F61" s="1" t="s">
        <v>1818</v>
      </c>
      <c r="G61" s="1" t="s">
        <v>1819</v>
      </c>
      <c r="H61" s="1" t="s">
        <v>1820</v>
      </c>
      <c r="I61" s="1">
        <v>24</v>
      </c>
      <c r="J61" s="1">
        <v>24</v>
      </c>
    </row>
    <row r="62" spans="1:10" x14ac:dyDescent="0.3">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3">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3">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3">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3">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3">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202</v>
      </c>
      <c r="D67" s="1" t="s">
        <v>110</v>
      </c>
      <c r="E67" s="1" t="s">
        <v>111</v>
      </c>
      <c r="F67" s="1" t="s">
        <v>112</v>
      </c>
      <c r="G67" s="1" t="s">
        <v>113</v>
      </c>
    </row>
    <row r="68" spans="1:7" x14ac:dyDescent="0.3">
      <c r="A68" s="1" t="str">
        <f t="shared" si="1"/>
        <v>03 EE2 50.6</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1821</v>
      </c>
      <c r="D68" s="1" t="s">
        <v>285</v>
      </c>
      <c r="E68" s="1" t="s">
        <v>1822</v>
      </c>
      <c r="F68" s="1" t="s">
        <v>112</v>
      </c>
      <c r="G68" s="1">
        <v>57665</v>
      </c>
    </row>
    <row r="69" spans="1:7" x14ac:dyDescent="0.3">
      <c r="A69" s="1" t="str">
        <f t="shared" si="1"/>
        <v>03 EE2 50.6</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1823</v>
      </c>
      <c r="D69" s="1" t="s">
        <v>357</v>
      </c>
      <c r="E69" s="1" t="s">
        <v>1824</v>
      </c>
      <c r="F69" s="1" t="s">
        <v>112</v>
      </c>
      <c r="G69" s="1">
        <v>86347</v>
      </c>
    </row>
    <row r="70" spans="1:7" x14ac:dyDescent="0.3">
      <c r="A70" s="1" t="str">
        <f t="shared" si="1"/>
        <v>03 EE2 50.6</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1825</v>
      </c>
      <c r="D70" s="1" t="s">
        <v>282</v>
      </c>
      <c r="E70" s="1" t="s">
        <v>1826</v>
      </c>
      <c r="F70" s="1" t="s">
        <v>112</v>
      </c>
      <c r="G70" s="1">
        <v>65322</v>
      </c>
    </row>
    <row r="71" spans="1:7" x14ac:dyDescent="0.3">
      <c r="A71" s="1" t="str">
        <f t="shared" si="1"/>
        <v>03 EE2 50.6</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1827</v>
      </c>
      <c r="D71" s="1" t="s">
        <v>1828</v>
      </c>
      <c r="E71" s="1" t="s">
        <v>1829</v>
      </c>
      <c r="F71" s="1" t="s">
        <v>112</v>
      </c>
      <c r="G71" s="1">
        <v>3799659</v>
      </c>
    </row>
    <row r="72" spans="1:7" x14ac:dyDescent="0.3">
      <c r="A72" s="1" t="str">
        <f t="shared" si="1"/>
        <v>03 EE2 50.6</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1830</v>
      </c>
      <c r="D72" s="1" t="s">
        <v>1831</v>
      </c>
      <c r="E72" s="1" t="s">
        <v>1832</v>
      </c>
      <c r="F72" s="1" t="s">
        <v>112</v>
      </c>
      <c r="G72" s="1">
        <v>5802133</v>
      </c>
    </row>
    <row r="73" spans="1:7" x14ac:dyDescent="0.3">
      <c r="A73" s="1" t="str">
        <f t="shared" si="1"/>
        <v>03 EE2 50.6</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1833</v>
      </c>
      <c r="D73" s="1" t="s">
        <v>334</v>
      </c>
      <c r="E73" s="1" t="s">
        <v>1834</v>
      </c>
      <c r="F73" s="1" t="s">
        <v>112</v>
      </c>
      <c r="G73" s="1">
        <v>36165</v>
      </c>
    </row>
    <row r="74" spans="1:7" x14ac:dyDescent="0.3">
      <c r="A74" s="1" t="str">
        <f t="shared" si="1"/>
        <v>03 EE2 50.6</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1835</v>
      </c>
      <c r="D74" s="1" t="s">
        <v>222</v>
      </c>
      <c r="E74" s="1" t="s">
        <v>971</v>
      </c>
      <c r="F74" s="1" t="s">
        <v>112</v>
      </c>
      <c r="G74" s="1">
        <v>34132</v>
      </c>
    </row>
    <row r="75" spans="1:7" x14ac:dyDescent="0.3">
      <c r="A75" s="1" t="str">
        <f t="shared" si="1"/>
        <v>03 EE2 50.6</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1836</v>
      </c>
      <c r="D75" s="1" t="s">
        <v>242</v>
      </c>
      <c r="E75" s="1" t="s">
        <v>892</v>
      </c>
      <c r="F75" s="1" t="s">
        <v>112</v>
      </c>
      <c r="G75" s="1">
        <v>119981</v>
      </c>
    </row>
    <row r="76" spans="1:7" x14ac:dyDescent="0.3">
      <c r="A76" s="1" t="str">
        <f t="shared" si="1"/>
        <v>03 EE2 50.6</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1837</v>
      </c>
      <c r="D76" s="1" t="s">
        <v>1046</v>
      </c>
      <c r="E76" s="1" t="s">
        <v>1838</v>
      </c>
      <c r="F76" s="1" t="s">
        <v>112</v>
      </c>
      <c r="G76" s="1">
        <v>100579</v>
      </c>
    </row>
    <row r="77" spans="1:7" x14ac:dyDescent="0.3">
      <c r="A77" s="1" t="str">
        <f t="shared" si="1"/>
        <v>03 EE2 50.6</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1839</v>
      </c>
      <c r="D77" s="1" t="s">
        <v>1840</v>
      </c>
      <c r="E77" s="1" t="s">
        <v>1841</v>
      </c>
      <c r="F77" s="1" t="s">
        <v>112</v>
      </c>
      <c r="G77" s="1">
        <v>420485</v>
      </c>
    </row>
    <row r="78" spans="1:7" x14ac:dyDescent="0.3">
      <c r="A78" s="1" t="str">
        <f t="shared" si="1"/>
        <v>03 EE2 50.6</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1842</v>
      </c>
      <c r="D78" s="1" t="s">
        <v>308</v>
      </c>
      <c r="E78" s="1" t="s">
        <v>981</v>
      </c>
      <c r="F78" s="1" t="s">
        <v>112</v>
      </c>
      <c r="G78" s="1">
        <v>44644</v>
      </c>
    </row>
    <row r="79" spans="1:7" x14ac:dyDescent="0.3">
      <c r="A79" s="1" t="str">
        <f t="shared" si="1"/>
        <v>03 EE2 50.6</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1843</v>
      </c>
      <c r="D79" s="1" t="s">
        <v>245</v>
      </c>
      <c r="E79" s="1" t="s">
        <v>1844</v>
      </c>
      <c r="F79" s="1" t="s">
        <v>112</v>
      </c>
      <c r="G79" s="1">
        <v>29092</v>
      </c>
    </row>
    <row r="80" spans="1:7" x14ac:dyDescent="0.3">
      <c r="A80" s="1" t="str">
        <f t="shared" si="1"/>
        <v>03 EE2 50.6</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1845</v>
      </c>
      <c r="D80" s="1" t="s">
        <v>285</v>
      </c>
      <c r="E80" s="1" t="s">
        <v>1459</v>
      </c>
      <c r="F80" s="1" t="s">
        <v>112</v>
      </c>
      <c r="G80" s="1">
        <v>58163</v>
      </c>
    </row>
    <row r="81" spans="1:10" x14ac:dyDescent="0.3">
      <c r="A81" s="1" t="str">
        <f t="shared" si="1"/>
        <v>03 EE2 50.6</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1846</v>
      </c>
      <c r="D81" s="1" t="s">
        <v>303</v>
      </c>
      <c r="E81" s="1" t="s">
        <v>1244</v>
      </c>
      <c r="F81" s="1" t="s">
        <v>112</v>
      </c>
      <c r="G81" s="1">
        <v>41465</v>
      </c>
    </row>
    <row r="82" spans="1:10" x14ac:dyDescent="0.3">
      <c r="A82" s="1" t="str">
        <f t="shared" si="1"/>
        <v>03 EE2 50.6</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1847</v>
      </c>
      <c r="D82" s="1" t="s">
        <v>245</v>
      </c>
      <c r="E82" s="1" t="s">
        <v>1848</v>
      </c>
      <c r="F82" s="1" t="s">
        <v>112</v>
      </c>
      <c r="G82" s="1">
        <v>28292</v>
      </c>
    </row>
    <row r="83" spans="1:10" x14ac:dyDescent="0.3">
      <c r="A83" s="1" t="str">
        <f t="shared" si="1"/>
        <v>03 EE2 50.6</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1849</v>
      </c>
      <c r="D83" s="1" t="s">
        <v>285</v>
      </c>
      <c r="E83" s="1" t="s">
        <v>1850</v>
      </c>
      <c r="F83" s="1" t="s">
        <v>112</v>
      </c>
      <c r="G83" s="1">
        <v>59244</v>
      </c>
    </row>
    <row r="84" spans="1:10" x14ac:dyDescent="0.3">
      <c r="A84" s="1" t="str">
        <f t="shared" si="1"/>
        <v>03 EE2 50.6</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1851</v>
      </c>
      <c r="D84" s="1" t="s">
        <v>291</v>
      </c>
      <c r="E84" s="1" t="s">
        <v>1852</v>
      </c>
      <c r="F84" s="1" t="s">
        <v>112</v>
      </c>
      <c r="G84" s="1">
        <v>129866</v>
      </c>
    </row>
    <row r="85" spans="1:10" x14ac:dyDescent="0.3">
      <c r="A85" s="1" t="str">
        <f t="shared" si="1"/>
        <v>03 EE2 50.6</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1853</v>
      </c>
      <c r="D85" s="1" t="s">
        <v>375</v>
      </c>
      <c r="E85" s="1" t="s">
        <v>1854</v>
      </c>
      <c r="F85" s="1" t="s">
        <v>112</v>
      </c>
      <c r="G85" s="1">
        <v>58206</v>
      </c>
    </row>
    <row r="86" spans="1:10" x14ac:dyDescent="0.3">
      <c r="A86" s="1" t="str">
        <f t="shared" si="1"/>
        <v>03 EE2 50.6</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1855</v>
      </c>
      <c r="D86" s="1" t="s">
        <v>1856</v>
      </c>
      <c r="E86" s="1" t="s">
        <v>1857</v>
      </c>
      <c r="F86" s="1" t="s">
        <v>112</v>
      </c>
      <c r="G86" s="1">
        <v>799852</v>
      </c>
    </row>
    <row r="87" spans="1:10" x14ac:dyDescent="0.3">
      <c r="A87" s="1" t="str">
        <f t="shared" si="1"/>
        <v>03 EE2 50.6</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1858</v>
      </c>
      <c r="D87" s="1" t="s">
        <v>1859</v>
      </c>
      <c r="E87" s="1" t="s">
        <v>1860</v>
      </c>
      <c r="F87" s="1" t="s">
        <v>112</v>
      </c>
      <c r="G87" s="1">
        <v>671241</v>
      </c>
    </row>
    <row r="88" spans="1:10" x14ac:dyDescent="0.3">
      <c r="A88" s="1" t="str">
        <f t="shared" si="1"/>
        <v>03 EE2 50.6</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1861</v>
      </c>
      <c r="D88" s="1" t="s">
        <v>496</v>
      </c>
      <c r="E88" s="1" t="s">
        <v>1862</v>
      </c>
      <c r="F88" s="1" t="s">
        <v>112</v>
      </c>
      <c r="G88" s="1">
        <v>284628</v>
      </c>
    </row>
    <row r="89" spans="1:10" x14ac:dyDescent="0.3">
      <c r="A89" s="1" t="str">
        <f t="shared" si="1"/>
        <v>03 EE2 50.6</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1863</v>
      </c>
      <c r="D89" s="1" t="s">
        <v>370</v>
      </c>
      <c r="E89" s="1" t="s">
        <v>1864</v>
      </c>
      <c r="F89" s="1" t="s">
        <v>112</v>
      </c>
      <c r="G89" s="1">
        <v>92857</v>
      </c>
    </row>
    <row r="90" spans="1:10" x14ac:dyDescent="0.3">
      <c r="A90" s="1" t="str">
        <f t="shared" si="1"/>
        <v>03 EE2 50.6</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1865</v>
      </c>
      <c r="D90" s="1" t="s">
        <v>249</v>
      </c>
      <c r="E90" s="1" t="s">
        <v>1866</v>
      </c>
      <c r="F90" s="1" t="s">
        <v>112</v>
      </c>
      <c r="G90" s="1">
        <v>255125</v>
      </c>
    </row>
    <row r="91" spans="1:10" x14ac:dyDescent="0.3">
      <c r="A91" s="1" t="str">
        <f t="shared" si="1"/>
        <v>03 EE2 50.6</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1867</v>
      </c>
      <c r="D91" s="1" t="s">
        <v>311</v>
      </c>
      <c r="E91" s="1" t="s">
        <v>1868</v>
      </c>
      <c r="F91" s="1" t="s">
        <v>112</v>
      </c>
      <c r="G91" s="1">
        <v>96361</v>
      </c>
    </row>
    <row r="92" spans="1:10" x14ac:dyDescent="0.3">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3">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195</v>
      </c>
      <c r="D93" s="1" t="s">
        <v>112</v>
      </c>
      <c r="E93" s="1" t="s">
        <v>196</v>
      </c>
      <c r="F93" s="1" t="s">
        <v>197</v>
      </c>
      <c r="G93" s="1" t="s">
        <v>198</v>
      </c>
      <c r="H93" s="1" t="s">
        <v>199</v>
      </c>
      <c r="I93" s="1" t="s">
        <v>200</v>
      </c>
      <c r="J93" s="1" t="s">
        <v>201</v>
      </c>
    </row>
    <row r="94" spans="1:10" x14ac:dyDescent="0.3">
      <c r="A94" s="1" t="str">
        <f t="shared" si="1"/>
        <v>03 EE2 50.6</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1869</v>
      </c>
      <c r="D94" s="1" t="s">
        <v>112</v>
      </c>
      <c r="E94" s="1" t="s">
        <v>1870</v>
      </c>
      <c r="F94" s="1" t="s">
        <v>1871</v>
      </c>
      <c r="G94" s="1" t="s">
        <v>1872</v>
      </c>
      <c r="H94" s="1" t="s">
        <v>1873</v>
      </c>
      <c r="I94" s="1">
        <v>24</v>
      </c>
      <c r="J94" s="1">
        <v>24</v>
      </c>
    </row>
    <row r="95" spans="1:10" x14ac:dyDescent="0.3">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3">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3">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3">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3">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3">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202</v>
      </c>
      <c r="D100" s="1" t="s">
        <v>110</v>
      </c>
      <c r="E100" s="1" t="s">
        <v>111</v>
      </c>
      <c r="F100" s="1" t="s">
        <v>112</v>
      </c>
      <c r="G100" s="1" t="s">
        <v>113</v>
      </c>
    </row>
    <row r="101" spans="1:7" x14ac:dyDescent="0.3">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1874</v>
      </c>
      <c r="D101" s="1" t="s">
        <v>277</v>
      </c>
      <c r="E101" s="1" t="s">
        <v>1875</v>
      </c>
      <c r="F101" s="1" t="s">
        <v>112</v>
      </c>
      <c r="G101" s="1">
        <v>182535</v>
      </c>
    </row>
    <row r="102" spans="1:7" x14ac:dyDescent="0.3">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1876</v>
      </c>
      <c r="D102" s="1" t="s">
        <v>334</v>
      </c>
      <c r="E102" s="1" t="s">
        <v>1877</v>
      </c>
      <c r="F102" s="1" t="s">
        <v>112</v>
      </c>
      <c r="G102" s="1">
        <v>35473</v>
      </c>
    </row>
    <row r="103" spans="1:7" x14ac:dyDescent="0.3">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1878</v>
      </c>
      <c r="D103" s="1" t="s">
        <v>377</v>
      </c>
      <c r="E103" s="1" t="s">
        <v>1879</v>
      </c>
      <c r="F103" s="1" t="s">
        <v>112</v>
      </c>
      <c r="G103" s="1">
        <v>200985</v>
      </c>
    </row>
    <row r="104" spans="1:7" x14ac:dyDescent="0.3">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1880</v>
      </c>
      <c r="D104" s="1" t="s">
        <v>1655</v>
      </c>
      <c r="E104" s="1" t="s">
        <v>1881</v>
      </c>
      <c r="F104" s="1" t="s">
        <v>112</v>
      </c>
      <c r="G104" s="1">
        <v>190862</v>
      </c>
    </row>
    <row r="105" spans="1:7" x14ac:dyDescent="0.3">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1882</v>
      </c>
      <c r="D105" s="1" t="s">
        <v>1883</v>
      </c>
      <c r="E105" s="1" t="s">
        <v>1884</v>
      </c>
      <c r="F105" s="1" t="s">
        <v>112</v>
      </c>
      <c r="G105" s="1">
        <v>133024</v>
      </c>
    </row>
    <row r="106" spans="1:7" x14ac:dyDescent="0.3">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1885</v>
      </c>
      <c r="D106" s="1" t="s">
        <v>1886</v>
      </c>
      <c r="E106" s="1" t="s">
        <v>1887</v>
      </c>
      <c r="F106" s="1" t="s">
        <v>112</v>
      </c>
      <c r="G106" s="1">
        <v>221490</v>
      </c>
    </row>
    <row r="107" spans="1:7" x14ac:dyDescent="0.3">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1888</v>
      </c>
      <c r="D107" s="1" t="s">
        <v>191</v>
      </c>
      <c r="E107" s="1" t="s">
        <v>1889</v>
      </c>
      <c r="F107" s="1" t="s">
        <v>112</v>
      </c>
      <c r="G107" s="1">
        <v>72914</v>
      </c>
    </row>
    <row r="108" spans="1:7" x14ac:dyDescent="0.3">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1890</v>
      </c>
      <c r="D108" s="1" t="s">
        <v>987</v>
      </c>
      <c r="E108" s="1" t="s">
        <v>1891</v>
      </c>
      <c r="F108" s="1" t="s">
        <v>112</v>
      </c>
      <c r="G108" s="1">
        <v>208793</v>
      </c>
    </row>
    <row r="109" spans="1:7" x14ac:dyDescent="0.3">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1892</v>
      </c>
      <c r="D109" s="1" t="s">
        <v>175</v>
      </c>
      <c r="E109" s="1" t="s">
        <v>1893</v>
      </c>
      <c r="F109" s="1" t="s">
        <v>112</v>
      </c>
      <c r="G109" s="1">
        <v>365134</v>
      </c>
    </row>
    <row r="110" spans="1:7" x14ac:dyDescent="0.3">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1894</v>
      </c>
      <c r="D110" s="1" t="s">
        <v>1895</v>
      </c>
      <c r="E110" s="1" t="s">
        <v>1896</v>
      </c>
      <c r="F110" s="1" t="s">
        <v>112</v>
      </c>
      <c r="G110" s="1">
        <v>614376</v>
      </c>
    </row>
    <row r="111" spans="1:7" x14ac:dyDescent="0.3">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1897</v>
      </c>
      <c r="D111" s="1" t="s">
        <v>623</v>
      </c>
      <c r="E111" s="1" t="s">
        <v>1898</v>
      </c>
      <c r="F111" s="1" t="s">
        <v>112</v>
      </c>
      <c r="G111" s="1">
        <v>881656</v>
      </c>
    </row>
    <row r="112" spans="1:7" x14ac:dyDescent="0.3">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1899</v>
      </c>
      <c r="D112" s="1" t="s">
        <v>1900</v>
      </c>
      <c r="E112" s="1" t="s">
        <v>1901</v>
      </c>
      <c r="F112" s="1" t="s">
        <v>112</v>
      </c>
      <c r="G112" s="1">
        <v>592097</v>
      </c>
    </row>
    <row r="113" spans="1:10" x14ac:dyDescent="0.3">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1902</v>
      </c>
      <c r="D113" s="1" t="s">
        <v>364</v>
      </c>
      <c r="E113" s="1" t="s">
        <v>1903</v>
      </c>
      <c r="F113" s="1" t="s">
        <v>112</v>
      </c>
      <c r="G113" s="1">
        <v>879839</v>
      </c>
    </row>
    <row r="114" spans="1:10" x14ac:dyDescent="0.3">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1904</v>
      </c>
      <c r="D114" s="1" t="s">
        <v>1905</v>
      </c>
      <c r="E114" s="1" t="s">
        <v>1906</v>
      </c>
      <c r="F114" s="1" t="s">
        <v>112</v>
      </c>
      <c r="G114" s="1">
        <v>753521</v>
      </c>
    </row>
    <row r="115" spans="1:10" x14ac:dyDescent="0.3">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1907</v>
      </c>
      <c r="D115" s="1" t="s">
        <v>371</v>
      </c>
      <c r="E115" s="1" t="s">
        <v>1908</v>
      </c>
      <c r="F115" s="1" t="s">
        <v>112</v>
      </c>
      <c r="G115" s="1">
        <v>466427</v>
      </c>
    </row>
    <row r="116" spans="1:10" x14ac:dyDescent="0.3">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1909</v>
      </c>
      <c r="D116" s="1" t="s">
        <v>1910</v>
      </c>
      <c r="E116" s="1" t="s">
        <v>1911</v>
      </c>
      <c r="F116" s="1" t="s">
        <v>112</v>
      </c>
      <c r="G116" s="1">
        <v>571808</v>
      </c>
    </row>
    <row r="117" spans="1:10" x14ac:dyDescent="0.3">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1912</v>
      </c>
      <c r="D117" s="1" t="s">
        <v>386</v>
      </c>
      <c r="E117" s="1" t="s">
        <v>1913</v>
      </c>
      <c r="F117" s="1" t="s">
        <v>112</v>
      </c>
      <c r="G117" s="1">
        <v>510595</v>
      </c>
    </row>
    <row r="118" spans="1:10" x14ac:dyDescent="0.3">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1914</v>
      </c>
      <c r="D118" s="1" t="s">
        <v>1915</v>
      </c>
      <c r="E118" s="1" t="s">
        <v>1916</v>
      </c>
      <c r="F118" s="1" t="s">
        <v>112</v>
      </c>
      <c r="G118" s="1">
        <v>448928</v>
      </c>
    </row>
    <row r="119" spans="1:10" x14ac:dyDescent="0.3">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1917</v>
      </c>
      <c r="D119" s="1" t="s">
        <v>1918</v>
      </c>
      <c r="E119" s="1" t="s">
        <v>1919</v>
      </c>
      <c r="F119" s="1" t="s">
        <v>112</v>
      </c>
      <c r="G119" s="1">
        <v>573819</v>
      </c>
    </row>
    <row r="120" spans="1:10" x14ac:dyDescent="0.3">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1920</v>
      </c>
      <c r="D120" s="1" t="s">
        <v>1921</v>
      </c>
      <c r="E120" s="1" t="s">
        <v>1922</v>
      </c>
      <c r="F120" s="1" t="s">
        <v>112</v>
      </c>
      <c r="G120" s="1">
        <v>389057</v>
      </c>
    </row>
    <row r="121" spans="1:10" x14ac:dyDescent="0.3">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1923</v>
      </c>
      <c r="D121" s="1" t="s">
        <v>1002</v>
      </c>
      <c r="E121" s="1" t="s">
        <v>1924</v>
      </c>
      <c r="F121" s="1" t="s">
        <v>112</v>
      </c>
      <c r="G121" s="1">
        <v>314109</v>
      </c>
    </row>
    <row r="122" spans="1:10" x14ac:dyDescent="0.3">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1925</v>
      </c>
      <c r="D122" s="1" t="s">
        <v>1926</v>
      </c>
      <c r="E122" s="1" t="s">
        <v>1927</v>
      </c>
      <c r="F122" s="1" t="s">
        <v>112</v>
      </c>
      <c r="G122" s="1">
        <v>342985</v>
      </c>
    </row>
    <row r="123" spans="1:10" x14ac:dyDescent="0.3">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1928</v>
      </c>
      <c r="D123" s="1" t="s">
        <v>1929</v>
      </c>
      <c r="E123" s="1" t="s">
        <v>1930</v>
      </c>
      <c r="F123" s="1" t="s">
        <v>112</v>
      </c>
      <c r="G123" s="1">
        <v>367514</v>
      </c>
    </row>
    <row r="124" spans="1:10" x14ac:dyDescent="0.3">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1931</v>
      </c>
      <c r="D124" s="1" t="s">
        <v>366</v>
      </c>
      <c r="E124" s="1" t="s">
        <v>1932</v>
      </c>
      <c r="F124" s="1" t="s">
        <v>112</v>
      </c>
      <c r="G124" s="1">
        <v>364918</v>
      </c>
    </row>
    <row r="125" spans="1:10" x14ac:dyDescent="0.3">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3">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195</v>
      </c>
      <c r="D126" s="1" t="s">
        <v>112</v>
      </c>
      <c r="E126" s="1" t="s">
        <v>196</v>
      </c>
      <c r="F126" s="1" t="s">
        <v>197</v>
      </c>
      <c r="G126" s="1" t="s">
        <v>198</v>
      </c>
      <c r="H126" s="1" t="s">
        <v>199</v>
      </c>
      <c r="I126" s="1" t="s">
        <v>200</v>
      </c>
      <c r="J126" s="1" t="s">
        <v>201</v>
      </c>
    </row>
    <row r="127" spans="1:10" x14ac:dyDescent="0.3">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1933</v>
      </c>
      <c r="D127" s="1" t="s">
        <v>112</v>
      </c>
      <c r="E127" s="1" t="s">
        <v>1934</v>
      </c>
      <c r="F127" s="1" t="s">
        <v>1935</v>
      </c>
      <c r="G127" s="1" t="s">
        <v>1936</v>
      </c>
      <c r="H127" s="1" t="s">
        <v>1937</v>
      </c>
      <c r="I127" s="1">
        <v>24</v>
      </c>
      <c r="J127" s="1">
        <v>24</v>
      </c>
    </row>
    <row r="128" spans="1:10" x14ac:dyDescent="0.3">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3">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3">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3">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3">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3">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202</v>
      </c>
      <c r="D133" s="1" t="s">
        <v>110</v>
      </c>
      <c r="E133" s="1" t="s">
        <v>111</v>
      </c>
      <c r="F133" s="1" t="s">
        <v>112</v>
      </c>
      <c r="G133" s="1" t="s">
        <v>113</v>
      </c>
    </row>
    <row r="134" spans="1:7" x14ac:dyDescent="0.3">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1938</v>
      </c>
      <c r="D134" s="1" t="s">
        <v>269</v>
      </c>
      <c r="E134" s="1" t="s">
        <v>1939</v>
      </c>
      <c r="F134" s="1" t="s">
        <v>112</v>
      </c>
      <c r="G134" s="1">
        <v>1486341</v>
      </c>
    </row>
    <row r="135" spans="1:7" x14ac:dyDescent="0.3">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1940</v>
      </c>
      <c r="D135" s="1" t="s">
        <v>1941</v>
      </c>
      <c r="E135" s="1" t="s">
        <v>1942</v>
      </c>
      <c r="F135" s="1" t="s">
        <v>112</v>
      </c>
      <c r="G135" s="1">
        <v>1617548</v>
      </c>
    </row>
    <row r="136" spans="1:7" x14ac:dyDescent="0.3">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1943</v>
      </c>
      <c r="D136" s="1" t="s">
        <v>1944</v>
      </c>
      <c r="E136" s="1" t="s">
        <v>1945</v>
      </c>
      <c r="F136" s="1" t="s">
        <v>112</v>
      </c>
      <c r="G136" s="1">
        <v>1188433</v>
      </c>
    </row>
    <row r="137" spans="1:7" x14ac:dyDescent="0.3">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1946</v>
      </c>
      <c r="D137" s="1" t="s">
        <v>1947</v>
      </c>
      <c r="E137" s="1" t="s">
        <v>1948</v>
      </c>
      <c r="F137" s="1" t="s">
        <v>112</v>
      </c>
      <c r="G137" s="1">
        <v>1289055</v>
      </c>
    </row>
    <row r="138" spans="1:7" x14ac:dyDescent="0.3">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1949</v>
      </c>
      <c r="D138" s="1" t="s">
        <v>1950</v>
      </c>
      <c r="E138" s="1" t="s">
        <v>1951</v>
      </c>
      <c r="F138" s="1" t="s">
        <v>112</v>
      </c>
      <c r="G138" s="1">
        <v>679590</v>
      </c>
    </row>
    <row r="139" spans="1:7" x14ac:dyDescent="0.3">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1952</v>
      </c>
      <c r="D139" s="1" t="s">
        <v>1953</v>
      </c>
      <c r="E139" s="1" t="s">
        <v>1954</v>
      </c>
      <c r="F139" s="1" t="s">
        <v>112</v>
      </c>
      <c r="G139" s="1">
        <v>928052</v>
      </c>
    </row>
    <row r="140" spans="1:7" x14ac:dyDescent="0.3">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1955</v>
      </c>
      <c r="D140" s="1" t="s">
        <v>263</v>
      </c>
      <c r="E140" s="1" t="s">
        <v>1956</v>
      </c>
      <c r="F140" s="1" t="s">
        <v>112</v>
      </c>
      <c r="G140" s="1">
        <v>1350809</v>
      </c>
    </row>
    <row r="141" spans="1:7" x14ac:dyDescent="0.3">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1957</v>
      </c>
      <c r="D141" s="1" t="s">
        <v>1958</v>
      </c>
      <c r="E141" s="1" t="s">
        <v>1959</v>
      </c>
      <c r="F141" s="1" t="s">
        <v>112</v>
      </c>
      <c r="G141" s="1">
        <v>1212896</v>
      </c>
    </row>
    <row r="142" spans="1:7" x14ac:dyDescent="0.3">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1960</v>
      </c>
      <c r="D142" s="1" t="s">
        <v>1961</v>
      </c>
      <c r="E142" s="1" t="s">
        <v>1962</v>
      </c>
      <c r="F142" s="1" t="s">
        <v>112</v>
      </c>
      <c r="G142" s="1">
        <v>1596329</v>
      </c>
    </row>
    <row r="143" spans="1:7" x14ac:dyDescent="0.3">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1963</v>
      </c>
      <c r="D143" s="1" t="s">
        <v>1393</v>
      </c>
      <c r="E143" s="1" t="s">
        <v>1964</v>
      </c>
      <c r="F143" s="1" t="s">
        <v>112</v>
      </c>
      <c r="G143" s="1">
        <v>1438864</v>
      </c>
    </row>
    <row r="144" spans="1:7" x14ac:dyDescent="0.3">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1965</v>
      </c>
      <c r="D144" s="1" t="s">
        <v>1966</v>
      </c>
      <c r="E144" s="1" t="s">
        <v>1967</v>
      </c>
      <c r="F144" s="1" t="s">
        <v>112</v>
      </c>
      <c r="G144" s="1">
        <v>1573207</v>
      </c>
    </row>
    <row r="145" spans="1:10" x14ac:dyDescent="0.3">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1968</v>
      </c>
      <c r="D145" s="1" t="s">
        <v>1969</v>
      </c>
      <c r="E145" s="1" t="s">
        <v>1970</v>
      </c>
      <c r="F145" s="1" t="s">
        <v>112</v>
      </c>
      <c r="G145" s="1">
        <v>1282328</v>
      </c>
    </row>
    <row r="146" spans="1:10" x14ac:dyDescent="0.3">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1971</v>
      </c>
      <c r="D146" s="1" t="s">
        <v>1972</v>
      </c>
      <c r="E146" s="1" t="s">
        <v>1973</v>
      </c>
      <c r="F146" s="1" t="s">
        <v>112</v>
      </c>
      <c r="G146" s="1">
        <v>133413</v>
      </c>
    </row>
    <row r="147" spans="1:10" x14ac:dyDescent="0.3">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1974</v>
      </c>
      <c r="D147" s="1" t="s">
        <v>1203</v>
      </c>
      <c r="E147" s="1" t="s">
        <v>1975</v>
      </c>
      <c r="F147" s="1" t="s">
        <v>112</v>
      </c>
      <c r="G147" s="1">
        <v>139383</v>
      </c>
    </row>
    <row r="148" spans="1:10" x14ac:dyDescent="0.3">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1976</v>
      </c>
      <c r="D148" s="1" t="s">
        <v>256</v>
      </c>
      <c r="E148" s="1" t="s">
        <v>1977</v>
      </c>
      <c r="F148" s="1" t="s">
        <v>112</v>
      </c>
      <c r="G148" s="1">
        <v>403592</v>
      </c>
    </row>
    <row r="149" spans="1:10" x14ac:dyDescent="0.3">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1978</v>
      </c>
      <c r="D149" s="1" t="s">
        <v>374</v>
      </c>
      <c r="E149" s="1" t="s">
        <v>1979</v>
      </c>
      <c r="F149" s="1" t="s">
        <v>112</v>
      </c>
      <c r="G149" s="1">
        <v>1320851</v>
      </c>
    </row>
    <row r="150" spans="1:10" x14ac:dyDescent="0.3">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1980</v>
      </c>
    </row>
    <row r="151" spans="1:10" x14ac:dyDescent="0.3">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1981</v>
      </c>
    </row>
    <row r="152" spans="1:10" x14ac:dyDescent="0.3">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1982</v>
      </c>
      <c r="D152" s="1" t="s">
        <v>1983</v>
      </c>
      <c r="E152" s="1" t="s">
        <v>1984</v>
      </c>
      <c r="F152" s="1" t="s">
        <v>112</v>
      </c>
      <c r="G152" s="1">
        <v>1566783</v>
      </c>
    </row>
    <row r="153" spans="1:10" x14ac:dyDescent="0.3">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1985</v>
      </c>
      <c r="D153" s="1" t="s">
        <v>1145</v>
      </c>
      <c r="E153" s="1" t="s">
        <v>1986</v>
      </c>
      <c r="F153" s="1" t="s">
        <v>112</v>
      </c>
      <c r="G153" s="1">
        <v>2352381</v>
      </c>
    </row>
    <row r="154" spans="1:10" x14ac:dyDescent="0.3">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1987</v>
      </c>
      <c r="D154" s="1" t="s">
        <v>1988</v>
      </c>
      <c r="E154" s="1" t="s">
        <v>1989</v>
      </c>
      <c r="F154" s="1" t="s">
        <v>112</v>
      </c>
      <c r="G154" s="1">
        <v>1481886</v>
      </c>
    </row>
    <row r="155" spans="1:10" x14ac:dyDescent="0.3">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1990</v>
      </c>
      <c r="D155" s="1" t="s">
        <v>1991</v>
      </c>
      <c r="E155" s="1" t="s">
        <v>1992</v>
      </c>
      <c r="F155" s="1" t="s">
        <v>112</v>
      </c>
      <c r="G155" s="1">
        <v>2368192</v>
      </c>
    </row>
    <row r="156" spans="1:10" x14ac:dyDescent="0.3">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1993</v>
      </c>
      <c r="D156" s="1" t="s">
        <v>1994</v>
      </c>
      <c r="E156" s="1" t="s">
        <v>1995</v>
      </c>
      <c r="F156" s="1" t="s">
        <v>112</v>
      </c>
      <c r="G156" s="1">
        <v>2805700</v>
      </c>
    </row>
    <row r="157" spans="1:10" x14ac:dyDescent="0.3">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1996</v>
      </c>
      <c r="D157" s="1" t="s">
        <v>1997</v>
      </c>
      <c r="E157" s="1" t="s">
        <v>1998</v>
      </c>
      <c r="F157" s="1" t="s">
        <v>112</v>
      </c>
      <c r="G157" s="1">
        <v>2369252</v>
      </c>
    </row>
    <row r="158" spans="1:10" x14ac:dyDescent="0.3">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3">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195</v>
      </c>
      <c r="D159" s="1" t="s">
        <v>112</v>
      </c>
      <c r="E159" s="1" t="s">
        <v>196</v>
      </c>
      <c r="F159" s="1" t="s">
        <v>197</v>
      </c>
      <c r="G159" s="1" t="s">
        <v>198</v>
      </c>
      <c r="H159" s="1" t="s">
        <v>199</v>
      </c>
      <c r="I159" s="1" t="s">
        <v>200</v>
      </c>
      <c r="J159" s="1" t="s">
        <v>201</v>
      </c>
    </row>
    <row r="160" spans="1:10" x14ac:dyDescent="0.3">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1999</v>
      </c>
      <c r="D160" s="1" t="s">
        <v>112</v>
      </c>
      <c r="E160" s="1" t="s">
        <v>2000</v>
      </c>
      <c r="F160" s="1" t="s">
        <v>2001</v>
      </c>
      <c r="G160" s="1" t="s">
        <v>2002</v>
      </c>
      <c r="H160" s="1" t="s">
        <v>2003</v>
      </c>
      <c r="I160" s="1">
        <v>24</v>
      </c>
      <c r="J160" s="1">
        <v>24</v>
      </c>
    </row>
    <row r="161" spans="1:7" x14ac:dyDescent="0.3">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3">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3">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3">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3">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3">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202</v>
      </c>
      <c r="D166" s="1" t="s">
        <v>110</v>
      </c>
      <c r="E166" s="1" t="s">
        <v>111</v>
      </c>
      <c r="F166" s="1" t="s">
        <v>112</v>
      </c>
      <c r="G166" s="1" t="s">
        <v>113</v>
      </c>
    </row>
    <row r="167" spans="1:7" x14ac:dyDescent="0.3">
      <c r="A167" s="1" t="str">
        <f t="shared" si="2"/>
        <v>06 EE2 170.9</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2004</v>
      </c>
      <c r="D167" s="1" t="s">
        <v>2005</v>
      </c>
      <c r="E167" s="1" t="s">
        <v>2006</v>
      </c>
      <c r="F167" s="1" t="s">
        <v>112</v>
      </c>
      <c r="G167" s="1">
        <v>2607051</v>
      </c>
    </row>
    <row r="168" spans="1:7" x14ac:dyDescent="0.3">
      <c r="A168" s="1" t="str">
        <f t="shared" si="2"/>
        <v>06 EE2 170.9</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2007</v>
      </c>
      <c r="D168" s="1" t="s">
        <v>2008</v>
      </c>
      <c r="E168" s="1" t="s">
        <v>2009</v>
      </c>
      <c r="F168" s="1" t="s">
        <v>112</v>
      </c>
      <c r="G168" s="1">
        <v>2483242</v>
      </c>
    </row>
    <row r="169" spans="1:7" x14ac:dyDescent="0.3">
      <c r="A169" s="1" t="str">
        <f t="shared" si="2"/>
        <v>06 EE2 170.9</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2010</v>
      </c>
      <c r="D169" s="1" t="s">
        <v>2011</v>
      </c>
      <c r="E169" s="1" t="s">
        <v>2012</v>
      </c>
      <c r="F169" s="1" t="s">
        <v>112</v>
      </c>
      <c r="G169" s="1">
        <v>2331486</v>
      </c>
    </row>
    <row r="170" spans="1:7" x14ac:dyDescent="0.3">
      <c r="A170" s="1" t="str">
        <f t="shared" si="2"/>
        <v>06 EE2 170.9</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2013</v>
      </c>
      <c r="D170" s="1" t="s">
        <v>2014</v>
      </c>
      <c r="E170" s="1" t="s">
        <v>2015</v>
      </c>
      <c r="F170" s="1" t="s">
        <v>112</v>
      </c>
      <c r="G170" s="1">
        <v>1998819</v>
      </c>
    </row>
    <row r="171" spans="1:7" x14ac:dyDescent="0.3">
      <c r="A171" s="1" t="str">
        <f t="shared" si="2"/>
        <v>06 EE2 170.9</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2016</v>
      </c>
    </row>
    <row r="172" spans="1:7" x14ac:dyDescent="0.3">
      <c r="A172" s="1" t="str">
        <f t="shared" si="2"/>
        <v>06 EE2 170.9</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2017</v>
      </c>
    </row>
    <row r="173" spans="1:7" x14ac:dyDescent="0.3">
      <c r="A173" s="1" t="str">
        <f t="shared" si="2"/>
        <v>06 EE2 170.9</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2018</v>
      </c>
      <c r="D173" s="1" t="s">
        <v>2019</v>
      </c>
      <c r="E173" s="1" t="s">
        <v>2020</v>
      </c>
      <c r="F173" s="1" t="s">
        <v>112</v>
      </c>
      <c r="G173" s="1">
        <v>4691784</v>
      </c>
    </row>
    <row r="174" spans="1:7" x14ac:dyDescent="0.3">
      <c r="A174" s="1" t="str">
        <f t="shared" si="2"/>
        <v>06 EE2 170.9</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2021</v>
      </c>
      <c r="D174" s="1" t="s">
        <v>2022</v>
      </c>
      <c r="E174" s="1" t="s">
        <v>2023</v>
      </c>
      <c r="F174" s="1" t="s">
        <v>112</v>
      </c>
      <c r="G174" s="1">
        <v>4555883</v>
      </c>
    </row>
    <row r="175" spans="1:7" x14ac:dyDescent="0.3">
      <c r="A175" s="1" t="str">
        <f t="shared" si="2"/>
        <v>06 EE2 170.9</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2024</v>
      </c>
      <c r="D175" s="1" t="s">
        <v>2025</v>
      </c>
      <c r="E175" s="1" t="s">
        <v>2026</v>
      </c>
      <c r="F175" s="1" t="s">
        <v>112</v>
      </c>
      <c r="G175" s="1">
        <v>4417322</v>
      </c>
    </row>
    <row r="176" spans="1:7" x14ac:dyDescent="0.3">
      <c r="A176" s="1" t="str">
        <f t="shared" si="2"/>
        <v>06 EE2 170.9</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2027</v>
      </c>
      <c r="D176" s="1" t="s">
        <v>2028</v>
      </c>
      <c r="E176" s="1" t="s">
        <v>2029</v>
      </c>
      <c r="F176" s="1" t="s">
        <v>112</v>
      </c>
      <c r="G176" s="1">
        <v>1237425</v>
      </c>
    </row>
    <row r="177" spans="1:10" x14ac:dyDescent="0.3">
      <c r="A177" s="1" t="str">
        <f t="shared" si="2"/>
        <v>06 EE2 170.9</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2030</v>
      </c>
      <c r="D177" s="1" t="s">
        <v>2031</v>
      </c>
      <c r="E177" s="1" t="s">
        <v>2032</v>
      </c>
      <c r="F177" s="1" t="s">
        <v>112</v>
      </c>
      <c r="G177" s="1">
        <v>999020</v>
      </c>
    </row>
    <row r="178" spans="1:10" x14ac:dyDescent="0.3">
      <c r="A178" s="1" t="str">
        <f t="shared" si="2"/>
        <v>06 EE2 170.9</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2033</v>
      </c>
      <c r="D178" s="1" t="s">
        <v>2034</v>
      </c>
      <c r="E178" s="1" t="s">
        <v>2035</v>
      </c>
      <c r="F178" s="1" t="s">
        <v>112</v>
      </c>
      <c r="G178" s="1">
        <v>852066</v>
      </c>
    </row>
    <row r="179" spans="1:10" x14ac:dyDescent="0.3">
      <c r="A179" s="1" t="str">
        <f t="shared" si="2"/>
        <v>06 EE2 170.9</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2036</v>
      </c>
      <c r="D179" s="1" t="s">
        <v>156</v>
      </c>
      <c r="E179" s="1" t="s">
        <v>2037</v>
      </c>
      <c r="F179" s="1" t="s">
        <v>112</v>
      </c>
      <c r="G179" s="1">
        <v>1162261</v>
      </c>
    </row>
    <row r="180" spans="1:10" x14ac:dyDescent="0.3">
      <c r="A180" s="1" t="str">
        <f t="shared" si="2"/>
        <v>06 EE2 170.9</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2038</v>
      </c>
    </row>
    <row r="181" spans="1:10" x14ac:dyDescent="0.3">
      <c r="A181" s="1" t="str">
        <f t="shared" si="2"/>
        <v>06 EE2 170.9</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2039</v>
      </c>
      <c r="D181" s="1" t="s">
        <v>2040</v>
      </c>
      <c r="E181" s="1" t="s">
        <v>2041</v>
      </c>
      <c r="F181" s="1" t="s">
        <v>112</v>
      </c>
      <c r="G181" s="1">
        <v>885960</v>
      </c>
    </row>
    <row r="182" spans="1:10" x14ac:dyDescent="0.3">
      <c r="A182" s="1" t="str">
        <f t="shared" si="2"/>
        <v>06 EE2 170.9</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2042</v>
      </c>
      <c r="D182" s="1" t="s">
        <v>2043</v>
      </c>
      <c r="E182" s="1" t="s">
        <v>2044</v>
      </c>
      <c r="F182" s="1" t="s">
        <v>112</v>
      </c>
      <c r="G182" s="1">
        <v>1008191</v>
      </c>
    </row>
    <row r="183" spans="1:10" x14ac:dyDescent="0.3">
      <c r="A183" s="1" t="str">
        <f t="shared" si="2"/>
        <v>06 EE2 170.9</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2045</v>
      </c>
      <c r="D183" s="1" t="s">
        <v>2046</v>
      </c>
      <c r="E183" s="1" t="s">
        <v>2047</v>
      </c>
      <c r="F183" s="1" t="s">
        <v>112</v>
      </c>
      <c r="G183" s="1">
        <v>958594</v>
      </c>
    </row>
    <row r="184" spans="1:10" x14ac:dyDescent="0.3">
      <c r="A184" s="1" t="str">
        <f t="shared" si="2"/>
        <v>06 EE2 170.9</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2048</v>
      </c>
      <c r="D184" s="1" t="s">
        <v>2049</v>
      </c>
      <c r="E184" s="1" t="s">
        <v>2050</v>
      </c>
      <c r="F184" s="1" t="s">
        <v>112</v>
      </c>
      <c r="G184" s="1">
        <v>875016</v>
      </c>
    </row>
    <row r="185" spans="1:10" x14ac:dyDescent="0.3">
      <c r="A185" s="1" t="str">
        <f t="shared" si="2"/>
        <v>06 EE2 170.9</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2051</v>
      </c>
      <c r="D185" s="1" t="s">
        <v>2052</v>
      </c>
      <c r="E185" s="1" t="s">
        <v>2053</v>
      </c>
      <c r="F185" s="1" t="s">
        <v>112</v>
      </c>
      <c r="G185" s="1">
        <v>2418525</v>
      </c>
    </row>
    <row r="186" spans="1:10" x14ac:dyDescent="0.3">
      <c r="A186" s="1" t="str">
        <f t="shared" si="2"/>
        <v>06 EE2 170.9</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2054</v>
      </c>
      <c r="D186" s="1" t="s">
        <v>2055</v>
      </c>
      <c r="E186" s="1" t="s">
        <v>2056</v>
      </c>
      <c r="F186" s="1" t="s">
        <v>112</v>
      </c>
      <c r="G186" s="1">
        <v>2350975</v>
      </c>
    </row>
    <row r="187" spans="1:10" x14ac:dyDescent="0.3">
      <c r="A187" s="1" t="str">
        <f t="shared" si="2"/>
        <v>06 EE2 170.9</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2057</v>
      </c>
      <c r="D187" s="1" t="s">
        <v>2058</v>
      </c>
      <c r="E187" s="1" t="s">
        <v>265</v>
      </c>
      <c r="F187" s="1" t="s">
        <v>112</v>
      </c>
      <c r="G187" s="1">
        <v>2440674</v>
      </c>
    </row>
    <row r="188" spans="1:10" x14ac:dyDescent="0.3">
      <c r="A188" s="1" t="str">
        <f t="shared" si="2"/>
        <v>06 EE2 170.9</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2059</v>
      </c>
      <c r="D188" s="1" t="s">
        <v>260</v>
      </c>
      <c r="E188" s="1" t="s">
        <v>2060</v>
      </c>
      <c r="F188" s="1" t="s">
        <v>112</v>
      </c>
      <c r="G188" s="1">
        <v>2080147</v>
      </c>
    </row>
    <row r="189" spans="1:10" x14ac:dyDescent="0.3">
      <c r="A189" s="1" t="str">
        <f t="shared" si="2"/>
        <v>06 EE2 170.9</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2061</v>
      </c>
      <c r="D189" s="1" t="s">
        <v>2062</v>
      </c>
      <c r="E189" s="1" t="s">
        <v>266</v>
      </c>
      <c r="F189" s="1" t="s">
        <v>112</v>
      </c>
      <c r="G189" s="1">
        <v>2368560</v>
      </c>
    </row>
    <row r="190" spans="1:10" x14ac:dyDescent="0.3">
      <c r="A190" s="1" t="str">
        <f t="shared" si="2"/>
        <v>06 EE2 170.9</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2063</v>
      </c>
      <c r="D190" s="1" t="s">
        <v>2064</v>
      </c>
      <c r="E190" s="1" t="s">
        <v>2065</v>
      </c>
      <c r="F190" s="1" t="s">
        <v>112</v>
      </c>
      <c r="G190" s="1">
        <v>2162470</v>
      </c>
    </row>
    <row r="191" spans="1:10" x14ac:dyDescent="0.3">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3">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195</v>
      </c>
      <c r="D192" s="1" t="s">
        <v>112</v>
      </c>
      <c r="E192" s="1" t="s">
        <v>196</v>
      </c>
      <c r="F192" s="1" t="s">
        <v>197</v>
      </c>
      <c r="G192" s="1" t="s">
        <v>198</v>
      </c>
      <c r="H192" s="1" t="s">
        <v>199</v>
      </c>
      <c r="I192" s="1" t="s">
        <v>200</v>
      </c>
      <c r="J192" s="1" t="s">
        <v>201</v>
      </c>
    </row>
    <row r="193" spans="1:10" x14ac:dyDescent="0.3">
      <c r="A193" s="1" t="str">
        <f t="shared" si="2"/>
        <v>06 EE2 170.9</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2066</v>
      </c>
      <c r="D193" s="1" t="s">
        <v>112</v>
      </c>
      <c r="E193" s="1" t="s">
        <v>2067</v>
      </c>
      <c r="F193" s="1" t="s">
        <v>2068</v>
      </c>
      <c r="G193" s="1" t="s">
        <v>2069</v>
      </c>
      <c r="H193" s="1" t="s">
        <v>2070</v>
      </c>
      <c r="I193" s="1">
        <v>24</v>
      </c>
      <c r="J193" s="1">
        <v>24</v>
      </c>
    </row>
    <row r="194" spans="1:10" x14ac:dyDescent="0.3">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3">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3">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3">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3">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3">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202</v>
      </c>
      <c r="D199" s="1" t="s">
        <v>110</v>
      </c>
      <c r="E199" s="1" t="s">
        <v>111</v>
      </c>
      <c r="F199" s="1" t="s">
        <v>112</v>
      </c>
      <c r="G199" s="1" t="s">
        <v>113</v>
      </c>
    </row>
    <row r="200" spans="1:10" x14ac:dyDescent="0.3">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2071</v>
      </c>
      <c r="D200" s="1" t="s">
        <v>2072</v>
      </c>
      <c r="E200" s="1" t="s">
        <v>2073</v>
      </c>
      <c r="F200" s="1" t="s">
        <v>112</v>
      </c>
      <c r="G200" s="1">
        <v>1448922</v>
      </c>
    </row>
    <row r="201" spans="1:10" x14ac:dyDescent="0.3">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2074</v>
      </c>
      <c r="D201" s="1" t="s">
        <v>2075</v>
      </c>
      <c r="E201" s="1" t="s">
        <v>2076</v>
      </c>
      <c r="F201" s="1" t="s">
        <v>112</v>
      </c>
      <c r="G201" s="1">
        <v>1252219</v>
      </c>
    </row>
    <row r="202" spans="1:10" x14ac:dyDescent="0.3">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2077</v>
      </c>
      <c r="D202" s="1" t="s">
        <v>345</v>
      </c>
      <c r="E202" s="1" t="s">
        <v>2078</v>
      </c>
      <c r="F202" s="1" t="s">
        <v>112</v>
      </c>
      <c r="G202" s="1">
        <v>1083420</v>
      </c>
    </row>
    <row r="203" spans="1:10" x14ac:dyDescent="0.3">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2079</v>
      </c>
      <c r="D203" s="1" t="s">
        <v>2080</v>
      </c>
      <c r="E203" s="1" t="s">
        <v>2081</v>
      </c>
      <c r="F203" s="1" t="s">
        <v>112</v>
      </c>
      <c r="G203" s="1">
        <v>989330</v>
      </c>
    </row>
    <row r="204" spans="1:10" x14ac:dyDescent="0.3">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2082</v>
      </c>
      <c r="D204" s="1" t="s">
        <v>2083</v>
      </c>
      <c r="E204" s="1" t="s">
        <v>2084</v>
      </c>
      <c r="F204" s="1" t="s">
        <v>112</v>
      </c>
      <c r="G204" s="1">
        <v>1248067</v>
      </c>
    </row>
    <row r="205" spans="1:10" x14ac:dyDescent="0.3">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2085</v>
      </c>
      <c r="D205" s="1" t="s">
        <v>2086</v>
      </c>
      <c r="E205" s="1" t="s">
        <v>2087</v>
      </c>
      <c r="F205" s="1" t="s">
        <v>112</v>
      </c>
      <c r="G205" s="1">
        <v>1637318</v>
      </c>
    </row>
    <row r="206" spans="1:10" x14ac:dyDescent="0.3">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2088</v>
      </c>
      <c r="D206" s="1" t="s">
        <v>2089</v>
      </c>
      <c r="E206" s="1" t="s">
        <v>2090</v>
      </c>
      <c r="F206" s="1" t="s">
        <v>112</v>
      </c>
      <c r="G206" s="1">
        <v>3321746</v>
      </c>
    </row>
    <row r="207" spans="1:10" x14ac:dyDescent="0.3">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2091</v>
      </c>
    </row>
    <row r="208" spans="1:10" x14ac:dyDescent="0.3">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2092</v>
      </c>
      <c r="D208" s="1" t="s">
        <v>2093</v>
      </c>
      <c r="E208" s="1" t="s">
        <v>2094</v>
      </c>
      <c r="F208" s="1" t="s">
        <v>112</v>
      </c>
      <c r="G208" s="1">
        <v>3235118</v>
      </c>
    </row>
    <row r="209" spans="1:7" x14ac:dyDescent="0.3">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2095</v>
      </c>
      <c r="D209" s="1" t="s">
        <v>2096</v>
      </c>
      <c r="E209" s="1" t="s">
        <v>2097</v>
      </c>
      <c r="F209" s="1" t="s">
        <v>112</v>
      </c>
      <c r="G209" s="1">
        <v>5103920</v>
      </c>
    </row>
    <row r="210" spans="1:7" x14ac:dyDescent="0.3">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2098</v>
      </c>
      <c r="D210" s="1" t="s">
        <v>2099</v>
      </c>
      <c r="E210" s="1" t="s">
        <v>2100</v>
      </c>
      <c r="F210" s="1" t="s">
        <v>112</v>
      </c>
      <c r="G210" s="1">
        <v>5036153</v>
      </c>
    </row>
    <row r="211" spans="1:7" x14ac:dyDescent="0.3">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2101</v>
      </c>
      <c r="D211" s="1" t="s">
        <v>820</v>
      </c>
      <c r="E211" s="1" t="s">
        <v>2102</v>
      </c>
      <c r="F211" s="1" t="s">
        <v>112</v>
      </c>
      <c r="G211" s="1">
        <v>5018330</v>
      </c>
    </row>
    <row r="212" spans="1:7" x14ac:dyDescent="0.3">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2103</v>
      </c>
      <c r="D212" s="1" t="s">
        <v>2104</v>
      </c>
      <c r="E212" s="1" t="s">
        <v>2105</v>
      </c>
      <c r="F212" s="1" t="s">
        <v>112</v>
      </c>
      <c r="G212" s="1">
        <v>4978856</v>
      </c>
    </row>
    <row r="213" spans="1:7" x14ac:dyDescent="0.3">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2106</v>
      </c>
      <c r="D213" s="1" t="s">
        <v>272</v>
      </c>
      <c r="E213" s="1" t="s">
        <v>2107</v>
      </c>
      <c r="F213" s="1" t="s">
        <v>112</v>
      </c>
      <c r="G213" s="1">
        <v>4026708</v>
      </c>
    </row>
    <row r="214" spans="1:7" x14ac:dyDescent="0.3">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2108</v>
      </c>
      <c r="D214" s="1" t="s">
        <v>2109</v>
      </c>
      <c r="E214" s="1" t="s">
        <v>2110</v>
      </c>
      <c r="F214" s="1" t="s">
        <v>112</v>
      </c>
      <c r="G214" s="1">
        <v>4945481</v>
      </c>
    </row>
    <row r="215" spans="1:7" x14ac:dyDescent="0.3">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2111</v>
      </c>
      <c r="D215" s="1" t="s">
        <v>2112</v>
      </c>
      <c r="E215" s="1" t="s">
        <v>2113</v>
      </c>
      <c r="F215" s="1" t="s">
        <v>112</v>
      </c>
      <c r="G215" s="1">
        <v>5645640</v>
      </c>
    </row>
    <row r="216" spans="1:7" x14ac:dyDescent="0.3">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2114</v>
      </c>
      <c r="D216" s="1" t="s">
        <v>2115</v>
      </c>
      <c r="E216" s="1" t="s">
        <v>2116</v>
      </c>
      <c r="F216" s="1" t="s">
        <v>112</v>
      </c>
      <c r="G216" s="1">
        <v>5131368</v>
      </c>
    </row>
    <row r="217" spans="1:7" x14ac:dyDescent="0.3">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2117</v>
      </c>
      <c r="D217" s="1" t="s">
        <v>2118</v>
      </c>
      <c r="E217" s="1" t="s">
        <v>2119</v>
      </c>
      <c r="F217" s="1" t="s">
        <v>112</v>
      </c>
      <c r="G217" s="1">
        <v>5040112</v>
      </c>
    </row>
    <row r="218" spans="1:7" x14ac:dyDescent="0.3">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2120</v>
      </c>
      <c r="D218" s="1" t="s">
        <v>2121</v>
      </c>
      <c r="E218" s="1" t="s">
        <v>2122</v>
      </c>
      <c r="F218" s="1" t="s">
        <v>112</v>
      </c>
      <c r="G218" s="1">
        <v>3452174</v>
      </c>
    </row>
    <row r="219" spans="1:7" x14ac:dyDescent="0.3">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2123</v>
      </c>
      <c r="D219" s="1" t="s">
        <v>1221</v>
      </c>
      <c r="E219" s="1" t="s">
        <v>2124</v>
      </c>
      <c r="F219" s="1" t="s">
        <v>112</v>
      </c>
      <c r="G219" s="1">
        <v>3306778</v>
      </c>
    </row>
    <row r="220" spans="1:7" x14ac:dyDescent="0.3">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2125</v>
      </c>
      <c r="D220" s="1" t="s">
        <v>2126</v>
      </c>
      <c r="E220" s="1" t="s">
        <v>2127</v>
      </c>
      <c r="F220" s="1" t="s">
        <v>112</v>
      </c>
      <c r="G220" s="1">
        <v>3508542</v>
      </c>
    </row>
    <row r="221" spans="1:7" x14ac:dyDescent="0.3">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2128</v>
      </c>
      <c r="D221" s="1" t="s">
        <v>2129</v>
      </c>
      <c r="E221" s="1" t="s">
        <v>2130</v>
      </c>
      <c r="F221" s="1" t="s">
        <v>112</v>
      </c>
      <c r="G221" s="1">
        <v>2969265</v>
      </c>
    </row>
    <row r="222" spans="1:7" x14ac:dyDescent="0.3">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2131</v>
      </c>
      <c r="D222" s="1" t="s">
        <v>2132</v>
      </c>
      <c r="E222" s="1" t="s">
        <v>2133</v>
      </c>
      <c r="F222" s="1" t="s">
        <v>112</v>
      </c>
      <c r="G222" s="1">
        <v>2711048</v>
      </c>
    </row>
    <row r="223" spans="1:7" x14ac:dyDescent="0.3">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2134</v>
      </c>
      <c r="D223" s="1" t="s">
        <v>2135</v>
      </c>
      <c r="E223" s="1" t="s">
        <v>2136</v>
      </c>
      <c r="F223" s="1" t="s">
        <v>112</v>
      </c>
      <c r="G223" s="1">
        <v>2515665</v>
      </c>
    </row>
    <row r="224" spans="1:7" x14ac:dyDescent="0.3">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3">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195</v>
      </c>
      <c r="D225" s="1" t="s">
        <v>112</v>
      </c>
      <c r="E225" s="1" t="s">
        <v>196</v>
      </c>
      <c r="F225" s="1" t="s">
        <v>197</v>
      </c>
      <c r="G225" s="1" t="s">
        <v>198</v>
      </c>
      <c r="H225" s="1" t="s">
        <v>199</v>
      </c>
      <c r="I225" s="1" t="s">
        <v>200</v>
      </c>
      <c r="J225" s="1" t="s">
        <v>201</v>
      </c>
    </row>
    <row r="226" spans="1:10" x14ac:dyDescent="0.3">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2137</v>
      </c>
      <c r="D226" s="1" t="s">
        <v>112</v>
      </c>
      <c r="E226" s="1" t="s">
        <v>2138</v>
      </c>
      <c r="F226" s="1" t="s">
        <v>2139</v>
      </c>
      <c r="G226" s="1" t="s">
        <v>2140</v>
      </c>
      <c r="H226" s="1" t="s">
        <v>2141</v>
      </c>
      <c r="I226" s="1">
        <v>24</v>
      </c>
      <c r="J226" s="1">
        <v>24</v>
      </c>
    </row>
    <row r="227" spans="1:10" x14ac:dyDescent="0.3">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3">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3">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3">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3">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3">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202</v>
      </c>
      <c r="D232" s="1" t="s">
        <v>110</v>
      </c>
      <c r="E232" s="1" t="s">
        <v>111</v>
      </c>
      <c r="F232" s="1" t="s">
        <v>112</v>
      </c>
      <c r="G232" s="1" t="s">
        <v>113</v>
      </c>
    </row>
    <row r="233" spans="1:10" x14ac:dyDescent="0.3">
      <c r="A233" s="1" t="str">
        <f t="shared" si="3"/>
        <v>08 Dutastéride 0.01mg_L</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2142</v>
      </c>
      <c r="D233" s="1" t="s">
        <v>211</v>
      </c>
      <c r="E233" s="1" t="s">
        <v>220</v>
      </c>
      <c r="F233" s="1" t="s">
        <v>112</v>
      </c>
      <c r="G233" s="1">
        <v>24809</v>
      </c>
    </row>
    <row r="234" spans="1:10" x14ac:dyDescent="0.3">
      <c r="A234" s="1" t="str">
        <f t="shared" si="3"/>
        <v>08 Dutastéride 0.01mg_L</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2143</v>
      </c>
      <c r="D234" s="1" t="s">
        <v>444</v>
      </c>
      <c r="E234" s="1" t="s">
        <v>2144</v>
      </c>
      <c r="F234" s="1" t="s">
        <v>112</v>
      </c>
      <c r="G234" s="1">
        <v>165728</v>
      </c>
    </row>
    <row r="235" spans="1:10" x14ac:dyDescent="0.3">
      <c r="A235" s="1" t="str">
        <f t="shared" si="3"/>
        <v>08 Dutastéride 0.01mg_L</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2145</v>
      </c>
      <c r="D235" s="1" t="s">
        <v>214</v>
      </c>
      <c r="E235" s="1" t="s">
        <v>517</v>
      </c>
      <c r="F235" s="1" t="s">
        <v>112</v>
      </c>
      <c r="G235" s="1">
        <v>18991</v>
      </c>
    </row>
    <row r="236" spans="1:10" x14ac:dyDescent="0.3">
      <c r="A236" s="1" t="str">
        <f t="shared" si="3"/>
        <v>08 Dutastéride 0.01mg_L</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2146</v>
      </c>
      <c r="D236" s="1" t="s">
        <v>303</v>
      </c>
      <c r="E236" s="1" t="s">
        <v>1042</v>
      </c>
      <c r="F236" s="1" t="s">
        <v>112</v>
      </c>
      <c r="G236" s="1">
        <v>40794</v>
      </c>
    </row>
    <row r="237" spans="1:10" x14ac:dyDescent="0.3">
      <c r="A237" s="1" t="str">
        <f t="shared" si="3"/>
        <v>08 Dutastéride 0.01mg_L</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2147</v>
      </c>
      <c r="D237" s="1" t="s">
        <v>221</v>
      </c>
      <c r="E237" s="1" t="s">
        <v>2148</v>
      </c>
      <c r="F237" s="1" t="s">
        <v>112</v>
      </c>
      <c r="G237" s="1">
        <v>50181</v>
      </c>
    </row>
    <row r="238" spans="1:10" x14ac:dyDescent="0.3">
      <c r="A238" s="1" t="str">
        <f t="shared" si="3"/>
        <v>08 Dutastéride 0.01mg_L</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2149</v>
      </c>
    </row>
    <row r="239" spans="1:10" x14ac:dyDescent="0.3">
      <c r="A239" s="1" t="str">
        <f t="shared" si="3"/>
        <v>08 Dutastéride 0.01mg_L</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2150</v>
      </c>
      <c r="D239" s="1" t="s">
        <v>2151</v>
      </c>
      <c r="E239" s="1" t="s">
        <v>2152</v>
      </c>
      <c r="F239" s="1" t="s">
        <v>112</v>
      </c>
      <c r="G239" s="1">
        <v>582558</v>
      </c>
    </row>
    <row r="240" spans="1:10" x14ac:dyDescent="0.3">
      <c r="A240" s="1" t="str">
        <f t="shared" si="3"/>
        <v>08 Dutastéride 0.01mg_L</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2153</v>
      </c>
      <c r="D240" s="1" t="s">
        <v>2154</v>
      </c>
      <c r="E240" s="1" t="s">
        <v>2155</v>
      </c>
      <c r="F240" s="1" t="s">
        <v>112</v>
      </c>
      <c r="G240" s="1">
        <v>525152</v>
      </c>
    </row>
    <row r="241" spans="1:7" x14ac:dyDescent="0.3">
      <c r="A241" s="1" t="str">
        <f t="shared" si="3"/>
        <v>08 Dutastéride 0.01mg_L</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2156</v>
      </c>
      <c r="D241" s="1" t="s">
        <v>2157</v>
      </c>
      <c r="E241" s="1" t="s">
        <v>2158</v>
      </c>
      <c r="F241" s="1" t="s">
        <v>112</v>
      </c>
      <c r="G241" s="1">
        <v>469023</v>
      </c>
    </row>
    <row r="242" spans="1:7" x14ac:dyDescent="0.3">
      <c r="A242" s="1" t="str">
        <f t="shared" si="3"/>
        <v>08 Dutastéride 0.01mg_L</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2159</v>
      </c>
      <c r="D242" s="1" t="s">
        <v>2160</v>
      </c>
      <c r="E242" s="1" t="s">
        <v>2161</v>
      </c>
      <c r="F242" s="1" t="s">
        <v>112</v>
      </c>
      <c r="G242" s="1">
        <v>125670</v>
      </c>
    </row>
    <row r="243" spans="1:7" x14ac:dyDescent="0.3">
      <c r="A243" s="1" t="str">
        <f t="shared" si="3"/>
        <v>08 Dutastéride 0.01mg_L</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2162</v>
      </c>
      <c r="D243" s="1" t="s">
        <v>1972</v>
      </c>
      <c r="E243" s="1" t="s">
        <v>2163</v>
      </c>
      <c r="F243" s="1" t="s">
        <v>112</v>
      </c>
      <c r="G243" s="1">
        <v>138323</v>
      </c>
    </row>
    <row r="244" spans="1:7" x14ac:dyDescent="0.3">
      <c r="A244" s="1" t="str">
        <f t="shared" si="3"/>
        <v>08 Dutastéride 0.01mg_L</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2164</v>
      </c>
      <c r="D244" s="1" t="s">
        <v>2165</v>
      </c>
      <c r="E244" s="1" t="s">
        <v>2166</v>
      </c>
      <c r="F244" s="1" t="s">
        <v>112</v>
      </c>
      <c r="G244" s="1">
        <v>117753</v>
      </c>
    </row>
    <row r="245" spans="1:7" x14ac:dyDescent="0.3">
      <c r="A245" s="1" t="str">
        <f t="shared" si="3"/>
        <v>08 Dutastéride 0.01mg_L</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2167</v>
      </c>
      <c r="D245" s="1" t="s">
        <v>2168</v>
      </c>
      <c r="E245" s="1" t="s">
        <v>2169</v>
      </c>
      <c r="F245" s="1" t="s">
        <v>112</v>
      </c>
      <c r="G245" s="1">
        <v>131618</v>
      </c>
    </row>
    <row r="246" spans="1:7" x14ac:dyDescent="0.3">
      <c r="A246" s="1" t="str">
        <f t="shared" si="3"/>
        <v>08 Dutastéride 0.01mg_L</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2170</v>
      </c>
      <c r="D246" s="1" t="s">
        <v>362</v>
      </c>
      <c r="E246" s="1" t="s">
        <v>2171</v>
      </c>
      <c r="F246" s="1" t="s">
        <v>112</v>
      </c>
      <c r="G246" s="1">
        <v>219089</v>
      </c>
    </row>
    <row r="247" spans="1:7" x14ac:dyDescent="0.3">
      <c r="A247" s="1" t="str">
        <f t="shared" si="3"/>
        <v>08 Dutastéride 0.01mg_L</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2172</v>
      </c>
      <c r="D247" s="1" t="s">
        <v>208</v>
      </c>
      <c r="E247" s="1" t="s">
        <v>2173</v>
      </c>
      <c r="F247" s="1" t="s">
        <v>112</v>
      </c>
      <c r="G247" s="1">
        <v>38025</v>
      </c>
    </row>
    <row r="248" spans="1:7" x14ac:dyDescent="0.3">
      <c r="A248" s="1" t="str">
        <f t="shared" si="3"/>
        <v>08 Dutastéride 0.01mg_L</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2174</v>
      </c>
      <c r="D248" s="1" t="s">
        <v>2175</v>
      </c>
      <c r="E248" s="1" t="s">
        <v>2176</v>
      </c>
      <c r="F248" s="1" t="s">
        <v>112</v>
      </c>
      <c r="G248" s="1">
        <v>364399</v>
      </c>
    </row>
    <row r="249" spans="1:7" x14ac:dyDescent="0.3">
      <c r="A249" s="1" t="str">
        <f t="shared" si="3"/>
        <v>08 Dutastéride 0.01mg_L</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2177</v>
      </c>
      <c r="D249" s="1" t="s">
        <v>2178</v>
      </c>
      <c r="E249" s="1" t="s">
        <v>2179</v>
      </c>
      <c r="F249" s="1" t="s">
        <v>112</v>
      </c>
      <c r="G249" s="1">
        <v>334225</v>
      </c>
    </row>
    <row r="250" spans="1:7" x14ac:dyDescent="0.3">
      <c r="A250" s="1" t="str">
        <f t="shared" si="3"/>
        <v>08 Dutastéride 0.01mg_L</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2180</v>
      </c>
      <c r="D250" s="1" t="s">
        <v>206</v>
      </c>
      <c r="E250" s="1" t="s">
        <v>2181</v>
      </c>
      <c r="F250" s="1" t="s">
        <v>112</v>
      </c>
      <c r="G250" s="1">
        <v>282573</v>
      </c>
    </row>
    <row r="251" spans="1:7" x14ac:dyDescent="0.3">
      <c r="A251" s="1" t="str">
        <f t="shared" si="3"/>
        <v>08 Dutastéride 0.01mg_L</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2182</v>
      </c>
      <c r="D251" s="1" t="s">
        <v>533</v>
      </c>
      <c r="E251" s="1" t="s">
        <v>2183</v>
      </c>
      <c r="F251" s="1" t="s">
        <v>112</v>
      </c>
      <c r="G251" s="1">
        <v>533674</v>
      </c>
    </row>
    <row r="252" spans="1:7" x14ac:dyDescent="0.3">
      <c r="A252" s="1" t="str">
        <f t="shared" si="3"/>
        <v>08 Dutastéride 0.01mg_L</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2184</v>
      </c>
      <c r="D252" s="1" t="s">
        <v>1840</v>
      </c>
      <c r="E252" s="1" t="s">
        <v>2185</v>
      </c>
      <c r="F252" s="1" t="s">
        <v>112</v>
      </c>
      <c r="G252" s="1">
        <v>380491</v>
      </c>
    </row>
    <row r="253" spans="1:7" x14ac:dyDescent="0.3">
      <c r="A253" s="1" t="str">
        <f t="shared" si="3"/>
        <v>08 Dutastéride 0.01mg_L</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2186</v>
      </c>
      <c r="D253" s="1" t="s">
        <v>1655</v>
      </c>
      <c r="E253" s="1" t="s">
        <v>2187</v>
      </c>
      <c r="F253" s="1" t="s">
        <v>112</v>
      </c>
      <c r="G253" s="1">
        <v>190408</v>
      </c>
    </row>
    <row r="254" spans="1:7" x14ac:dyDescent="0.3">
      <c r="A254" s="1" t="str">
        <f t="shared" si="3"/>
        <v>08 Dutastéride 0.01mg_L</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2188</v>
      </c>
    </row>
    <row r="255" spans="1:7" x14ac:dyDescent="0.3">
      <c r="A255" s="1" t="str">
        <f t="shared" si="3"/>
        <v>08 Dutastéride 0.01mg_L</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2189</v>
      </c>
    </row>
    <row r="256" spans="1:7" x14ac:dyDescent="0.3">
      <c r="A256" s="1" t="str">
        <f t="shared" si="3"/>
        <v>08 Dutastéride 0.01mg_L</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2190</v>
      </c>
    </row>
    <row r="257" spans="1:10" x14ac:dyDescent="0.3">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3">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195</v>
      </c>
      <c r="D258" s="1" t="s">
        <v>112</v>
      </c>
      <c r="E258" s="1" t="s">
        <v>196</v>
      </c>
      <c r="F258" s="1" t="s">
        <v>197</v>
      </c>
      <c r="G258" s="1" t="s">
        <v>198</v>
      </c>
      <c r="H258" s="1" t="s">
        <v>199</v>
      </c>
      <c r="I258" s="1" t="s">
        <v>200</v>
      </c>
      <c r="J258" s="1" t="s">
        <v>201</v>
      </c>
    </row>
    <row r="259" spans="1:10" x14ac:dyDescent="0.3">
      <c r="A259" s="1" t="str">
        <f t="shared" si="4"/>
        <v>08 Dutastéride 0.01mg_L</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2191</v>
      </c>
      <c r="D259" s="1" t="s">
        <v>112</v>
      </c>
      <c r="E259" s="1" t="s">
        <v>2192</v>
      </c>
      <c r="F259" s="1" t="s">
        <v>2193</v>
      </c>
      <c r="G259" s="1" t="s">
        <v>2194</v>
      </c>
      <c r="H259" s="1" t="s">
        <v>2195</v>
      </c>
      <c r="I259" s="1">
        <v>24</v>
      </c>
      <c r="J259" s="1">
        <v>24</v>
      </c>
    </row>
    <row r="260" spans="1:10" x14ac:dyDescent="0.3">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3">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3">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3">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3">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3">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202</v>
      </c>
      <c r="D265" s="1" t="s">
        <v>110</v>
      </c>
      <c r="E265" s="1" t="s">
        <v>111</v>
      </c>
      <c r="F265" s="1" t="s">
        <v>112</v>
      </c>
      <c r="G265" s="1" t="s">
        <v>113</v>
      </c>
    </row>
    <row r="266" spans="1:10" x14ac:dyDescent="0.3">
      <c r="A266" s="1" t="str">
        <f t="shared" si="4"/>
        <v>09 Dutastéride 0.1mg_L</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2196</v>
      </c>
      <c r="D266" s="1" t="s">
        <v>2197</v>
      </c>
      <c r="E266" s="1" t="s">
        <v>2198</v>
      </c>
      <c r="F266" s="1" t="s">
        <v>112</v>
      </c>
      <c r="G266" s="1">
        <v>756679</v>
      </c>
    </row>
    <row r="267" spans="1:10" x14ac:dyDescent="0.3">
      <c r="A267" s="1" t="str">
        <f t="shared" si="4"/>
        <v>09 Dutastéride 0.1mg_L</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2199</v>
      </c>
      <c r="D267" s="1" t="s">
        <v>987</v>
      </c>
      <c r="E267" s="1" t="s">
        <v>2200</v>
      </c>
      <c r="F267" s="1" t="s">
        <v>112</v>
      </c>
      <c r="G267" s="1">
        <v>215974</v>
      </c>
    </row>
    <row r="268" spans="1:10" x14ac:dyDescent="0.3">
      <c r="A268" s="1" t="str">
        <f t="shared" si="4"/>
        <v>09 Dutastéride 0.1mg_L</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2201</v>
      </c>
      <c r="D268" s="1" t="s">
        <v>2202</v>
      </c>
      <c r="E268" s="1" t="s">
        <v>2203</v>
      </c>
      <c r="F268" s="1" t="s">
        <v>112</v>
      </c>
      <c r="G268" s="1">
        <v>329012</v>
      </c>
    </row>
    <row r="269" spans="1:10" x14ac:dyDescent="0.3">
      <c r="A269" s="1" t="str">
        <f t="shared" si="4"/>
        <v>09 Dutastéride 0.1mg_L</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2204</v>
      </c>
      <c r="D269" s="1" t="s">
        <v>183</v>
      </c>
      <c r="E269" s="1" t="s">
        <v>2205</v>
      </c>
      <c r="F269" s="1" t="s">
        <v>112</v>
      </c>
      <c r="G269" s="1">
        <v>65430</v>
      </c>
    </row>
    <row r="270" spans="1:10" x14ac:dyDescent="0.3">
      <c r="A270" s="1" t="str">
        <f t="shared" si="4"/>
        <v>09 Dutastéride 0.1mg_L</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2206</v>
      </c>
      <c r="D270" s="1" t="s">
        <v>2080</v>
      </c>
      <c r="E270" s="1" t="s">
        <v>2207</v>
      </c>
      <c r="F270" s="1" t="s">
        <v>112</v>
      </c>
      <c r="G270" s="1">
        <v>1444358</v>
      </c>
    </row>
    <row r="271" spans="1:10" x14ac:dyDescent="0.3">
      <c r="A271" s="1" t="str">
        <f t="shared" si="4"/>
        <v>09 Dutastéride 0.1mg_L</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2208</v>
      </c>
      <c r="D271" s="1" t="s">
        <v>237</v>
      </c>
      <c r="E271" s="1" t="s">
        <v>2209</v>
      </c>
      <c r="F271" s="1" t="s">
        <v>112</v>
      </c>
      <c r="G271" s="1">
        <v>589371</v>
      </c>
    </row>
    <row r="272" spans="1:10" x14ac:dyDescent="0.3">
      <c r="A272" s="1" t="str">
        <f t="shared" si="4"/>
        <v>09 Dutastéride 0.1mg_L</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2210</v>
      </c>
      <c r="D272" s="1" t="s">
        <v>214</v>
      </c>
      <c r="E272" s="1" t="s">
        <v>2211</v>
      </c>
      <c r="F272" s="1" t="s">
        <v>112</v>
      </c>
      <c r="G272" s="1">
        <v>19359</v>
      </c>
    </row>
    <row r="273" spans="1:7" x14ac:dyDescent="0.3">
      <c r="A273" s="1" t="str">
        <f t="shared" si="4"/>
        <v>09 Dutastéride 0.1mg_L</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2212</v>
      </c>
      <c r="D273" s="1" t="s">
        <v>2213</v>
      </c>
      <c r="E273" s="1" t="s">
        <v>2214</v>
      </c>
      <c r="F273" s="1" t="s">
        <v>112</v>
      </c>
      <c r="G273" s="1">
        <v>1266279</v>
      </c>
    </row>
    <row r="274" spans="1:7" x14ac:dyDescent="0.3">
      <c r="A274" s="1" t="str">
        <f t="shared" si="4"/>
        <v>09 Dutastéride 0.1mg_L</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2215</v>
      </c>
      <c r="D274" s="1" t="s">
        <v>383</v>
      </c>
      <c r="E274" s="1" t="s">
        <v>2216</v>
      </c>
      <c r="F274" s="1" t="s">
        <v>112</v>
      </c>
      <c r="G274" s="1">
        <v>1252263</v>
      </c>
    </row>
    <row r="275" spans="1:7" x14ac:dyDescent="0.3">
      <c r="A275" s="1" t="str">
        <f t="shared" si="4"/>
        <v>09 Dutastéride 0.1mg_L</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2217</v>
      </c>
      <c r="D275" s="1" t="s">
        <v>2218</v>
      </c>
      <c r="E275" s="1" t="s">
        <v>2219</v>
      </c>
      <c r="F275" s="1" t="s">
        <v>112</v>
      </c>
      <c r="G275" s="1">
        <v>488836</v>
      </c>
    </row>
    <row r="276" spans="1:7" x14ac:dyDescent="0.3">
      <c r="A276" s="1" t="str">
        <f t="shared" si="4"/>
        <v>09 Dutastéride 0.1mg_L</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2220</v>
      </c>
      <c r="D276" s="1" t="s">
        <v>2221</v>
      </c>
      <c r="E276" s="1" t="s">
        <v>2222</v>
      </c>
      <c r="F276" s="1" t="s">
        <v>112</v>
      </c>
      <c r="G276" s="1">
        <v>149852</v>
      </c>
    </row>
    <row r="277" spans="1:7" x14ac:dyDescent="0.3">
      <c r="A277" s="1" t="str">
        <f t="shared" si="4"/>
        <v>09 Dutastéride 0.1mg_L</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2223</v>
      </c>
      <c r="D277" s="1" t="s">
        <v>233</v>
      </c>
      <c r="E277" s="1" t="s">
        <v>2224</v>
      </c>
      <c r="F277" s="1" t="s">
        <v>112</v>
      </c>
      <c r="G277" s="1">
        <v>55286</v>
      </c>
    </row>
    <row r="278" spans="1:7" x14ac:dyDescent="0.3">
      <c r="A278" s="1" t="str">
        <f t="shared" si="4"/>
        <v>09 Dutastéride 0.1mg_L</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2225</v>
      </c>
      <c r="D278" s="1" t="s">
        <v>1723</v>
      </c>
      <c r="E278" s="1" t="s">
        <v>2226</v>
      </c>
      <c r="F278" s="1" t="s">
        <v>112</v>
      </c>
      <c r="G278" s="1">
        <v>315169</v>
      </c>
    </row>
    <row r="279" spans="1:7" x14ac:dyDescent="0.3">
      <c r="A279" s="1" t="str">
        <f t="shared" si="4"/>
        <v>09 Dutastéride 0.1mg_L</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2227</v>
      </c>
      <c r="D279" s="1" t="s">
        <v>2228</v>
      </c>
      <c r="E279" s="1" t="s">
        <v>2229</v>
      </c>
      <c r="F279" s="1" t="s">
        <v>112</v>
      </c>
      <c r="G279" s="1">
        <v>213119</v>
      </c>
    </row>
    <row r="280" spans="1:7" x14ac:dyDescent="0.3">
      <c r="A280" s="1" t="str">
        <f t="shared" si="4"/>
        <v>09 Dutastéride 0.1mg_L</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2230</v>
      </c>
      <c r="D280" s="1" t="s">
        <v>243</v>
      </c>
      <c r="E280" s="1" t="s">
        <v>2231</v>
      </c>
      <c r="F280" s="1" t="s">
        <v>112</v>
      </c>
      <c r="G280" s="1">
        <v>104537</v>
      </c>
    </row>
    <row r="281" spans="1:7" x14ac:dyDescent="0.3">
      <c r="A281" s="1" t="str">
        <f t="shared" si="4"/>
        <v>09 Dutastéride 0.1mg_L</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2232</v>
      </c>
      <c r="D281" s="1" t="s">
        <v>379</v>
      </c>
      <c r="E281" s="1" t="s">
        <v>2233</v>
      </c>
      <c r="F281" s="1" t="s">
        <v>112</v>
      </c>
      <c r="G281" s="1">
        <v>238037</v>
      </c>
    </row>
    <row r="282" spans="1:7" x14ac:dyDescent="0.3">
      <c r="A282" s="1" t="str">
        <f t="shared" si="4"/>
        <v>09 Dutastéride 0.1mg_L</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2234</v>
      </c>
      <c r="D282" s="1" t="s">
        <v>334</v>
      </c>
      <c r="E282" s="1" t="s">
        <v>2235</v>
      </c>
      <c r="F282" s="1" t="s">
        <v>112</v>
      </c>
      <c r="G282" s="1">
        <v>35084</v>
      </c>
    </row>
    <row r="283" spans="1:7" x14ac:dyDescent="0.3">
      <c r="A283" s="1" t="str">
        <f t="shared" si="4"/>
        <v>09 Dutastéride 0.1mg_L</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2236</v>
      </c>
      <c r="D283" s="1" t="s">
        <v>2237</v>
      </c>
      <c r="E283" s="1" t="s">
        <v>2238</v>
      </c>
      <c r="F283" s="1" t="s">
        <v>112</v>
      </c>
      <c r="G283" s="1">
        <v>372250</v>
      </c>
    </row>
    <row r="284" spans="1:7" x14ac:dyDescent="0.3">
      <c r="A284" s="1" t="str">
        <f t="shared" si="4"/>
        <v>09 Dutastéride 0.1mg_L</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2239</v>
      </c>
      <c r="D284" s="1" t="s">
        <v>508</v>
      </c>
      <c r="E284" s="1" t="s">
        <v>2240</v>
      </c>
      <c r="F284" s="1" t="s">
        <v>112</v>
      </c>
      <c r="G284" s="1">
        <v>300353</v>
      </c>
    </row>
    <row r="285" spans="1:7" x14ac:dyDescent="0.3">
      <c r="A285" s="1" t="str">
        <f t="shared" si="4"/>
        <v>09 Dutastéride 0.1mg_L</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2241</v>
      </c>
      <c r="D285" s="1" t="s">
        <v>524</v>
      </c>
      <c r="E285" s="1" t="s">
        <v>2242</v>
      </c>
      <c r="F285" s="1" t="s">
        <v>112</v>
      </c>
      <c r="G285" s="1">
        <v>83275</v>
      </c>
    </row>
    <row r="286" spans="1:7" x14ac:dyDescent="0.3">
      <c r="A286" s="1" t="str">
        <f t="shared" si="4"/>
        <v>09 Dutastéride 0.1mg_L</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2243</v>
      </c>
      <c r="D286" s="1" t="s">
        <v>309</v>
      </c>
      <c r="E286" s="1" t="s">
        <v>600</v>
      </c>
      <c r="F286" s="1" t="s">
        <v>112</v>
      </c>
      <c r="G286" s="1">
        <v>85719</v>
      </c>
    </row>
    <row r="287" spans="1:7" x14ac:dyDescent="0.3">
      <c r="A287" s="1" t="str">
        <f t="shared" si="4"/>
        <v>09 Dutastéride 0.1mg_L</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2244</v>
      </c>
      <c r="D287" s="1" t="s">
        <v>183</v>
      </c>
      <c r="E287" s="1" t="s">
        <v>2245</v>
      </c>
      <c r="F287" s="1" t="s">
        <v>112</v>
      </c>
      <c r="G287" s="1">
        <v>62770</v>
      </c>
    </row>
    <row r="288" spans="1:7" x14ac:dyDescent="0.3">
      <c r="A288" s="1" t="str">
        <f t="shared" si="4"/>
        <v>09 Dutastéride 0.1mg_L</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2246</v>
      </c>
      <c r="D288" s="1" t="s">
        <v>1024</v>
      </c>
      <c r="E288" s="1" t="s">
        <v>2247</v>
      </c>
      <c r="F288" s="1" t="s">
        <v>112</v>
      </c>
      <c r="G288" s="1">
        <v>104408</v>
      </c>
    </row>
    <row r="289" spans="1:10" x14ac:dyDescent="0.3">
      <c r="A289" s="1" t="str">
        <f t="shared" si="4"/>
        <v>09 Dutastéride 0.1mg_L</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2248</v>
      </c>
      <c r="D289" s="1" t="s">
        <v>349</v>
      </c>
      <c r="E289" s="1" t="s">
        <v>2249</v>
      </c>
      <c r="F289" s="1" t="s">
        <v>112</v>
      </c>
      <c r="G289" s="1">
        <v>76786</v>
      </c>
    </row>
    <row r="290" spans="1:10" x14ac:dyDescent="0.3">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3">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195</v>
      </c>
      <c r="D291" s="1" t="s">
        <v>112</v>
      </c>
      <c r="E291" s="1" t="s">
        <v>196</v>
      </c>
      <c r="F291" s="1" t="s">
        <v>197</v>
      </c>
      <c r="G291" s="1" t="s">
        <v>198</v>
      </c>
      <c r="H291" s="1" t="s">
        <v>199</v>
      </c>
      <c r="I291" s="1" t="s">
        <v>200</v>
      </c>
      <c r="J291" s="1" t="s">
        <v>201</v>
      </c>
    </row>
    <row r="292" spans="1:10" x14ac:dyDescent="0.3">
      <c r="A292" s="1" t="str">
        <f t="shared" si="4"/>
        <v>09 Dutastéride 0.1mg_L</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2250</v>
      </c>
      <c r="D292" s="1" t="s">
        <v>112</v>
      </c>
      <c r="E292" s="1" t="s">
        <v>2251</v>
      </c>
      <c r="F292" s="1" t="s">
        <v>2252</v>
      </c>
      <c r="G292" s="1" t="s">
        <v>2253</v>
      </c>
      <c r="H292" s="1" t="s">
        <v>2254</v>
      </c>
      <c r="I292" s="1">
        <v>24</v>
      </c>
      <c r="J292" s="1">
        <v>24</v>
      </c>
    </row>
    <row r="293" spans="1:10" x14ac:dyDescent="0.3">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3">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3">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3">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3">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3">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202</v>
      </c>
      <c r="D298" s="1" t="s">
        <v>110</v>
      </c>
      <c r="E298" s="1" t="s">
        <v>111</v>
      </c>
      <c r="F298" s="1" t="s">
        <v>112</v>
      </c>
      <c r="G298" s="1" t="s">
        <v>113</v>
      </c>
    </row>
    <row r="299" spans="1:10" x14ac:dyDescent="0.3">
      <c r="A299" s="1" t="str">
        <f t="shared" si="4"/>
        <v>10 Dutastéride 0.25mg_L</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2255</v>
      </c>
      <c r="D299" s="1" t="s">
        <v>177</v>
      </c>
      <c r="E299" s="1" t="s">
        <v>2256</v>
      </c>
      <c r="F299" s="1" t="s">
        <v>112</v>
      </c>
      <c r="G299" s="1">
        <v>23923</v>
      </c>
    </row>
    <row r="300" spans="1:10" x14ac:dyDescent="0.3">
      <c r="A300" s="1" t="str">
        <f t="shared" si="4"/>
        <v>10 Dutastéride 0.25mg_L</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2257</v>
      </c>
      <c r="D300" s="1" t="s">
        <v>180</v>
      </c>
      <c r="E300" s="1" t="s">
        <v>339</v>
      </c>
      <c r="F300" s="1" t="s">
        <v>112</v>
      </c>
      <c r="G300" s="1">
        <v>12524</v>
      </c>
    </row>
    <row r="301" spans="1:10" x14ac:dyDescent="0.3">
      <c r="A301" s="1" t="str">
        <f t="shared" si="4"/>
        <v>10 Dutastéride 0.25mg_L</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2258</v>
      </c>
      <c r="D301" s="1" t="s">
        <v>192</v>
      </c>
      <c r="E301" s="1" t="s">
        <v>2259</v>
      </c>
      <c r="F301" s="1" t="s">
        <v>112</v>
      </c>
      <c r="G301" s="1">
        <v>13562</v>
      </c>
    </row>
    <row r="302" spans="1:10" x14ac:dyDescent="0.3">
      <c r="A302" s="1" t="str">
        <f t="shared" si="4"/>
        <v>10 Dutastéride 0.25mg_L</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2260</v>
      </c>
      <c r="D302" s="1" t="s">
        <v>189</v>
      </c>
      <c r="E302" s="1" t="s">
        <v>2235</v>
      </c>
      <c r="F302" s="1" t="s">
        <v>112</v>
      </c>
      <c r="G302" s="1">
        <v>70167</v>
      </c>
    </row>
    <row r="303" spans="1:10" x14ac:dyDescent="0.3">
      <c r="A303" s="1" t="str">
        <f t="shared" si="4"/>
        <v>10 Dutastéride 0.25mg_L</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2261</v>
      </c>
      <c r="D303" s="1" t="s">
        <v>188</v>
      </c>
      <c r="E303" s="1" t="s">
        <v>2262</v>
      </c>
      <c r="F303" s="1" t="s">
        <v>112</v>
      </c>
      <c r="G303" s="1">
        <v>33072</v>
      </c>
    </row>
    <row r="304" spans="1:10" x14ac:dyDescent="0.3">
      <c r="A304" s="1" t="str">
        <f t="shared" si="4"/>
        <v>10 Dutastéride 0.25mg_L</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2263</v>
      </c>
      <c r="D304" s="1" t="s">
        <v>242</v>
      </c>
      <c r="E304" s="1" t="s">
        <v>2264</v>
      </c>
      <c r="F304" s="1" t="s">
        <v>112</v>
      </c>
      <c r="G304" s="1">
        <v>121495</v>
      </c>
    </row>
    <row r="305" spans="1:7" x14ac:dyDescent="0.3">
      <c r="A305" s="1" t="str">
        <f t="shared" si="4"/>
        <v>10 Dutastéride 0.25mg_L</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2265</v>
      </c>
      <c r="D305" s="1" t="s">
        <v>952</v>
      </c>
      <c r="E305" s="1" t="s">
        <v>2266</v>
      </c>
      <c r="F305" s="1" t="s">
        <v>112</v>
      </c>
      <c r="G305" s="1">
        <v>247338</v>
      </c>
    </row>
    <row r="306" spans="1:7" x14ac:dyDescent="0.3">
      <c r="A306" s="1" t="str">
        <f t="shared" si="4"/>
        <v>10 Dutastéride 0.25mg_L</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2267</v>
      </c>
      <c r="D306" s="1" t="s">
        <v>245</v>
      </c>
      <c r="E306" s="1" t="s">
        <v>2268</v>
      </c>
      <c r="F306" s="1" t="s">
        <v>112</v>
      </c>
      <c r="G306" s="1">
        <v>30325</v>
      </c>
    </row>
    <row r="307" spans="1:7" x14ac:dyDescent="0.3">
      <c r="A307" s="1" t="str">
        <f t="shared" si="4"/>
        <v>10 Dutastéride 0.25mg_L</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2269</v>
      </c>
      <c r="D307" s="1" t="s">
        <v>204</v>
      </c>
      <c r="E307" s="1" t="s">
        <v>2270</v>
      </c>
      <c r="F307" s="1" t="s">
        <v>112</v>
      </c>
      <c r="G307" s="1">
        <v>26259</v>
      </c>
    </row>
    <row r="308" spans="1:7" x14ac:dyDescent="0.3">
      <c r="A308" s="1" t="str">
        <f t="shared" si="4"/>
        <v>10 Dutastéride 0.25mg_L</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2271</v>
      </c>
      <c r="D308" s="1" t="s">
        <v>2272</v>
      </c>
      <c r="E308" s="1" t="s">
        <v>2273</v>
      </c>
      <c r="F308" s="1" t="s">
        <v>112</v>
      </c>
      <c r="G308" s="1">
        <v>695055</v>
      </c>
    </row>
    <row r="309" spans="1:7" x14ac:dyDescent="0.3">
      <c r="A309" s="1" t="str">
        <f t="shared" si="4"/>
        <v>10 Dutastéride 0.25mg_L</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2274</v>
      </c>
      <c r="D309" s="1" t="s">
        <v>2275</v>
      </c>
      <c r="E309" s="1" t="s">
        <v>2276</v>
      </c>
      <c r="F309" s="1" t="s">
        <v>112</v>
      </c>
      <c r="G309" s="1">
        <v>465475</v>
      </c>
    </row>
    <row r="310" spans="1:7" x14ac:dyDescent="0.3">
      <c r="A310" s="1" t="str">
        <f t="shared" si="4"/>
        <v>10 Dutastéride 0.25mg_L</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2277</v>
      </c>
      <c r="D310" s="1" t="s">
        <v>2278</v>
      </c>
      <c r="E310" s="1" t="s">
        <v>2279</v>
      </c>
      <c r="F310" s="1" t="s">
        <v>112</v>
      </c>
      <c r="G310" s="1">
        <v>213682</v>
      </c>
    </row>
    <row r="311" spans="1:7" x14ac:dyDescent="0.3">
      <c r="A311" s="1" t="str">
        <f t="shared" si="4"/>
        <v>10 Dutastéride 0.25mg_L</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2280</v>
      </c>
      <c r="D311" s="1" t="s">
        <v>222</v>
      </c>
      <c r="E311" s="1" t="s">
        <v>1769</v>
      </c>
      <c r="F311" s="1" t="s">
        <v>112</v>
      </c>
      <c r="G311" s="1">
        <v>35841</v>
      </c>
    </row>
    <row r="312" spans="1:7" x14ac:dyDescent="0.3">
      <c r="A312" s="1" t="str">
        <f t="shared" si="4"/>
        <v>10 Dutastéride 0.25mg_L</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2281</v>
      </c>
      <c r="D312" s="1" t="s">
        <v>180</v>
      </c>
      <c r="E312" s="1" t="s">
        <v>2282</v>
      </c>
      <c r="F312" s="1" t="s">
        <v>112</v>
      </c>
      <c r="G312" s="1">
        <v>13194</v>
      </c>
    </row>
    <row r="313" spans="1:7" x14ac:dyDescent="0.3">
      <c r="A313" s="1" t="str">
        <f t="shared" si="4"/>
        <v>10 Dutastéride 0.25mg_L</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2283</v>
      </c>
      <c r="D313" s="1" t="s">
        <v>318</v>
      </c>
      <c r="E313" s="1" t="s">
        <v>2284</v>
      </c>
      <c r="F313" s="1" t="s">
        <v>112</v>
      </c>
      <c r="G313" s="1">
        <v>47261</v>
      </c>
    </row>
    <row r="314" spans="1:7" x14ac:dyDescent="0.3">
      <c r="A314" s="1" t="str">
        <f t="shared" si="4"/>
        <v>10 Dutastéride 0.25mg_L</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2285</v>
      </c>
      <c r="D314" s="1" t="s">
        <v>194</v>
      </c>
      <c r="E314" s="1" t="s">
        <v>2286</v>
      </c>
      <c r="F314" s="1" t="s">
        <v>112</v>
      </c>
      <c r="G314" s="1">
        <v>20375</v>
      </c>
    </row>
    <row r="315" spans="1:7" x14ac:dyDescent="0.3">
      <c r="A315" s="1" t="str">
        <f t="shared" si="4"/>
        <v>10 Dutastéride 0.25mg_L</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2287</v>
      </c>
      <c r="D315" s="1" t="s">
        <v>194</v>
      </c>
      <c r="E315" s="1" t="s">
        <v>2288</v>
      </c>
      <c r="F315" s="1" t="s">
        <v>112</v>
      </c>
      <c r="G315" s="1">
        <v>21003</v>
      </c>
    </row>
    <row r="316" spans="1:7" x14ac:dyDescent="0.3">
      <c r="A316" s="1" t="str">
        <f t="shared" si="4"/>
        <v>10 Dutastéride 0.25mg_L</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2289</v>
      </c>
      <c r="D316" s="1" t="s">
        <v>214</v>
      </c>
      <c r="E316" s="1" t="s">
        <v>1018</v>
      </c>
      <c r="F316" s="1" t="s">
        <v>112</v>
      </c>
      <c r="G316" s="1">
        <v>19164</v>
      </c>
    </row>
    <row r="317" spans="1:7" x14ac:dyDescent="0.3">
      <c r="A317" s="1" t="str">
        <f t="shared" si="4"/>
        <v>10 Dutastéride 0.25mg_L</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2290</v>
      </c>
      <c r="D317" s="1" t="s">
        <v>2291</v>
      </c>
      <c r="E317" s="1" t="s">
        <v>2292</v>
      </c>
      <c r="F317" s="1" t="s">
        <v>112</v>
      </c>
      <c r="G317" s="1">
        <v>178706</v>
      </c>
    </row>
    <row r="318" spans="1:7" x14ac:dyDescent="0.3">
      <c r="A318" s="1" t="str">
        <f t="shared" si="4"/>
        <v>10 Dutastéride 0.25mg_L</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2293</v>
      </c>
      <c r="D318" s="1" t="s">
        <v>303</v>
      </c>
      <c r="E318" s="1" t="s">
        <v>890</v>
      </c>
      <c r="F318" s="1" t="s">
        <v>112</v>
      </c>
      <c r="G318" s="1">
        <v>41594</v>
      </c>
    </row>
    <row r="319" spans="1:7" x14ac:dyDescent="0.3">
      <c r="A319" s="1" t="str">
        <f t="shared" si="4"/>
        <v>10 Dutastéride 0.25mg_L</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2294</v>
      </c>
      <c r="D319" s="1" t="s">
        <v>214</v>
      </c>
      <c r="E319" s="1" t="s">
        <v>215</v>
      </c>
      <c r="F319" s="1" t="s">
        <v>112</v>
      </c>
      <c r="G319" s="1">
        <v>19013</v>
      </c>
    </row>
    <row r="320" spans="1:7" x14ac:dyDescent="0.3">
      <c r="A320" s="1" t="str">
        <f t="shared" si="4"/>
        <v>10 Dutastéride 0.25mg_L</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2295</v>
      </c>
      <c r="D320" s="1" t="s">
        <v>665</v>
      </c>
      <c r="E320" s="1" t="s">
        <v>2296</v>
      </c>
      <c r="F320" s="1" t="s">
        <v>112</v>
      </c>
      <c r="G320" s="1">
        <v>500948</v>
      </c>
    </row>
    <row r="321" spans="1:10" x14ac:dyDescent="0.3">
      <c r="A321" s="1" t="str">
        <f t="shared" si="4"/>
        <v>10 Dutastéride 0.25mg_L</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2297</v>
      </c>
      <c r="D321" s="1" t="s">
        <v>1883</v>
      </c>
      <c r="E321" s="1" t="s">
        <v>2298</v>
      </c>
      <c r="F321" s="1" t="s">
        <v>112</v>
      </c>
      <c r="G321" s="1">
        <v>133002</v>
      </c>
    </row>
    <row r="322" spans="1:10" x14ac:dyDescent="0.3">
      <c r="A322" s="1" t="str">
        <f t="shared" ref="A322:A385" si="5">IFERROR(LEFT(RIGHT(C322,LEN(C322)-SEARCH("@",C322)),SEARCH("/",RIGHT(C322,LEN(C322)-SEARCH("@",C322)-1))),"")</f>
        <v>10 Dutastéride 0.25mg_L</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2299</v>
      </c>
      <c r="D322" s="1" t="s">
        <v>2300</v>
      </c>
      <c r="E322" s="1" t="s">
        <v>2301</v>
      </c>
      <c r="F322" s="1" t="s">
        <v>112</v>
      </c>
      <c r="G322" s="1">
        <v>322458</v>
      </c>
    </row>
    <row r="323" spans="1:10" x14ac:dyDescent="0.3">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3">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195</v>
      </c>
      <c r="D324" s="1" t="s">
        <v>112</v>
      </c>
      <c r="E324" s="1" t="s">
        <v>196</v>
      </c>
      <c r="F324" s="1" t="s">
        <v>197</v>
      </c>
      <c r="G324" s="1" t="s">
        <v>198</v>
      </c>
      <c r="H324" s="1" t="s">
        <v>199</v>
      </c>
      <c r="I324" s="1" t="s">
        <v>200</v>
      </c>
      <c r="J324" s="1" t="s">
        <v>201</v>
      </c>
    </row>
    <row r="325" spans="1:10" x14ac:dyDescent="0.3">
      <c r="A325" s="1" t="str">
        <f t="shared" si="5"/>
        <v>10 Dutastéride 0.25mg_L</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2302</v>
      </c>
      <c r="D325" s="1" t="s">
        <v>112</v>
      </c>
      <c r="E325" s="1" t="s">
        <v>2303</v>
      </c>
      <c r="F325" s="1" t="s">
        <v>2304</v>
      </c>
      <c r="G325" s="1" t="s">
        <v>2305</v>
      </c>
      <c r="H325" s="1" t="s">
        <v>2306</v>
      </c>
      <c r="I325" s="1">
        <v>24</v>
      </c>
      <c r="J325" s="1">
        <v>24</v>
      </c>
    </row>
    <row r="326" spans="1:10" x14ac:dyDescent="0.3">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3">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3">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3">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3">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3">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202</v>
      </c>
      <c r="D331" s="1" t="s">
        <v>110</v>
      </c>
      <c r="E331" s="1" t="s">
        <v>111</v>
      </c>
      <c r="F331" s="1" t="s">
        <v>112</v>
      </c>
      <c r="G331" s="1" t="s">
        <v>113</v>
      </c>
    </row>
    <row r="332" spans="1:10" x14ac:dyDescent="0.3">
      <c r="A332" s="1" t="str">
        <f t="shared" si="5"/>
        <v>11 Dutastéride 0.5mg_L</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2307</v>
      </c>
      <c r="D332" s="1" t="s">
        <v>2308</v>
      </c>
      <c r="E332" s="1" t="s">
        <v>2309</v>
      </c>
      <c r="F332" s="1" t="s">
        <v>112</v>
      </c>
      <c r="G332" s="1">
        <v>455980</v>
      </c>
    </row>
    <row r="333" spans="1:10" x14ac:dyDescent="0.3">
      <c r="A333" s="1" t="str">
        <f t="shared" si="5"/>
        <v>11 Dutastéride 0.5mg_L</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2310</v>
      </c>
      <c r="D333" s="1" t="s">
        <v>1002</v>
      </c>
      <c r="E333" s="1" t="s">
        <v>2311</v>
      </c>
      <c r="F333" s="1" t="s">
        <v>112</v>
      </c>
      <c r="G333" s="1">
        <v>339222</v>
      </c>
    </row>
    <row r="334" spans="1:10" x14ac:dyDescent="0.3">
      <c r="A334" s="1" t="str">
        <f t="shared" si="5"/>
        <v>11 Dutastéride 0.5mg_L</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2312</v>
      </c>
      <c r="D334" s="1" t="s">
        <v>368</v>
      </c>
      <c r="E334" s="1" t="s">
        <v>2313</v>
      </c>
      <c r="F334" s="1" t="s">
        <v>112</v>
      </c>
      <c r="G334" s="1">
        <v>456758</v>
      </c>
    </row>
    <row r="335" spans="1:10" x14ac:dyDescent="0.3">
      <c r="A335" s="1" t="str">
        <f t="shared" si="5"/>
        <v>11 Dutastéride 0.5mg_L</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2314</v>
      </c>
      <c r="D335" s="1" t="s">
        <v>218</v>
      </c>
      <c r="E335" s="1" t="s">
        <v>2315</v>
      </c>
      <c r="F335" s="1" t="s">
        <v>112</v>
      </c>
      <c r="G335" s="1">
        <v>40794</v>
      </c>
    </row>
    <row r="336" spans="1:10" x14ac:dyDescent="0.3">
      <c r="A336" s="1" t="str">
        <f t="shared" si="5"/>
        <v>11 Dutastéride 0.5mg_L</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2316</v>
      </c>
      <c r="D336" s="1" t="s">
        <v>326</v>
      </c>
      <c r="E336" s="1" t="s">
        <v>2317</v>
      </c>
      <c r="F336" s="1" t="s">
        <v>112</v>
      </c>
      <c r="G336" s="1">
        <v>30758</v>
      </c>
    </row>
    <row r="337" spans="1:7" x14ac:dyDescent="0.3">
      <c r="A337" s="1" t="str">
        <f t="shared" si="5"/>
        <v>11 Dutastéride 0.5mg_L</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2318</v>
      </c>
      <c r="D337" s="1" t="s">
        <v>2319</v>
      </c>
      <c r="E337" s="1" t="s">
        <v>2320</v>
      </c>
      <c r="F337" s="1" t="s">
        <v>112</v>
      </c>
      <c r="G337" s="1">
        <v>189197</v>
      </c>
    </row>
    <row r="338" spans="1:7" x14ac:dyDescent="0.3">
      <c r="A338" s="1" t="str">
        <f t="shared" si="5"/>
        <v>11 Dutastéride 0.5mg_L</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2321</v>
      </c>
      <c r="D338" s="1" t="s">
        <v>572</v>
      </c>
      <c r="E338" s="1" t="s">
        <v>2322</v>
      </c>
      <c r="F338" s="1" t="s">
        <v>112</v>
      </c>
      <c r="G338" s="1">
        <v>118726</v>
      </c>
    </row>
    <row r="339" spans="1:7" x14ac:dyDescent="0.3">
      <c r="A339" s="1" t="str">
        <f t="shared" si="5"/>
        <v>11 Dutastéride 0.5mg_L</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2323</v>
      </c>
      <c r="D339" s="1" t="s">
        <v>246</v>
      </c>
      <c r="E339" s="1" t="s">
        <v>2324</v>
      </c>
      <c r="F339" s="1" t="s">
        <v>112</v>
      </c>
      <c r="G339" s="1">
        <v>198541</v>
      </c>
    </row>
    <row r="340" spans="1:7" x14ac:dyDescent="0.3">
      <c r="A340" s="1" t="str">
        <f t="shared" si="5"/>
        <v>11 Dutastéride 0.5mg_L</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2325</v>
      </c>
      <c r="D340" s="1" t="s">
        <v>172</v>
      </c>
      <c r="E340" s="1" t="s">
        <v>2326</v>
      </c>
      <c r="F340" s="1" t="s">
        <v>112</v>
      </c>
      <c r="G340" s="1">
        <v>132072</v>
      </c>
    </row>
    <row r="341" spans="1:7" x14ac:dyDescent="0.3">
      <c r="A341" s="1" t="str">
        <f t="shared" si="5"/>
        <v>11 Dutastéride 0.5mg_L</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2327</v>
      </c>
      <c r="D341" s="1" t="s">
        <v>239</v>
      </c>
      <c r="E341" s="1" t="s">
        <v>2328</v>
      </c>
      <c r="F341" s="1" t="s">
        <v>112</v>
      </c>
      <c r="G341" s="1">
        <v>39648</v>
      </c>
    </row>
    <row r="342" spans="1:7" x14ac:dyDescent="0.3">
      <c r="A342" s="1" t="str">
        <f t="shared" si="5"/>
        <v>11 Dutastéride 0.5mg_L</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2329</v>
      </c>
      <c r="D342" s="1" t="s">
        <v>190</v>
      </c>
      <c r="E342" s="1" t="s">
        <v>2330</v>
      </c>
      <c r="F342" s="1" t="s">
        <v>112</v>
      </c>
      <c r="G342" s="1">
        <v>48278</v>
      </c>
    </row>
    <row r="343" spans="1:7" x14ac:dyDescent="0.3">
      <c r="A343" s="1" t="str">
        <f t="shared" si="5"/>
        <v>11 Dutastéride 0.5mg_L</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2331</v>
      </c>
      <c r="D343" s="1" t="s">
        <v>333</v>
      </c>
      <c r="E343" s="1" t="s">
        <v>2332</v>
      </c>
      <c r="F343" s="1" t="s">
        <v>112</v>
      </c>
      <c r="G343" s="1">
        <v>181929</v>
      </c>
    </row>
    <row r="344" spans="1:7" x14ac:dyDescent="0.3">
      <c r="A344" s="1" t="str">
        <f t="shared" si="5"/>
        <v>11 Dutastéride 0.5mg_L</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2333</v>
      </c>
      <c r="D344" s="1" t="s">
        <v>2334</v>
      </c>
      <c r="E344" s="1" t="s">
        <v>2335</v>
      </c>
      <c r="F344" s="1" t="s">
        <v>112</v>
      </c>
      <c r="G344" s="1">
        <v>215607</v>
      </c>
    </row>
    <row r="345" spans="1:7" x14ac:dyDescent="0.3">
      <c r="A345" s="1" t="str">
        <f t="shared" si="5"/>
        <v>11 Dutastéride 0.5mg_L</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2336</v>
      </c>
      <c r="D345" s="1" t="s">
        <v>1840</v>
      </c>
      <c r="E345" s="1" t="s">
        <v>2337</v>
      </c>
      <c r="F345" s="1" t="s">
        <v>112</v>
      </c>
      <c r="G345" s="1">
        <v>384471</v>
      </c>
    </row>
    <row r="346" spans="1:7" x14ac:dyDescent="0.3">
      <c r="A346" s="1" t="str">
        <f t="shared" si="5"/>
        <v>11 Dutastéride 0.5mg_L</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2338</v>
      </c>
      <c r="D346" s="1" t="s">
        <v>983</v>
      </c>
      <c r="E346" s="1" t="s">
        <v>2339</v>
      </c>
      <c r="F346" s="1" t="s">
        <v>112</v>
      </c>
      <c r="G346" s="1">
        <v>139470</v>
      </c>
    </row>
    <row r="347" spans="1:7" x14ac:dyDescent="0.3">
      <c r="A347" s="1" t="str">
        <f t="shared" si="5"/>
        <v>11 Dutastéride 0.5mg_L</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2340</v>
      </c>
      <c r="D347" s="1" t="s">
        <v>270</v>
      </c>
      <c r="E347" s="1" t="s">
        <v>2341</v>
      </c>
      <c r="F347" s="1" t="s">
        <v>112</v>
      </c>
      <c r="G347" s="1">
        <v>299012</v>
      </c>
    </row>
    <row r="348" spans="1:7" x14ac:dyDescent="0.3">
      <c r="A348" s="1" t="str">
        <f t="shared" si="5"/>
        <v>11 Dutastéride 0.5mg_L</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2342</v>
      </c>
      <c r="D348" s="1" t="s">
        <v>205</v>
      </c>
      <c r="E348" s="1" t="s">
        <v>2343</v>
      </c>
      <c r="F348" s="1" t="s">
        <v>112</v>
      </c>
      <c r="G348" s="1">
        <v>299314</v>
      </c>
    </row>
    <row r="349" spans="1:7" x14ac:dyDescent="0.3">
      <c r="A349" s="1" t="str">
        <f t="shared" si="5"/>
        <v>11 Dutastéride 0.5mg_L</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2344</v>
      </c>
      <c r="D349" s="1" t="s">
        <v>2345</v>
      </c>
      <c r="E349" s="1" t="s">
        <v>2346</v>
      </c>
      <c r="F349" s="1" t="s">
        <v>112</v>
      </c>
      <c r="G349" s="1">
        <v>207885</v>
      </c>
    </row>
    <row r="350" spans="1:7" x14ac:dyDescent="0.3">
      <c r="A350" s="1" t="str">
        <f t="shared" si="5"/>
        <v>11 Dutastéride 0.5mg_L</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2347</v>
      </c>
      <c r="D350" s="1" t="s">
        <v>180</v>
      </c>
      <c r="E350" s="1">
        <v>64</v>
      </c>
      <c r="F350" s="1" t="s">
        <v>112</v>
      </c>
      <c r="G350" s="1">
        <v>12459</v>
      </c>
    </row>
    <row r="351" spans="1:7" x14ac:dyDescent="0.3">
      <c r="A351" s="1" t="str">
        <f t="shared" si="5"/>
        <v>11 Dutastéride 0.5mg_L</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2348</v>
      </c>
      <c r="D351" s="1" t="s">
        <v>177</v>
      </c>
      <c r="E351" s="1" t="s">
        <v>435</v>
      </c>
      <c r="F351" s="1" t="s">
        <v>112</v>
      </c>
      <c r="G351" s="1">
        <v>23685</v>
      </c>
    </row>
    <row r="352" spans="1:7" x14ac:dyDescent="0.3">
      <c r="A352" s="1" t="str">
        <f t="shared" si="5"/>
        <v>11 Dutastéride 0.5mg_L</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2349</v>
      </c>
      <c r="D352" s="1" t="s">
        <v>179</v>
      </c>
      <c r="E352" s="1" t="s">
        <v>339</v>
      </c>
      <c r="F352" s="1" t="s">
        <v>112</v>
      </c>
      <c r="G352" s="1">
        <v>8349</v>
      </c>
    </row>
    <row r="353" spans="1:10" x14ac:dyDescent="0.3">
      <c r="A353" s="1" t="str">
        <f t="shared" si="5"/>
        <v>11 Dutastéride 0.5mg_L</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2350</v>
      </c>
      <c r="D353" s="1" t="s">
        <v>189</v>
      </c>
      <c r="E353" s="1" t="s">
        <v>2351</v>
      </c>
      <c r="F353" s="1" t="s">
        <v>112</v>
      </c>
      <c r="G353" s="1">
        <v>74428</v>
      </c>
    </row>
    <row r="354" spans="1:10" x14ac:dyDescent="0.3">
      <c r="A354" s="1" t="str">
        <f t="shared" si="5"/>
        <v>11 Dutastéride 0.5mg_L</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2352</v>
      </c>
      <c r="D354" s="1" t="s">
        <v>323</v>
      </c>
      <c r="E354" s="1" t="s">
        <v>361</v>
      </c>
      <c r="F354" s="1" t="s">
        <v>112</v>
      </c>
      <c r="G354" s="1">
        <v>27989</v>
      </c>
    </row>
    <row r="355" spans="1:10" x14ac:dyDescent="0.3">
      <c r="A355" s="1" t="str">
        <f t="shared" si="5"/>
        <v>11 Dutastéride 0.5mg_L</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2353</v>
      </c>
      <c r="D355" s="1" t="s">
        <v>281</v>
      </c>
      <c r="E355" s="1" t="s">
        <v>2354</v>
      </c>
      <c r="F355" s="1" t="s">
        <v>112</v>
      </c>
      <c r="G355" s="1">
        <v>79187</v>
      </c>
    </row>
    <row r="356" spans="1:10" x14ac:dyDescent="0.3">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3">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195</v>
      </c>
      <c r="D357" s="1" t="s">
        <v>112</v>
      </c>
      <c r="E357" s="1" t="s">
        <v>196</v>
      </c>
      <c r="F357" s="1" t="s">
        <v>197</v>
      </c>
      <c r="G357" s="1" t="s">
        <v>198</v>
      </c>
      <c r="H357" s="1" t="s">
        <v>199</v>
      </c>
      <c r="I357" s="1" t="s">
        <v>200</v>
      </c>
      <c r="J357" s="1" t="s">
        <v>201</v>
      </c>
    </row>
    <row r="358" spans="1:10" x14ac:dyDescent="0.3">
      <c r="A358" s="1" t="str">
        <f t="shared" si="5"/>
        <v>11 Dutastéride 0.5mg_L</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2355</v>
      </c>
      <c r="D358" s="1" t="s">
        <v>112</v>
      </c>
      <c r="E358" s="1" t="s">
        <v>2356</v>
      </c>
      <c r="F358" s="1" t="s">
        <v>2357</v>
      </c>
      <c r="G358" s="1" t="s">
        <v>2358</v>
      </c>
      <c r="H358" s="1" t="s">
        <v>2359</v>
      </c>
      <c r="I358" s="1">
        <v>24</v>
      </c>
      <c r="J358" s="1">
        <v>24</v>
      </c>
    </row>
    <row r="359" spans="1:10" x14ac:dyDescent="0.3">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3">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3">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3">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3">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3">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202</v>
      </c>
      <c r="D364" s="1" t="s">
        <v>110</v>
      </c>
      <c r="E364" s="1" t="s">
        <v>111</v>
      </c>
      <c r="F364" s="1" t="s">
        <v>112</v>
      </c>
      <c r="G364" s="1" t="s">
        <v>113</v>
      </c>
    </row>
    <row r="365" spans="1:10" x14ac:dyDescent="0.3">
      <c r="A365" s="1" t="str">
        <f t="shared" si="5"/>
        <v>12 Dutastéride 1mg_L</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2360</v>
      </c>
      <c r="D365" s="1" t="s">
        <v>2361</v>
      </c>
      <c r="E365" s="1" t="s">
        <v>2362</v>
      </c>
      <c r="F365" s="1" t="s">
        <v>112</v>
      </c>
      <c r="G365" s="1">
        <v>385661</v>
      </c>
    </row>
    <row r="366" spans="1:10" x14ac:dyDescent="0.3">
      <c r="A366" s="1" t="str">
        <f t="shared" si="5"/>
        <v>12 Dutastéride 1mg_L</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2363</v>
      </c>
      <c r="D366" s="1" t="s">
        <v>2364</v>
      </c>
      <c r="E366" s="1" t="s">
        <v>2365</v>
      </c>
      <c r="F366" s="1" t="s">
        <v>112</v>
      </c>
      <c r="G366" s="1">
        <v>392626</v>
      </c>
    </row>
    <row r="367" spans="1:10" x14ac:dyDescent="0.3">
      <c r="A367" s="1" t="str">
        <f t="shared" si="5"/>
        <v>12 Dutastéride 1mg_L</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2366</v>
      </c>
      <c r="D367" s="1" t="s">
        <v>2367</v>
      </c>
      <c r="E367" s="1" t="s">
        <v>2368</v>
      </c>
      <c r="F367" s="1" t="s">
        <v>112</v>
      </c>
      <c r="G367" s="1">
        <v>426260</v>
      </c>
    </row>
    <row r="368" spans="1:10" x14ac:dyDescent="0.3">
      <c r="A368" s="1" t="str">
        <f t="shared" si="5"/>
        <v>12 Dutastéride 1mg_L</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2369</v>
      </c>
      <c r="D368" s="1" t="s">
        <v>2370</v>
      </c>
      <c r="E368" s="1" t="s">
        <v>2371</v>
      </c>
      <c r="F368" s="1" t="s">
        <v>112</v>
      </c>
      <c r="G368" s="1">
        <v>603388</v>
      </c>
    </row>
    <row r="369" spans="1:7" x14ac:dyDescent="0.3">
      <c r="A369" s="1" t="str">
        <f t="shared" si="5"/>
        <v>12 Dutastéride 1mg_L</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2372</v>
      </c>
      <c r="D369" s="1" t="s">
        <v>2373</v>
      </c>
      <c r="E369" s="1" t="s">
        <v>2374</v>
      </c>
      <c r="F369" s="1" t="s">
        <v>112</v>
      </c>
      <c r="G369" s="1">
        <v>360830</v>
      </c>
    </row>
    <row r="370" spans="1:7" x14ac:dyDescent="0.3">
      <c r="A370" s="1" t="str">
        <f t="shared" si="5"/>
        <v>12 Dutastéride 1mg_L</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2375</v>
      </c>
      <c r="D370" s="1" t="s">
        <v>1926</v>
      </c>
      <c r="E370" s="1" t="s">
        <v>2376</v>
      </c>
      <c r="F370" s="1" t="s">
        <v>112</v>
      </c>
      <c r="G370" s="1">
        <v>361911</v>
      </c>
    </row>
    <row r="371" spans="1:7" x14ac:dyDescent="0.3">
      <c r="A371" s="1" t="str">
        <f t="shared" si="5"/>
        <v>12 Dutastéride 1mg_L</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2377</v>
      </c>
      <c r="D371" s="1" t="s">
        <v>2228</v>
      </c>
      <c r="E371" s="1" t="s">
        <v>2378</v>
      </c>
      <c r="F371" s="1" t="s">
        <v>112</v>
      </c>
      <c r="G371" s="1">
        <v>211605</v>
      </c>
    </row>
    <row r="372" spans="1:7" x14ac:dyDescent="0.3">
      <c r="A372" s="1" t="str">
        <f t="shared" si="5"/>
        <v>12 Dutastéride 1mg_L</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2379</v>
      </c>
      <c r="D372" s="1" t="s">
        <v>293</v>
      </c>
      <c r="E372" s="1" t="s">
        <v>2380</v>
      </c>
      <c r="F372" s="1" t="s">
        <v>112</v>
      </c>
      <c r="G372" s="1">
        <v>95431</v>
      </c>
    </row>
    <row r="373" spans="1:7" x14ac:dyDescent="0.3">
      <c r="A373" s="1" t="str">
        <f t="shared" si="5"/>
        <v>12 Dutastéride 1mg_L</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2381</v>
      </c>
      <c r="D373" s="1" t="s">
        <v>234</v>
      </c>
      <c r="E373" s="1" t="s">
        <v>1059</v>
      </c>
      <c r="F373" s="1" t="s">
        <v>112</v>
      </c>
      <c r="G373" s="1">
        <v>16785</v>
      </c>
    </row>
    <row r="374" spans="1:7" x14ac:dyDescent="0.3">
      <c r="A374" s="1" t="str">
        <f t="shared" si="5"/>
        <v>12 Dutastéride 1mg_L</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2382</v>
      </c>
      <c r="D374" s="1" t="s">
        <v>231</v>
      </c>
      <c r="E374" s="1" t="s">
        <v>2383</v>
      </c>
      <c r="F374" s="1" t="s">
        <v>112</v>
      </c>
      <c r="G374" s="1">
        <v>70167</v>
      </c>
    </row>
    <row r="375" spans="1:7" x14ac:dyDescent="0.3">
      <c r="A375" s="1" t="str">
        <f t="shared" si="5"/>
        <v>12 Dutastéride 1mg_L</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2384</v>
      </c>
      <c r="D375" s="1" t="s">
        <v>172</v>
      </c>
      <c r="E375" s="1" t="s">
        <v>2385</v>
      </c>
      <c r="F375" s="1" t="s">
        <v>112</v>
      </c>
      <c r="G375" s="1">
        <v>131056</v>
      </c>
    </row>
    <row r="376" spans="1:7" x14ac:dyDescent="0.3">
      <c r="A376" s="1" t="str">
        <f t="shared" si="5"/>
        <v>12 Dutastéride 1mg_L</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2386</v>
      </c>
      <c r="D376" s="1" t="s">
        <v>2345</v>
      </c>
      <c r="E376" s="1" t="s">
        <v>2387</v>
      </c>
      <c r="F376" s="1" t="s">
        <v>112</v>
      </c>
      <c r="G376" s="1">
        <v>211951</v>
      </c>
    </row>
    <row r="377" spans="1:7" x14ac:dyDescent="0.3">
      <c r="A377" s="1" t="str">
        <f t="shared" si="5"/>
        <v>12 Dutastéride 1mg_L</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2388</v>
      </c>
    </row>
    <row r="378" spans="1:7" x14ac:dyDescent="0.3">
      <c r="A378" s="1" t="str">
        <f t="shared" si="5"/>
        <v>12 Dutastéride 1mg_L</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2389</v>
      </c>
      <c r="D378" s="1" t="s">
        <v>379</v>
      </c>
      <c r="E378" s="1" t="s">
        <v>2390</v>
      </c>
      <c r="F378" s="1" t="s">
        <v>112</v>
      </c>
      <c r="G378" s="1">
        <v>249609</v>
      </c>
    </row>
    <row r="379" spans="1:7" x14ac:dyDescent="0.3">
      <c r="A379" s="1" t="str">
        <f t="shared" si="5"/>
        <v>12 Dutastéride 1mg_L</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2391</v>
      </c>
      <c r="D379" s="1" t="s">
        <v>2392</v>
      </c>
      <c r="E379" s="1" t="s">
        <v>2393</v>
      </c>
      <c r="F379" s="1" t="s">
        <v>112</v>
      </c>
      <c r="G379" s="1">
        <v>581065</v>
      </c>
    </row>
    <row r="380" spans="1:7" x14ac:dyDescent="0.3">
      <c r="A380" s="1" t="str">
        <f t="shared" si="5"/>
        <v>12 Dutastéride 1mg_L</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2394</v>
      </c>
      <c r="D380" s="1" t="s">
        <v>323</v>
      </c>
      <c r="E380" s="1" t="s">
        <v>193</v>
      </c>
      <c r="F380" s="1" t="s">
        <v>112</v>
      </c>
      <c r="G380" s="1">
        <v>27600</v>
      </c>
    </row>
    <row r="381" spans="1:7" x14ac:dyDescent="0.3">
      <c r="A381" s="1" t="str">
        <f t="shared" si="5"/>
        <v>12 Dutastéride 1mg_L</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2395</v>
      </c>
      <c r="D381" s="1" t="s">
        <v>192</v>
      </c>
      <c r="E381" s="1" t="s">
        <v>2396</v>
      </c>
      <c r="F381" s="1" t="s">
        <v>112</v>
      </c>
      <c r="G381" s="1">
        <v>13648</v>
      </c>
    </row>
    <row r="382" spans="1:7" x14ac:dyDescent="0.3">
      <c r="A382" s="1" t="str">
        <f t="shared" si="5"/>
        <v>12 Dutastéride 1mg_L</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2397</v>
      </c>
      <c r="D382" s="1" t="s">
        <v>192</v>
      </c>
      <c r="E382" s="1" t="s">
        <v>324</v>
      </c>
      <c r="F382" s="1" t="s">
        <v>112</v>
      </c>
      <c r="G382" s="1">
        <v>13670</v>
      </c>
    </row>
    <row r="383" spans="1:7" x14ac:dyDescent="0.3">
      <c r="A383" s="1" t="str">
        <f t="shared" si="5"/>
        <v>12 Dutastéride 1mg_L</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2398</v>
      </c>
      <c r="D383" s="1" t="s">
        <v>1803</v>
      </c>
      <c r="E383" s="1" t="s">
        <v>2399</v>
      </c>
      <c r="F383" s="1" t="s">
        <v>112</v>
      </c>
      <c r="G383" s="1">
        <v>398033</v>
      </c>
    </row>
    <row r="384" spans="1:7" x14ac:dyDescent="0.3">
      <c r="A384" s="1" t="str">
        <f t="shared" si="5"/>
        <v>12 Dutastéride 1mg_L</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2400</v>
      </c>
    </row>
    <row r="385" spans="1:10" x14ac:dyDescent="0.3">
      <c r="A385" s="1" t="str">
        <f t="shared" si="5"/>
        <v>12 Dutastéride 1mg_L</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2401</v>
      </c>
      <c r="D385" s="1" t="s">
        <v>1886</v>
      </c>
      <c r="E385" s="1" t="s">
        <v>2402</v>
      </c>
      <c r="F385" s="1" t="s">
        <v>112</v>
      </c>
      <c r="G385" s="1">
        <v>218094</v>
      </c>
    </row>
    <row r="386" spans="1:10" x14ac:dyDescent="0.3">
      <c r="A386" s="1" t="str">
        <f t="shared" ref="A386:A449" si="6">IFERROR(LEFT(RIGHT(C386,LEN(C386)-SEARCH("@",C386)),SEARCH("/",RIGHT(C386,LEN(C386)-SEARCH("@",C386)-1))),"")</f>
        <v>12 Dutastéride 1mg_L</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2403</v>
      </c>
      <c r="D386" s="1" t="s">
        <v>226</v>
      </c>
      <c r="E386" s="1" t="s">
        <v>2404</v>
      </c>
      <c r="F386" s="1" t="s">
        <v>112</v>
      </c>
      <c r="G386" s="1">
        <v>11053</v>
      </c>
    </row>
    <row r="387" spans="1:10" x14ac:dyDescent="0.3">
      <c r="A387" s="1" t="str">
        <f t="shared" si="6"/>
        <v>12 Dutastéride 1mg_L</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2405</v>
      </c>
      <c r="D387" s="1" t="s">
        <v>226</v>
      </c>
      <c r="E387" s="1" t="s">
        <v>2406</v>
      </c>
      <c r="F387" s="1" t="s">
        <v>112</v>
      </c>
      <c r="G387" s="1">
        <v>11183</v>
      </c>
    </row>
    <row r="388" spans="1:10" x14ac:dyDescent="0.3">
      <c r="A388" s="1" t="str">
        <f t="shared" si="6"/>
        <v>12 Dutastéride 1mg_L</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2407</v>
      </c>
      <c r="D388" s="1" t="s">
        <v>298</v>
      </c>
      <c r="E388" s="1" t="s">
        <v>2408</v>
      </c>
      <c r="F388" s="1" t="s">
        <v>112</v>
      </c>
      <c r="G388" s="1">
        <v>6727</v>
      </c>
    </row>
    <row r="389" spans="1:10" x14ac:dyDescent="0.3">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3">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195</v>
      </c>
      <c r="D390" s="1" t="s">
        <v>112</v>
      </c>
      <c r="E390" s="1" t="s">
        <v>196</v>
      </c>
      <c r="F390" s="1" t="s">
        <v>197</v>
      </c>
      <c r="G390" s="1" t="s">
        <v>198</v>
      </c>
      <c r="H390" s="1" t="s">
        <v>199</v>
      </c>
      <c r="I390" s="1" t="s">
        <v>200</v>
      </c>
      <c r="J390" s="1" t="s">
        <v>201</v>
      </c>
    </row>
    <row r="391" spans="1:10" x14ac:dyDescent="0.3">
      <c r="A391" s="1" t="str">
        <f t="shared" si="6"/>
        <v>12 Dutastéride 1mg_L</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2409</v>
      </c>
      <c r="D391" s="1" t="s">
        <v>112</v>
      </c>
      <c r="E391" s="1" t="s">
        <v>2410</v>
      </c>
      <c r="F391" s="1" t="s">
        <v>2411</v>
      </c>
      <c r="G391" s="1" t="s">
        <v>2412</v>
      </c>
      <c r="H391" s="1" t="s">
        <v>2413</v>
      </c>
      <c r="I391" s="1">
        <v>24</v>
      </c>
      <c r="J391" s="1">
        <v>24</v>
      </c>
    </row>
    <row r="392" spans="1:10" x14ac:dyDescent="0.3">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3">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3">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3">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3">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3">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202</v>
      </c>
      <c r="D397" s="1" t="s">
        <v>110</v>
      </c>
      <c r="E397" s="1" t="s">
        <v>111</v>
      </c>
      <c r="F397" s="1" t="s">
        <v>112</v>
      </c>
      <c r="G397" s="1" t="s">
        <v>113</v>
      </c>
    </row>
    <row r="398" spans="1:10" x14ac:dyDescent="0.3">
      <c r="A398" s="1" t="str">
        <f t="shared" si="6"/>
        <v>01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2414</v>
      </c>
      <c r="D398" s="1" t="s">
        <v>192</v>
      </c>
      <c r="E398" s="1" t="s">
        <v>325</v>
      </c>
      <c r="F398" s="1" t="s">
        <v>112</v>
      </c>
      <c r="G398" s="1">
        <v>13886</v>
      </c>
    </row>
    <row r="399" spans="1:10" x14ac:dyDescent="0.3">
      <c r="A399" s="1" t="str">
        <f t="shared" si="6"/>
        <v>01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2415</v>
      </c>
      <c r="D399" s="1" t="s">
        <v>187</v>
      </c>
      <c r="E399" s="1" t="s">
        <v>331</v>
      </c>
      <c r="F399" s="1" t="s">
        <v>112</v>
      </c>
      <c r="G399" s="1">
        <v>49641</v>
      </c>
    </row>
    <row r="400" spans="1:10" x14ac:dyDescent="0.3">
      <c r="A400" s="1" t="str">
        <f t="shared" si="6"/>
        <v>01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2416</v>
      </c>
      <c r="D400" s="1" t="s">
        <v>177</v>
      </c>
      <c r="E400" s="1" t="s">
        <v>300</v>
      </c>
      <c r="F400" s="1" t="s">
        <v>112</v>
      </c>
      <c r="G400" s="1">
        <v>22993</v>
      </c>
    </row>
    <row r="401" spans="1:7" x14ac:dyDescent="0.3">
      <c r="A401" s="1" t="str">
        <f t="shared" si="6"/>
        <v>01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2417</v>
      </c>
      <c r="D401" s="1" t="s">
        <v>1281</v>
      </c>
      <c r="E401" s="1" t="s">
        <v>2418</v>
      </c>
      <c r="F401" s="1" t="s">
        <v>112</v>
      </c>
      <c r="G401" s="1">
        <v>2086268</v>
      </c>
    </row>
    <row r="402" spans="1:7" x14ac:dyDescent="0.3">
      <c r="A402" s="1" t="str">
        <f t="shared" si="6"/>
        <v>01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2419</v>
      </c>
      <c r="D402" s="1" t="s">
        <v>2420</v>
      </c>
      <c r="E402" s="1" t="s">
        <v>2421</v>
      </c>
      <c r="F402" s="1" t="s">
        <v>112</v>
      </c>
      <c r="G402" s="1">
        <v>1900943</v>
      </c>
    </row>
    <row r="403" spans="1:7" x14ac:dyDescent="0.3">
      <c r="A403" s="1" t="str">
        <f t="shared" si="6"/>
        <v>01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2422</v>
      </c>
      <c r="D403" s="1" t="s">
        <v>2423</v>
      </c>
      <c r="E403" s="1" t="s">
        <v>2424</v>
      </c>
      <c r="F403" s="1" t="s">
        <v>112</v>
      </c>
      <c r="G403" s="1">
        <v>1888009</v>
      </c>
    </row>
    <row r="404" spans="1:7" x14ac:dyDescent="0.3">
      <c r="A404" s="1" t="str">
        <f t="shared" si="6"/>
        <v>01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2425</v>
      </c>
      <c r="D404" s="1" t="s">
        <v>2426</v>
      </c>
      <c r="E404" s="1" t="s">
        <v>2427</v>
      </c>
      <c r="F404" s="1" t="s">
        <v>112</v>
      </c>
      <c r="G404" s="1">
        <v>1730521</v>
      </c>
    </row>
    <row r="405" spans="1:7" x14ac:dyDescent="0.3">
      <c r="A405" s="1" t="str">
        <f t="shared" si="6"/>
        <v>01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2428</v>
      </c>
      <c r="D405" s="1" t="s">
        <v>2429</v>
      </c>
      <c r="E405" s="1" t="s">
        <v>2430</v>
      </c>
      <c r="F405" s="1" t="s">
        <v>112</v>
      </c>
      <c r="G405" s="1">
        <v>873826</v>
      </c>
    </row>
    <row r="406" spans="1:7" x14ac:dyDescent="0.3">
      <c r="A406" s="1" t="str">
        <f t="shared" si="6"/>
        <v>01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2431</v>
      </c>
      <c r="D406" s="1" t="s">
        <v>2432</v>
      </c>
      <c r="E406" s="1" t="s">
        <v>2433</v>
      </c>
      <c r="F406" s="1" t="s">
        <v>112</v>
      </c>
      <c r="G406" s="1">
        <v>1589927</v>
      </c>
    </row>
    <row r="407" spans="1:7" x14ac:dyDescent="0.3">
      <c r="A407" s="1" t="str">
        <f t="shared" si="6"/>
        <v>01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2434</v>
      </c>
      <c r="D407" s="1" t="s">
        <v>2435</v>
      </c>
      <c r="E407" s="1" t="s">
        <v>2436</v>
      </c>
      <c r="F407" s="1" t="s">
        <v>112</v>
      </c>
      <c r="G407" s="1">
        <v>3298148</v>
      </c>
    </row>
    <row r="408" spans="1:7" x14ac:dyDescent="0.3">
      <c r="A408" s="1" t="str">
        <f t="shared" si="6"/>
        <v>01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2437</v>
      </c>
      <c r="D408" s="1" t="s">
        <v>2438</v>
      </c>
      <c r="E408" s="1" t="s">
        <v>2439</v>
      </c>
      <c r="F408" s="1" t="s">
        <v>112</v>
      </c>
      <c r="G408" s="1">
        <v>3326613</v>
      </c>
    </row>
    <row r="409" spans="1:7" x14ac:dyDescent="0.3">
      <c r="A409" s="1" t="str">
        <f t="shared" si="6"/>
        <v>01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2440</v>
      </c>
      <c r="D409" s="1" t="s">
        <v>2441</v>
      </c>
      <c r="E409" s="1" t="s">
        <v>2442</v>
      </c>
      <c r="F409" s="1" t="s">
        <v>112</v>
      </c>
      <c r="G409" s="1">
        <v>3032771</v>
      </c>
    </row>
    <row r="410" spans="1:7" x14ac:dyDescent="0.3">
      <c r="A410" s="1" t="str">
        <f t="shared" si="6"/>
        <v>01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2443</v>
      </c>
      <c r="D410" s="1" t="s">
        <v>2444</v>
      </c>
      <c r="E410" s="1" t="s">
        <v>2445</v>
      </c>
      <c r="F410" s="1" t="s">
        <v>112</v>
      </c>
      <c r="G410" s="1">
        <v>1343108</v>
      </c>
    </row>
    <row r="411" spans="1:7" x14ac:dyDescent="0.3">
      <c r="A411" s="1" t="str">
        <f t="shared" si="6"/>
        <v>01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2446</v>
      </c>
      <c r="D411" s="1" t="s">
        <v>2447</v>
      </c>
      <c r="E411" s="1" t="s">
        <v>2448</v>
      </c>
      <c r="F411" s="1" t="s">
        <v>112</v>
      </c>
      <c r="G411" s="1">
        <v>1444682</v>
      </c>
    </row>
    <row r="412" spans="1:7" x14ac:dyDescent="0.3">
      <c r="A412" s="1" t="str">
        <f t="shared" si="6"/>
        <v>01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2449</v>
      </c>
      <c r="D412" s="1" t="s">
        <v>2450</v>
      </c>
      <c r="E412" s="1" t="s">
        <v>2451</v>
      </c>
      <c r="F412" s="1" t="s">
        <v>112</v>
      </c>
      <c r="G412" s="1">
        <v>1594642</v>
      </c>
    </row>
    <row r="413" spans="1:7" x14ac:dyDescent="0.3">
      <c r="A413" s="1" t="str">
        <f t="shared" si="6"/>
        <v>01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2452</v>
      </c>
      <c r="D413" s="1" t="s">
        <v>2453</v>
      </c>
      <c r="E413" s="1" t="s">
        <v>2454</v>
      </c>
      <c r="F413" s="1" t="s">
        <v>112</v>
      </c>
      <c r="G413" s="1">
        <v>791070</v>
      </c>
    </row>
    <row r="414" spans="1:7" x14ac:dyDescent="0.3">
      <c r="A414" s="1" t="str">
        <f t="shared" si="6"/>
        <v>01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2455</v>
      </c>
      <c r="D414" s="1" t="s">
        <v>2456</v>
      </c>
      <c r="E414" s="1" t="s">
        <v>2457</v>
      </c>
      <c r="F414" s="1" t="s">
        <v>112</v>
      </c>
      <c r="G414" s="1">
        <v>1045351</v>
      </c>
    </row>
    <row r="415" spans="1:7" x14ac:dyDescent="0.3">
      <c r="A415" s="1" t="str">
        <f t="shared" si="6"/>
        <v>01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2458</v>
      </c>
      <c r="D415" s="1" t="s">
        <v>2459</v>
      </c>
      <c r="E415" s="1" t="s">
        <v>2460</v>
      </c>
      <c r="F415" s="1" t="s">
        <v>112</v>
      </c>
      <c r="G415" s="1">
        <v>1119455</v>
      </c>
    </row>
    <row r="416" spans="1:7" x14ac:dyDescent="0.3">
      <c r="A416" s="1" t="str">
        <f t="shared" si="6"/>
        <v>01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2461</v>
      </c>
      <c r="D416" s="1" t="s">
        <v>2462</v>
      </c>
      <c r="E416" s="1" t="s">
        <v>2463</v>
      </c>
      <c r="F416" s="1" t="s">
        <v>112</v>
      </c>
      <c r="G416" s="1">
        <v>4064755</v>
      </c>
    </row>
    <row r="417" spans="1:10" x14ac:dyDescent="0.3">
      <c r="A417" s="1" t="str">
        <f t="shared" si="6"/>
        <v>01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2464</v>
      </c>
      <c r="D417" s="1" t="s">
        <v>2465</v>
      </c>
      <c r="E417" s="1" t="s">
        <v>2466</v>
      </c>
      <c r="F417" s="1" t="s">
        <v>112</v>
      </c>
      <c r="G417" s="1">
        <v>3473177</v>
      </c>
    </row>
    <row r="418" spans="1:10" x14ac:dyDescent="0.3">
      <c r="A418" s="1" t="str">
        <f t="shared" si="6"/>
        <v>01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2467</v>
      </c>
      <c r="D418" s="1" t="s">
        <v>2468</v>
      </c>
      <c r="E418" s="1" t="s">
        <v>2469</v>
      </c>
      <c r="F418" s="1" t="s">
        <v>112</v>
      </c>
      <c r="G418" s="1">
        <v>2124856</v>
      </c>
    </row>
    <row r="419" spans="1:10" x14ac:dyDescent="0.3">
      <c r="A419" s="1" t="str">
        <f t="shared" si="6"/>
        <v>01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2470</v>
      </c>
      <c r="D419" s="1" t="s">
        <v>389</v>
      </c>
      <c r="E419" s="1" t="s">
        <v>2471</v>
      </c>
      <c r="F419" s="1" t="s">
        <v>112</v>
      </c>
      <c r="G419" s="1">
        <v>1166241</v>
      </c>
    </row>
    <row r="420" spans="1:10" x14ac:dyDescent="0.3">
      <c r="A420" s="1" t="str">
        <f t="shared" si="6"/>
        <v>01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2472</v>
      </c>
      <c r="D420" s="1" t="s">
        <v>2473</v>
      </c>
      <c r="E420" s="1" t="s">
        <v>2474</v>
      </c>
      <c r="F420" s="1" t="s">
        <v>112</v>
      </c>
      <c r="G420" s="1">
        <v>920006</v>
      </c>
    </row>
    <row r="421" spans="1:10" x14ac:dyDescent="0.3">
      <c r="A421" s="1" t="str">
        <f t="shared" si="6"/>
        <v>01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2475</v>
      </c>
      <c r="D421" s="1" t="s">
        <v>2046</v>
      </c>
      <c r="E421" s="1" t="s">
        <v>2476</v>
      </c>
      <c r="F421" s="1" t="s">
        <v>112</v>
      </c>
      <c r="G421" s="1">
        <v>917670</v>
      </c>
    </row>
    <row r="422" spans="1:10" x14ac:dyDescent="0.3">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3">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195</v>
      </c>
      <c r="D423" s="1" t="s">
        <v>112</v>
      </c>
      <c r="E423" s="1" t="s">
        <v>196</v>
      </c>
      <c r="F423" s="1" t="s">
        <v>197</v>
      </c>
      <c r="G423" s="1" t="s">
        <v>198</v>
      </c>
      <c r="H423" s="1" t="s">
        <v>199</v>
      </c>
      <c r="I423" s="1" t="s">
        <v>200</v>
      </c>
      <c r="J423" s="1" t="s">
        <v>201</v>
      </c>
    </row>
    <row r="424" spans="1:10" x14ac:dyDescent="0.3">
      <c r="A424" s="1" t="str">
        <f t="shared" si="6"/>
        <v>01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2477</v>
      </c>
      <c r="D424" s="1" t="s">
        <v>112</v>
      </c>
      <c r="E424" s="1" t="s">
        <v>2478</v>
      </c>
      <c r="F424" s="1" t="s">
        <v>2479</v>
      </c>
      <c r="G424" s="1" t="s">
        <v>2480</v>
      </c>
      <c r="H424" s="1" t="s">
        <v>2481</v>
      </c>
      <c r="I424" s="1">
        <v>24</v>
      </c>
      <c r="J424" s="1">
        <v>24</v>
      </c>
    </row>
    <row r="425" spans="1:10" x14ac:dyDescent="0.3">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3">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3">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3">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3">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3">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202</v>
      </c>
      <c r="D430" s="1" t="s">
        <v>110</v>
      </c>
      <c r="E430" s="1" t="s">
        <v>111</v>
      </c>
      <c r="F430" s="1" t="s">
        <v>112</v>
      </c>
      <c r="G430" s="1" t="s">
        <v>113</v>
      </c>
    </row>
    <row r="431" spans="1:10" x14ac:dyDescent="0.3">
      <c r="A431" s="1" t="str">
        <f t="shared" si="6"/>
        <v>02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2482</v>
      </c>
      <c r="D431" s="1" t="s">
        <v>833</v>
      </c>
      <c r="E431" s="1" t="s">
        <v>2483</v>
      </c>
      <c r="F431" s="1" t="s">
        <v>112</v>
      </c>
      <c r="G431" s="1">
        <v>2529357</v>
      </c>
    </row>
    <row r="432" spans="1:10" x14ac:dyDescent="0.3">
      <c r="A432" s="1" t="str">
        <f t="shared" si="6"/>
        <v>02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2484</v>
      </c>
      <c r="D432" s="1" t="s">
        <v>2485</v>
      </c>
      <c r="E432" s="1" t="s">
        <v>2486</v>
      </c>
      <c r="F432" s="1" t="s">
        <v>112</v>
      </c>
      <c r="G432" s="1">
        <v>2549256</v>
      </c>
    </row>
    <row r="433" spans="1:7" x14ac:dyDescent="0.3">
      <c r="A433" s="1" t="str">
        <f t="shared" si="6"/>
        <v>02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2487</v>
      </c>
      <c r="D433" s="1" t="s">
        <v>2488</v>
      </c>
      <c r="E433" s="1" t="s">
        <v>2489</v>
      </c>
      <c r="F433" s="1" t="s">
        <v>112</v>
      </c>
      <c r="G433" s="1">
        <v>2883438</v>
      </c>
    </row>
    <row r="434" spans="1:7" x14ac:dyDescent="0.3">
      <c r="A434" s="1" t="str">
        <f t="shared" si="6"/>
        <v>02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2490</v>
      </c>
      <c r="D434" s="1" t="s">
        <v>2491</v>
      </c>
      <c r="E434" s="1" t="s">
        <v>2492</v>
      </c>
      <c r="F434" s="1" t="s">
        <v>112</v>
      </c>
      <c r="G434" s="1">
        <v>786787</v>
      </c>
    </row>
    <row r="435" spans="1:7" x14ac:dyDescent="0.3">
      <c r="A435" s="1" t="str">
        <f t="shared" si="6"/>
        <v>02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2493</v>
      </c>
      <c r="D435" s="1" t="s">
        <v>336</v>
      </c>
      <c r="E435" s="1" t="s">
        <v>2494</v>
      </c>
      <c r="F435" s="1" t="s">
        <v>112</v>
      </c>
      <c r="G435" s="1">
        <v>544078</v>
      </c>
    </row>
    <row r="436" spans="1:7" x14ac:dyDescent="0.3">
      <c r="A436" s="1" t="str">
        <f t="shared" si="6"/>
        <v>02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2495</v>
      </c>
      <c r="D436" s="1" t="s">
        <v>2496</v>
      </c>
      <c r="E436" s="1" t="s">
        <v>2497</v>
      </c>
      <c r="F436" s="1" t="s">
        <v>112</v>
      </c>
      <c r="G436" s="1">
        <v>624001</v>
      </c>
    </row>
    <row r="437" spans="1:7" x14ac:dyDescent="0.3">
      <c r="A437" s="1" t="str">
        <f t="shared" si="6"/>
        <v>02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2498</v>
      </c>
      <c r="D437" s="1" t="s">
        <v>280</v>
      </c>
      <c r="E437" s="1" t="s">
        <v>2499</v>
      </c>
      <c r="F437" s="1" t="s">
        <v>112</v>
      </c>
      <c r="G437" s="1">
        <v>171266</v>
      </c>
    </row>
    <row r="438" spans="1:7" x14ac:dyDescent="0.3">
      <c r="A438" s="1" t="str">
        <f t="shared" si="6"/>
        <v>02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2500</v>
      </c>
      <c r="D438" s="1" t="s">
        <v>346</v>
      </c>
      <c r="E438" s="1" t="s">
        <v>2501</v>
      </c>
      <c r="F438" s="1" t="s">
        <v>112</v>
      </c>
      <c r="G438" s="1">
        <v>166118</v>
      </c>
    </row>
    <row r="439" spans="1:7" x14ac:dyDescent="0.3">
      <c r="A439" s="1" t="str">
        <f t="shared" si="6"/>
        <v>02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2502</v>
      </c>
      <c r="D439" s="1" t="s">
        <v>323</v>
      </c>
      <c r="E439" s="1" t="s">
        <v>2408</v>
      </c>
      <c r="F439" s="1" t="s">
        <v>112</v>
      </c>
      <c r="G439" s="1">
        <v>26908</v>
      </c>
    </row>
    <row r="440" spans="1:7" x14ac:dyDescent="0.3">
      <c r="A440" s="1" t="str">
        <f t="shared" si="6"/>
        <v>02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2503</v>
      </c>
      <c r="D440" s="1" t="s">
        <v>2504</v>
      </c>
      <c r="E440" s="1" t="s">
        <v>2505</v>
      </c>
      <c r="F440" s="1" t="s">
        <v>112</v>
      </c>
      <c r="G440" s="1">
        <v>148100</v>
      </c>
    </row>
    <row r="441" spans="1:7" x14ac:dyDescent="0.3">
      <c r="A441" s="1" t="str">
        <f t="shared" si="6"/>
        <v>02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2506</v>
      </c>
      <c r="D441" s="1" t="s">
        <v>210</v>
      </c>
      <c r="E441" s="1" t="s">
        <v>2507</v>
      </c>
      <c r="F441" s="1" t="s">
        <v>112</v>
      </c>
      <c r="G441" s="1">
        <v>271542</v>
      </c>
    </row>
    <row r="442" spans="1:7" x14ac:dyDescent="0.3">
      <c r="A442" s="1" t="str">
        <f t="shared" si="6"/>
        <v>02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2508</v>
      </c>
      <c r="D442" s="1" t="s">
        <v>249</v>
      </c>
      <c r="E442" s="1" t="s">
        <v>2509</v>
      </c>
      <c r="F442" s="1" t="s">
        <v>112</v>
      </c>
      <c r="G442" s="1">
        <v>240049</v>
      </c>
    </row>
    <row r="443" spans="1:7" x14ac:dyDescent="0.3">
      <c r="A443" s="1" t="str">
        <f t="shared" si="6"/>
        <v>02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2510</v>
      </c>
      <c r="D443" s="1" t="s">
        <v>2511</v>
      </c>
      <c r="E443" s="1" t="s">
        <v>2512</v>
      </c>
      <c r="F443" s="1" t="s">
        <v>112</v>
      </c>
      <c r="G443" s="1">
        <v>3384538</v>
      </c>
    </row>
    <row r="444" spans="1:7" x14ac:dyDescent="0.3">
      <c r="A444" s="1" t="str">
        <f t="shared" si="6"/>
        <v>02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2513</v>
      </c>
      <c r="D444" s="1" t="s">
        <v>2514</v>
      </c>
      <c r="E444" s="1" t="s">
        <v>2515</v>
      </c>
      <c r="F444" s="1" t="s">
        <v>112</v>
      </c>
      <c r="G444" s="1">
        <v>3091215</v>
      </c>
    </row>
    <row r="445" spans="1:7" x14ac:dyDescent="0.3">
      <c r="A445" s="1" t="str">
        <f t="shared" si="6"/>
        <v>02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2516</v>
      </c>
      <c r="D445" s="1" t="s">
        <v>2517</v>
      </c>
      <c r="E445" s="1" t="s">
        <v>2518</v>
      </c>
      <c r="F445" s="1" t="s">
        <v>112</v>
      </c>
      <c r="G445" s="1">
        <v>2992993</v>
      </c>
    </row>
    <row r="446" spans="1:7" x14ac:dyDescent="0.3">
      <c r="A446" s="1" t="str">
        <f t="shared" si="6"/>
        <v>02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2519</v>
      </c>
      <c r="D446" s="1" t="s">
        <v>592</v>
      </c>
      <c r="E446" s="1" t="s">
        <v>228</v>
      </c>
      <c r="F446" s="1" t="s">
        <v>112</v>
      </c>
      <c r="G446" s="1">
        <v>124848</v>
      </c>
    </row>
    <row r="447" spans="1:7" x14ac:dyDescent="0.3">
      <c r="A447" s="1" t="str">
        <f t="shared" si="6"/>
        <v>02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2520</v>
      </c>
      <c r="D447" s="1" t="s">
        <v>255</v>
      </c>
      <c r="E447" s="1" t="s">
        <v>2521</v>
      </c>
      <c r="F447" s="1" t="s">
        <v>112</v>
      </c>
      <c r="G447" s="1">
        <v>124653</v>
      </c>
    </row>
    <row r="448" spans="1:7" x14ac:dyDescent="0.3">
      <c r="A448" s="1" t="str">
        <f t="shared" si="6"/>
        <v>02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2522</v>
      </c>
      <c r="D448" s="1" t="s">
        <v>243</v>
      </c>
      <c r="E448" s="1" t="s">
        <v>2523</v>
      </c>
      <c r="F448" s="1" t="s">
        <v>112</v>
      </c>
      <c r="G448" s="1">
        <v>100601</v>
      </c>
    </row>
    <row r="449" spans="1:10" x14ac:dyDescent="0.3">
      <c r="A449" s="1" t="str">
        <f t="shared" si="6"/>
        <v>02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2524</v>
      </c>
      <c r="D449" s="1" t="s">
        <v>2525</v>
      </c>
      <c r="E449" s="1" t="s">
        <v>2526</v>
      </c>
      <c r="F449" s="1" t="s">
        <v>112</v>
      </c>
      <c r="G449" s="1">
        <v>1189990</v>
      </c>
    </row>
    <row r="450" spans="1:10" x14ac:dyDescent="0.3">
      <c r="A450" s="1" t="str">
        <f t="shared" ref="A450:A513" si="7">IFERROR(LEFT(RIGHT(C450,LEN(C450)-SEARCH("@",C450)),SEARCH("/",RIGHT(C450,LEN(C450)-SEARCH("@",C450)-1))),"")</f>
        <v>02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2527</v>
      </c>
      <c r="D450" s="1" t="s">
        <v>2528</v>
      </c>
      <c r="E450" s="1" t="s">
        <v>2529</v>
      </c>
      <c r="F450" s="1" t="s">
        <v>112</v>
      </c>
      <c r="G450" s="1">
        <v>717637</v>
      </c>
    </row>
    <row r="451" spans="1:10" x14ac:dyDescent="0.3">
      <c r="A451" s="1" t="str">
        <f t="shared" si="7"/>
        <v>02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2530</v>
      </c>
      <c r="D451" s="1" t="s">
        <v>2531</v>
      </c>
      <c r="E451" s="1" t="s">
        <v>2532</v>
      </c>
      <c r="F451" s="1" t="s">
        <v>112</v>
      </c>
      <c r="G451" s="1">
        <v>652098</v>
      </c>
    </row>
    <row r="452" spans="1:10" x14ac:dyDescent="0.3">
      <c r="A452" s="1" t="str">
        <f t="shared" si="7"/>
        <v>02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2533</v>
      </c>
    </row>
    <row r="453" spans="1:10" x14ac:dyDescent="0.3">
      <c r="A453" s="1" t="str">
        <f t="shared" si="7"/>
        <v>02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2534</v>
      </c>
    </row>
    <row r="454" spans="1:10" x14ac:dyDescent="0.3">
      <c r="A454" s="1" t="str">
        <f t="shared" si="7"/>
        <v>02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2535</v>
      </c>
      <c r="D454" s="1" t="s">
        <v>1005</v>
      </c>
      <c r="E454" s="1" t="s">
        <v>2536</v>
      </c>
      <c r="F454" s="1" t="s">
        <v>112</v>
      </c>
      <c r="G454" s="1">
        <v>171114</v>
      </c>
    </row>
    <row r="455" spans="1:10" x14ac:dyDescent="0.3">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3">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195</v>
      </c>
      <c r="D456" s="1" t="s">
        <v>112</v>
      </c>
      <c r="E456" s="1" t="s">
        <v>196</v>
      </c>
      <c r="F456" s="1" t="s">
        <v>197</v>
      </c>
      <c r="G456" s="1" t="s">
        <v>198</v>
      </c>
      <c r="H456" s="1" t="s">
        <v>199</v>
      </c>
      <c r="I456" s="1" t="s">
        <v>200</v>
      </c>
      <c r="J456" s="1" t="s">
        <v>201</v>
      </c>
    </row>
    <row r="457" spans="1:10" x14ac:dyDescent="0.3">
      <c r="A457" s="1" t="str">
        <f t="shared" si="7"/>
        <v>02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2537</v>
      </c>
      <c r="D457" s="1" t="s">
        <v>112</v>
      </c>
      <c r="E457" s="1" t="s">
        <v>2538</v>
      </c>
      <c r="F457" s="1" t="s">
        <v>2539</v>
      </c>
      <c r="G457" s="1" t="s">
        <v>2540</v>
      </c>
      <c r="H457" s="1" t="s">
        <v>2541</v>
      </c>
      <c r="I457" s="1">
        <v>24</v>
      </c>
      <c r="J457" s="1">
        <v>24</v>
      </c>
    </row>
    <row r="458" spans="1:10" x14ac:dyDescent="0.3">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3">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3">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3">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3">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3">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202</v>
      </c>
      <c r="D463" s="1" t="s">
        <v>110</v>
      </c>
      <c r="E463" s="1" t="s">
        <v>111</v>
      </c>
      <c r="F463" s="1" t="s">
        <v>112</v>
      </c>
      <c r="G463" s="1" t="s">
        <v>113</v>
      </c>
    </row>
    <row r="464" spans="1:10" x14ac:dyDescent="0.3">
      <c r="A464" s="1" t="str">
        <f t="shared" si="7"/>
        <v>03 Testo+ EE2 64</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2542</v>
      </c>
      <c r="D464" s="1" t="s">
        <v>2543</v>
      </c>
      <c r="E464" s="1" t="s">
        <v>2544</v>
      </c>
      <c r="F464" s="1" t="s">
        <v>112</v>
      </c>
      <c r="G464" s="1">
        <v>5343665</v>
      </c>
    </row>
    <row r="465" spans="1:7" x14ac:dyDescent="0.3">
      <c r="A465" s="1" t="str">
        <f t="shared" si="7"/>
        <v>03 Testo+ EE2 64</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2545</v>
      </c>
      <c r="D465" s="1" t="s">
        <v>2546</v>
      </c>
      <c r="E465" s="1" t="s">
        <v>2547</v>
      </c>
      <c r="F465" s="1" t="s">
        <v>112</v>
      </c>
      <c r="G465" s="1">
        <v>5171989</v>
      </c>
    </row>
    <row r="466" spans="1:7" x14ac:dyDescent="0.3">
      <c r="A466" s="1" t="str">
        <f t="shared" si="7"/>
        <v>03 Testo+ EE2 64</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2548</v>
      </c>
      <c r="D466" s="1" t="s">
        <v>2549</v>
      </c>
      <c r="E466" s="1" t="s">
        <v>2550</v>
      </c>
      <c r="F466" s="1" t="s">
        <v>112</v>
      </c>
      <c r="G466" s="1">
        <v>4415678</v>
      </c>
    </row>
    <row r="467" spans="1:7" x14ac:dyDescent="0.3">
      <c r="A467" s="1" t="str">
        <f t="shared" si="7"/>
        <v>03 Testo+ EE2 64</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2551</v>
      </c>
      <c r="D467" s="1" t="s">
        <v>2552</v>
      </c>
      <c r="E467" s="1" t="s">
        <v>2553</v>
      </c>
      <c r="F467" s="1" t="s">
        <v>112</v>
      </c>
      <c r="G467" s="1">
        <v>2709317</v>
      </c>
    </row>
    <row r="468" spans="1:7" x14ac:dyDescent="0.3">
      <c r="A468" s="1" t="str">
        <f t="shared" si="7"/>
        <v>03 Testo+ EE2 64</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2554</v>
      </c>
      <c r="D468" s="1" t="s">
        <v>2555</v>
      </c>
      <c r="E468" s="1" t="s">
        <v>2556</v>
      </c>
      <c r="F468" s="1" t="s">
        <v>112</v>
      </c>
      <c r="G468" s="1">
        <v>2441258</v>
      </c>
    </row>
    <row r="469" spans="1:7" x14ac:dyDescent="0.3">
      <c r="A469" s="1" t="str">
        <f t="shared" si="7"/>
        <v>03 Testo+ EE2 64</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2557</v>
      </c>
      <c r="D469" s="1" t="s">
        <v>2558</v>
      </c>
      <c r="E469" s="1" t="s">
        <v>2559</v>
      </c>
      <c r="F469" s="1" t="s">
        <v>112</v>
      </c>
      <c r="G469" s="1">
        <v>2507748</v>
      </c>
    </row>
    <row r="470" spans="1:7" x14ac:dyDescent="0.3">
      <c r="A470" s="1" t="str">
        <f t="shared" si="7"/>
        <v>03 Testo+ EE2 64</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2560</v>
      </c>
      <c r="D470" s="1" t="s">
        <v>756</v>
      </c>
      <c r="E470" s="1" t="s">
        <v>2561</v>
      </c>
      <c r="F470" s="1" t="s">
        <v>112</v>
      </c>
      <c r="G470" s="1">
        <v>1601586</v>
      </c>
    </row>
    <row r="471" spans="1:7" x14ac:dyDescent="0.3">
      <c r="A471" s="1" t="str">
        <f t="shared" si="7"/>
        <v>03 Testo+ EE2 64</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2562</v>
      </c>
      <c r="D471" s="1" t="s">
        <v>1239</v>
      </c>
      <c r="E471" s="1" t="s">
        <v>2563</v>
      </c>
      <c r="F471" s="1" t="s">
        <v>112</v>
      </c>
      <c r="G471" s="1">
        <v>1418878</v>
      </c>
    </row>
    <row r="472" spans="1:7" x14ac:dyDescent="0.3">
      <c r="A472" s="1" t="str">
        <f t="shared" si="7"/>
        <v>03 Testo+ EE2 64</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2564</v>
      </c>
      <c r="D472" s="1" t="s">
        <v>1239</v>
      </c>
      <c r="E472" s="1" t="s">
        <v>2565</v>
      </c>
      <c r="F472" s="1" t="s">
        <v>112</v>
      </c>
      <c r="G472" s="1">
        <v>1396859</v>
      </c>
    </row>
    <row r="473" spans="1:7" x14ac:dyDescent="0.3">
      <c r="A473" s="1" t="str">
        <f t="shared" si="7"/>
        <v>03 Testo+ EE2 64</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2566</v>
      </c>
      <c r="D473" s="1" t="s">
        <v>2567</v>
      </c>
      <c r="E473" s="1" t="s">
        <v>2568</v>
      </c>
      <c r="F473" s="1" t="s">
        <v>112</v>
      </c>
      <c r="G473" s="1">
        <v>3618573</v>
      </c>
    </row>
    <row r="474" spans="1:7" x14ac:dyDescent="0.3">
      <c r="A474" s="1" t="str">
        <f t="shared" si="7"/>
        <v>03 Testo+ EE2 64</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2569</v>
      </c>
      <c r="D474" s="1" t="s">
        <v>2570</v>
      </c>
      <c r="E474" s="1" t="s">
        <v>2571</v>
      </c>
      <c r="F474" s="1" t="s">
        <v>112</v>
      </c>
      <c r="G474" s="1">
        <v>3248226</v>
      </c>
    </row>
    <row r="475" spans="1:7" x14ac:dyDescent="0.3">
      <c r="A475" s="1" t="str">
        <f t="shared" si="7"/>
        <v>03 Testo+ EE2 64</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2572</v>
      </c>
      <c r="D475" s="1" t="s">
        <v>2573</v>
      </c>
      <c r="E475" s="1" t="s">
        <v>2574</v>
      </c>
      <c r="F475" s="1" t="s">
        <v>112</v>
      </c>
      <c r="G475" s="1">
        <v>3216495</v>
      </c>
    </row>
    <row r="476" spans="1:7" x14ac:dyDescent="0.3">
      <c r="A476" s="1" t="str">
        <f t="shared" si="7"/>
        <v>03 Testo+ EE2 64</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2575</v>
      </c>
      <c r="D476" s="1" t="s">
        <v>635</v>
      </c>
      <c r="E476" s="1" t="s">
        <v>2576</v>
      </c>
      <c r="F476" s="1" t="s">
        <v>112</v>
      </c>
      <c r="G476" s="1">
        <v>445013</v>
      </c>
    </row>
    <row r="477" spans="1:7" x14ac:dyDescent="0.3">
      <c r="A477" s="1" t="str">
        <f t="shared" si="7"/>
        <v>03 Testo+ EE2 64</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2577</v>
      </c>
      <c r="D477" s="1" t="s">
        <v>2578</v>
      </c>
      <c r="E477" s="1" t="s">
        <v>2579</v>
      </c>
      <c r="F477" s="1" t="s">
        <v>112</v>
      </c>
      <c r="G477" s="1">
        <v>312206</v>
      </c>
    </row>
    <row r="478" spans="1:7" x14ac:dyDescent="0.3">
      <c r="A478" s="1" t="str">
        <f t="shared" si="7"/>
        <v>03 Testo+ EE2 64</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2580</v>
      </c>
      <c r="D478" s="1" t="s">
        <v>363</v>
      </c>
      <c r="E478" s="1" t="s">
        <v>2581</v>
      </c>
      <c r="F478" s="1" t="s">
        <v>112</v>
      </c>
      <c r="G478" s="1">
        <v>245002</v>
      </c>
    </row>
    <row r="479" spans="1:7" x14ac:dyDescent="0.3">
      <c r="A479" s="1" t="str">
        <f t="shared" si="7"/>
        <v>03 Testo+ EE2 64</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2582</v>
      </c>
      <c r="D479" s="1" t="s">
        <v>2583</v>
      </c>
      <c r="E479" s="1" t="s">
        <v>2584</v>
      </c>
      <c r="F479" s="1" t="s">
        <v>112</v>
      </c>
      <c r="G479" s="1">
        <v>3994868</v>
      </c>
    </row>
    <row r="480" spans="1:7" x14ac:dyDescent="0.3">
      <c r="A480" s="1" t="str">
        <f t="shared" si="7"/>
        <v>03 Testo+ EE2 64</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2585</v>
      </c>
      <c r="D480" s="1" t="s">
        <v>2586</v>
      </c>
      <c r="E480" s="1" t="s">
        <v>2587</v>
      </c>
      <c r="F480" s="1" t="s">
        <v>112</v>
      </c>
      <c r="G480" s="1">
        <v>3963137</v>
      </c>
    </row>
    <row r="481" spans="1:10" x14ac:dyDescent="0.3">
      <c r="A481" s="1" t="str">
        <f t="shared" si="7"/>
        <v>03 Testo+ EE2 64</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2588</v>
      </c>
      <c r="D481" s="1" t="s">
        <v>2589</v>
      </c>
      <c r="E481" s="1" t="s">
        <v>2590</v>
      </c>
      <c r="F481" s="1" t="s">
        <v>112</v>
      </c>
      <c r="G481" s="1">
        <v>3967636</v>
      </c>
    </row>
    <row r="482" spans="1:10" x14ac:dyDescent="0.3">
      <c r="A482" s="1" t="str">
        <f t="shared" si="7"/>
        <v>03 Testo+ EE2 64</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2591</v>
      </c>
      <c r="D482" s="1" t="s">
        <v>2592</v>
      </c>
      <c r="E482" s="1" t="s">
        <v>2593</v>
      </c>
      <c r="F482" s="1" t="s">
        <v>112</v>
      </c>
      <c r="G482" s="1">
        <v>4466530</v>
      </c>
    </row>
    <row r="483" spans="1:10" x14ac:dyDescent="0.3">
      <c r="A483" s="1" t="str">
        <f t="shared" si="7"/>
        <v>03 Testo+ EE2 64</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2594</v>
      </c>
      <c r="D483" s="1" t="s">
        <v>2595</v>
      </c>
      <c r="E483" s="1" t="s">
        <v>2596</v>
      </c>
      <c r="F483" s="1" t="s">
        <v>112</v>
      </c>
      <c r="G483" s="1">
        <v>4430992</v>
      </c>
    </row>
    <row r="484" spans="1:10" x14ac:dyDescent="0.3">
      <c r="A484" s="1" t="str">
        <f t="shared" si="7"/>
        <v>03 Testo+ EE2 64</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2597</v>
      </c>
      <c r="D484" s="1" t="s">
        <v>2598</v>
      </c>
      <c r="E484" s="1" t="s">
        <v>2599</v>
      </c>
      <c r="F484" s="1" t="s">
        <v>112</v>
      </c>
      <c r="G484" s="1">
        <v>4359722</v>
      </c>
    </row>
    <row r="485" spans="1:10" x14ac:dyDescent="0.3">
      <c r="A485" s="1" t="str">
        <f t="shared" si="7"/>
        <v>03 Testo+ EE2 64</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2600</v>
      </c>
      <c r="D485" s="1" t="s">
        <v>2601</v>
      </c>
      <c r="E485" s="1" t="s">
        <v>2602</v>
      </c>
      <c r="F485" s="1" t="s">
        <v>112</v>
      </c>
      <c r="G485" s="1">
        <v>559392</v>
      </c>
    </row>
    <row r="486" spans="1:10" x14ac:dyDescent="0.3">
      <c r="A486" s="1" t="str">
        <f t="shared" si="7"/>
        <v>03 Testo+ EE2 64</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2603</v>
      </c>
      <c r="D486" s="1" t="s">
        <v>2604</v>
      </c>
      <c r="E486" s="1" t="s">
        <v>2605</v>
      </c>
      <c r="F486" s="1" t="s">
        <v>112</v>
      </c>
      <c r="G486" s="1">
        <v>594130</v>
      </c>
    </row>
    <row r="487" spans="1:10" x14ac:dyDescent="0.3">
      <c r="A487" s="1" t="str">
        <f t="shared" si="7"/>
        <v>03 Testo+ EE2 64</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2606</v>
      </c>
      <c r="D487" s="1" t="s">
        <v>337</v>
      </c>
      <c r="E487" s="1" t="s">
        <v>2607</v>
      </c>
      <c r="F487" s="1" t="s">
        <v>112</v>
      </c>
      <c r="G487" s="1">
        <v>457169</v>
      </c>
    </row>
    <row r="488" spans="1:10" x14ac:dyDescent="0.3">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3">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195</v>
      </c>
      <c r="D489" s="1" t="s">
        <v>112</v>
      </c>
      <c r="E489" s="1" t="s">
        <v>196</v>
      </c>
      <c r="F489" s="1" t="s">
        <v>197</v>
      </c>
      <c r="G489" s="1" t="s">
        <v>198</v>
      </c>
      <c r="H489" s="1" t="s">
        <v>199</v>
      </c>
      <c r="I489" s="1" t="s">
        <v>200</v>
      </c>
      <c r="J489" s="1" t="s">
        <v>201</v>
      </c>
    </row>
    <row r="490" spans="1:10" x14ac:dyDescent="0.3">
      <c r="A490" s="1" t="str">
        <f t="shared" si="7"/>
        <v>03 Testo+ EE2 64</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2608</v>
      </c>
      <c r="D490" s="1" t="s">
        <v>112</v>
      </c>
      <c r="E490" s="1" t="s">
        <v>2609</v>
      </c>
      <c r="F490" s="1" t="s">
        <v>2610</v>
      </c>
      <c r="G490" s="1" t="s">
        <v>2611</v>
      </c>
      <c r="H490" s="1" t="s">
        <v>2612</v>
      </c>
      <c r="I490" s="1">
        <v>24</v>
      </c>
      <c r="J490" s="1">
        <v>24</v>
      </c>
    </row>
    <row r="491" spans="1:10" x14ac:dyDescent="0.3">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3">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3">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3">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3">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3">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202</v>
      </c>
      <c r="D496" s="1" t="s">
        <v>110</v>
      </c>
      <c r="E496" s="1" t="s">
        <v>111</v>
      </c>
      <c r="F496" s="1" t="s">
        <v>112</v>
      </c>
      <c r="G496" s="1" t="s">
        <v>113</v>
      </c>
    </row>
    <row r="497" spans="1:7" x14ac:dyDescent="0.3">
      <c r="A497" s="1" t="str">
        <f t="shared" si="7"/>
        <v>04 Testo+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2613</v>
      </c>
      <c r="D497" s="1" t="s">
        <v>346</v>
      </c>
      <c r="E497" s="1" t="s">
        <v>2614</v>
      </c>
      <c r="F497" s="1" t="s">
        <v>112</v>
      </c>
      <c r="G497" s="1">
        <v>166680</v>
      </c>
    </row>
    <row r="498" spans="1:7" x14ac:dyDescent="0.3">
      <c r="A498" s="1" t="str">
        <f t="shared" si="7"/>
        <v>04 Testo+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2615</v>
      </c>
      <c r="D498" s="1" t="s">
        <v>208</v>
      </c>
      <c r="E498" s="1" t="s">
        <v>2616</v>
      </c>
      <c r="F498" s="1" t="s">
        <v>112</v>
      </c>
      <c r="G498" s="1">
        <v>36295</v>
      </c>
    </row>
    <row r="499" spans="1:7" x14ac:dyDescent="0.3">
      <c r="A499" s="1" t="str">
        <f t="shared" si="7"/>
        <v>04 Testo+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2617</v>
      </c>
    </row>
    <row r="500" spans="1:7" x14ac:dyDescent="0.3">
      <c r="A500" s="1" t="str">
        <f t="shared" si="7"/>
        <v>04 Testo+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2618</v>
      </c>
      <c r="D500" s="1" t="s">
        <v>2619</v>
      </c>
      <c r="E500" s="1" t="s">
        <v>2620</v>
      </c>
      <c r="F500" s="1" t="s">
        <v>112</v>
      </c>
      <c r="G500" s="1">
        <v>535578</v>
      </c>
    </row>
    <row r="501" spans="1:7" x14ac:dyDescent="0.3">
      <c r="A501" s="1" t="str">
        <f t="shared" si="7"/>
        <v>04 Testo+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2621</v>
      </c>
      <c r="D501" s="1" t="s">
        <v>2622</v>
      </c>
      <c r="E501" s="1" t="s">
        <v>2623</v>
      </c>
      <c r="F501" s="1" t="s">
        <v>112</v>
      </c>
      <c r="G501" s="1">
        <v>508086</v>
      </c>
    </row>
    <row r="502" spans="1:7" x14ac:dyDescent="0.3">
      <c r="A502" s="1" t="str">
        <f t="shared" si="7"/>
        <v>04 Testo+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2624</v>
      </c>
      <c r="D502" s="1" t="s">
        <v>444</v>
      </c>
      <c r="E502" s="1" t="s">
        <v>2625</v>
      </c>
      <c r="F502" s="1" t="s">
        <v>112</v>
      </c>
      <c r="G502" s="1">
        <v>166507</v>
      </c>
    </row>
    <row r="503" spans="1:7" x14ac:dyDescent="0.3">
      <c r="A503" s="1" t="str">
        <f t="shared" si="7"/>
        <v>04 Testo+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2626</v>
      </c>
      <c r="D503" s="1" t="s">
        <v>334</v>
      </c>
      <c r="E503" s="1" t="s">
        <v>319</v>
      </c>
      <c r="F503" s="1" t="s">
        <v>112</v>
      </c>
      <c r="G503" s="1">
        <v>35711</v>
      </c>
    </row>
    <row r="504" spans="1:7" x14ac:dyDescent="0.3">
      <c r="A504" s="1" t="str">
        <f t="shared" si="7"/>
        <v>04 Testo+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2627</v>
      </c>
    </row>
    <row r="505" spans="1:7" x14ac:dyDescent="0.3">
      <c r="A505" s="1" t="str">
        <f t="shared" si="7"/>
        <v>04 Testo+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2628</v>
      </c>
      <c r="D505" s="1" t="s">
        <v>298</v>
      </c>
      <c r="E505" s="1">
        <v>62</v>
      </c>
      <c r="F505" s="1" t="s">
        <v>112</v>
      </c>
      <c r="G505" s="1">
        <v>6705</v>
      </c>
    </row>
    <row r="506" spans="1:7" x14ac:dyDescent="0.3">
      <c r="A506" s="1" t="str">
        <f t="shared" si="7"/>
        <v>04 Testo+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2629</v>
      </c>
      <c r="D506" s="1" t="s">
        <v>218</v>
      </c>
      <c r="E506" s="1" t="s">
        <v>2630</v>
      </c>
      <c r="F506" s="1" t="s">
        <v>112</v>
      </c>
      <c r="G506" s="1">
        <v>39842</v>
      </c>
    </row>
    <row r="507" spans="1:7" x14ac:dyDescent="0.3">
      <c r="A507" s="1" t="str">
        <f t="shared" si="7"/>
        <v>04 Testo+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2631</v>
      </c>
      <c r="D507" s="1" t="s">
        <v>173</v>
      </c>
      <c r="E507" s="1" t="s">
        <v>2632</v>
      </c>
      <c r="F507" s="1" t="s">
        <v>112</v>
      </c>
      <c r="G507" s="1">
        <v>256574</v>
      </c>
    </row>
    <row r="508" spans="1:7" x14ac:dyDescent="0.3">
      <c r="A508" s="1" t="str">
        <f t="shared" si="7"/>
        <v>04 Testo+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2633</v>
      </c>
      <c r="D508" s="1" t="s">
        <v>247</v>
      </c>
      <c r="E508" s="1" t="s">
        <v>2634</v>
      </c>
      <c r="F508" s="1" t="s">
        <v>112</v>
      </c>
      <c r="G508" s="1">
        <v>116088</v>
      </c>
    </row>
    <row r="509" spans="1:7" x14ac:dyDescent="0.3">
      <c r="A509" s="1" t="str">
        <f t="shared" si="7"/>
        <v>04 Testo+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2635</v>
      </c>
      <c r="D509" s="1" t="s">
        <v>1513</v>
      </c>
      <c r="E509" s="1" t="s">
        <v>2636</v>
      </c>
      <c r="F509" s="1" t="s">
        <v>112</v>
      </c>
      <c r="G509" s="1">
        <v>157617</v>
      </c>
    </row>
    <row r="510" spans="1:7" x14ac:dyDescent="0.3">
      <c r="A510" s="1" t="str">
        <f t="shared" si="7"/>
        <v>04 Testo+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2637</v>
      </c>
      <c r="D510" s="1" t="s">
        <v>173</v>
      </c>
      <c r="E510" s="1" t="s">
        <v>2638</v>
      </c>
      <c r="F510" s="1" t="s">
        <v>112</v>
      </c>
      <c r="G510" s="1">
        <v>286358</v>
      </c>
    </row>
    <row r="511" spans="1:7" x14ac:dyDescent="0.3">
      <c r="A511" s="1" t="str">
        <f t="shared" si="7"/>
        <v>04 Testo+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2639</v>
      </c>
      <c r="D511" s="1" t="s">
        <v>346</v>
      </c>
      <c r="E511" s="1" t="s">
        <v>2640</v>
      </c>
      <c r="F511" s="1" t="s">
        <v>112</v>
      </c>
      <c r="G511" s="1">
        <v>171698</v>
      </c>
    </row>
    <row r="512" spans="1:7" x14ac:dyDescent="0.3">
      <c r="A512" s="1" t="str">
        <f t="shared" si="7"/>
        <v>04 Testo+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2641</v>
      </c>
      <c r="D512" s="1" t="s">
        <v>179</v>
      </c>
      <c r="E512" s="1" t="s">
        <v>307</v>
      </c>
      <c r="F512" s="1" t="s">
        <v>112</v>
      </c>
      <c r="G512" s="1">
        <v>8111</v>
      </c>
    </row>
    <row r="513" spans="1:10" x14ac:dyDescent="0.3">
      <c r="A513" s="1" t="str">
        <f t="shared" si="7"/>
        <v>04 Testo+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2642</v>
      </c>
      <c r="D513" s="1" t="s">
        <v>234</v>
      </c>
      <c r="E513" s="1" t="s">
        <v>240</v>
      </c>
      <c r="F513" s="1" t="s">
        <v>112</v>
      </c>
      <c r="G513" s="1">
        <v>16525</v>
      </c>
    </row>
    <row r="514" spans="1:10" x14ac:dyDescent="0.3">
      <c r="A514" s="1" t="str">
        <f t="shared" ref="A514:A577" si="8">IFERROR(LEFT(RIGHT(C514,LEN(C514)-SEARCH("@",C514)),SEARCH("/",RIGHT(C514,LEN(C514)-SEARCH("@",C514)-1))),"")</f>
        <v>04 Testo+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2643</v>
      </c>
      <c r="D514" s="1" t="s">
        <v>211</v>
      </c>
      <c r="E514" s="1" t="s">
        <v>216</v>
      </c>
      <c r="F514" s="1" t="s">
        <v>112</v>
      </c>
      <c r="G514" s="1">
        <v>24961</v>
      </c>
    </row>
    <row r="515" spans="1:10" x14ac:dyDescent="0.3">
      <c r="A515" s="1" t="str">
        <f t="shared" si="8"/>
        <v>04 Testo+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2644</v>
      </c>
    </row>
    <row r="516" spans="1:10" x14ac:dyDescent="0.3">
      <c r="A516" s="1" t="str">
        <f t="shared" si="8"/>
        <v>04 Testo+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2645</v>
      </c>
      <c r="D516" s="1" t="s">
        <v>231</v>
      </c>
      <c r="E516" s="1" t="s">
        <v>2646</v>
      </c>
      <c r="F516" s="1" t="s">
        <v>112</v>
      </c>
      <c r="G516" s="1">
        <v>67961</v>
      </c>
    </row>
    <row r="517" spans="1:10" x14ac:dyDescent="0.3">
      <c r="A517" s="1" t="str">
        <f t="shared" si="8"/>
        <v>04 Testo+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2647</v>
      </c>
      <c r="D517" s="1" t="s">
        <v>213</v>
      </c>
      <c r="E517" s="1" t="s">
        <v>2648</v>
      </c>
      <c r="F517" s="1" t="s">
        <v>112</v>
      </c>
      <c r="G517" s="1">
        <v>42027</v>
      </c>
    </row>
    <row r="518" spans="1:10" x14ac:dyDescent="0.3">
      <c r="A518" s="1" t="str">
        <f t="shared" si="8"/>
        <v>04 Testo+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2649</v>
      </c>
      <c r="D518" s="1" t="s">
        <v>235</v>
      </c>
      <c r="E518" s="1" t="s">
        <v>2650</v>
      </c>
      <c r="F518" s="1" t="s">
        <v>112</v>
      </c>
      <c r="G518" s="1">
        <v>120933</v>
      </c>
    </row>
    <row r="519" spans="1:10" x14ac:dyDescent="0.3">
      <c r="A519" s="1" t="str">
        <f t="shared" si="8"/>
        <v>04 Testo+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2651</v>
      </c>
      <c r="D519" s="1" t="s">
        <v>281</v>
      </c>
      <c r="E519" s="1" t="s">
        <v>2652</v>
      </c>
      <c r="F519" s="1" t="s">
        <v>112</v>
      </c>
      <c r="G519" s="1">
        <v>82496</v>
      </c>
    </row>
    <row r="520" spans="1:10" x14ac:dyDescent="0.3">
      <c r="A520" s="1" t="str">
        <f t="shared" si="8"/>
        <v>04 Testo+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2653</v>
      </c>
      <c r="D520" s="1" t="s">
        <v>308</v>
      </c>
      <c r="E520" s="1" t="s">
        <v>2654</v>
      </c>
      <c r="F520" s="1" t="s">
        <v>112</v>
      </c>
      <c r="G520" s="1">
        <v>46223</v>
      </c>
    </row>
    <row r="521" spans="1:10" x14ac:dyDescent="0.3">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3">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195</v>
      </c>
      <c r="D522" s="1" t="s">
        <v>112</v>
      </c>
      <c r="E522" s="1" t="s">
        <v>196</v>
      </c>
      <c r="F522" s="1" t="s">
        <v>197</v>
      </c>
      <c r="G522" s="1" t="s">
        <v>198</v>
      </c>
      <c r="H522" s="1" t="s">
        <v>199</v>
      </c>
      <c r="I522" s="1" t="s">
        <v>200</v>
      </c>
      <c r="J522" s="1" t="s">
        <v>201</v>
      </c>
    </row>
    <row r="523" spans="1:10" x14ac:dyDescent="0.3">
      <c r="A523" s="1" t="str">
        <f t="shared" si="8"/>
        <v>04 Testo+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2655</v>
      </c>
      <c r="D523" s="1" t="s">
        <v>112</v>
      </c>
      <c r="E523" s="1" t="s">
        <v>2656</v>
      </c>
      <c r="F523" s="1" t="s">
        <v>2657</v>
      </c>
      <c r="G523" s="1" t="s">
        <v>2658</v>
      </c>
      <c r="H523" s="1" t="s">
        <v>2659</v>
      </c>
      <c r="I523" s="1">
        <v>24</v>
      </c>
      <c r="J523" s="1">
        <v>24</v>
      </c>
    </row>
    <row r="524" spans="1:10" x14ac:dyDescent="0.3">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3">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3">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3">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3">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3">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202</v>
      </c>
      <c r="D529" s="1" t="s">
        <v>110</v>
      </c>
      <c r="E529" s="1" t="s">
        <v>111</v>
      </c>
      <c r="F529" s="1" t="s">
        <v>112</v>
      </c>
      <c r="G529" s="1" t="s">
        <v>113</v>
      </c>
    </row>
    <row r="530" spans="1:7" x14ac:dyDescent="0.3">
      <c r="A530" s="1" t="str">
        <f t="shared" si="8"/>
        <v>05 Dutastéride 0.01mg_L Dopé</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2660</v>
      </c>
      <c r="D530" s="1" t="s">
        <v>2661</v>
      </c>
      <c r="E530" s="1" t="s">
        <v>2662</v>
      </c>
      <c r="F530" s="1" t="s">
        <v>112</v>
      </c>
      <c r="G530" s="1">
        <v>3756096</v>
      </c>
    </row>
    <row r="531" spans="1:7" x14ac:dyDescent="0.3">
      <c r="A531" s="1" t="str">
        <f t="shared" si="8"/>
        <v>05 Dutastéride 0.01mg_L Dopé</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2663</v>
      </c>
      <c r="D531" s="1" t="s">
        <v>2664</v>
      </c>
      <c r="E531" s="1" t="s">
        <v>2665</v>
      </c>
      <c r="F531" s="1" t="s">
        <v>112</v>
      </c>
      <c r="G531" s="1">
        <v>4004926</v>
      </c>
    </row>
    <row r="532" spans="1:7" x14ac:dyDescent="0.3">
      <c r="A532" s="1" t="str">
        <f t="shared" si="8"/>
        <v>05 Dutastéride 0.01mg_L Dopé</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2666</v>
      </c>
      <c r="D532" s="1" t="s">
        <v>2667</v>
      </c>
      <c r="E532" s="1" t="s">
        <v>2668</v>
      </c>
      <c r="F532" s="1" t="s">
        <v>112</v>
      </c>
      <c r="G532" s="1">
        <v>4170979</v>
      </c>
    </row>
    <row r="533" spans="1:7" x14ac:dyDescent="0.3">
      <c r="A533" s="1" t="str">
        <f t="shared" si="8"/>
        <v>05 Dutastéride 0.01mg_L Dopé</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2669</v>
      </c>
      <c r="D533" s="1" t="s">
        <v>359</v>
      </c>
      <c r="E533" s="1" t="s">
        <v>2670</v>
      </c>
      <c r="F533" s="1" t="s">
        <v>112</v>
      </c>
      <c r="G533" s="1">
        <v>2403362</v>
      </c>
    </row>
    <row r="534" spans="1:7" x14ac:dyDescent="0.3">
      <c r="A534" s="1" t="str">
        <f t="shared" si="8"/>
        <v>05 Dutastéride 0.01mg_L Dopé</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2671</v>
      </c>
      <c r="D534" s="1" t="s">
        <v>2423</v>
      </c>
      <c r="E534" s="1" t="s">
        <v>2672</v>
      </c>
      <c r="F534" s="1" t="s">
        <v>112</v>
      </c>
      <c r="G534" s="1">
        <v>1830343</v>
      </c>
    </row>
    <row r="535" spans="1:7" x14ac:dyDescent="0.3">
      <c r="A535" s="1" t="str">
        <f t="shared" si="8"/>
        <v>05 Dutastéride 0.01mg_L Dopé</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2673</v>
      </c>
      <c r="D535" s="1" t="s">
        <v>2674</v>
      </c>
      <c r="E535" s="1" t="s">
        <v>2675</v>
      </c>
      <c r="F535" s="1" t="s">
        <v>112</v>
      </c>
      <c r="G535" s="1">
        <v>2241787</v>
      </c>
    </row>
    <row r="536" spans="1:7" x14ac:dyDescent="0.3">
      <c r="A536" s="1" t="str">
        <f t="shared" si="8"/>
        <v>05 Dutastéride 0.01mg_L Dopé</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2676</v>
      </c>
      <c r="D536" s="1" t="s">
        <v>2677</v>
      </c>
      <c r="E536" s="1" t="s">
        <v>2678</v>
      </c>
      <c r="F536" s="1" t="s">
        <v>112</v>
      </c>
      <c r="G536" s="1">
        <v>1329763</v>
      </c>
    </row>
    <row r="537" spans="1:7" x14ac:dyDescent="0.3">
      <c r="A537" s="1" t="str">
        <f t="shared" si="8"/>
        <v>05 Dutastéride 0.01mg_L Dopé</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2679</v>
      </c>
      <c r="D537" s="1" t="s">
        <v>382</v>
      </c>
      <c r="E537" s="1" t="s">
        <v>2680</v>
      </c>
      <c r="F537" s="1" t="s">
        <v>112</v>
      </c>
      <c r="G537" s="1">
        <v>863574</v>
      </c>
    </row>
    <row r="538" spans="1:7" x14ac:dyDescent="0.3">
      <c r="A538" s="1" t="str">
        <f t="shared" si="8"/>
        <v>05 Dutastéride 0.01mg_L Dopé</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2681</v>
      </c>
      <c r="D538" s="1" t="s">
        <v>2682</v>
      </c>
      <c r="E538" s="1" t="s">
        <v>2683</v>
      </c>
      <c r="F538" s="1" t="s">
        <v>112</v>
      </c>
      <c r="G538" s="1">
        <v>1196328</v>
      </c>
    </row>
    <row r="539" spans="1:7" x14ac:dyDescent="0.3">
      <c r="A539" s="1" t="str">
        <f t="shared" si="8"/>
        <v>05 Dutastéride 0.01mg_L Dopé</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2684</v>
      </c>
      <c r="D539" s="1" t="s">
        <v>180</v>
      </c>
      <c r="E539" s="1" t="s">
        <v>2685</v>
      </c>
      <c r="F539" s="1" t="s">
        <v>112</v>
      </c>
      <c r="G539" s="1">
        <v>12437</v>
      </c>
    </row>
    <row r="540" spans="1:7" x14ac:dyDescent="0.3">
      <c r="A540" s="1" t="str">
        <f t="shared" si="8"/>
        <v>05 Dutastéride 0.01mg_L Dopé</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2686</v>
      </c>
      <c r="D540" s="1" t="s">
        <v>239</v>
      </c>
      <c r="E540" s="1" t="s">
        <v>2687</v>
      </c>
      <c r="F540" s="1" t="s">
        <v>112</v>
      </c>
      <c r="G540" s="1">
        <v>39237</v>
      </c>
    </row>
    <row r="541" spans="1:7" x14ac:dyDescent="0.3">
      <c r="A541" s="1" t="str">
        <f t="shared" si="8"/>
        <v>05 Dutastéride 0.01mg_L Dopé</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2688</v>
      </c>
      <c r="D541" s="1" t="s">
        <v>211</v>
      </c>
      <c r="E541" s="1" t="s">
        <v>2689</v>
      </c>
      <c r="F541" s="1" t="s">
        <v>112</v>
      </c>
      <c r="G541" s="1">
        <v>24939</v>
      </c>
    </row>
    <row r="542" spans="1:7" x14ac:dyDescent="0.3">
      <c r="A542" s="1" t="str">
        <f t="shared" si="8"/>
        <v>05 Dutastéride 0.01mg_L Dopé</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2690</v>
      </c>
      <c r="D542" s="1" t="s">
        <v>2005</v>
      </c>
      <c r="E542" s="1" t="s">
        <v>2691</v>
      </c>
      <c r="F542" s="1" t="s">
        <v>112</v>
      </c>
      <c r="G542" s="1">
        <v>2681069</v>
      </c>
    </row>
    <row r="543" spans="1:7" x14ac:dyDescent="0.3">
      <c r="A543" s="1" t="str">
        <f t="shared" si="8"/>
        <v>05 Dutastéride 0.01mg_L Dopé</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2692</v>
      </c>
      <c r="D543" s="1" t="s">
        <v>2693</v>
      </c>
      <c r="E543" s="1" t="s">
        <v>2694</v>
      </c>
      <c r="F543" s="1" t="s">
        <v>112</v>
      </c>
      <c r="G543" s="1">
        <v>3029267</v>
      </c>
    </row>
    <row r="544" spans="1:7" x14ac:dyDescent="0.3">
      <c r="A544" s="1" t="str">
        <f t="shared" si="8"/>
        <v>05 Dutastéride 0.01mg_L Dopé</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2695</v>
      </c>
      <c r="D544" s="1" t="s">
        <v>2696</v>
      </c>
      <c r="E544" s="1" t="s">
        <v>2697</v>
      </c>
      <c r="F544" s="1" t="s">
        <v>112</v>
      </c>
      <c r="G544" s="1">
        <v>3173473</v>
      </c>
    </row>
    <row r="545" spans="1:10" x14ac:dyDescent="0.3">
      <c r="A545" s="1" t="str">
        <f t="shared" si="8"/>
        <v>05 Dutastéride 0.01mg_L Dopé</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2698</v>
      </c>
      <c r="D545" s="1" t="s">
        <v>2699</v>
      </c>
      <c r="E545" s="1" t="s">
        <v>2700</v>
      </c>
      <c r="F545" s="1" t="s">
        <v>112</v>
      </c>
      <c r="G545" s="1">
        <v>4367725</v>
      </c>
    </row>
    <row r="546" spans="1:10" x14ac:dyDescent="0.3">
      <c r="A546" s="1" t="str">
        <f t="shared" si="8"/>
        <v>05 Dutastéride 0.01mg_L Dopé</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2701</v>
      </c>
      <c r="D546" s="1" t="s">
        <v>2702</v>
      </c>
      <c r="E546" s="1" t="s">
        <v>2703</v>
      </c>
      <c r="F546" s="1" t="s">
        <v>112</v>
      </c>
      <c r="G546" s="1">
        <v>4020305</v>
      </c>
    </row>
    <row r="547" spans="1:10" x14ac:dyDescent="0.3">
      <c r="A547" s="1" t="str">
        <f t="shared" si="8"/>
        <v>05 Dutastéride 0.01mg_L Dopé</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2704</v>
      </c>
      <c r="D547" s="1" t="s">
        <v>2705</v>
      </c>
      <c r="E547" s="1" t="s">
        <v>2706</v>
      </c>
      <c r="F547" s="1" t="s">
        <v>112</v>
      </c>
      <c r="G547" s="1">
        <v>3692569</v>
      </c>
    </row>
    <row r="548" spans="1:10" x14ac:dyDescent="0.3">
      <c r="A548" s="1" t="str">
        <f t="shared" si="8"/>
        <v>05 Dutastéride 0.01mg_L Dopé</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2707</v>
      </c>
    </row>
    <row r="549" spans="1:10" x14ac:dyDescent="0.3">
      <c r="A549" s="1" t="str">
        <f t="shared" si="8"/>
        <v>05 Dutastéride 0.01mg_L Dopé</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2708</v>
      </c>
    </row>
    <row r="550" spans="1:10" x14ac:dyDescent="0.3">
      <c r="A550" s="1" t="str">
        <f t="shared" si="8"/>
        <v>05 Dutastéride 0.01mg_L Dopé</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2709</v>
      </c>
    </row>
    <row r="551" spans="1:10" x14ac:dyDescent="0.3">
      <c r="A551" s="1" t="str">
        <f t="shared" si="8"/>
        <v>05 Dutastéride 0.01mg_L Dopé</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2710</v>
      </c>
      <c r="D551" s="1" t="s">
        <v>369</v>
      </c>
      <c r="E551" s="1" t="s">
        <v>2711</v>
      </c>
      <c r="F551" s="1" t="s">
        <v>112</v>
      </c>
      <c r="G551" s="1">
        <v>353303</v>
      </c>
    </row>
    <row r="552" spans="1:10" x14ac:dyDescent="0.3">
      <c r="A552" s="1" t="str">
        <f t="shared" si="8"/>
        <v>05 Dutastéride 0.01mg_L Dopé</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2712</v>
      </c>
      <c r="D552" s="1" t="s">
        <v>1915</v>
      </c>
      <c r="E552" s="1" t="s">
        <v>2713</v>
      </c>
      <c r="F552" s="1" t="s">
        <v>112</v>
      </c>
      <c r="G552" s="1">
        <v>438135</v>
      </c>
    </row>
    <row r="553" spans="1:10" x14ac:dyDescent="0.3">
      <c r="A553" s="1" t="str">
        <f t="shared" si="8"/>
        <v>05 Dutastéride 0.01mg_L Dopé</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2714</v>
      </c>
      <c r="D553" s="1" t="s">
        <v>362</v>
      </c>
      <c r="E553" s="1" t="s">
        <v>2715</v>
      </c>
      <c r="F553" s="1" t="s">
        <v>112</v>
      </c>
      <c r="G553" s="1">
        <v>216559</v>
      </c>
    </row>
    <row r="554" spans="1:10" x14ac:dyDescent="0.3">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3">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195</v>
      </c>
      <c r="D555" s="1" t="s">
        <v>112</v>
      </c>
      <c r="E555" s="1" t="s">
        <v>196</v>
      </c>
      <c r="F555" s="1" t="s">
        <v>197</v>
      </c>
      <c r="G555" s="1" t="s">
        <v>198</v>
      </c>
      <c r="H555" s="1" t="s">
        <v>199</v>
      </c>
      <c r="I555" s="1" t="s">
        <v>200</v>
      </c>
      <c r="J555" s="1" t="s">
        <v>201</v>
      </c>
    </row>
    <row r="556" spans="1:10" x14ac:dyDescent="0.3">
      <c r="A556" s="1" t="str">
        <f t="shared" si="8"/>
        <v>05 Dutastéride 0.01mg_L Dopé</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2716</v>
      </c>
      <c r="D556" s="1" t="s">
        <v>112</v>
      </c>
      <c r="E556" s="1" t="s">
        <v>2717</v>
      </c>
      <c r="F556" s="1" t="s">
        <v>2718</v>
      </c>
      <c r="G556" s="1" t="s">
        <v>2719</v>
      </c>
      <c r="H556" s="1" t="s">
        <v>2720</v>
      </c>
      <c r="I556" s="1">
        <v>24</v>
      </c>
      <c r="J556" s="1">
        <v>24</v>
      </c>
    </row>
    <row r="557" spans="1:10" x14ac:dyDescent="0.3">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3">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3">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3">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3">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3">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202</v>
      </c>
      <c r="D562" s="1" t="s">
        <v>110</v>
      </c>
      <c r="E562" s="1" t="s">
        <v>111</v>
      </c>
      <c r="F562" s="1" t="s">
        <v>112</v>
      </c>
      <c r="G562" s="1" t="s">
        <v>113</v>
      </c>
    </row>
    <row r="563" spans="1:7" x14ac:dyDescent="0.3">
      <c r="A563" s="1" t="str">
        <f t="shared" si="8"/>
        <v>06 Dutastéride 0.1mg_L Dopé</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2721</v>
      </c>
      <c r="D563" s="1" t="s">
        <v>234</v>
      </c>
      <c r="E563" s="1" t="s">
        <v>331</v>
      </c>
      <c r="F563" s="1" t="s">
        <v>112</v>
      </c>
      <c r="G563" s="1">
        <v>16547</v>
      </c>
    </row>
    <row r="564" spans="1:7" x14ac:dyDescent="0.3">
      <c r="A564" s="1" t="str">
        <f t="shared" si="8"/>
        <v>06 Dutastéride 0.1mg_L Dopé</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2722</v>
      </c>
      <c r="D564" s="1" t="s">
        <v>305</v>
      </c>
      <c r="E564" s="1" t="s">
        <v>2723</v>
      </c>
      <c r="F564" s="1" t="s">
        <v>112</v>
      </c>
      <c r="G564" s="1">
        <v>22041</v>
      </c>
    </row>
    <row r="565" spans="1:7" x14ac:dyDescent="0.3">
      <c r="A565" s="1" t="str">
        <f t="shared" si="8"/>
        <v>06 Dutastéride 0.1mg_L Dopé</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2724</v>
      </c>
      <c r="D565" s="1" t="s">
        <v>229</v>
      </c>
      <c r="E565" s="1" t="s">
        <v>1044</v>
      </c>
      <c r="F565" s="1" t="s">
        <v>112</v>
      </c>
      <c r="G565" s="1">
        <v>17780</v>
      </c>
    </row>
    <row r="566" spans="1:7" x14ac:dyDescent="0.3">
      <c r="A566" s="1" t="str">
        <f t="shared" si="8"/>
        <v>06 Dutastéride 0.1mg_L Dopé</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2725</v>
      </c>
    </row>
    <row r="567" spans="1:7" x14ac:dyDescent="0.3">
      <c r="A567" s="1" t="str">
        <f t="shared" si="8"/>
        <v>06 Dutastéride 0.1mg_L Dopé</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2726</v>
      </c>
      <c r="D567" s="1" t="s">
        <v>2727</v>
      </c>
      <c r="E567" s="1" t="s">
        <v>2728</v>
      </c>
      <c r="F567" s="1" t="s">
        <v>112</v>
      </c>
      <c r="G567" s="1">
        <v>1125901</v>
      </c>
    </row>
    <row r="568" spans="1:7" x14ac:dyDescent="0.3">
      <c r="A568" s="1" t="str">
        <f t="shared" si="8"/>
        <v>06 Dutastéride 0.1mg_L Dopé</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2729</v>
      </c>
      <c r="D568" s="1" t="s">
        <v>2730</v>
      </c>
      <c r="E568" s="1" t="s">
        <v>2731</v>
      </c>
      <c r="F568" s="1" t="s">
        <v>112</v>
      </c>
      <c r="G568" s="1">
        <v>958702</v>
      </c>
    </row>
    <row r="569" spans="1:7" x14ac:dyDescent="0.3">
      <c r="A569" s="1" t="str">
        <f t="shared" si="8"/>
        <v>06 Dutastéride 0.1mg_L Dopé</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2732</v>
      </c>
      <c r="D569" s="1" t="s">
        <v>177</v>
      </c>
      <c r="E569" s="1" t="s">
        <v>2733</v>
      </c>
      <c r="F569" s="1" t="s">
        <v>112</v>
      </c>
      <c r="G569" s="1">
        <v>23404</v>
      </c>
    </row>
    <row r="570" spans="1:7" x14ac:dyDescent="0.3">
      <c r="A570" s="1" t="str">
        <f t="shared" si="8"/>
        <v>06 Dutastéride 0.1mg_L Dopé</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2734</v>
      </c>
      <c r="D570" s="1" t="s">
        <v>318</v>
      </c>
      <c r="E570" s="1" t="s">
        <v>2735</v>
      </c>
      <c r="F570" s="1" t="s">
        <v>112</v>
      </c>
      <c r="G570" s="1">
        <v>43130</v>
      </c>
    </row>
    <row r="571" spans="1:7" x14ac:dyDescent="0.3">
      <c r="A571" s="1" t="str">
        <f t="shared" si="8"/>
        <v>06 Dutastéride 0.1mg_L Dopé</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2736</v>
      </c>
      <c r="D571" s="1" t="s">
        <v>177</v>
      </c>
      <c r="E571" s="1" t="s">
        <v>2737</v>
      </c>
      <c r="F571" s="1" t="s">
        <v>112</v>
      </c>
      <c r="G571" s="1">
        <v>23187</v>
      </c>
    </row>
    <row r="572" spans="1:7" x14ac:dyDescent="0.3">
      <c r="A572" s="1" t="str">
        <f t="shared" si="8"/>
        <v>06 Dutastéride 0.1mg_L Dopé</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2738</v>
      </c>
      <c r="D572" s="1" t="s">
        <v>2739</v>
      </c>
      <c r="E572" s="1" t="s">
        <v>2740</v>
      </c>
      <c r="F572" s="1" t="s">
        <v>112</v>
      </c>
      <c r="G572" s="1">
        <v>1918615</v>
      </c>
    </row>
    <row r="573" spans="1:7" x14ac:dyDescent="0.3">
      <c r="A573" s="1" t="str">
        <f t="shared" si="8"/>
        <v>06 Dutastéride 0.1mg_L Dopé</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2741</v>
      </c>
      <c r="D573" s="1" t="s">
        <v>342</v>
      </c>
      <c r="E573" s="1" t="s">
        <v>2742</v>
      </c>
      <c r="F573" s="1" t="s">
        <v>112</v>
      </c>
      <c r="G573" s="1">
        <v>1987376</v>
      </c>
    </row>
    <row r="574" spans="1:7" x14ac:dyDescent="0.3">
      <c r="A574" s="1" t="str">
        <f t="shared" si="8"/>
        <v>06 Dutastéride 0.1mg_L Dopé</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2743</v>
      </c>
      <c r="D574" s="1" t="s">
        <v>342</v>
      </c>
      <c r="E574" s="1" t="s">
        <v>2744</v>
      </c>
      <c r="F574" s="1" t="s">
        <v>112</v>
      </c>
      <c r="G574" s="1">
        <v>1985516</v>
      </c>
    </row>
    <row r="575" spans="1:7" x14ac:dyDescent="0.3">
      <c r="A575" s="1" t="str">
        <f t="shared" si="8"/>
        <v>06 Dutastéride 0.1mg_L Dopé</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2745</v>
      </c>
    </row>
    <row r="576" spans="1:7" x14ac:dyDescent="0.3">
      <c r="A576" s="1" t="str">
        <f t="shared" si="8"/>
        <v>06 Dutastéride 0.1mg_L Dopé</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2746</v>
      </c>
      <c r="D576" s="1" t="s">
        <v>2747</v>
      </c>
      <c r="E576" s="1" t="s">
        <v>2748</v>
      </c>
      <c r="F576" s="1" t="s">
        <v>112</v>
      </c>
      <c r="G576" s="1">
        <v>546176</v>
      </c>
    </row>
    <row r="577" spans="1:10" x14ac:dyDescent="0.3">
      <c r="A577" s="1" t="str">
        <f t="shared" si="8"/>
        <v>06 Dutastéride 0.1mg_L Dopé</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2749</v>
      </c>
      <c r="D577" s="1" t="s">
        <v>283</v>
      </c>
      <c r="E577" s="1" t="s">
        <v>2750</v>
      </c>
      <c r="F577" s="1" t="s">
        <v>112</v>
      </c>
      <c r="G577" s="1">
        <v>455569</v>
      </c>
    </row>
    <row r="578" spans="1:10" x14ac:dyDescent="0.3">
      <c r="A578" s="1" t="str">
        <f t="shared" ref="A578:A641" si="9">IFERROR(LEFT(RIGHT(C578,LEN(C578)-SEARCH("@",C578)),SEARCH("/",RIGHT(C578,LEN(C578)-SEARCH("@",C578)-1))),"")</f>
        <v>06 Dutastéride 0.1mg_L Dopé</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2751</v>
      </c>
      <c r="D578" s="1" t="s">
        <v>2752</v>
      </c>
      <c r="E578" s="1" t="s">
        <v>2753</v>
      </c>
      <c r="F578" s="1" t="s">
        <v>112</v>
      </c>
      <c r="G578" s="1">
        <v>2793393</v>
      </c>
    </row>
    <row r="579" spans="1:10" x14ac:dyDescent="0.3">
      <c r="A579" s="1" t="str">
        <f t="shared" si="9"/>
        <v>06 Dutastéride 0.1mg_L Dopé</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2754</v>
      </c>
      <c r="D579" s="1" t="s">
        <v>2755</v>
      </c>
      <c r="E579" s="1" t="s">
        <v>2756</v>
      </c>
      <c r="F579" s="1" t="s">
        <v>112</v>
      </c>
      <c r="G579" s="1">
        <v>2666166</v>
      </c>
    </row>
    <row r="580" spans="1:10" x14ac:dyDescent="0.3">
      <c r="A580" s="1" t="str">
        <f t="shared" si="9"/>
        <v>06 Dutastéride 0.1mg_L Dopé</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2757</v>
      </c>
      <c r="D580" s="1" t="s">
        <v>2758</v>
      </c>
      <c r="E580" s="1" t="s">
        <v>2759</v>
      </c>
      <c r="F580" s="1" t="s">
        <v>112</v>
      </c>
      <c r="G580" s="1">
        <v>2401199</v>
      </c>
    </row>
    <row r="581" spans="1:10" x14ac:dyDescent="0.3">
      <c r="A581" s="1" t="str">
        <f t="shared" si="9"/>
        <v>06 Dutastéride 0.1mg_L Dopé</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2760</v>
      </c>
      <c r="D581" s="1" t="s">
        <v>2761</v>
      </c>
      <c r="E581" s="1" t="s">
        <v>2762</v>
      </c>
      <c r="F581" s="1" t="s">
        <v>112</v>
      </c>
      <c r="G581" s="1">
        <v>1703765</v>
      </c>
    </row>
    <row r="582" spans="1:10" x14ac:dyDescent="0.3">
      <c r="A582" s="1" t="str">
        <f t="shared" si="9"/>
        <v>06 Dutastéride 0.1mg_L Dopé</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2763</v>
      </c>
      <c r="D582" s="1" t="s">
        <v>2764</v>
      </c>
      <c r="E582" s="1" t="s">
        <v>2765</v>
      </c>
      <c r="F582" s="1" t="s">
        <v>112</v>
      </c>
      <c r="G582" s="1">
        <v>1701797</v>
      </c>
    </row>
    <row r="583" spans="1:10" x14ac:dyDescent="0.3">
      <c r="A583" s="1" t="str">
        <f t="shared" si="9"/>
        <v>06 Dutastéride 0.1mg_L Dopé</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2766</v>
      </c>
      <c r="D583" s="1" t="s">
        <v>2473</v>
      </c>
      <c r="E583" s="1" t="s">
        <v>2767</v>
      </c>
      <c r="F583" s="1" t="s">
        <v>112</v>
      </c>
      <c r="G583" s="1">
        <v>1592696</v>
      </c>
    </row>
    <row r="584" spans="1:10" x14ac:dyDescent="0.3">
      <c r="A584" s="1" t="str">
        <f t="shared" si="9"/>
        <v>06 Dutastéride 0.1mg_L Dopé</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2768</v>
      </c>
      <c r="D584" s="1" t="s">
        <v>255</v>
      </c>
      <c r="E584" s="1" t="s">
        <v>2769</v>
      </c>
      <c r="F584" s="1" t="s">
        <v>112</v>
      </c>
      <c r="G584" s="1">
        <v>118943</v>
      </c>
    </row>
    <row r="585" spans="1:10" x14ac:dyDescent="0.3">
      <c r="A585" s="1" t="str">
        <f t="shared" si="9"/>
        <v>06 Dutastéride 0.1mg_L Dopé</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2770</v>
      </c>
      <c r="D585" s="1" t="s">
        <v>375</v>
      </c>
      <c r="E585" s="1" t="s">
        <v>2771</v>
      </c>
      <c r="F585" s="1" t="s">
        <v>112</v>
      </c>
      <c r="G585" s="1">
        <v>56908</v>
      </c>
    </row>
    <row r="586" spans="1:10" x14ac:dyDescent="0.3">
      <c r="A586" s="1" t="str">
        <f t="shared" si="9"/>
        <v>06 Dutastéride 0.1mg_L Dopé</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2772</v>
      </c>
      <c r="D586" s="1" t="s">
        <v>255</v>
      </c>
      <c r="E586" s="1" t="s">
        <v>306</v>
      </c>
      <c r="F586" s="1" t="s">
        <v>112</v>
      </c>
      <c r="G586" s="1">
        <v>120630</v>
      </c>
    </row>
    <row r="587" spans="1:10" x14ac:dyDescent="0.3">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3">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195</v>
      </c>
      <c r="D588" s="1" t="s">
        <v>112</v>
      </c>
      <c r="E588" s="1" t="s">
        <v>196</v>
      </c>
      <c r="F588" s="1" t="s">
        <v>197</v>
      </c>
      <c r="G588" s="1" t="s">
        <v>198</v>
      </c>
      <c r="H588" s="1" t="s">
        <v>199</v>
      </c>
      <c r="I588" s="1" t="s">
        <v>200</v>
      </c>
      <c r="J588" s="1" t="s">
        <v>201</v>
      </c>
    </row>
    <row r="589" spans="1:10" x14ac:dyDescent="0.3">
      <c r="A589" s="1" t="str">
        <f t="shared" si="9"/>
        <v>06 Dutastéride 0.1mg_L Dopé</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2773</v>
      </c>
      <c r="D589" s="1" t="s">
        <v>112</v>
      </c>
      <c r="E589" s="1" t="s">
        <v>2774</v>
      </c>
      <c r="F589" s="1" t="s">
        <v>2775</v>
      </c>
      <c r="G589" s="1" t="s">
        <v>2776</v>
      </c>
      <c r="H589" s="1" t="s">
        <v>2777</v>
      </c>
      <c r="I589" s="1">
        <v>24</v>
      </c>
      <c r="J589" s="1">
        <v>24</v>
      </c>
    </row>
    <row r="590" spans="1:10" x14ac:dyDescent="0.3">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3">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3">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3">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3">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3">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202</v>
      </c>
      <c r="D595" s="1" t="s">
        <v>110</v>
      </c>
      <c r="E595" s="1" t="s">
        <v>111</v>
      </c>
      <c r="F595" s="1" t="s">
        <v>112</v>
      </c>
      <c r="G595" s="1" t="s">
        <v>113</v>
      </c>
    </row>
    <row r="596" spans="1:7" x14ac:dyDescent="0.3">
      <c r="A596" s="1" t="str">
        <f t="shared" si="9"/>
        <v>07  Dutastéride 0.25mg_L Dopé</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2778</v>
      </c>
      <c r="D596" s="1" t="s">
        <v>274</v>
      </c>
      <c r="E596" s="1" t="s">
        <v>2779</v>
      </c>
      <c r="F596" s="1" t="s">
        <v>112</v>
      </c>
      <c r="G596" s="1">
        <v>141351</v>
      </c>
    </row>
    <row r="597" spans="1:7" x14ac:dyDescent="0.3">
      <c r="A597" s="1" t="str">
        <f t="shared" si="9"/>
        <v>07  Dutastéride 0.25mg_L Dopé</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2780</v>
      </c>
      <c r="D597" s="1" t="s">
        <v>347</v>
      </c>
      <c r="E597" s="1" t="s">
        <v>2781</v>
      </c>
      <c r="F597" s="1" t="s">
        <v>112</v>
      </c>
      <c r="G597" s="1">
        <v>98784</v>
      </c>
    </row>
    <row r="598" spans="1:7" x14ac:dyDescent="0.3">
      <c r="A598" s="1" t="str">
        <f t="shared" si="9"/>
        <v>07  Dutastéride 0.25mg_L Dopé</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2782</v>
      </c>
      <c r="D598" s="1" t="s">
        <v>357</v>
      </c>
      <c r="E598" s="1" t="s">
        <v>2783</v>
      </c>
      <c r="F598" s="1" t="s">
        <v>112</v>
      </c>
      <c r="G598" s="1">
        <v>86584</v>
      </c>
    </row>
    <row r="599" spans="1:7" x14ac:dyDescent="0.3">
      <c r="A599" s="1" t="str">
        <f t="shared" si="9"/>
        <v>07  Dutastéride 0.25mg_L Dopé</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2784</v>
      </c>
      <c r="D599" s="1" t="s">
        <v>2785</v>
      </c>
      <c r="E599" s="1" t="s">
        <v>2786</v>
      </c>
      <c r="F599" s="1" t="s">
        <v>112</v>
      </c>
      <c r="G599" s="1">
        <v>1201324</v>
      </c>
    </row>
    <row r="600" spans="1:7" x14ac:dyDescent="0.3">
      <c r="A600" s="1" t="str">
        <f t="shared" si="9"/>
        <v>07  Dutastéride 0.25mg_L Dopé</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2787</v>
      </c>
      <c r="D600" s="1" t="s">
        <v>2788</v>
      </c>
      <c r="E600" s="1" t="s">
        <v>2789</v>
      </c>
      <c r="F600" s="1" t="s">
        <v>112</v>
      </c>
      <c r="G600" s="1">
        <v>819816</v>
      </c>
    </row>
    <row r="601" spans="1:7" x14ac:dyDescent="0.3">
      <c r="A601" s="1" t="str">
        <f t="shared" si="9"/>
        <v>07  Dutastéride 0.25mg_L Dopé</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2790</v>
      </c>
      <c r="D601" s="1" t="s">
        <v>2791</v>
      </c>
      <c r="E601" s="1" t="s">
        <v>2792</v>
      </c>
      <c r="F601" s="1" t="s">
        <v>112</v>
      </c>
      <c r="G601" s="1">
        <v>1090060</v>
      </c>
    </row>
    <row r="602" spans="1:7" x14ac:dyDescent="0.3">
      <c r="A602" s="1" t="str">
        <f t="shared" si="9"/>
        <v>07  Dutastéride 0.25mg_L Dopé</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2793</v>
      </c>
      <c r="D602" s="1" t="s">
        <v>222</v>
      </c>
      <c r="E602" s="1" t="s">
        <v>232</v>
      </c>
      <c r="F602" s="1" t="s">
        <v>112</v>
      </c>
      <c r="G602" s="1">
        <v>34305</v>
      </c>
    </row>
    <row r="603" spans="1:7" x14ac:dyDescent="0.3">
      <c r="A603" s="1" t="str">
        <f t="shared" si="9"/>
        <v>07  Dutastéride 0.25mg_L Dopé</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2794</v>
      </c>
      <c r="D603" s="1" t="s">
        <v>239</v>
      </c>
      <c r="E603" s="1" t="s">
        <v>1115</v>
      </c>
      <c r="F603" s="1" t="s">
        <v>112</v>
      </c>
      <c r="G603" s="1">
        <v>38069</v>
      </c>
    </row>
    <row r="604" spans="1:7" x14ac:dyDescent="0.3">
      <c r="A604" s="1" t="str">
        <f t="shared" si="9"/>
        <v>07  Dutastéride 0.25mg_L Dopé</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2795</v>
      </c>
      <c r="D604" s="1" t="s">
        <v>190</v>
      </c>
      <c r="E604" s="1" t="s">
        <v>2796</v>
      </c>
      <c r="F604" s="1" t="s">
        <v>112</v>
      </c>
      <c r="G604" s="1">
        <v>49468</v>
      </c>
    </row>
    <row r="605" spans="1:7" x14ac:dyDescent="0.3">
      <c r="A605" s="1" t="str">
        <f t="shared" si="9"/>
        <v>07  Dutastéride 0.25mg_L Dopé</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2797</v>
      </c>
      <c r="D605" s="1" t="s">
        <v>2798</v>
      </c>
      <c r="E605" s="1" t="s">
        <v>2799</v>
      </c>
      <c r="F605" s="1" t="s">
        <v>112</v>
      </c>
      <c r="G605" s="1">
        <v>1047276</v>
      </c>
    </row>
    <row r="606" spans="1:7" x14ac:dyDescent="0.3">
      <c r="A606" s="1" t="str">
        <f t="shared" si="9"/>
        <v>07  Dutastéride 0.25mg_L Dopé</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2800</v>
      </c>
      <c r="D606" s="1" t="s">
        <v>2801</v>
      </c>
      <c r="E606" s="1" t="s">
        <v>2802</v>
      </c>
      <c r="F606" s="1" t="s">
        <v>112</v>
      </c>
      <c r="G606" s="1">
        <v>963352</v>
      </c>
    </row>
    <row r="607" spans="1:7" x14ac:dyDescent="0.3">
      <c r="A607" s="1" t="str">
        <f t="shared" si="9"/>
        <v>07  Dutastéride 0.25mg_L Dopé</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2803</v>
      </c>
      <c r="D607" s="1" t="s">
        <v>2804</v>
      </c>
      <c r="E607" s="1" t="s">
        <v>2805</v>
      </c>
      <c r="F607" s="1" t="s">
        <v>112</v>
      </c>
      <c r="G607" s="1">
        <v>949141</v>
      </c>
    </row>
    <row r="608" spans="1:7" x14ac:dyDescent="0.3">
      <c r="A608" s="1" t="str">
        <f t="shared" si="9"/>
        <v>07  Dutastéride 0.25mg_L Dopé</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2806</v>
      </c>
    </row>
    <row r="609" spans="1:10" x14ac:dyDescent="0.3">
      <c r="A609" s="1" t="str">
        <f t="shared" si="9"/>
        <v>07  Dutastéride 0.25mg_L Dopé</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2807</v>
      </c>
      <c r="D609" s="1" t="s">
        <v>2373</v>
      </c>
      <c r="E609" s="1" t="s">
        <v>2808</v>
      </c>
      <c r="F609" s="1" t="s">
        <v>112</v>
      </c>
      <c r="G609" s="1">
        <v>350880</v>
      </c>
    </row>
    <row r="610" spans="1:10" x14ac:dyDescent="0.3">
      <c r="A610" s="1" t="str">
        <f t="shared" si="9"/>
        <v>07  Dutastéride 0.25mg_L Dopé</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2809</v>
      </c>
      <c r="D610" s="1" t="s">
        <v>2810</v>
      </c>
      <c r="E610" s="1" t="s">
        <v>2811</v>
      </c>
      <c r="F610" s="1" t="s">
        <v>112</v>
      </c>
      <c r="G610" s="1">
        <v>326438</v>
      </c>
    </row>
    <row r="611" spans="1:10" x14ac:dyDescent="0.3">
      <c r="A611" s="1" t="str">
        <f t="shared" si="9"/>
        <v>07  Dutastéride 0.25mg_L Dopé</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2812</v>
      </c>
      <c r="D611" s="1" t="s">
        <v>326</v>
      </c>
      <c r="E611" s="1" t="s">
        <v>2813</v>
      </c>
      <c r="F611" s="1" t="s">
        <v>112</v>
      </c>
      <c r="G611" s="1">
        <v>30909</v>
      </c>
    </row>
    <row r="612" spans="1:10" x14ac:dyDescent="0.3">
      <c r="A612" s="1" t="str">
        <f t="shared" si="9"/>
        <v>07  Dutastéride 0.25mg_L Dopé</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2814</v>
      </c>
      <c r="D612" s="1" t="s">
        <v>194</v>
      </c>
      <c r="E612" s="1" t="s">
        <v>2815</v>
      </c>
      <c r="F612" s="1" t="s">
        <v>112</v>
      </c>
      <c r="G612" s="1">
        <v>21825</v>
      </c>
    </row>
    <row r="613" spans="1:10" x14ac:dyDescent="0.3">
      <c r="A613" s="1" t="str">
        <f t="shared" si="9"/>
        <v>07  Dutastéride 0.25mg_L Dopé</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2816</v>
      </c>
      <c r="D613" s="1" t="s">
        <v>214</v>
      </c>
      <c r="E613" s="1" t="s">
        <v>892</v>
      </c>
      <c r="F613" s="1" t="s">
        <v>112</v>
      </c>
      <c r="G613" s="1">
        <v>19532</v>
      </c>
    </row>
    <row r="614" spans="1:10" x14ac:dyDescent="0.3">
      <c r="A614" s="1" t="str">
        <f t="shared" si="9"/>
        <v>07  Dutastéride 0.25mg_L Dopé</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2817</v>
      </c>
      <c r="D614" s="1" t="s">
        <v>2818</v>
      </c>
      <c r="E614" s="1" t="s">
        <v>2819</v>
      </c>
      <c r="F614" s="1" t="s">
        <v>112</v>
      </c>
      <c r="G614" s="1">
        <v>621751</v>
      </c>
    </row>
    <row r="615" spans="1:10" x14ac:dyDescent="0.3">
      <c r="A615" s="1" t="str">
        <f t="shared" si="9"/>
        <v>07  Dutastéride 0.25mg_L Dopé</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2820</v>
      </c>
      <c r="D615" s="1" t="s">
        <v>2821</v>
      </c>
      <c r="E615" s="1" t="s">
        <v>2822</v>
      </c>
      <c r="F615" s="1" t="s">
        <v>112</v>
      </c>
      <c r="G615" s="1">
        <v>483125</v>
      </c>
    </row>
    <row r="616" spans="1:10" x14ac:dyDescent="0.3">
      <c r="A616" s="1" t="str">
        <f t="shared" si="9"/>
        <v>07  Dutastéride 0.25mg_L Dopé</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2823</v>
      </c>
      <c r="D616" s="1" t="s">
        <v>2578</v>
      </c>
      <c r="E616" s="1" t="s">
        <v>2824</v>
      </c>
      <c r="F616" s="1" t="s">
        <v>112</v>
      </c>
      <c r="G616" s="1">
        <v>311362</v>
      </c>
    </row>
    <row r="617" spans="1:10" x14ac:dyDescent="0.3">
      <c r="A617" s="1" t="str">
        <f t="shared" si="9"/>
        <v>07  Dutastéride 0.25mg_L Dopé</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2825</v>
      </c>
      <c r="D617" s="1" t="s">
        <v>2826</v>
      </c>
      <c r="E617" s="1" t="s">
        <v>2827</v>
      </c>
      <c r="F617" s="1" t="s">
        <v>112</v>
      </c>
      <c r="G617" s="1">
        <v>1872284</v>
      </c>
    </row>
    <row r="618" spans="1:10" x14ac:dyDescent="0.3">
      <c r="A618" s="1" t="str">
        <f t="shared" si="9"/>
        <v>07  Dutastéride 0.25mg_L Dopé</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2828</v>
      </c>
      <c r="D618" s="1" t="s">
        <v>2829</v>
      </c>
      <c r="E618" s="1" t="s">
        <v>2830</v>
      </c>
      <c r="F618" s="1" t="s">
        <v>112</v>
      </c>
      <c r="G618" s="1">
        <v>2053758</v>
      </c>
    </row>
    <row r="619" spans="1:10" x14ac:dyDescent="0.3">
      <c r="A619" s="1" t="str">
        <f t="shared" si="9"/>
        <v>07  Dutastéride 0.25mg_L Dopé</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2831</v>
      </c>
      <c r="D619" s="1" t="s">
        <v>2832</v>
      </c>
      <c r="E619" s="1" t="s">
        <v>2833</v>
      </c>
      <c r="F619" s="1" t="s">
        <v>112</v>
      </c>
      <c r="G619" s="1">
        <v>2243907</v>
      </c>
    </row>
    <row r="620" spans="1:10" x14ac:dyDescent="0.3">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3">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195</v>
      </c>
      <c r="D621" s="1" t="s">
        <v>112</v>
      </c>
      <c r="E621" s="1" t="s">
        <v>196</v>
      </c>
      <c r="F621" s="1" t="s">
        <v>197</v>
      </c>
      <c r="G621" s="1" t="s">
        <v>198</v>
      </c>
      <c r="H621" s="1" t="s">
        <v>199</v>
      </c>
      <c r="I621" s="1" t="s">
        <v>200</v>
      </c>
      <c r="J621" s="1" t="s">
        <v>201</v>
      </c>
    </row>
    <row r="622" spans="1:10" x14ac:dyDescent="0.3">
      <c r="A622" s="1" t="str">
        <f t="shared" si="9"/>
        <v>07  Dutastéride 0.25mg_L Dopé</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2834</v>
      </c>
      <c r="D622" s="1" t="s">
        <v>112</v>
      </c>
      <c r="E622" s="1" t="s">
        <v>2835</v>
      </c>
      <c r="F622" s="1" t="s">
        <v>2836</v>
      </c>
      <c r="G622" s="1" t="s">
        <v>2837</v>
      </c>
      <c r="H622" s="1" t="s">
        <v>2838</v>
      </c>
      <c r="I622" s="1">
        <v>24</v>
      </c>
      <c r="J622" s="1">
        <v>24</v>
      </c>
    </row>
    <row r="623" spans="1:10" x14ac:dyDescent="0.3">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3">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3">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3">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3">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3">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202</v>
      </c>
      <c r="D628" s="1" t="s">
        <v>110</v>
      </c>
      <c r="E628" s="1" t="s">
        <v>111</v>
      </c>
      <c r="F628" s="1" t="s">
        <v>112</v>
      </c>
      <c r="G628" s="1" t="s">
        <v>113</v>
      </c>
    </row>
    <row r="629" spans="1:7" x14ac:dyDescent="0.3">
      <c r="A629" s="1" t="str">
        <f t="shared" si="9"/>
        <v>08 Dutastéride 0.5 mg_L Dopé</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2839</v>
      </c>
      <c r="D629" s="1" t="s">
        <v>1046</v>
      </c>
      <c r="E629" s="1" t="s">
        <v>2840</v>
      </c>
      <c r="F629" s="1" t="s">
        <v>112</v>
      </c>
      <c r="G629" s="1">
        <v>100903</v>
      </c>
    </row>
    <row r="630" spans="1:7" x14ac:dyDescent="0.3">
      <c r="A630" s="1" t="str">
        <f t="shared" si="9"/>
        <v>08 Dutastéride 0.5 mg_L Dopé</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2841</v>
      </c>
      <c r="D630" s="1" t="s">
        <v>1723</v>
      </c>
      <c r="E630" s="1" t="s">
        <v>2842</v>
      </c>
      <c r="F630" s="1" t="s">
        <v>112</v>
      </c>
      <c r="G630" s="1">
        <v>303294</v>
      </c>
    </row>
    <row r="631" spans="1:7" x14ac:dyDescent="0.3">
      <c r="A631" s="1" t="str">
        <f t="shared" si="9"/>
        <v>08 Dutastéride 0.5 mg_L Dopé</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2843</v>
      </c>
      <c r="D631" s="1" t="s">
        <v>457</v>
      </c>
      <c r="E631" s="1" t="s">
        <v>2844</v>
      </c>
      <c r="F631" s="1" t="s">
        <v>112</v>
      </c>
      <c r="G631" s="1">
        <v>107912</v>
      </c>
    </row>
    <row r="632" spans="1:7" x14ac:dyDescent="0.3">
      <c r="A632" s="1" t="str">
        <f t="shared" si="9"/>
        <v>08 Dutastéride 0.5 mg_L Dopé</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2845</v>
      </c>
      <c r="D632" s="1" t="s">
        <v>2846</v>
      </c>
      <c r="E632" s="1" t="s">
        <v>2847</v>
      </c>
      <c r="F632" s="1" t="s">
        <v>112</v>
      </c>
      <c r="G632" s="1">
        <v>2156868</v>
      </c>
    </row>
    <row r="633" spans="1:7" x14ac:dyDescent="0.3">
      <c r="A633" s="1" t="str">
        <f t="shared" si="9"/>
        <v>08 Dutastéride 0.5 mg_L Dopé</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2848</v>
      </c>
      <c r="D633" s="1" t="s">
        <v>2849</v>
      </c>
      <c r="E633" s="1" t="s">
        <v>2850</v>
      </c>
      <c r="F633" s="1" t="s">
        <v>112</v>
      </c>
      <c r="G633" s="1">
        <v>2132902</v>
      </c>
    </row>
    <row r="634" spans="1:7" x14ac:dyDescent="0.3">
      <c r="A634" s="1" t="str">
        <f t="shared" si="9"/>
        <v>08 Dutastéride 0.5 mg_L Dopé</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2851</v>
      </c>
      <c r="D634" s="1" t="s">
        <v>2852</v>
      </c>
      <c r="E634" s="1" t="s">
        <v>2853</v>
      </c>
      <c r="F634" s="1" t="s">
        <v>112</v>
      </c>
      <c r="G634" s="1">
        <v>2162211</v>
      </c>
    </row>
    <row r="635" spans="1:7" x14ac:dyDescent="0.3">
      <c r="A635" s="1" t="str">
        <f t="shared" si="9"/>
        <v>08 Dutastéride 0.5 mg_L Dopé</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2854</v>
      </c>
      <c r="D635" s="1" t="s">
        <v>2855</v>
      </c>
      <c r="E635" s="1" t="s">
        <v>2856</v>
      </c>
      <c r="F635" s="1" t="s">
        <v>112</v>
      </c>
      <c r="G635" s="1">
        <v>1307657</v>
      </c>
    </row>
    <row r="636" spans="1:7" x14ac:dyDescent="0.3">
      <c r="A636" s="1" t="str">
        <f t="shared" si="9"/>
        <v>08 Dutastéride 0.5 mg_L Dopé</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2857</v>
      </c>
      <c r="D636" s="1" t="s">
        <v>2858</v>
      </c>
      <c r="E636" s="1" t="s">
        <v>2859</v>
      </c>
      <c r="F636" s="1" t="s">
        <v>112</v>
      </c>
      <c r="G636" s="1">
        <v>1333829</v>
      </c>
    </row>
    <row r="637" spans="1:7" x14ac:dyDescent="0.3">
      <c r="A637" s="1" t="str">
        <f t="shared" si="9"/>
        <v>08 Dutastéride 0.5 mg_L Dopé</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2860</v>
      </c>
      <c r="D637" s="1" t="s">
        <v>2861</v>
      </c>
      <c r="E637" s="1" t="s">
        <v>2862</v>
      </c>
      <c r="F637" s="1" t="s">
        <v>112</v>
      </c>
      <c r="G637" s="1">
        <v>1361688</v>
      </c>
    </row>
    <row r="638" spans="1:7" x14ac:dyDescent="0.3">
      <c r="A638" s="1" t="str">
        <f t="shared" si="9"/>
        <v>08 Dutastéride 0.5 mg_L Dopé</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2863</v>
      </c>
      <c r="D638" s="1" t="s">
        <v>564</v>
      </c>
      <c r="E638" s="1" t="s">
        <v>2864</v>
      </c>
      <c r="F638" s="1" t="s">
        <v>112</v>
      </c>
      <c r="G638" s="1">
        <v>594130</v>
      </c>
    </row>
    <row r="639" spans="1:7" x14ac:dyDescent="0.3">
      <c r="A639" s="1" t="str">
        <f t="shared" si="9"/>
        <v>08 Dutastéride 0.5 mg_L Dopé</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2865</v>
      </c>
      <c r="D639" s="1" t="s">
        <v>2866</v>
      </c>
      <c r="E639" s="1" t="s">
        <v>2867</v>
      </c>
      <c r="F639" s="1" t="s">
        <v>112</v>
      </c>
      <c r="G639" s="1">
        <v>701133</v>
      </c>
    </row>
    <row r="640" spans="1:7" x14ac:dyDescent="0.3">
      <c r="A640" s="1" t="str">
        <f t="shared" si="9"/>
        <v>08 Dutastéride 0.5 mg_L Dopé</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2868</v>
      </c>
      <c r="D640" s="1" t="s">
        <v>2869</v>
      </c>
      <c r="E640" s="1" t="s">
        <v>2870</v>
      </c>
      <c r="F640" s="1" t="s">
        <v>112</v>
      </c>
      <c r="G640" s="1">
        <v>465173</v>
      </c>
    </row>
    <row r="641" spans="1:10" x14ac:dyDescent="0.3">
      <c r="A641" s="1" t="str">
        <f t="shared" si="9"/>
        <v>08 Dutastéride 0.5 mg_L Dopé</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2871</v>
      </c>
      <c r="D641" s="1" t="s">
        <v>1652</v>
      </c>
      <c r="E641" s="1" t="s">
        <v>2872</v>
      </c>
      <c r="F641" s="1" t="s">
        <v>112</v>
      </c>
      <c r="G641" s="1">
        <v>89461</v>
      </c>
    </row>
    <row r="642" spans="1:10" x14ac:dyDescent="0.3">
      <c r="A642" s="1" t="str">
        <f t="shared" ref="A642:A705" si="10">IFERROR(LEFT(RIGHT(C642,LEN(C642)-SEARCH("@",C642)),SEARCH("/",RIGHT(C642,LEN(C642)-SEARCH("@",C642)-1))),"")</f>
        <v>08 Dutastéride 0.5 mg_L Dopé</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2873</v>
      </c>
      <c r="D642" s="1" t="s">
        <v>222</v>
      </c>
      <c r="E642" s="1" t="s">
        <v>324</v>
      </c>
      <c r="F642" s="1" t="s">
        <v>112</v>
      </c>
      <c r="G642" s="1">
        <v>34175</v>
      </c>
    </row>
    <row r="643" spans="1:10" x14ac:dyDescent="0.3">
      <c r="A643" s="1" t="str">
        <f t="shared" si="10"/>
        <v>08 Dutastéride 0.5 mg_L Dopé</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2874</v>
      </c>
      <c r="D643" s="1" t="s">
        <v>347</v>
      </c>
      <c r="E643" s="1" t="s">
        <v>2875</v>
      </c>
      <c r="F643" s="1" t="s">
        <v>112</v>
      </c>
      <c r="G643" s="1">
        <v>97335</v>
      </c>
    </row>
    <row r="644" spans="1:10" x14ac:dyDescent="0.3">
      <c r="A644" s="1" t="str">
        <f t="shared" si="10"/>
        <v>08 Dutastéride 0.5 mg_L Dopé</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2876</v>
      </c>
      <c r="D644" s="1" t="s">
        <v>2877</v>
      </c>
      <c r="E644" s="1" t="s">
        <v>2878</v>
      </c>
      <c r="F644" s="1" t="s">
        <v>112</v>
      </c>
      <c r="G644" s="1">
        <v>2656346</v>
      </c>
    </row>
    <row r="645" spans="1:10" x14ac:dyDescent="0.3">
      <c r="A645" s="1" t="str">
        <f t="shared" si="10"/>
        <v>08 Dutastéride 0.5 mg_L Dopé</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2879</v>
      </c>
      <c r="D645" s="1" t="s">
        <v>2880</v>
      </c>
      <c r="E645" s="1" t="s">
        <v>2881</v>
      </c>
      <c r="F645" s="1" t="s">
        <v>112</v>
      </c>
      <c r="G645" s="1">
        <v>2585227</v>
      </c>
    </row>
    <row r="646" spans="1:10" x14ac:dyDescent="0.3">
      <c r="A646" s="1" t="str">
        <f t="shared" si="10"/>
        <v>08 Dutastéride 0.5 mg_L Dopé</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2882</v>
      </c>
      <c r="D646" s="1" t="s">
        <v>2883</v>
      </c>
      <c r="E646" s="1" t="s">
        <v>2884</v>
      </c>
      <c r="F646" s="1" t="s">
        <v>112</v>
      </c>
      <c r="G646" s="1">
        <v>2347860</v>
      </c>
    </row>
    <row r="647" spans="1:10" x14ac:dyDescent="0.3">
      <c r="A647" s="1" t="str">
        <f t="shared" si="10"/>
        <v>08 Dutastéride 0.5 mg_L Dopé</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2885</v>
      </c>
      <c r="D647" s="1" t="s">
        <v>2886</v>
      </c>
      <c r="E647" s="1" t="s">
        <v>2887</v>
      </c>
      <c r="F647" s="1" t="s">
        <v>112</v>
      </c>
      <c r="G647" s="1">
        <v>2001825</v>
      </c>
    </row>
    <row r="648" spans="1:10" x14ac:dyDescent="0.3">
      <c r="A648" s="1" t="str">
        <f t="shared" si="10"/>
        <v>08 Dutastéride 0.5 mg_L Dopé</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2888</v>
      </c>
      <c r="D648" s="1" t="s">
        <v>2889</v>
      </c>
      <c r="E648" s="1" t="s">
        <v>2890</v>
      </c>
      <c r="F648" s="1" t="s">
        <v>112</v>
      </c>
      <c r="G648" s="1">
        <v>2245205</v>
      </c>
    </row>
    <row r="649" spans="1:10" x14ac:dyDescent="0.3">
      <c r="A649" s="1" t="str">
        <f t="shared" si="10"/>
        <v>08 Dutastéride 0.5 mg_L Dopé</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2891</v>
      </c>
      <c r="D649" s="1" t="s">
        <v>2892</v>
      </c>
      <c r="E649" s="1" t="s">
        <v>2893</v>
      </c>
      <c r="F649" s="1" t="s">
        <v>112</v>
      </c>
      <c r="G649" s="1">
        <v>2010910</v>
      </c>
    </row>
    <row r="650" spans="1:10" x14ac:dyDescent="0.3">
      <c r="A650" s="1" t="str">
        <f t="shared" si="10"/>
        <v>08 Dutastéride 0.5 mg_L Dopé</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2894</v>
      </c>
      <c r="D650" s="1" t="s">
        <v>2895</v>
      </c>
      <c r="E650" s="1" t="s">
        <v>2896</v>
      </c>
      <c r="F650" s="1" t="s">
        <v>112</v>
      </c>
      <c r="G650" s="1">
        <v>2742130</v>
      </c>
    </row>
    <row r="651" spans="1:10" x14ac:dyDescent="0.3">
      <c r="A651" s="1" t="str">
        <f t="shared" si="10"/>
        <v>08 Dutastéride 0.5 mg_L Dopé</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2897</v>
      </c>
      <c r="D651" s="1" t="s">
        <v>2898</v>
      </c>
      <c r="E651" s="1" t="s">
        <v>2899</v>
      </c>
      <c r="F651" s="1" t="s">
        <v>112</v>
      </c>
      <c r="G651" s="1">
        <v>2731964</v>
      </c>
    </row>
    <row r="652" spans="1:10" x14ac:dyDescent="0.3">
      <c r="A652" s="1" t="str">
        <f t="shared" si="10"/>
        <v>08 Dutastéride 0.5 mg_L Dopé</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2900</v>
      </c>
      <c r="D652" s="1" t="s">
        <v>2901</v>
      </c>
      <c r="E652" s="1" t="s">
        <v>2902</v>
      </c>
      <c r="F652" s="1" t="s">
        <v>112</v>
      </c>
      <c r="G652" s="1">
        <v>2664846</v>
      </c>
    </row>
    <row r="653" spans="1:10" x14ac:dyDescent="0.3">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3">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195</v>
      </c>
      <c r="D654" s="1" t="s">
        <v>112</v>
      </c>
      <c r="E654" s="1" t="s">
        <v>196</v>
      </c>
      <c r="F654" s="1" t="s">
        <v>197</v>
      </c>
      <c r="G654" s="1" t="s">
        <v>198</v>
      </c>
      <c r="H654" s="1" t="s">
        <v>199</v>
      </c>
      <c r="I654" s="1" t="s">
        <v>200</v>
      </c>
      <c r="J654" s="1" t="s">
        <v>201</v>
      </c>
    </row>
    <row r="655" spans="1:10" x14ac:dyDescent="0.3">
      <c r="A655" s="1" t="str">
        <f t="shared" si="10"/>
        <v>08 Dutastéride 0.5 mg_L Dopé</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2903</v>
      </c>
      <c r="D655" s="1" t="s">
        <v>112</v>
      </c>
      <c r="E655" s="1" t="s">
        <v>2904</v>
      </c>
      <c r="F655" s="1" t="s">
        <v>2905</v>
      </c>
      <c r="G655" s="1" t="s">
        <v>2906</v>
      </c>
      <c r="H655" s="1" t="s">
        <v>2907</v>
      </c>
      <c r="I655" s="1">
        <v>24</v>
      </c>
      <c r="J655" s="1">
        <v>24</v>
      </c>
    </row>
    <row r="656" spans="1:10" x14ac:dyDescent="0.3">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3">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3">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3">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3">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202</v>
      </c>
      <c r="D661" s="1" t="s">
        <v>110</v>
      </c>
      <c r="E661" s="1" t="s">
        <v>111</v>
      </c>
      <c r="F661" s="1" t="s">
        <v>112</v>
      </c>
      <c r="G661" s="1" t="s">
        <v>113</v>
      </c>
    </row>
    <row r="662" spans="1:7" x14ac:dyDescent="0.3">
      <c r="A662" s="1" t="str">
        <f t="shared" si="10"/>
        <v>09 Dutastéride 1mg_L Dopé</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2908</v>
      </c>
      <c r="D662" s="1" t="s">
        <v>2909</v>
      </c>
      <c r="E662" s="1" t="s">
        <v>2910</v>
      </c>
      <c r="F662" s="1" t="s">
        <v>112</v>
      </c>
      <c r="G662" s="1">
        <v>4026189</v>
      </c>
    </row>
    <row r="663" spans="1:7" x14ac:dyDescent="0.3">
      <c r="A663" s="1" t="str">
        <f t="shared" si="10"/>
        <v>09 Dutastéride 1mg_L Dopé</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2911</v>
      </c>
      <c r="D663" s="1" t="s">
        <v>2912</v>
      </c>
      <c r="E663" s="1" t="s">
        <v>2913</v>
      </c>
      <c r="F663" s="1" t="s">
        <v>112</v>
      </c>
      <c r="G663" s="1">
        <v>3499133</v>
      </c>
    </row>
    <row r="664" spans="1:7" x14ac:dyDescent="0.3">
      <c r="A664" s="1" t="str">
        <f t="shared" si="10"/>
        <v>09 Dutastéride 1mg_L Dopé</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2914</v>
      </c>
      <c r="D664" s="1" t="s">
        <v>2915</v>
      </c>
      <c r="E664" s="1" t="s">
        <v>2916</v>
      </c>
      <c r="F664" s="1" t="s">
        <v>112</v>
      </c>
      <c r="G664" s="1">
        <v>3193892</v>
      </c>
    </row>
    <row r="665" spans="1:7" x14ac:dyDescent="0.3">
      <c r="A665" s="1" t="str">
        <f t="shared" si="10"/>
        <v>09 Dutastéride 1mg_L Dopé</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2917</v>
      </c>
    </row>
    <row r="666" spans="1:7" x14ac:dyDescent="0.3">
      <c r="A666" s="1" t="str">
        <f t="shared" si="10"/>
        <v>09 Dutastéride 1mg_L Dopé</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2918</v>
      </c>
    </row>
    <row r="667" spans="1:7" x14ac:dyDescent="0.3">
      <c r="A667" s="1" t="str">
        <f t="shared" si="10"/>
        <v>09 Dutastéride 1mg_L Dopé</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2919</v>
      </c>
    </row>
    <row r="668" spans="1:7" x14ac:dyDescent="0.3">
      <c r="A668" s="1" t="str">
        <f t="shared" si="10"/>
        <v>09 Dutastéride 1mg_L Dopé</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2920</v>
      </c>
      <c r="D668" s="1" t="s">
        <v>848</v>
      </c>
      <c r="E668" s="1" t="s">
        <v>2921</v>
      </c>
      <c r="F668" s="1" t="s">
        <v>112</v>
      </c>
      <c r="G668" s="1">
        <v>1907973</v>
      </c>
    </row>
    <row r="669" spans="1:7" x14ac:dyDescent="0.3">
      <c r="A669" s="1" t="str">
        <f t="shared" si="10"/>
        <v>09 Dutastéride 1mg_L Dopé</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2922</v>
      </c>
      <c r="D669" s="1" t="s">
        <v>2923</v>
      </c>
      <c r="E669" s="1" t="s">
        <v>2924</v>
      </c>
      <c r="F669" s="1" t="s">
        <v>112</v>
      </c>
      <c r="G669" s="1">
        <v>1624967</v>
      </c>
    </row>
    <row r="670" spans="1:7" x14ac:dyDescent="0.3">
      <c r="A670" s="1" t="str">
        <f t="shared" si="10"/>
        <v>09 Dutastéride 1mg_L Dopé</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2925</v>
      </c>
      <c r="D670" s="1" t="s">
        <v>2926</v>
      </c>
      <c r="E670" s="1" t="s">
        <v>2927</v>
      </c>
      <c r="F670" s="1" t="s">
        <v>112</v>
      </c>
      <c r="G670" s="1">
        <v>1601002</v>
      </c>
    </row>
    <row r="671" spans="1:7" x14ac:dyDescent="0.3">
      <c r="A671" s="1" t="str">
        <f t="shared" si="10"/>
        <v>09 Dutastéride 1mg_L Dopé</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2928</v>
      </c>
    </row>
    <row r="672" spans="1:7" x14ac:dyDescent="0.3">
      <c r="A672" s="1" t="str">
        <f t="shared" si="10"/>
        <v>09 Dutastéride 1mg_L Dopé</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2929</v>
      </c>
      <c r="D672" s="1" t="s">
        <v>2930</v>
      </c>
      <c r="E672" s="1" t="s">
        <v>174</v>
      </c>
      <c r="F672" s="1" t="s">
        <v>112</v>
      </c>
      <c r="G672" s="1">
        <v>949423</v>
      </c>
    </row>
    <row r="673" spans="1:10" x14ac:dyDescent="0.3">
      <c r="A673" s="1" t="str">
        <f t="shared" si="10"/>
        <v>09 Dutastéride 1mg_L Dopé</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2931</v>
      </c>
      <c r="D673" s="1" t="s">
        <v>2932</v>
      </c>
      <c r="E673" s="1" t="s">
        <v>2933</v>
      </c>
      <c r="F673" s="1" t="s">
        <v>112</v>
      </c>
      <c r="G673" s="1">
        <v>1179759</v>
      </c>
    </row>
    <row r="674" spans="1:10" x14ac:dyDescent="0.3">
      <c r="A674" s="1" t="str">
        <f t="shared" si="10"/>
        <v>09 Dutastéride 1mg_L Dopé</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2934</v>
      </c>
      <c r="D674" s="1" t="s">
        <v>2935</v>
      </c>
      <c r="E674" s="1" t="s">
        <v>2936</v>
      </c>
      <c r="F674" s="1" t="s">
        <v>112</v>
      </c>
      <c r="G674" s="1">
        <v>336172</v>
      </c>
    </row>
    <row r="675" spans="1:10" x14ac:dyDescent="0.3">
      <c r="A675" s="1" t="str">
        <f t="shared" si="10"/>
        <v>09 Dutastéride 1mg_L Dopé</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2937</v>
      </c>
      <c r="D675" s="1" t="s">
        <v>2938</v>
      </c>
      <c r="E675" s="1" t="s">
        <v>2939</v>
      </c>
      <c r="F675" s="1" t="s">
        <v>112</v>
      </c>
      <c r="G675" s="1">
        <v>529954</v>
      </c>
    </row>
    <row r="676" spans="1:10" x14ac:dyDescent="0.3">
      <c r="A676" s="1" t="str">
        <f t="shared" si="10"/>
        <v>09 Dutastéride 1mg_L Dopé</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2940</v>
      </c>
      <c r="D676" s="1" t="s">
        <v>1803</v>
      </c>
      <c r="E676" s="1" t="s">
        <v>2941</v>
      </c>
      <c r="F676" s="1" t="s">
        <v>112</v>
      </c>
      <c r="G676" s="1">
        <v>385748</v>
      </c>
    </row>
    <row r="677" spans="1:10" x14ac:dyDescent="0.3">
      <c r="A677" s="1" t="str">
        <f t="shared" si="10"/>
        <v>09 Dutastéride 1mg_L Dopé</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2942</v>
      </c>
    </row>
    <row r="678" spans="1:10" x14ac:dyDescent="0.3">
      <c r="A678" s="1" t="str">
        <f t="shared" si="10"/>
        <v>09 Dutastéride 1mg_L Dopé</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2943</v>
      </c>
      <c r="D678" s="1" t="s">
        <v>2944</v>
      </c>
      <c r="E678" s="1" t="s">
        <v>2945</v>
      </c>
      <c r="F678" s="1" t="s">
        <v>112</v>
      </c>
      <c r="G678" s="1">
        <v>424703</v>
      </c>
    </row>
    <row r="679" spans="1:10" x14ac:dyDescent="0.3">
      <c r="A679" s="1" t="str">
        <f t="shared" si="10"/>
        <v>09 Dutastéride 1mg_L Dopé</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2946</v>
      </c>
      <c r="D679" s="1" t="s">
        <v>2947</v>
      </c>
      <c r="E679" s="1" t="s">
        <v>2948</v>
      </c>
      <c r="F679" s="1" t="s">
        <v>112</v>
      </c>
      <c r="G679" s="1">
        <v>445316</v>
      </c>
    </row>
    <row r="680" spans="1:10" x14ac:dyDescent="0.3">
      <c r="A680" s="1" t="str">
        <f t="shared" si="10"/>
        <v>09 Dutastéride 1mg_L Dopé</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2949</v>
      </c>
      <c r="D680" s="1" t="s">
        <v>180</v>
      </c>
      <c r="E680" s="1" t="s">
        <v>588</v>
      </c>
      <c r="F680" s="1" t="s">
        <v>112</v>
      </c>
      <c r="G680" s="1">
        <v>12740</v>
      </c>
    </row>
    <row r="681" spans="1:10" x14ac:dyDescent="0.3">
      <c r="A681" s="1" t="str">
        <f t="shared" si="10"/>
        <v>09 Dutastéride 1mg_L Dopé</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2950</v>
      </c>
      <c r="D681" s="1" t="s">
        <v>211</v>
      </c>
      <c r="E681" s="1" t="s">
        <v>2951</v>
      </c>
      <c r="F681" s="1" t="s">
        <v>112</v>
      </c>
      <c r="G681" s="1">
        <v>24983</v>
      </c>
    </row>
    <row r="682" spans="1:10" x14ac:dyDescent="0.3">
      <c r="A682" s="1" t="str">
        <f t="shared" si="10"/>
        <v>09 Dutastéride 1mg_L Dopé</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2952</v>
      </c>
      <c r="D682" s="1" t="s">
        <v>224</v>
      </c>
      <c r="E682" s="1" t="s">
        <v>307</v>
      </c>
      <c r="F682" s="1" t="s">
        <v>112</v>
      </c>
      <c r="G682" s="1">
        <v>5407</v>
      </c>
    </row>
    <row r="683" spans="1:10" x14ac:dyDescent="0.3">
      <c r="A683" s="1" t="str">
        <f t="shared" si="10"/>
        <v>09 Dutastéride 1mg_L Dopé</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2953</v>
      </c>
      <c r="D683" s="1" t="s">
        <v>2954</v>
      </c>
      <c r="E683" s="1" t="s">
        <v>2955</v>
      </c>
      <c r="F683" s="1" t="s">
        <v>112</v>
      </c>
      <c r="G683" s="1">
        <v>1652113</v>
      </c>
    </row>
    <row r="684" spans="1:10" x14ac:dyDescent="0.3">
      <c r="A684" s="1" t="str">
        <f t="shared" si="10"/>
        <v>09 Dutastéride 1mg_L Dopé</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2956</v>
      </c>
      <c r="D684" s="1" t="s">
        <v>2957</v>
      </c>
      <c r="E684" s="1" t="s">
        <v>2958</v>
      </c>
      <c r="F684" s="1" t="s">
        <v>112</v>
      </c>
      <c r="G684" s="1">
        <v>1908297</v>
      </c>
    </row>
    <row r="685" spans="1:10" x14ac:dyDescent="0.3">
      <c r="A685" s="1" t="str">
        <f t="shared" si="10"/>
        <v>09 Dutastéride 1mg_L Dopé</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2959</v>
      </c>
      <c r="D685" s="1" t="s">
        <v>380</v>
      </c>
      <c r="E685" s="1" t="s">
        <v>2960</v>
      </c>
      <c r="F685" s="1" t="s">
        <v>112</v>
      </c>
      <c r="G685" s="1">
        <v>696569</v>
      </c>
    </row>
    <row r="686" spans="1:10" x14ac:dyDescent="0.3">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3">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195</v>
      </c>
      <c r="D687" s="1" t="s">
        <v>112</v>
      </c>
      <c r="E687" s="1" t="s">
        <v>196</v>
      </c>
      <c r="F687" s="1" t="s">
        <v>197</v>
      </c>
      <c r="G687" s="1" t="s">
        <v>198</v>
      </c>
      <c r="H687" s="1" t="s">
        <v>199</v>
      </c>
      <c r="I687" s="1" t="s">
        <v>200</v>
      </c>
      <c r="J687" s="1" t="s">
        <v>201</v>
      </c>
    </row>
    <row r="688" spans="1:10" x14ac:dyDescent="0.3">
      <c r="A688" s="1" t="str">
        <f t="shared" si="10"/>
        <v>09 Dutastéride 1mg_L Dopé</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2961</v>
      </c>
      <c r="D688" s="1" t="s">
        <v>112</v>
      </c>
      <c r="E688" s="1" t="s">
        <v>2962</v>
      </c>
      <c r="F688" s="1" t="s">
        <v>2963</v>
      </c>
      <c r="G688" s="1" t="s">
        <v>2964</v>
      </c>
      <c r="H688" s="1" t="s">
        <v>2965</v>
      </c>
      <c r="I688" s="1">
        <v>24</v>
      </c>
      <c r="J688" s="1">
        <v>24</v>
      </c>
    </row>
    <row r="689" spans="1:3" x14ac:dyDescent="0.3">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3" x14ac:dyDescent="0.3">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3" x14ac:dyDescent="0.3">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1" s="1" t="s">
        <v>112</v>
      </c>
    </row>
    <row r="692" spans="1:3" x14ac:dyDescent="0.3">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3" x14ac:dyDescent="0.3">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3" x14ac:dyDescent="0.3">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3" x14ac:dyDescent="0.3">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3" x14ac:dyDescent="0.3">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3" x14ac:dyDescent="0.3">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3" x14ac:dyDescent="0.3">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3" x14ac:dyDescent="0.3">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3" x14ac:dyDescent="0.3">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3" x14ac:dyDescent="0.3">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3" x14ac:dyDescent="0.3">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3" x14ac:dyDescent="0.3">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3" x14ac:dyDescent="0.3">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6"/>
  <sheetViews>
    <sheetView showGridLines="0" tabSelected="1" topLeftCell="M19" zoomScale="70" zoomScaleNormal="70" zoomScaleSheetLayoutView="40" zoomScalePageLayoutView="30" workbookViewId="0">
      <selection activeCell="Q31" sqref="Q31"/>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8" t="s">
        <v>43</v>
      </c>
      <c r="B1" s="219"/>
      <c r="C1" s="219"/>
      <c r="D1" s="219"/>
      <c r="E1" s="219"/>
      <c r="F1" s="219"/>
      <c r="G1" s="219"/>
      <c r="H1" s="219"/>
      <c r="I1" s="219"/>
      <c r="J1" s="219"/>
      <c r="K1" s="219"/>
      <c r="L1" s="219"/>
      <c r="M1" s="219"/>
      <c r="N1" s="219"/>
      <c r="O1" s="219"/>
      <c r="P1" s="219"/>
      <c r="Q1" s="219"/>
      <c r="R1" s="219"/>
      <c r="S1" s="219"/>
      <c r="T1" s="219"/>
      <c r="U1" s="219"/>
      <c r="V1" s="219"/>
    </row>
    <row r="2" spans="1:22" ht="15" thickBot="1" x14ac:dyDescent="0.35"/>
    <row r="3" spans="1:22" ht="15" thickBot="1" x14ac:dyDescent="0.35">
      <c r="A3" s="152" t="s">
        <v>22</v>
      </c>
      <c r="B3" s="226" t="s">
        <v>6</v>
      </c>
      <c r="C3" s="227"/>
      <c r="D3" s="227"/>
      <c r="E3" s="227"/>
      <c r="F3" s="227"/>
      <c r="G3" s="227"/>
      <c r="H3" s="227"/>
      <c r="I3" s="227"/>
      <c r="J3" s="227"/>
      <c r="K3" s="227"/>
      <c r="L3" s="227"/>
      <c r="M3" s="227"/>
      <c r="O3" s="226" t="s">
        <v>3</v>
      </c>
      <c r="P3" s="227"/>
      <c r="Q3" s="227"/>
      <c r="R3" s="227"/>
      <c r="S3" s="227"/>
      <c r="T3" s="227"/>
      <c r="U3" s="227"/>
      <c r="V3" s="227"/>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Dutasteride-0,01mg/L</v>
      </c>
      <c r="J4" s="35" t="str">
        <f>'Page de garde'!A16</f>
        <v>Dutasteride-0,1mg/L</v>
      </c>
      <c r="K4" s="35" t="str">
        <f>'Page de garde'!A17</f>
        <v>Dutasteride-0,25mg/L</v>
      </c>
      <c r="L4" s="35" t="str">
        <f>'Page de garde'!A18</f>
        <v>Dutasteride-0,5mg/L</v>
      </c>
      <c r="M4" s="35" t="str">
        <f>'Page de garde'!A19</f>
        <v>Dutasteride-1mg/L</v>
      </c>
      <c r="N4" s="3"/>
      <c r="O4" s="36" t="str">
        <f>'Page de garde'!A36</f>
        <v>Testo -30µg/L</v>
      </c>
      <c r="P4" s="36" t="str">
        <f>'Page de garde'!A37</f>
        <v>Testo 30µg/L + EE2 -64ng/L</v>
      </c>
      <c r="Q4" s="36" t="str">
        <f>'Page de garde'!A38</f>
        <v>Testo 30µg/L + FAD-10µg/L</v>
      </c>
      <c r="R4" s="36" t="str">
        <f>'Page de garde'!A39</f>
        <v>Dutasteride-0.01mg/L + Testostérone</v>
      </c>
      <c r="S4" s="36" t="str">
        <f>'Page de garde'!A40</f>
        <v>Dutasteride-0.1mg/L + Testostérone</v>
      </c>
      <c r="T4" s="36" t="str">
        <f>'Page de garde'!A41</f>
        <v>Dutasteride-0.25mg/L + Testostérone</v>
      </c>
      <c r="U4" s="36" t="str">
        <f>'Page de garde'!A42</f>
        <v>Dutasteride-0.5mg/L + Testostérone</v>
      </c>
      <c r="V4" s="36" t="str">
        <f>'Page de garde'!A43</f>
        <v>Dutasteride-1mg/L + Testostérone</v>
      </c>
    </row>
    <row r="5" spans="1:22" x14ac:dyDescent="0.3">
      <c r="A5" s="228" t="s">
        <v>33</v>
      </c>
      <c r="B5" s="196">
        <v>65272</v>
      </c>
      <c r="C5" s="196">
        <v>175473</v>
      </c>
      <c r="D5" s="196">
        <v>204420</v>
      </c>
      <c r="E5" s="196">
        <v>219901.33333333334</v>
      </c>
      <c r="F5" s="196">
        <v>256056</v>
      </c>
      <c r="G5" s="196">
        <v>662039.33333333337</v>
      </c>
      <c r="H5" s="196">
        <v>4507037.333333333</v>
      </c>
      <c r="I5" s="196">
        <v>71733</v>
      </c>
      <c r="J5" s="196">
        <v>35001.666666666664</v>
      </c>
      <c r="K5" s="196">
        <v>333833</v>
      </c>
      <c r="L5" s="196">
        <v>56799</v>
      </c>
      <c r="M5" s="196">
        <v>87928.5</v>
      </c>
      <c r="N5" s="3"/>
      <c r="O5" s="196">
        <v>3829444.3333333335</v>
      </c>
      <c r="P5" s="196">
        <v>3550539</v>
      </c>
      <c r="Q5" s="196">
        <v>122350.33333333333</v>
      </c>
      <c r="R5" s="196">
        <v>1366223</v>
      </c>
      <c r="S5" s="196">
        <v>4171957</v>
      </c>
      <c r="T5" s="196">
        <v>4947376.333333333</v>
      </c>
      <c r="U5" s="196">
        <v>2997356</v>
      </c>
      <c r="V5" s="196">
        <v>932692.5</v>
      </c>
    </row>
    <row r="6" spans="1:22" x14ac:dyDescent="0.3">
      <c r="A6" s="228"/>
      <c r="B6" s="196">
        <v>374077.66666666669</v>
      </c>
      <c r="C6" s="196">
        <v>61490.333333333336</v>
      </c>
      <c r="D6" s="196">
        <v>60207.333333333336</v>
      </c>
      <c r="E6" s="196">
        <v>560137.33333333337</v>
      </c>
      <c r="F6" s="196">
        <v>514106</v>
      </c>
      <c r="G6" s="196">
        <v>2446659.3333333335</v>
      </c>
      <c r="H6" s="196">
        <v>4117884.3333333335</v>
      </c>
      <c r="I6" s="196">
        <v>94897.333333333328</v>
      </c>
      <c r="J6" s="196">
        <v>109051.5</v>
      </c>
      <c r="K6" s="196">
        <v>148686.66666666666</v>
      </c>
      <c r="L6" s="196">
        <v>166409</v>
      </c>
      <c r="M6" s="196">
        <v>49599</v>
      </c>
      <c r="N6" s="3"/>
      <c r="O6" s="196">
        <v>4878062</v>
      </c>
      <c r="P6" s="196">
        <v>2145710.3333333335</v>
      </c>
      <c r="Q6" s="196">
        <v>406251</v>
      </c>
      <c r="R6" s="196">
        <v>1806272.3333333333</v>
      </c>
      <c r="S6" s="196">
        <v>3478331.3333333335</v>
      </c>
      <c r="T6" s="196">
        <v>3166716</v>
      </c>
      <c r="U6" s="196">
        <v>3781556.6666666665</v>
      </c>
      <c r="V6" s="196">
        <v>2072690.6666666667</v>
      </c>
    </row>
    <row r="7" spans="1:22" x14ac:dyDescent="0.3">
      <c r="A7" s="228"/>
      <c r="B7" s="196">
        <v>581188</v>
      </c>
      <c r="C7" s="196">
        <v>261037.66666666666</v>
      </c>
      <c r="D7" s="196">
        <v>132045.5</v>
      </c>
      <c r="E7" s="196">
        <v>453239.66666666669</v>
      </c>
      <c r="F7" s="196">
        <v>215699.5</v>
      </c>
      <c r="G7" s="196">
        <v>4650597.666666667</v>
      </c>
      <c r="H7" s="196">
        <v>4891252</v>
      </c>
      <c r="I7" s="196">
        <v>59395</v>
      </c>
      <c r="J7" s="196">
        <v>75844.5</v>
      </c>
      <c r="K7" s="196">
        <v>63702.333333333336</v>
      </c>
      <c r="L7" s="196">
        <v>451064</v>
      </c>
      <c r="M7" s="196">
        <v>17591.666666666668</v>
      </c>
      <c r="N7" s="3"/>
      <c r="O7" s="196">
        <v>1107244.3333333333</v>
      </c>
      <c r="P7" s="196">
        <v>3899338.6666666665</v>
      </c>
      <c r="Q7" s="196">
        <v>177830</v>
      </c>
      <c r="R7" s="196">
        <v>4624870</v>
      </c>
      <c r="S7" s="196">
        <v>3717912.5</v>
      </c>
      <c r="T7" s="196">
        <v>3284258.6666666665</v>
      </c>
      <c r="U7" s="196">
        <v>1275879.3333333333</v>
      </c>
      <c r="V7" s="196">
        <v>3525718</v>
      </c>
    </row>
    <row r="8" spans="1:22" x14ac:dyDescent="0.3">
      <c r="A8" s="228"/>
      <c r="B8" s="196">
        <v>252061</v>
      </c>
      <c r="C8" s="196">
        <v>161006.66666666666</v>
      </c>
      <c r="D8" s="196">
        <v>244280.33333333334</v>
      </c>
      <c r="E8" s="196">
        <v>112880</v>
      </c>
      <c r="F8" s="196">
        <v>303907.33333333331</v>
      </c>
      <c r="G8" s="196">
        <v>716692</v>
      </c>
      <c r="H8" s="196">
        <v>552168</v>
      </c>
      <c r="I8" s="196">
        <v>57169</v>
      </c>
      <c r="J8" s="196">
        <v>86286.5</v>
      </c>
      <c r="K8" s="196">
        <v>246963.33333333334</v>
      </c>
      <c r="L8" s="196">
        <v>458170.33333333331</v>
      </c>
      <c r="M8" s="196">
        <v>212121</v>
      </c>
      <c r="N8" s="3"/>
      <c r="O8" s="196">
        <v>2499452</v>
      </c>
      <c r="P8" s="196">
        <v>619735.66666666663</v>
      </c>
      <c r="Q8" s="196">
        <v>44486.333333333336</v>
      </c>
      <c r="R8" s="196">
        <v>3663648</v>
      </c>
      <c r="S8" s="196">
        <v>1724235.5</v>
      </c>
      <c r="T8" s="196">
        <v>5320381</v>
      </c>
      <c r="U8" s="196">
        <v>6780768.666666667</v>
      </c>
      <c r="V8" s="196">
        <v>2118366.3333333335</v>
      </c>
    </row>
    <row r="9" spans="1:22" x14ac:dyDescent="0.3">
      <c r="A9" s="228"/>
      <c r="B9" s="196">
        <v>19252</v>
      </c>
      <c r="C9" s="196">
        <v>64750</v>
      </c>
      <c r="D9" s="196">
        <v>666731</v>
      </c>
      <c r="E9" s="196">
        <v>129772</v>
      </c>
      <c r="F9" s="196">
        <v>515752.66666666669</v>
      </c>
      <c r="G9" s="196">
        <v>4812692</v>
      </c>
      <c r="H9" s="196">
        <v>4628394</v>
      </c>
      <c r="I9" s="196">
        <v>197437</v>
      </c>
      <c r="J9" s="196">
        <v>127941</v>
      </c>
      <c r="K9" s="196">
        <v>58677</v>
      </c>
      <c r="L9" s="196">
        <v>457024.33333333331</v>
      </c>
      <c r="M9" s="196">
        <v>190526.33333333334</v>
      </c>
      <c r="N9" s="3"/>
      <c r="O9" s="196">
        <v>1873922.5</v>
      </c>
      <c r="P9" s="196">
        <v>2468920.5</v>
      </c>
      <c r="Q9" s="196">
        <v>404272</v>
      </c>
      <c r="R9" s="196">
        <v>3387052.3333333335</v>
      </c>
      <c r="S9" s="196">
        <v>210533</v>
      </c>
      <c r="T9" s="196">
        <v>4625602.333333333</v>
      </c>
      <c r="U9" s="196">
        <v>3267181.6666666665</v>
      </c>
      <c r="V9" s="196">
        <v>3795812.5</v>
      </c>
    </row>
    <row r="10" spans="1:22" x14ac:dyDescent="0.3">
      <c r="A10" s="228"/>
      <c r="B10" s="196">
        <v>17359.5</v>
      </c>
      <c r="C10" s="196">
        <v>97772.5</v>
      </c>
      <c r="D10" s="196">
        <v>346983.5</v>
      </c>
      <c r="E10" s="196">
        <v>204441.66666666666</v>
      </c>
      <c r="F10" s="196">
        <v>701559</v>
      </c>
      <c r="G10" s="196">
        <v>4819094.666666667</v>
      </c>
      <c r="H10" s="196">
        <v>6675857.333333333</v>
      </c>
      <c r="I10" s="196">
        <v>76479.333333333328</v>
      </c>
      <c r="J10" s="196">
        <v>16417</v>
      </c>
      <c r="K10" s="196">
        <v>95578.666666666672</v>
      </c>
      <c r="L10" s="196">
        <v>91677.333333333328</v>
      </c>
      <c r="M10" s="196">
        <v>101996</v>
      </c>
      <c r="N10" s="3"/>
      <c r="O10" s="196">
        <v>1391620.5</v>
      </c>
      <c r="P10" s="196">
        <v>1409121</v>
      </c>
      <c r="Q10" s="196">
        <v>231601.5</v>
      </c>
      <c r="R10" s="196">
        <v>2376481.6666666665</v>
      </c>
      <c r="S10" s="196">
        <v>3862009.3333333335</v>
      </c>
      <c r="T10" s="196">
        <v>482324</v>
      </c>
      <c r="U10" s="196">
        <v>3716766.6666666665</v>
      </c>
      <c r="V10" s="196">
        <v>1914997.3333333333</v>
      </c>
    </row>
    <row r="11" spans="1:22" x14ac:dyDescent="0.3">
      <c r="A11" s="228"/>
      <c r="B11" s="196">
        <v>173856.33333333334</v>
      </c>
      <c r="C11" s="196">
        <v>709999</v>
      </c>
      <c r="D11" s="196">
        <v>476008.66666666669</v>
      </c>
      <c r="E11" s="196">
        <v>307504</v>
      </c>
      <c r="F11" s="196">
        <v>646536</v>
      </c>
      <c r="G11" s="196">
        <v>275043.5</v>
      </c>
      <c r="H11" s="196">
        <v>4253569.666666667</v>
      </c>
      <c r="I11" s="196">
        <v>109849.33333333333</v>
      </c>
      <c r="J11" s="196">
        <v>280833.66666666669</v>
      </c>
      <c r="K11" s="196">
        <v>134634</v>
      </c>
      <c r="L11" s="196">
        <v>438458</v>
      </c>
      <c r="M11" s="196">
        <v>204543.33333333334</v>
      </c>
      <c r="N11" s="3"/>
      <c r="O11" s="196">
        <v>3704229.3333333335</v>
      </c>
      <c r="P11" s="196">
        <v>4706367</v>
      </c>
      <c r="Q11" s="196">
        <v>55182</v>
      </c>
      <c r="R11" s="196">
        <v>3804717.3333333335</v>
      </c>
      <c r="S11" s="196">
        <v>4005286.6666666665</v>
      </c>
      <c r="T11" s="196">
        <v>592093.66666666663</v>
      </c>
      <c r="U11" s="196">
        <v>4362128</v>
      </c>
      <c r="V11" s="196">
        <v>2224462.5</v>
      </c>
    </row>
    <row r="12" spans="1:22" x14ac:dyDescent="0.3">
      <c r="A12" s="228"/>
      <c r="B12" s="196">
        <v>324392</v>
      </c>
      <c r="C12" s="196">
        <v>45966</v>
      </c>
      <c r="D12" s="196">
        <v>214198</v>
      </c>
      <c r="E12" s="196">
        <v>567892.5</v>
      </c>
      <c r="F12" s="196">
        <v>2485555</v>
      </c>
      <c r="G12" s="196">
        <v>47901.666666666664</v>
      </c>
      <c r="H12" s="196">
        <v>6162382</v>
      </c>
      <c r="I12" s="196">
        <v>99233</v>
      </c>
      <c r="J12" s="196">
        <v>80025</v>
      </c>
      <c r="K12" s="196">
        <v>413495.33333333331</v>
      </c>
      <c r="L12" s="196">
        <v>318112.33333333331</v>
      </c>
      <c r="M12" s="196">
        <v>94999</v>
      </c>
      <c r="N12" s="3"/>
      <c r="O12" s="196">
        <v>53079</v>
      </c>
      <c r="P12" s="196">
        <v>2814120</v>
      </c>
      <c r="Q12" s="196">
        <v>149977.66666666666</v>
      </c>
      <c r="R12" s="196"/>
      <c r="S12" s="196">
        <v>6090.666666666667</v>
      </c>
      <c r="T12" s="196">
        <v>3229598.6666666665</v>
      </c>
      <c r="U12" s="196">
        <v>3107665</v>
      </c>
      <c r="V12" s="196">
        <v>2891291.5</v>
      </c>
    </row>
    <row r="13" spans="1:22" ht="16.8" x14ac:dyDescent="0.3">
      <c r="A13" s="228"/>
      <c r="B13" s="14"/>
      <c r="C13" s="13"/>
      <c r="D13" s="32"/>
      <c r="E13" s="32"/>
      <c r="F13" s="32"/>
      <c r="G13" s="32"/>
      <c r="H13" s="32"/>
      <c r="I13" s="32"/>
      <c r="J13" s="32"/>
      <c r="K13" s="13"/>
      <c r="L13" s="13"/>
      <c r="M13" s="13"/>
      <c r="N13" s="3"/>
      <c r="O13" s="196">
        <v>2549366</v>
      </c>
      <c r="P13" s="13"/>
      <c r="Q13" s="13"/>
      <c r="R13" s="32"/>
      <c r="S13" s="32"/>
      <c r="T13" s="32"/>
      <c r="U13" s="32"/>
      <c r="V13" s="32"/>
    </row>
    <row r="14" spans="1:22" ht="16.8" x14ac:dyDescent="0.3">
      <c r="A14" s="228"/>
      <c r="B14" s="14"/>
      <c r="C14" s="32"/>
      <c r="D14" s="32"/>
      <c r="E14" s="32"/>
      <c r="F14" s="32"/>
      <c r="G14" s="32"/>
      <c r="H14" s="32"/>
      <c r="I14" s="32"/>
      <c r="J14" s="32"/>
      <c r="K14" s="13"/>
      <c r="L14" s="13"/>
      <c r="M14" s="13"/>
      <c r="N14" s="3"/>
      <c r="O14" s="196">
        <v>2862417</v>
      </c>
      <c r="P14" s="13"/>
      <c r="Q14" s="13"/>
      <c r="R14" s="32"/>
      <c r="S14" s="32"/>
      <c r="T14" s="32"/>
      <c r="U14" s="32"/>
      <c r="V14" s="32"/>
    </row>
    <row r="15" spans="1:22" ht="16.8" x14ac:dyDescent="0.3">
      <c r="A15" s="228"/>
      <c r="B15" s="14"/>
      <c r="C15" s="32"/>
      <c r="D15" s="32"/>
      <c r="E15" s="32"/>
      <c r="F15" s="32"/>
      <c r="G15" s="32"/>
      <c r="H15" s="32"/>
      <c r="I15" s="32"/>
      <c r="J15" s="32"/>
      <c r="K15" s="13"/>
      <c r="L15" s="13"/>
      <c r="M15" s="13"/>
      <c r="N15" s="3"/>
      <c r="O15" s="196">
        <v>2700192</v>
      </c>
      <c r="P15" s="13"/>
      <c r="Q15" s="13"/>
      <c r="R15" s="32"/>
      <c r="S15" s="32"/>
      <c r="T15" s="32"/>
      <c r="U15" s="32"/>
      <c r="V15" s="32"/>
    </row>
    <row r="16" spans="1:22" ht="16.8" x14ac:dyDescent="0.3">
      <c r="A16" s="228"/>
      <c r="B16" s="14"/>
      <c r="C16" s="32"/>
      <c r="D16" s="32"/>
      <c r="E16" s="32"/>
      <c r="F16" s="32"/>
      <c r="G16" s="32"/>
      <c r="H16" s="32"/>
      <c r="I16" s="32"/>
      <c r="J16" s="32"/>
      <c r="K16" s="13"/>
      <c r="L16" s="13"/>
      <c r="M16" s="13"/>
      <c r="N16" s="3"/>
      <c r="O16" s="196">
        <v>1362916.3333333333</v>
      </c>
      <c r="P16" s="13"/>
      <c r="Q16" s="13"/>
      <c r="R16" s="32"/>
      <c r="S16" s="32"/>
      <c r="T16" s="32"/>
      <c r="U16" s="32"/>
      <c r="V16" s="32"/>
    </row>
    <row r="17" spans="1:22" ht="16.8" x14ac:dyDescent="0.3">
      <c r="A17" s="228"/>
      <c r="B17" s="14"/>
      <c r="C17" s="32"/>
      <c r="D17" s="32"/>
      <c r="E17" s="32"/>
      <c r="F17" s="32"/>
      <c r="G17" s="32"/>
      <c r="H17" s="32"/>
      <c r="I17" s="32"/>
      <c r="J17" s="32"/>
      <c r="K17" s="13"/>
      <c r="L17" s="13"/>
      <c r="M17" s="13"/>
      <c r="N17" s="3"/>
      <c r="O17" s="196">
        <v>562139</v>
      </c>
      <c r="P17" s="13"/>
      <c r="Q17" s="13"/>
      <c r="R17" s="32"/>
      <c r="S17" s="32"/>
      <c r="T17" s="32"/>
      <c r="U17" s="32"/>
      <c r="V17" s="32"/>
    </row>
    <row r="18" spans="1:22" ht="16.8" x14ac:dyDescent="0.3">
      <c r="A18" s="228"/>
      <c r="B18" s="14"/>
      <c r="C18" s="32"/>
      <c r="D18" s="32"/>
      <c r="E18" s="32"/>
      <c r="F18" s="32"/>
      <c r="G18" s="32"/>
      <c r="H18" s="32"/>
      <c r="I18" s="32"/>
      <c r="J18" s="32"/>
      <c r="K18" s="13"/>
      <c r="L18" s="13"/>
      <c r="M18" s="13"/>
      <c r="N18" s="3"/>
      <c r="O18" s="196">
        <v>3306864.5</v>
      </c>
      <c r="P18" s="13"/>
      <c r="Q18" s="13"/>
      <c r="R18" s="32"/>
      <c r="S18" s="32"/>
      <c r="T18" s="32"/>
      <c r="U18" s="32"/>
      <c r="V18" s="32"/>
    </row>
    <row r="19" spans="1:22" ht="16.8" x14ac:dyDescent="0.3">
      <c r="A19" s="228"/>
      <c r="B19" s="14"/>
      <c r="C19" s="32"/>
      <c r="D19" s="32"/>
      <c r="E19" s="32"/>
      <c r="F19" s="32"/>
      <c r="G19" s="32"/>
      <c r="H19" s="32"/>
      <c r="I19" s="32"/>
      <c r="J19" s="32"/>
      <c r="K19" s="13"/>
      <c r="L19" s="13"/>
      <c r="M19" s="13"/>
      <c r="N19" s="3"/>
      <c r="O19" s="196">
        <v>2617857.5</v>
      </c>
      <c r="P19" s="13"/>
      <c r="Q19" s="13"/>
      <c r="R19" s="32"/>
      <c r="S19" s="32"/>
      <c r="T19" s="32"/>
      <c r="U19" s="32"/>
      <c r="V19" s="32"/>
    </row>
    <row r="20" spans="1:22" ht="16.8" x14ac:dyDescent="0.3">
      <c r="A20" s="228"/>
      <c r="B20" s="14"/>
      <c r="C20" s="32"/>
      <c r="D20" s="32"/>
      <c r="E20" s="32"/>
      <c r="F20" s="32"/>
      <c r="G20" s="32"/>
      <c r="H20" s="32"/>
      <c r="I20" s="32"/>
      <c r="J20" s="32"/>
      <c r="K20" s="13"/>
      <c r="L20" s="13"/>
      <c r="M20" s="13"/>
      <c r="N20" s="3"/>
      <c r="O20" s="196"/>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Dutasteride-0,01mg/L</v>
      </c>
      <c r="J22" s="3" t="str">
        <f t="shared" si="0"/>
        <v>Dutasteride-0,1mg/L</v>
      </c>
      <c r="K22" s="3" t="str">
        <f t="shared" si="0"/>
        <v>Dutasteride-0,25mg/L</v>
      </c>
      <c r="L22" s="3" t="str">
        <f t="shared" si="0"/>
        <v>Dutasteride-0,5mg/L</v>
      </c>
      <c r="M22" s="3" t="str">
        <f t="shared" si="0"/>
        <v>Dutasteride-1mg/L</v>
      </c>
      <c r="N22" s="3" t="s">
        <v>41</v>
      </c>
      <c r="O22" s="3" t="str">
        <f t="shared" si="0"/>
        <v>Testo -30µg/L</v>
      </c>
      <c r="P22" s="3" t="str">
        <f t="shared" si="0"/>
        <v>Testo 30µg/L + EE2 -64ng/L</v>
      </c>
      <c r="Q22" s="3" t="str">
        <f t="shared" si="0"/>
        <v>Testo 30µg/L + FAD-10µg/L</v>
      </c>
      <c r="R22" s="3" t="str">
        <f t="shared" si="0"/>
        <v>Dutasteride-0.01mg/L + Testostérone</v>
      </c>
      <c r="S22" s="3" t="str">
        <f t="shared" si="0"/>
        <v>Dutasteride-0.1mg/L + Testostérone</v>
      </c>
      <c r="T22" s="3" t="str">
        <f t="shared" si="0"/>
        <v>Dutasteride-0.25mg/L + Testostérone</v>
      </c>
      <c r="U22" s="3" t="str">
        <f t="shared" si="0"/>
        <v>Dutasteride-0.5mg/L + Testostérone</v>
      </c>
      <c r="V22" s="3" t="str">
        <f t="shared" si="0"/>
        <v>Dutasteride-1mg/L + Testostérone</v>
      </c>
    </row>
    <row r="23" spans="1:22" x14ac:dyDescent="0.3">
      <c r="A23" s="5" t="s">
        <v>0</v>
      </c>
      <c r="B23" s="5">
        <f t="shared" ref="B23:J23" si="1">AVERAGE(B5:B20)</f>
        <v>225932.3125</v>
      </c>
      <c r="C23" s="5">
        <f t="shared" si="1"/>
        <v>197186.89583333331</v>
      </c>
      <c r="D23" s="5">
        <f t="shared" si="1"/>
        <v>293109.29166666663</v>
      </c>
      <c r="E23" s="5">
        <f t="shared" si="1"/>
        <v>319471.0625</v>
      </c>
      <c r="F23" s="5">
        <f t="shared" si="1"/>
        <v>704896.4375</v>
      </c>
      <c r="G23" s="5">
        <f t="shared" si="1"/>
        <v>2303840.0208333335</v>
      </c>
      <c r="H23" s="5">
        <f t="shared" si="1"/>
        <v>4473568.083333333</v>
      </c>
      <c r="I23" s="5">
        <f t="shared" si="1"/>
        <v>95774.125</v>
      </c>
      <c r="J23" s="5">
        <f t="shared" si="1"/>
        <v>101425.10416666666</v>
      </c>
      <c r="K23" s="5"/>
      <c r="L23" s="5">
        <f>AVERAGE(L5:L20)</f>
        <v>304714.29166666669</v>
      </c>
      <c r="M23" s="5"/>
      <c r="N23" s="5" t="s">
        <v>0</v>
      </c>
      <c r="O23" s="5">
        <f>AVERAGE(O5:O20)</f>
        <v>2353253.7555555552</v>
      </c>
      <c r="P23" s="5">
        <f>AVERAGE(P5:P20)</f>
        <v>2701731.520833333</v>
      </c>
      <c r="Q23" s="5">
        <f>AVERAGE(Q5:Q20)</f>
        <v>198993.85416666669</v>
      </c>
      <c r="R23" s="5">
        <f>AVERAGE(R5:R20)</f>
        <v>3004180.6666666665</v>
      </c>
      <c r="S23" s="5">
        <f>AVERAGE(S5:S20)</f>
        <v>2647044.5000000005</v>
      </c>
      <c r="T23" s="5">
        <f t="shared" ref="T23:V23" si="2">AVERAGE(T5:T20)</f>
        <v>3206043.8333333335</v>
      </c>
      <c r="U23" s="5">
        <f t="shared" si="2"/>
        <v>3661162.75</v>
      </c>
      <c r="V23" s="5">
        <f t="shared" si="2"/>
        <v>2434503.916666667</v>
      </c>
    </row>
    <row r="24" spans="1:22" x14ac:dyDescent="0.3">
      <c r="A24" s="3" t="s">
        <v>1</v>
      </c>
      <c r="B24" s="3">
        <f t="shared" ref="B24:J24" si="3">STDEV(B5:B20)</f>
        <v>197583.14023770843</v>
      </c>
      <c r="C24" s="3">
        <f t="shared" si="3"/>
        <v>219589.79525420853</v>
      </c>
      <c r="D24" s="3">
        <f t="shared" si="3"/>
        <v>197342.96085718129</v>
      </c>
      <c r="E24" s="3">
        <f t="shared" si="3"/>
        <v>184964.16983618744</v>
      </c>
      <c r="F24" s="3">
        <f t="shared" si="3"/>
        <v>741417.75346776133</v>
      </c>
      <c r="G24" s="3">
        <f t="shared" si="3"/>
        <v>2156993.0958665297</v>
      </c>
      <c r="H24" s="3">
        <f t="shared" si="3"/>
        <v>1830457.0210788657</v>
      </c>
      <c r="I24" s="3">
        <f t="shared" si="3"/>
        <v>45214.165466053506</v>
      </c>
      <c r="J24" s="3">
        <f t="shared" si="3"/>
        <v>81001.452254075964</v>
      </c>
      <c r="K24" s="3"/>
      <c r="L24" s="3">
        <f>STDEV(L5:L20)</f>
        <v>174112.98501100496</v>
      </c>
      <c r="M24" s="3"/>
      <c r="N24" s="3" t="s">
        <v>1</v>
      </c>
      <c r="O24" s="3">
        <f>STDEV(O5:O20)</f>
        <v>1308883.570805904</v>
      </c>
      <c r="P24" s="3">
        <f>STDEV(P5:P20)</f>
        <v>1339234.3662774581</v>
      </c>
      <c r="Q24" s="3">
        <f>STDEV(Q5:Q20)</f>
        <v>141136.73626330963</v>
      </c>
      <c r="R24" s="3">
        <f>STDEV(R5:R20)</f>
        <v>1180457.2895133111</v>
      </c>
      <c r="S24" s="3">
        <f>STDEV(S5:S20)</f>
        <v>1742203.7532477125</v>
      </c>
      <c r="T24" s="3">
        <f t="shared" ref="T24:V24" si="4">STDEV(T5:T20)</f>
        <v>1843033.645841938</v>
      </c>
      <c r="U24" s="3">
        <f t="shared" si="4"/>
        <v>1550699.2468919291</v>
      </c>
      <c r="V24" s="3">
        <f t="shared" si="4"/>
        <v>929889.2367645012</v>
      </c>
    </row>
    <row r="25" spans="1:22" ht="15" thickBot="1" x14ac:dyDescent="0.35"/>
    <row r="26" spans="1:22" ht="15" thickBot="1" x14ac:dyDescent="0.35">
      <c r="B26" s="226" t="s">
        <v>6</v>
      </c>
      <c r="C26" s="227"/>
      <c r="D26" s="227"/>
      <c r="E26" s="227"/>
      <c r="F26" s="227"/>
      <c r="G26" s="227"/>
      <c r="H26" s="227"/>
      <c r="I26" s="227"/>
      <c r="J26" s="227"/>
      <c r="K26" s="227"/>
      <c r="L26" s="227"/>
      <c r="M26" s="227"/>
      <c r="O26" s="226" t="s">
        <v>3</v>
      </c>
      <c r="P26" s="227"/>
      <c r="Q26" s="227"/>
      <c r="R26" s="227"/>
      <c r="S26" s="227"/>
      <c r="T26" s="227"/>
      <c r="U26" s="227"/>
      <c r="V26" s="227"/>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Dutasteride-0,01mg/L</v>
      </c>
      <c r="J27" s="35" t="str">
        <f t="shared" si="5"/>
        <v>Dutasteride-0,1mg/L</v>
      </c>
      <c r="K27" s="35" t="str">
        <f t="shared" si="5"/>
        <v>Dutasteride-0,25mg/L</v>
      </c>
      <c r="L27" s="35" t="str">
        <f t="shared" si="5"/>
        <v>Dutasteride-0,5mg/L</v>
      </c>
      <c r="M27" s="35" t="str">
        <f t="shared" si="5"/>
        <v>Dutasteride-1mg/L</v>
      </c>
      <c r="N27" s="3"/>
      <c r="O27" s="36" t="str">
        <f>O4</f>
        <v>Testo -30µg/L</v>
      </c>
      <c r="P27" s="36" t="str">
        <f t="shared" ref="P27:V27" si="6">P4</f>
        <v>Testo 30µg/L + EE2 -64ng/L</v>
      </c>
      <c r="Q27" s="36" t="str">
        <f t="shared" si="6"/>
        <v>Testo 30µg/L + FAD-10µg/L</v>
      </c>
      <c r="R27" s="36" t="str">
        <f t="shared" si="6"/>
        <v>Dutasteride-0.01mg/L + Testostérone</v>
      </c>
      <c r="S27" s="36" t="str">
        <f t="shared" si="6"/>
        <v>Dutasteride-0.1mg/L + Testostérone</v>
      </c>
      <c r="T27" s="36" t="str">
        <f t="shared" si="6"/>
        <v>Dutasteride-0.25mg/L + Testostérone</v>
      </c>
      <c r="U27" s="36" t="str">
        <f t="shared" si="6"/>
        <v>Dutasteride-0.5mg/L + Testostérone</v>
      </c>
      <c r="V27" s="36" t="str">
        <f t="shared" si="6"/>
        <v>Dutasteride-1mg/L + Testostérone</v>
      </c>
    </row>
    <row r="28" spans="1:22" x14ac:dyDescent="0.3">
      <c r="A28" s="229" t="s">
        <v>34</v>
      </c>
      <c r="B28" s="11">
        <f t="shared" ref="B28:M28" si="7">IF(B5="","",(B5/$O$23))</f>
        <v>2.773691525867367E-2</v>
      </c>
      <c r="C28" s="11">
        <f t="shared" si="7"/>
        <v>7.4566119181046164E-2</v>
      </c>
      <c r="D28" s="11">
        <f t="shared" si="7"/>
        <v>8.6866960062171705E-2</v>
      </c>
      <c r="E28" s="11">
        <f t="shared" si="7"/>
        <v>9.344565277509527E-2</v>
      </c>
      <c r="F28" s="11">
        <f t="shared" si="7"/>
        <v>0.10880934510165072</v>
      </c>
      <c r="G28" s="11">
        <f t="shared" si="7"/>
        <v>0.28132934315748681</v>
      </c>
      <c r="H28" s="11">
        <f t="shared" si="7"/>
        <v>1.9152364349544249</v>
      </c>
      <c r="I28" s="11">
        <f t="shared" si="7"/>
        <v>3.0482475521669911E-2</v>
      </c>
      <c r="J28" s="11">
        <f t="shared" si="7"/>
        <v>1.4873732415824185E-2</v>
      </c>
      <c r="K28" s="11">
        <f t="shared" si="7"/>
        <v>0.14186017942684165</v>
      </c>
      <c r="L28" s="11">
        <f t="shared" si="7"/>
        <v>2.4136368577298166E-2</v>
      </c>
      <c r="M28" s="11">
        <f t="shared" si="7"/>
        <v>3.7364648751720304E-2</v>
      </c>
      <c r="N28" s="6"/>
      <c r="O28" s="11">
        <f t="shared" ref="O28:V39" si="8">IF(O5="","",(O5/$O$23))</f>
        <v>1.6272976615007164</v>
      </c>
      <c r="P28" s="11">
        <f t="shared" si="8"/>
        <v>1.5087786396251985</v>
      </c>
      <c r="Q28" s="11">
        <f t="shared" si="8"/>
        <v>5.1991984733685853E-2</v>
      </c>
      <c r="R28" s="11">
        <f t="shared" si="8"/>
        <v>0.58056764884561407</v>
      </c>
      <c r="S28" s="11">
        <f t="shared" si="8"/>
        <v>1.7728462092755</v>
      </c>
      <c r="T28" s="11">
        <f t="shared" si="8"/>
        <v>2.1023556518941402</v>
      </c>
      <c r="U28" s="11">
        <f t="shared" si="8"/>
        <v>1.273707092966005</v>
      </c>
      <c r="V28" s="11">
        <f t="shared" si="8"/>
        <v>0.39634166005179083</v>
      </c>
    </row>
    <row r="29" spans="1:22" x14ac:dyDescent="0.3">
      <c r="A29" s="229"/>
      <c r="B29" s="11">
        <f t="shared" ref="B29:M29" si="9">IF(B6="","",(B6/$O$23))</f>
        <v>0.15896189086431717</v>
      </c>
      <c r="C29" s="11">
        <f t="shared" si="9"/>
        <v>2.612992040835678E-2</v>
      </c>
      <c r="D29" s="11">
        <f t="shared" si="9"/>
        <v>2.5584717836398232E-2</v>
      </c>
      <c r="E29" s="11">
        <f t="shared" si="9"/>
        <v>0.23802674573915483</v>
      </c>
      <c r="F29" s="11">
        <f t="shared" si="9"/>
        <v>0.21846602763781844</v>
      </c>
      <c r="G29" s="11">
        <f t="shared" si="9"/>
        <v>1.0396920976147459</v>
      </c>
      <c r="H29" s="11">
        <f t="shared" si="9"/>
        <v>1.7498683784576325</v>
      </c>
      <c r="I29" s="11">
        <f t="shared" si="9"/>
        <v>4.0326009513126225E-2</v>
      </c>
      <c r="J29" s="11">
        <f t="shared" si="9"/>
        <v>4.6340731314058886E-2</v>
      </c>
      <c r="K29" s="11">
        <f t="shared" si="9"/>
        <v>6.3183439659088E-2</v>
      </c>
      <c r="L29" s="11">
        <f t="shared" si="9"/>
        <v>7.0714430862860445E-2</v>
      </c>
      <c r="M29" s="11">
        <f t="shared" si="9"/>
        <v>2.1076775032402184E-2</v>
      </c>
      <c r="N29" s="6"/>
      <c r="O29" s="11">
        <f t="shared" si="8"/>
        <v>2.0729009731669965</v>
      </c>
      <c r="P29" s="11">
        <f t="shared" si="8"/>
        <v>0.91180576181712081</v>
      </c>
      <c r="Q29" s="11">
        <f t="shared" si="8"/>
        <v>0.17263374127882458</v>
      </c>
      <c r="R29" s="11">
        <f t="shared" si="8"/>
        <v>0.76756377380428709</v>
      </c>
      <c r="S29" s="11">
        <f t="shared" si="8"/>
        <v>1.4780944575661243</v>
      </c>
      <c r="T29" s="11">
        <f t="shared" si="8"/>
        <v>1.3456755322387248</v>
      </c>
      <c r="U29" s="11">
        <f t="shared" si="8"/>
        <v>1.606948106526624</v>
      </c>
      <c r="V29" s="11">
        <f t="shared" si="8"/>
        <v>0.88077652559714992</v>
      </c>
    </row>
    <row r="30" spans="1:22" x14ac:dyDescent="0.3">
      <c r="A30" s="229"/>
      <c r="B30" s="11">
        <f t="shared" ref="B30:M30" si="10">IF(B7="","",(B7/$O$23))</f>
        <v>0.24697209071819515</v>
      </c>
      <c r="C30" s="11">
        <f t="shared" si="10"/>
        <v>0.11092627220945027</v>
      </c>
      <c r="D30" s="11">
        <f t="shared" si="10"/>
        <v>5.6111883254522522E-2</v>
      </c>
      <c r="E30" s="11">
        <f t="shared" si="10"/>
        <v>0.19260127200335267</v>
      </c>
      <c r="F30" s="11">
        <f t="shared" si="10"/>
        <v>9.1660110810734788E-2</v>
      </c>
      <c r="G30" s="11">
        <f t="shared" si="10"/>
        <v>1.9762414723391171</v>
      </c>
      <c r="H30" s="11">
        <f t="shared" si="10"/>
        <v>2.0785059785638267</v>
      </c>
      <c r="I30" s="11">
        <f t="shared" si="10"/>
        <v>2.5239522027652325E-2</v>
      </c>
      <c r="J30" s="11">
        <f t="shared" si="10"/>
        <v>3.2229630918869885E-2</v>
      </c>
      <c r="K30" s="11">
        <f t="shared" si="10"/>
        <v>2.7069895536316488E-2</v>
      </c>
      <c r="L30" s="11">
        <f t="shared" si="10"/>
        <v>0.19167673649096673</v>
      </c>
      <c r="M30" s="11">
        <f t="shared" si="10"/>
        <v>7.4754652468465447E-3</v>
      </c>
      <c r="N30" s="6"/>
      <c r="O30" s="11">
        <f t="shared" si="8"/>
        <v>0.47051633540129439</v>
      </c>
      <c r="P30" s="11">
        <f t="shared" si="8"/>
        <v>1.6569988074856432</v>
      </c>
      <c r="Q30" s="11">
        <f t="shared" si="8"/>
        <v>7.5567711123451689E-2</v>
      </c>
      <c r="R30" s="11">
        <f t="shared" si="8"/>
        <v>1.9653086663865378</v>
      </c>
      <c r="S30" s="11">
        <f t="shared" si="8"/>
        <v>1.5799029285400106</v>
      </c>
      <c r="T30" s="11">
        <f t="shared" si="8"/>
        <v>1.3956245300419461</v>
      </c>
      <c r="U30" s="11">
        <f t="shared" si="8"/>
        <v>0.54217669060178519</v>
      </c>
      <c r="V30" s="11">
        <f t="shared" si="8"/>
        <v>1.4982311158227175</v>
      </c>
    </row>
    <row r="31" spans="1:22" x14ac:dyDescent="0.3">
      <c r="A31" s="229"/>
      <c r="B31" s="11">
        <f t="shared" ref="B31:M31" si="11">IF(B8="","",(B8/$O$23))</f>
        <v>0.10711169562778135</v>
      </c>
      <c r="C31" s="11">
        <f t="shared" si="11"/>
        <v>6.8418744169243345E-2</v>
      </c>
      <c r="D31" s="11">
        <f t="shared" si="11"/>
        <v>0.10380535152940348</v>
      </c>
      <c r="E31" s="11">
        <f t="shared" si="11"/>
        <v>4.7967627687202537E-2</v>
      </c>
      <c r="F31" s="11">
        <f t="shared" si="11"/>
        <v>0.12914346046016911</v>
      </c>
      <c r="G31" s="11">
        <f t="shared" si="11"/>
        <v>0.3045536412331375</v>
      </c>
      <c r="H31" s="11">
        <f t="shared" si="11"/>
        <v>0.23464022895807274</v>
      </c>
      <c r="I31" s="11">
        <f t="shared" si="11"/>
        <v>2.4293597690021988E-2</v>
      </c>
      <c r="J31" s="11">
        <f t="shared" si="11"/>
        <v>3.6666891446064859E-2</v>
      </c>
      <c r="K31" s="11">
        <f t="shared" si="11"/>
        <v>0.10494547506842514</v>
      </c>
      <c r="L31" s="11">
        <f t="shared" si="11"/>
        <v>0.1946965269902092</v>
      </c>
      <c r="M31" s="11">
        <f t="shared" si="11"/>
        <v>9.0139450324566703E-2</v>
      </c>
      <c r="N31" s="6"/>
      <c r="O31" s="11">
        <f t="shared" si="8"/>
        <v>1.0621260006912983</v>
      </c>
      <c r="P31" s="11">
        <f t="shared" si="8"/>
        <v>0.26335267295488057</v>
      </c>
      <c r="Q31" s="11">
        <f t="shared" si="8"/>
        <v>1.8904180319827438E-2</v>
      </c>
      <c r="R31" s="11">
        <f t="shared" si="8"/>
        <v>1.5568435793848707</v>
      </c>
      <c r="S31" s="11">
        <f t="shared" si="8"/>
        <v>0.73270275078895741</v>
      </c>
      <c r="T31" s="11">
        <f t="shared" si="8"/>
        <v>2.2608615783315584</v>
      </c>
      <c r="U31" s="11">
        <f t="shared" si="8"/>
        <v>2.8814438947175356</v>
      </c>
      <c r="V31" s="11">
        <f t="shared" si="8"/>
        <v>0.90018610544328248</v>
      </c>
    </row>
    <row r="32" spans="1:22" x14ac:dyDescent="0.3">
      <c r="A32" s="229"/>
      <c r="B32" s="11">
        <f t="shared" ref="B32:M32" si="12">IF(B9="","",(B9/$O$23))</f>
        <v>8.181013184213529E-3</v>
      </c>
      <c r="C32" s="11">
        <f t="shared" si="12"/>
        <v>2.7515094726668712E-2</v>
      </c>
      <c r="D32" s="11">
        <f t="shared" si="12"/>
        <v>0.28332303663639469</v>
      </c>
      <c r="E32" s="11">
        <f t="shared" si="12"/>
        <v>5.514577409836683E-2</v>
      </c>
      <c r="F32" s="11">
        <f t="shared" si="12"/>
        <v>0.21916576801336413</v>
      </c>
      <c r="G32" s="11">
        <f t="shared" si="12"/>
        <v>2.0451224134406285</v>
      </c>
      <c r="H32" s="11">
        <f t="shared" si="12"/>
        <v>1.9668061674493453</v>
      </c>
      <c r="I32" s="11">
        <f t="shared" si="12"/>
        <v>8.389957926717051E-2</v>
      </c>
      <c r="J32" s="11">
        <f t="shared" si="12"/>
        <v>5.4367702462157864E-2</v>
      </c>
      <c r="K32" s="11">
        <f t="shared" si="12"/>
        <v>2.4934412560258534E-2</v>
      </c>
      <c r="L32" s="11">
        <f t="shared" si="12"/>
        <v>0.19420954168431326</v>
      </c>
      <c r="M32" s="11">
        <f t="shared" si="12"/>
        <v>8.0962936055467574E-2</v>
      </c>
      <c r="N32" s="6"/>
      <c r="O32" s="11">
        <f t="shared" si="8"/>
        <v>0.79631127564379689</v>
      </c>
      <c r="P32" s="11">
        <f t="shared" si="8"/>
        <v>1.0491518367585217</v>
      </c>
      <c r="Q32" s="11">
        <f t="shared" si="8"/>
        <v>0.17179277799752607</v>
      </c>
      <c r="R32" s="11">
        <f t="shared" si="8"/>
        <v>1.4393060354571576</v>
      </c>
      <c r="S32" s="11">
        <f t="shared" si="8"/>
        <v>8.9464639970497972E-2</v>
      </c>
      <c r="T32" s="11">
        <f t="shared" si="8"/>
        <v>1.9656198667114515</v>
      </c>
      <c r="U32" s="11">
        <f t="shared" si="8"/>
        <v>1.3883677690744198</v>
      </c>
      <c r="V32" s="11">
        <f t="shared" si="8"/>
        <v>1.6130060309215934</v>
      </c>
    </row>
    <row r="33" spans="1:22" x14ac:dyDescent="0.3">
      <c r="A33" s="229"/>
      <c r="B33" s="11">
        <f t="shared" ref="B33:M33" si="13">IF(B10="","",(B10/$O$23))</f>
        <v>7.376807519808579E-3</v>
      </c>
      <c r="C33" s="11">
        <f t="shared" si="13"/>
        <v>4.1547793037269756E-2</v>
      </c>
      <c r="D33" s="11">
        <f t="shared" si="13"/>
        <v>0.14744839955352979</v>
      </c>
      <c r="E33" s="11">
        <f t="shared" si="13"/>
        <v>8.6876167172376256E-2</v>
      </c>
      <c r="F33" s="11">
        <f t="shared" si="13"/>
        <v>0.29812297052273318</v>
      </c>
      <c r="G33" s="11">
        <f t="shared" si="13"/>
        <v>2.0478431853299974</v>
      </c>
      <c r="H33" s="11">
        <f t="shared" si="13"/>
        <v>2.8368625005157164</v>
      </c>
      <c r="I33" s="11">
        <f t="shared" si="13"/>
        <v>3.2499399247863145E-2</v>
      </c>
      <c r="J33" s="11">
        <f t="shared" si="13"/>
        <v>6.9762982259107377E-3</v>
      </c>
      <c r="K33" s="11">
        <f t="shared" si="13"/>
        <v>4.0615537717096938E-2</v>
      </c>
      <c r="L33" s="11">
        <f t="shared" si="13"/>
        <v>3.8957691288881074E-2</v>
      </c>
      <c r="M33" s="11">
        <f t="shared" si="13"/>
        <v>4.3342542111834782E-2</v>
      </c>
      <c r="N33" s="6"/>
      <c r="O33" s="11">
        <f t="shared" si="8"/>
        <v>0.59136015260346064</v>
      </c>
      <c r="P33" s="11">
        <f t="shared" si="8"/>
        <v>0.59879687716352348</v>
      </c>
      <c r="Q33" s="11">
        <f t="shared" si="8"/>
        <v>9.8417563109475886E-2</v>
      </c>
      <c r="R33" s="11">
        <f t="shared" si="8"/>
        <v>1.0098705509579131</v>
      </c>
      <c r="S33" s="11">
        <f t="shared" si="8"/>
        <v>1.6411359481381522</v>
      </c>
      <c r="T33" s="11">
        <f t="shared" si="8"/>
        <v>0.20496047179839011</v>
      </c>
      <c r="U33" s="11">
        <f t="shared" si="8"/>
        <v>1.5794160140580393</v>
      </c>
      <c r="V33" s="11">
        <f t="shared" si="8"/>
        <v>0.8137657610499559</v>
      </c>
    </row>
    <row r="34" spans="1:22" x14ac:dyDescent="0.3">
      <c r="A34" s="229"/>
      <c r="B34" s="11">
        <f t="shared" ref="B34:M34" si="14">IF(B11="","",(B11/$O$23))</f>
        <v>7.3879127111937573E-2</v>
      </c>
      <c r="C34" s="11">
        <f t="shared" si="14"/>
        <v>0.30170949406702796</v>
      </c>
      <c r="D34" s="11">
        <f t="shared" si="14"/>
        <v>0.20227681164553832</v>
      </c>
      <c r="E34" s="11">
        <f t="shared" si="14"/>
        <v>0.13067184075412411</v>
      </c>
      <c r="F34" s="11">
        <f t="shared" si="14"/>
        <v>0.2747413016865094</v>
      </c>
      <c r="G34" s="11">
        <f t="shared" si="14"/>
        <v>0.11687796071744411</v>
      </c>
      <c r="H34" s="11">
        <f t="shared" si="14"/>
        <v>1.8075269854025946</v>
      </c>
      <c r="I34" s="11">
        <f t="shared" si="14"/>
        <v>4.667976544136021E-2</v>
      </c>
      <c r="J34" s="11">
        <f t="shared" si="14"/>
        <v>0.11933845468372262</v>
      </c>
      <c r="K34" s="11">
        <f t="shared" si="14"/>
        <v>5.7211849628267419E-2</v>
      </c>
      <c r="L34" s="11">
        <f t="shared" si="14"/>
        <v>0.18631989812611136</v>
      </c>
      <c r="M34" s="11">
        <f t="shared" si="14"/>
        <v>8.6919369766412985E-2</v>
      </c>
      <c r="N34" s="6"/>
      <c r="O34" s="11">
        <f t="shared" si="8"/>
        <v>1.5740883551501399</v>
      </c>
      <c r="P34" s="11">
        <f t="shared" si="8"/>
        <v>1.9999402907099251</v>
      </c>
      <c r="Q34" s="11">
        <f t="shared" si="8"/>
        <v>2.3449234860340278E-2</v>
      </c>
      <c r="R34" s="11">
        <f t="shared" si="8"/>
        <v>1.6167900823917383</v>
      </c>
      <c r="S34" s="11">
        <f t="shared" si="8"/>
        <v>1.7020207264987877</v>
      </c>
      <c r="T34" s="11">
        <f t="shared" si="8"/>
        <v>0.25160638340376745</v>
      </c>
      <c r="U34" s="11">
        <f t="shared" si="8"/>
        <v>1.853658148723613</v>
      </c>
      <c r="V34" s="11">
        <f t="shared" si="8"/>
        <v>0.94527098692544098</v>
      </c>
    </row>
    <row r="35" spans="1:22" x14ac:dyDescent="0.3">
      <c r="A35" s="229"/>
      <c r="B35" s="11">
        <f t="shared" ref="B35:M35" si="15">IF(B12="","",(B12/$O$23))</f>
        <v>0.13784828739109678</v>
      </c>
      <c r="C35" s="11">
        <f t="shared" si="15"/>
        <v>1.9532955122873421E-2</v>
      </c>
      <c r="D35" s="11">
        <f t="shared" si="15"/>
        <v>9.1022058073559606E-2</v>
      </c>
      <c r="E35" s="11">
        <f t="shared" si="15"/>
        <v>0.24132225377706118</v>
      </c>
      <c r="F35" s="11">
        <f t="shared" si="15"/>
        <v>1.0562205602061012</v>
      </c>
      <c r="G35" s="11">
        <f t="shared" si="15"/>
        <v>2.0355504183762817E-2</v>
      </c>
      <c r="H35" s="11">
        <f t="shared" si="15"/>
        <v>2.6186644706087749</v>
      </c>
      <c r="I35" s="11">
        <f t="shared" si="15"/>
        <v>4.2168423088980944E-2</v>
      </c>
      <c r="J35" s="11">
        <f t="shared" si="15"/>
        <v>3.4006107420875113E-2</v>
      </c>
      <c r="K35" s="11">
        <f t="shared" si="15"/>
        <v>0.17571217398767755</v>
      </c>
      <c r="L35" s="11">
        <f t="shared" si="15"/>
        <v>0.13517978355812013</v>
      </c>
      <c r="M35" s="11">
        <f t="shared" si="15"/>
        <v>4.0369212107162947E-2</v>
      </c>
      <c r="N35" s="6"/>
      <c r="O35" s="11">
        <f t="shared" si="8"/>
        <v>2.2555578579101909E-2</v>
      </c>
      <c r="P35" s="11">
        <f t="shared" si="8"/>
        <v>1.195842137022594</v>
      </c>
      <c r="Q35" s="11">
        <f t="shared" si="8"/>
        <v>6.3732041779429774E-2</v>
      </c>
      <c r="R35" s="11" t="str">
        <f t="shared" si="8"/>
        <v/>
      </c>
      <c r="S35" s="11">
        <f t="shared" si="8"/>
        <v>2.5881895024231182E-3</v>
      </c>
      <c r="T35" s="11">
        <f t="shared" si="8"/>
        <v>1.3723971157136108</v>
      </c>
      <c r="U35" s="11">
        <f t="shared" si="8"/>
        <v>1.3205821907915509</v>
      </c>
      <c r="V35" s="11">
        <f t="shared" si="8"/>
        <v>1.2286356680295301</v>
      </c>
    </row>
    <row r="36" spans="1:22" x14ac:dyDescent="0.3">
      <c r="A36" s="229"/>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1.0833366329412897</v>
      </c>
      <c r="P36" s="11" t="str">
        <f t="shared" si="8"/>
        <v/>
      </c>
      <c r="Q36" s="11" t="str">
        <f t="shared" si="8"/>
        <v/>
      </c>
      <c r="R36" s="11" t="str">
        <f t="shared" si="8"/>
        <v/>
      </c>
      <c r="S36" s="11" t="str">
        <f t="shared" si="8"/>
        <v/>
      </c>
      <c r="T36" s="11" t="str">
        <f t="shared" si="8"/>
        <v/>
      </c>
      <c r="U36" s="11" t="str">
        <f t="shared" si="8"/>
        <v/>
      </c>
      <c r="V36" s="11" t="str">
        <f t="shared" si="8"/>
        <v/>
      </c>
    </row>
    <row r="37" spans="1:22" x14ac:dyDescent="0.3">
      <c r="A37" s="229"/>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1.2163656355556274</v>
      </c>
      <c r="P37" s="11" t="str">
        <f t="shared" si="8"/>
        <v/>
      </c>
      <c r="Q37" s="11" t="str">
        <f t="shared" si="8"/>
        <v/>
      </c>
      <c r="R37" s="11" t="str">
        <f t="shared" si="8"/>
        <v/>
      </c>
      <c r="S37" s="11" t="str">
        <f t="shared" si="8"/>
        <v/>
      </c>
      <c r="T37" s="11" t="str">
        <f t="shared" si="8"/>
        <v/>
      </c>
      <c r="U37" s="11" t="str">
        <f t="shared" si="8"/>
        <v/>
      </c>
      <c r="V37" s="11" t="str">
        <f t="shared" si="8"/>
        <v/>
      </c>
    </row>
    <row r="38" spans="1:22" x14ac:dyDescent="0.3">
      <c r="A38" s="229"/>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1.1474291684971898</v>
      </c>
      <c r="P38" s="11" t="str">
        <f t="shared" si="8"/>
        <v/>
      </c>
      <c r="Q38" s="11" t="str">
        <f t="shared" si="8"/>
        <v/>
      </c>
      <c r="R38" s="11" t="str">
        <f t="shared" si="8"/>
        <v/>
      </c>
      <c r="S38" s="11" t="str">
        <f t="shared" si="8"/>
        <v/>
      </c>
      <c r="T38" s="11" t="str">
        <f t="shared" si="8"/>
        <v/>
      </c>
      <c r="U38" s="11" t="str">
        <f t="shared" si="8"/>
        <v/>
      </c>
      <c r="V38" s="11" t="str">
        <f t="shared" si="8"/>
        <v/>
      </c>
    </row>
    <row r="39" spans="1:22" x14ac:dyDescent="0.3">
      <c r="A39" s="229"/>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0.57916250218055065</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
      <c r="A40" s="229"/>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0.23887734107420577</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
      <c r="A41" s="229"/>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1.4052307330618992</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
      <c r="A42" s="229"/>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1.1124416539524347</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
      <c r="A43" s="229"/>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t="str">
        <f t="shared" si="22"/>
        <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Dutasteride-0,01mg/L</v>
      </c>
      <c r="J45" s="7" t="str">
        <f t="shared" si="26"/>
        <v>Dutasteride-0,1mg/L</v>
      </c>
      <c r="K45" s="7" t="str">
        <f t="shared" si="26"/>
        <v>Dutasteride-0,25mg/L</v>
      </c>
      <c r="L45" s="7" t="str">
        <f t="shared" si="26"/>
        <v>Dutasteride-0,5mg/L</v>
      </c>
      <c r="M45" s="7" t="str">
        <f t="shared" si="26"/>
        <v>Dutasteride-1mg/L</v>
      </c>
      <c r="N45" s="7"/>
      <c r="O45" s="7" t="str">
        <f t="shared" si="26"/>
        <v>Testo -30µg/L</v>
      </c>
      <c r="P45" s="7" t="str">
        <f t="shared" si="26"/>
        <v>Testo 30µg/L + EE2 -64ng/L</v>
      </c>
      <c r="Q45" s="7" t="str">
        <f t="shared" si="26"/>
        <v>Testo 30µg/L + FAD-10µg/L</v>
      </c>
      <c r="R45" s="7" t="str">
        <f t="shared" si="26"/>
        <v>Dutasteride-0.01mg/L + Testostérone</v>
      </c>
      <c r="S45" s="7" t="str">
        <f t="shared" si="26"/>
        <v>Dutasteride-0.1mg/L + Testostérone</v>
      </c>
      <c r="T45" s="7" t="str">
        <f t="shared" si="26"/>
        <v>Dutasteride-0.25mg/L + Testostérone</v>
      </c>
      <c r="U45" s="7" t="str">
        <f t="shared" si="26"/>
        <v>Dutasteride-0.5mg/L + Testostérone</v>
      </c>
      <c r="V45" s="7" t="str">
        <f t="shared" si="26"/>
        <v>Dutasteride-1mg/L + Testostérone</v>
      </c>
    </row>
    <row r="46" spans="1:22" x14ac:dyDescent="0.3">
      <c r="A46" s="8" t="s">
        <v>0</v>
      </c>
      <c r="B46" s="10">
        <f t="shared" ref="B46:H46" si="27">AVERAGE(B28:B43)</f>
        <v>9.6008478459502972E-2</v>
      </c>
      <c r="C46" s="10">
        <f t="shared" si="27"/>
        <v>8.3793299115242054E-2</v>
      </c>
      <c r="D46" s="10">
        <f t="shared" si="27"/>
        <v>0.12455490232393979</v>
      </c>
      <c r="E46" s="10">
        <f t="shared" si="27"/>
        <v>0.13575716675084171</v>
      </c>
      <c r="F46" s="10">
        <f t="shared" si="27"/>
        <v>0.29954119305488514</v>
      </c>
      <c r="G46" s="10">
        <f t="shared" si="27"/>
        <v>0.97900195225204001</v>
      </c>
      <c r="H46" s="10">
        <f t="shared" si="27"/>
        <v>1.9010138931137983</v>
      </c>
      <c r="I46" s="10">
        <f>AVERAGE(I28:I43)</f>
        <v>4.0698596474730661E-2</v>
      </c>
      <c r="J46" s="9">
        <f>AVERAGE(J28:J43)</f>
        <v>4.3099943610935519E-2</v>
      </c>
      <c r="K46" s="9">
        <f t="shared" ref="K46:M46" si="28">AVERAGE(K28:K43)</f>
        <v>7.9441620447996464E-2</v>
      </c>
      <c r="L46" s="9">
        <f t="shared" si="28"/>
        <v>0.12948637219734505</v>
      </c>
      <c r="M46" s="9">
        <f t="shared" si="28"/>
        <v>5.0956299924551751E-2</v>
      </c>
      <c r="N46" s="8" t="s">
        <v>0</v>
      </c>
      <c r="O46" s="10">
        <f t="shared" ref="O46:V46" si="29">AVERAGE(O28:O43)</f>
        <v>1.0000000000000002</v>
      </c>
      <c r="P46" s="10">
        <f t="shared" si="29"/>
        <v>1.148083377942176</v>
      </c>
      <c r="Q46" s="10">
        <f t="shared" si="29"/>
        <v>8.4561154400320193E-2</v>
      </c>
      <c r="R46" s="10">
        <f t="shared" si="29"/>
        <v>1.2766071910325885</v>
      </c>
      <c r="S46" s="10">
        <f t="shared" si="29"/>
        <v>1.1248444812850569</v>
      </c>
      <c r="T46" s="10">
        <f t="shared" si="29"/>
        <v>1.3623876412666986</v>
      </c>
      <c r="U46" s="10">
        <f t="shared" si="29"/>
        <v>1.5557874884324465</v>
      </c>
      <c r="V46" s="10">
        <f t="shared" si="29"/>
        <v>1.0345267317301827</v>
      </c>
    </row>
    <row r="47" spans="1:22" x14ac:dyDescent="0.3">
      <c r="A47" s="8" t="s">
        <v>1</v>
      </c>
      <c r="B47" s="8">
        <f t="shared" ref="B47:M47" si="30">STDEV(B28:B43)</f>
        <v>8.396168061827361E-2</v>
      </c>
      <c r="C47" s="8">
        <f t="shared" si="30"/>
        <v>9.3313266678445334E-2</v>
      </c>
      <c r="D47" s="8">
        <f t="shared" si="30"/>
        <v>8.3859617940179432E-2</v>
      </c>
      <c r="E47" s="8">
        <f t="shared" si="30"/>
        <v>7.859933056497817E-2</v>
      </c>
      <c r="F47" s="8">
        <f t="shared" si="30"/>
        <v>0.31506069063628361</v>
      </c>
      <c r="G47" s="8">
        <f t="shared" si="30"/>
        <v>0.91660029895811534</v>
      </c>
      <c r="H47" s="8">
        <f t="shared" si="30"/>
        <v>0.7778409008197813</v>
      </c>
      <c r="I47" s="8">
        <f t="shared" si="30"/>
        <v>1.9213467888582785E-2</v>
      </c>
      <c r="J47" s="8">
        <f t="shared" si="30"/>
        <v>3.4421044506079267E-2</v>
      </c>
      <c r="K47" s="8">
        <f t="shared" si="30"/>
        <v>5.5798530087862994E-2</v>
      </c>
      <c r="L47" s="8">
        <f t="shared" si="30"/>
        <v>7.3988189586422462E-2</v>
      </c>
      <c r="M47" s="8">
        <f t="shared" si="30"/>
        <v>3.1321415744667701E-2</v>
      </c>
      <c r="N47" s="8" t="s">
        <v>1</v>
      </c>
      <c r="O47" s="8">
        <f t="shared" ref="O47:V47" si="31">STDEV(O28:O43)</f>
        <v>0.55620162836918641</v>
      </c>
      <c r="P47" s="8">
        <f t="shared" si="31"/>
        <v>0.56909900307852324</v>
      </c>
      <c r="Q47" s="8">
        <f t="shared" si="31"/>
        <v>5.9975145447070659E-2</v>
      </c>
      <c r="R47" s="8">
        <f t="shared" si="31"/>
        <v>0.50162770875282325</v>
      </c>
      <c r="S47" s="8">
        <f t="shared" si="31"/>
        <v>0.74033824407364623</v>
      </c>
      <c r="T47" s="8">
        <f t="shared" si="31"/>
        <v>0.78318525636723602</v>
      </c>
      <c r="U47" s="8">
        <f t="shared" si="31"/>
        <v>0.65895963970355653</v>
      </c>
      <c r="V47" s="8">
        <f t="shared" si="31"/>
        <v>0.39515043142679446</v>
      </c>
    </row>
    <row r="48" spans="1:22" x14ac:dyDescent="0.3">
      <c r="A48" s="8" t="s">
        <v>2</v>
      </c>
      <c r="B48" s="8">
        <f t="shared" ref="B48:M48" si="32" xml:space="preserve"> B47/SQRT(COUNT(B28:B43))</f>
        <v>2.9684936862500191E-2</v>
      </c>
      <c r="C48" s="8">
        <f t="shared" si="32"/>
        <v>3.2991221821498697E-2</v>
      </c>
      <c r="D48" s="8">
        <f t="shared" si="32"/>
        <v>2.9648852256606965E-2</v>
      </c>
      <c r="E48" s="8">
        <f t="shared" si="32"/>
        <v>2.7789059819609566E-2</v>
      </c>
      <c r="F48" s="8">
        <f t="shared" si="32"/>
        <v>0.11139077541711656</v>
      </c>
      <c r="G48" s="8">
        <f t="shared" si="32"/>
        <v>0.32406714351545002</v>
      </c>
      <c r="H48" s="8">
        <f t="shared" si="32"/>
        <v>0.27500828782696002</v>
      </c>
      <c r="I48" s="8">
        <f t="shared" si="32"/>
        <v>6.7929867170634321E-3</v>
      </c>
      <c r="J48" s="8">
        <f t="shared" si="32"/>
        <v>1.2169676992886302E-2</v>
      </c>
      <c r="K48" s="8">
        <f t="shared" si="32"/>
        <v>1.9727759502684763E-2</v>
      </c>
      <c r="L48" s="8">
        <f t="shared" si="32"/>
        <v>2.6158775292137608E-2</v>
      </c>
      <c r="M48" s="8">
        <f t="shared" si="32"/>
        <v>1.1073792734708814E-2</v>
      </c>
      <c r="N48" s="8" t="s">
        <v>2</v>
      </c>
      <c r="O48" s="8">
        <f t="shared" ref="O48:V48" si="33" xml:space="preserve"> O47/SQRT(COUNT(O28:O43))</f>
        <v>0.14361064292048703</v>
      </c>
      <c r="P48" s="8">
        <f t="shared" si="33"/>
        <v>0.20120688212166382</v>
      </c>
      <c r="Q48" s="8">
        <f t="shared" si="33"/>
        <v>2.1204416024136575E-2</v>
      </c>
      <c r="R48" s="8">
        <f t="shared" si="33"/>
        <v>0.18959745258558694</v>
      </c>
      <c r="S48" s="8">
        <f t="shared" si="33"/>
        <v>0.26174909637810828</v>
      </c>
      <c r="T48" s="8">
        <f t="shared" si="33"/>
        <v>0.27689780285129861</v>
      </c>
      <c r="U48" s="8">
        <f t="shared" si="33"/>
        <v>0.23297741488131446</v>
      </c>
      <c r="V48" s="8">
        <f t="shared" si="33"/>
        <v>0.13970677482533808</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20" t="s">
        <v>44</v>
      </c>
      <c r="B50" s="221"/>
      <c r="C50" s="221"/>
      <c r="D50" s="221"/>
      <c r="E50" s="221"/>
      <c r="F50" s="221"/>
      <c r="G50" s="221"/>
      <c r="H50" s="221"/>
      <c r="I50" s="221"/>
      <c r="J50" s="221"/>
      <c r="K50" s="221"/>
      <c r="L50" s="221"/>
      <c r="M50" s="221"/>
      <c r="N50" s="221"/>
      <c r="O50" s="221"/>
      <c r="P50" s="221"/>
      <c r="Q50" s="221"/>
      <c r="R50" s="221"/>
      <c r="S50" s="221"/>
      <c r="T50" s="221"/>
      <c r="U50" s="221"/>
      <c r="V50" s="221"/>
    </row>
    <row r="51" spans="1:22" ht="15" thickBot="1" x14ac:dyDescent="0.35"/>
    <row r="52" spans="1:22" x14ac:dyDescent="0.3">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Dutasteride-0,01mg/L</v>
      </c>
      <c r="J52" s="46" t="str">
        <f>J4</f>
        <v>Dutasteride-0,1mg/L</v>
      </c>
      <c r="K52" s="46" t="str">
        <f t="shared" ref="K52:M52" si="35">K4</f>
        <v>Dutasteride-0,25mg/L</v>
      </c>
      <c r="L52" s="46" t="str">
        <f t="shared" si="35"/>
        <v>Dutasteride-0,5mg/L</v>
      </c>
      <c r="M52" s="46" t="str">
        <f t="shared" si="35"/>
        <v>Dutasteride-1mg/L</v>
      </c>
      <c r="N52" s="47"/>
      <c r="O52" s="46" t="str">
        <f>O27</f>
        <v>Testo -30µg/L</v>
      </c>
      <c r="P52" s="46" t="str">
        <f>P27</f>
        <v>Testo 30µg/L + EE2 -64ng/L</v>
      </c>
      <c r="Q52" s="46" t="str">
        <f>Q27</f>
        <v>Testo 30µg/L + FAD-10µg/L</v>
      </c>
      <c r="R52" s="46" t="str">
        <f>R27</f>
        <v>Dutasteride-0.01mg/L + Testostérone</v>
      </c>
      <c r="S52" s="46" t="str">
        <f t="shared" ref="S52:V52" si="36">S27</f>
        <v>Dutasteride-0.1mg/L + Testostérone</v>
      </c>
      <c r="T52" s="46" t="str">
        <f t="shared" si="36"/>
        <v>Dutasteride-0.25mg/L + Testostérone</v>
      </c>
      <c r="U52" s="46" t="str">
        <f t="shared" si="36"/>
        <v>Dutasteride-0.5mg/L + Testostérone</v>
      </c>
      <c r="V52" s="46" t="str">
        <f t="shared" si="36"/>
        <v>Dutasteride-1mg/L + Testostérone</v>
      </c>
    </row>
    <row r="53" spans="1:22" s="3" customFormat="1" x14ac:dyDescent="0.3">
      <c r="A53" s="61" t="s">
        <v>32</v>
      </c>
      <c r="B53" s="141">
        <f t="shared" ref="B53:V53" si="37">B46</f>
        <v>9.6008478459502972E-2</v>
      </c>
      <c r="C53" s="141">
        <f t="shared" si="37"/>
        <v>8.3793299115242054E-2</v>
      </c>
      <c r="D53" s="141">
        <f t="shared" si="37"/>
        <v>0.12455490232393979</v>
      </c>
      <c r="E53" s="141">
        <f t="shared" si="37"/>
        <v>0.13575716675084171</v>
      </c>
      <c r="F53" s="141">
        <f t="shared" si="37"/>
        <v>0.29954119305488514</v>
      </c>
      <c r="G53" s="141">
        <f t="shared" si="37"/>
        <v>0.97900195225204001</v>
      </c>
      <c r="H53" s="141">
        <f t="shared" si="37"/>
        <v>1.9010138931137983</v>
      </c>
      <c r="I53" s="141">
        <f t="shared" si="37"/>
        <v>4.0698596474730661E-2</v>
      </c>
      <c r="J53" s="141">
        <f t="shared" si="37"/>
        <v>4.3099943610935519E-2</v>
      </c>
      <c r="K53" s="141">
        <f t="shared" si="37"/>
        <v>7.9441620447996464E-2</v>
      </c>
      <c r="L53" s="141">
        <f t="shared" si="37"/>
        <v>0.12948637219734505</v>
      </c>
      <c r="M53" s="141">
        <f t="shared" si="37"/>
        <v>5.0956299924551751E-2</v>
      </c>
      <c r="N53" s="141"/>
      <c r="O53" s="141">
        <f t="shared" si="37"/>
        <v>1.0000000000000002</v>
      </c>
      <c r="P53" s="141">
        <f t="shared" si="37"/>
        <v>1.148083377942176</v>
      </c>
      <c r="Q53" s="141">
        <f t="shared" si="37"/>
        <v>8.4561154400320193E-2</v>
      </c>
      <c r="R53" s="141">
        <f t="shared" si="37"/>
        <v>1.2766071910325885</v>
      </c>
      <c r="S53" s="141">
        <f t="shared" si="37"/>
        <v>1.1248444812850569</v>
      </c>
      <c r="T53" s="141">
        <f t="shared" si="37"/>
        <v>1.3623876412666986</v>
      </c>
      <c r="U53" s="141">
        <f t="shared" si="37"/>
        <v>1.5557874884324465</v>
      </c>
      <c r="V53" s="141">
        <f t="shared" si="37"/>
        <v>1.0345267317301827</v>
      </c>
    </row>
    <row r="54" spans="1:22" s="3" customFormat="1" x14ac:dyDescent="0.3">
      <c r="A54" s="61" t="s">
        <v>2</v>
      </c>
      <c r="B54" s="141">
        <f t="shared" ref="B54:V54" si="38">B48</f>
        <v>2.9684936862500191E-2</v>
      </c>
      <c r="C54" s="141">
        <f t="shared" si="38"/>
        <v>3.2991221821498697E-2</v>
      </c>
      <c r="D54" s="141">
        <f t="shared" si="38"/>
        <v>2.9648852256606965E-2</v>
      </c>
      <c r="E54" s="141">
        <f t="shared" si="38"/>
        <v>2.7789059819609566E-2</v>
      </c>
      <c r="F54" s="141">
        <f t="shared" si="38"/>
        <v>0.11139077541711656</v>
      </c>
      <c r="G54" s="141">
        <f t="shared" si="38"/>
        <v>0.32406714351545002</v>
      </c>
      <c r="H54" s="141">
        <f t="shared" si="38"/>
        <v>0.27500828782696002</v>
      </c>
      <c r="I54" s="141">
        <f t="shared" si="38"/>
        <v>6.7929867170634321E-3</v>
      </c>
      <c r="J54" s="141">
        <f t="shared" si="38"/>
        <v>1.2169676992886302E-2</v>
      </c>
      <c r="K54" s="141">
        <f t="shared" si="38"/>
        <v>1.9727759502684763E-2</v>
      </c>
      <c r="L54" s="141">
        <f t="shared" si="38"/>
        <v>2.6158775292137608E-2</v>
      </c>
      <c r="M54" s="141">
        <f t="shared" si="38"/>
        <v>1.1073792734708814E-2</v>
      </c>
      <c r="N54" s="141"/>
      <c r="O54" s="141">
        <f t="shared" si="38"/>
        <v>0.14361064292048703</v>
      </c>
      <c r="P54" s="141">
        <f t="shared" si="38"/>
        <v>0.20120688212166382</v>
      </c>
      <c r="Q54" s="141">
        <f t="shared" si="38"/>
        <v>2.1204416024136575E-2</v>
      </c>
      <c r="R54" s="141">
        <f t="shared" si="38"/>
        <v>0.18959745258558694</v>
      </c>
      <c r="S54" s="141">
        <f t="shared" si="38"/>
        <v>0.26174909637810828</v>
      </c>
      <c r="T54" s="141">
        <f t="shared" si="38"/>
        <v>0.27689780285129861</v>
      </c>
      <c r="U54" s="141">
        <f t="shared" si="38"/>
        <v>0.23297741488131446</v>
      </c>
      <c r="V54" s="141">
        <f t="shared" si="38"/>
        <v>0.13970677482533808</v>
      </c>
    </row>
    <row r="55" spans="1:22" s="3" customFormat="1" x14ac:dyDescent="0.3">
      <c r="A55" s="61" t="s">
        <v>79</v>
      </c>
      <c r="B55" s="141">
        <f>(B53*100/$B53)-100</f>
        <v>0</v>
      </c>
      <c r="C55" s="141">
        <f t="shared" ref="C55:M55" si="39">(C53*100/$B53)-100</f>
        <v>-12.723021487538063</v>
      </c>
      <c r="D55" s="141">
        <f t="shared" si="39"/>
        <v>29.733232233732252</v>
      </c>
      <c r="E55" s="141">
        <f t="shared" si="39"/>
        <v>41.401227192768175</v>
      </c>
      <c r="F55" s="141">
        <f t="shared" si="39"/>
        <v>211.99452158929239</v>
      </c>
      <c r="G55" s="141">
        <f t="shared" si="39"/>
        <v>919.70364280378601</v>
      </c>
      <c r="H55" s="141">
        <f t="shared" si="39"/>
        <v>1880.0479328663237</v>
      </c>
      <c r="I55" s="141">
        <f t="shared" si="39"/>
        <v>-57.60937249734917</v>
      </c>
      <c r="J55" s="141">
        <f t="shared" si="39"/>
        <v>-55.10819012810898</v>
      </c>
      <c r="K55" s="141">
        <f t="shared" si="39"/>
        <v>-17.25561979246919</v>
      </c>
      <c r="L55" s="141">
        <f t="shared" si="39"/>
        <v>34.869726377304545</v>
      </c>
      <c r="M55" s="141">
        <f t="shared" si="39"/>
        <v>-46.925208333506234</v>
      </c>
      <c r="N55" s="141"/>
      <c r="O55" s="141">
        <f>(O53*100/$O53)-100</f>
        <v>0</v>
      </c>
      <c r="P55" s="141">
        <f t="shared" ref="P55:V55" si="40">(P53*100/$O53)-100</f>
        <v>14.808337794217564</v>
      </c>
      <c r="Q55" s="141">
        <f t="shared" si="40"/>
        <v>-91.543884559967978</v>
      </c>
      <c r="R55" s="141">
        <f t="shared" si="40"/>
        <v>27.660719103258813</v>
      </c>
      <c r="S55" s="141">
        <f t="shared" si="40"/>
        <v>12.484448128505662</v>
      </c>
      <c r="T55" s="141">
        <f t="shared" si="40"/>
        <v>36.238764126669849</v>
      </c>
      <c r="U55" s="141">
        <f t="shared" si="40"/>
        <v>55.578748843244625</v>
      </c>
      <c r="V55" s="141">
        <f t="shared" si="40"/>
        <v>3.4526731730182405</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41">IF(C56&gt;0.05,"Oui","Non")</f>
        <v>#NAME?</v>
      </c>
      <c r="D57" s="141" t="e">
        <f t="shared" ca="1" si="41"/>
        <v>#NAME?</v>
      </c>
      <c r="E57" s="141" t="e">
        <f t="shared" ca="1" si="41"/>
        <v>#NAME?</v>
      </c>
      <c r="F57" s="141" t="e">
        <f t="shared" ca="1" si="41"/>
        <v>#NAME?</v>
      </c>
      <c r="G57" s="141" t="e">
        <f t="shared" ca="1" si="41"/>
        <v>#NAME?</v>
      </c>
      <c r="H57" s="141" t="e">
        <f t="shared" ca="1" si="41"/>
        <v>#NAME?</v>
      </c>
      <c r="I57" s="141" t="e">
        <f t="shared" ca="1" si="41"/>
        <v>#NAME?</v>
      </c>
      <c r="J57" s="141" t="e">
        <f t="shared" ca="1" si="41"/>
        <v>#NAME?</v>
      </c>
      <c r="K57" s="141" t="e">
        <f t="shared" ca="1" si="41"/>
        <v>#NAME?</v>
      </c>
      <c r="L57" s="141" t="e">
        <f t="shared" ca="1" si="41"/>
        <v>#NAME?</v>
      </c>
      <c r="M57" s="141" t="e">
        <f t="shared" ca="1" si="41"/>
        <v>#NAME?</v>
      </c>
      <c r="N57" s="141"/>
      <c r="O57" s="141" t="e">
        <f t="shared" ca="1" si="41"/>
        <v>#NAME?</v>
      </c>
      <c r="P57" s="141" t="e">
        <f t="shared" ca="1" si="41"/>
        <v>#NAME?</v>
      </c>
      <c r="Q57" s="141" t="e">
        <f t="shared" ca="1" si="41"/>
        <v>#NAME?</v>
      </c>
      <c r="R57" s="141" t="e">
        <f t="shared" ca="1" si="41"/>
        <v>#NAME?</v>
      </c>
      <c r="S57" s="141" t="e">
        <f t="shared" ca="1" si="41"/>
        <v>#NAME?</v>
      </c>
      <c r="T57" s="141" t="e">
        <f t="shared" ca="1" si="41"/>
        <v>#NAME?</v>
      </c>
      <c r="U57" s="141" t="e">
        <f t="shared" ca="1" si="41"/>
        <v>#NAME?</v>
      </c>
      <c r="V57" s="141" t="e">
        <f t="shared" ca="1" si="4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s">
        <v>424</v>
      </c>
      <c r="D59" s="150" t="s">
        <v>424</v>
      </c>
      <c r="E59" s="150" t="s">
        <v>424</v>
      </c>
      <c r="F59" s="150" t="s">
        <v>424</v>
      </c>
      <c r="G59" s="150" t="s">
        <v>424</v>
      </c>
      <c r="H59" s="150" t="s">
        <v>424</v>
      </c>
      <c r="I59" s="150" t="s">
        <v>424</v>
      </c>
      <c r="J59" s="150" t="s">
        <v>424</v>
      </c>
      <c r="K59" s="150" t="s">
        <v>424</v>
      </c>
      <c r="L59" s="150" t="s">
        <v>424</v>
      </c>
      <c r="M59" s="150" t="s">
        <v>424</v>
      </c>
      <c r="N59" s="150"/>
      <c r="O59" s="150" t="e">
        <f t="shared" ref="O59" ca="1" si="42">IF($B57="Non",IF(O57="Non","MW",IF(O57="Oui","MW","")),IF($B57="Oui",IF(O57="Oui","T-Test Welch",IF(O57="Non","MW",""))))</f>
        <v>#NAME?</v>
      </c>
      <c r="P59" s="150" t="e">
        <f ca="1">IF($O57="Non",IF(P57="Non","MW",IF(P57="Oui","MW","")),IF($O57="Oui",IF(P57="Oui","T-Test Welch",IF(P57="Non","MW",""))))</f>
        <v>#NAME?</v>
      </c>
      <c r="Q59" s="150" t="e">
        <f t="shared" ref="Q59" ca="1" si="43">IF($O57="Non",IF(Q57="Non","MW",IF(Q57="Oui","MW","")),IF($O57="Oui",IF(Q57="Oui","T-Test Welch",IF(Q57="Non","MW",""))))</f>
        <v>#NAME?</v>
      </c>
      <c r="R59" s="150" t="s">
        <v>424</v>
      </c>
      <c r="S59" s="150" t="s">
        <v>424</v>
      </c>
      <c r="T59" s="150" t="s">
        <v>424</v>
      </c>
      <c r="U59" s="150" t="s">
        <v>424</v>
      </c>
      <c r="V59" s="150" t="s">
        <v>424</v>
      </c>
    </row>
    <row r="60" spans="1:22" s="3" customFormat="1" ht="15.6" x14ac:dyDescent="0.3">
      <c r="A60" s="61" t="s">
        <v>83</v>
      </c>
      <c r="B60" s="151"/>
      <c r="C60" s="197">
        <v>0.99990000000000001</v>
      </c>
      <c r="D60" s="197">
        <v>0.99990000000000001</v>
      </c>
      <c r="E60" s="197">
        <v>0.79830000000000001</v>
      </c>
      <c r="F60" s="197">
        <v>8.6E-3</v>
      </c>
      <c r="G60" s="197">
        <v>1.5E-3</v>
      </c>
      <c r="H60" s="197">
        <v>1E-4</v>
      </c>
      <c r="I60" s="197">
        <v>0.99990000000000001</v>
      </c>
      <c r="J60" s="197">
        <v>0.15720000000000001</v>
      </c>
      <c r="K60" s="197">
        <v>0.99990000000000001</v>
      </c>
      <c r="L60" s="197">
        <v>0.99990000000000001</v>
      </c>
      <c r="M60" s="197">
        <v>0.99990000000000001</v>
      </c>
      <c r="N60" s="151"/>
      <c r="O60" s="197">
        <v>1.6999999999999999E-3</v>
      </c>
      <c r="P60" s="197">
        <v>4.48E-2</v>
      </c>
      <c r="Q60" s="197">
        <v>1.6999999999999999E-3</v>
      </c>
      <c r="R60" s="197">
        <v>0.99990000000000001</v>
      </c>
      <c r="S60" s="197">
        <v>0.99990000000000001</v>
      </c>
      <c r="T60" s="197">
        <v>0.76180000000000003</v>
      </c>
      <c r="U60" s="197">
        <v>0.99990000000000001</v>
      </c>
      <c r="V60" s="197">
        <v>0.99990000000000001</v>
      </c>
    </row>
    <row r="61" spans="1:22" s="3" customFormat="1" ht="15" thickBot="1" x14ac:dyDescent="0.35">
      <c r="A61" s="62" t="s">
        <v>84</v>
      </c>
      <c r="B61" s="142"/>
      <c r="C61" s="142" t="str">
        <f t="shared" ref="C61:O61" si="44">IF(C60&gt;0.05,"NS",IF(C60&gt;0.01,"*",IF(C60&gt;0.001,"**","***")))</f>
        <v>NS</v>
      </c>
      <c r="D61" s="142" t="str">
        <f t="shared" si="44"/>
        <v>NS</v>
      </c>
      <c r="E61" s="142" t="str">
        <f t="shared" si="44"/>
        <v>NS</v>
      </c>
      <c r="F61" s="142" t="str">
        <f t="shared" si="44"/>
        <v>**</v>
      </c>
      <c r="G61" s="142" t="str">
        <f t="shared" si="44"/>
        <v>**</v>
      </c>
      <c r="H61" s="142" t="str">
        <f t="shared" si="44"/>
        <v>***</v>
      </c>
      <c r="I61" s="142" t="str">
        <f t="shared" si="44"/>
        <v>NS</v>
      </c>
      <c r="J61" s="142" t="str">
        <f t="shared" si="44"/>
        <v>NS</v>
      </c>
      <c r="K61" s="142" t="str">
        <f t="shared" si="44"/>
        <v>NS</v>
      </c>
      <c r="L61" s="142" t="str">
        <f t="shared" si="44"/>
        <v>NS</v>
      </c>
      <c r="M61" s="142" t="str">
        <f t="shared" si="44"/>
        <v>NS</v>
      </c>
      <c r="N61" s="142"/>
      <c r="O61" s="142" t="str">
        <f t="shared" si="44"/>
        <v>**</v>
      </c>
      <c r="P61" s="142" t="str">
        <f>IF(P60&gt;0.05,"NS",IF(P60&gt;0.01,"*",IF(P60&gt;0.001,"**","***")))</f>
        <v>*</v>
      </c>
      <c r="Q61" s="142" t="str">
        <f t="shared" ref="Q61:V61" si="45">IF(Q60&gt;0.05,"NS",IF(Q60&gt;0.01,"*",IF(Q60&gt;0.001,"**","***")))</f>
        <v>**</v>
      </c>
      <c r="R61" s="142" t="str">
        <f t="shared" si="45"/>
        <v>NS</v>
      </c>
      <c r="S61" s="142" t="str">
        <f t="shared" si="45"/>
        <v>NS</v>
      </c>
      <c r="T61" s="142" t="str">
        <f t="shared" si="45"/>
        <v>NS</v>
      </c>
      <c r="U61" s="142" t="str">
        <f t="shared" si="45"/>
        <v>NS</v>
      </c>
      <c r="V61" s="142" t="str">
        <f t="shared" si="45"/>
        <v>NS</v>
      </c>
    </row>
    <row r="63" spans="1:22" x14ac:dyDescent="0.3">
      <c r="A63" s="2" t="s">
        <v>39</v>
      </c>
    </row>
    <row r="64" spans="1:22" x14ac:dyDescent="0.3">
      <c r="A64" s="1" t="s">
        <v>23</v>
      </c>
      <c r="B64" s="1">
        <f>B46+(3*B47)</f>
        <v>0.34789352031432386</v>
      </c>
    </row>
    <row r="65" spans="1:22" x14ac:dyDescent="0.3">
      <c r="A65" s="1" t="s">
        <v>24</v>
      </c>
      <c r="B65" s="1">
        <f>B46+(10*B47)</f>
        <v>0.93562528464223904</v>
      </c>
    </row>
    <row r="66" spans="1:22" ht="15" thickBot="1" x14ac:dyDescent="0.35"/>
    <row r="67" spans="1:22" ht="26.4" thickBot="1" x14ac:dyDescent="0.55000000000000004">
      <c r="A67" s="220" t="s">
        <v>45</v>
      </c>
      <c r="B67" s="221"/>
      <c r="C67" s="221"/>
      <c r="D67" s="221"/>
      <c r="E67" s="221"/>
      <c r="F67" s="221"/>
      <c r="G67" s="221"/>
      <c r="H67" s="221"/>
      <c r="I67" s="221"/>
      <c r="J67" s="221"/>
      <c r="K67" s="221"/>
      <c r="L67" s="221"/>
      <c r="M67" s="221"/>
      <c r="N67" s="221"/>
      <c r="O67" s="221"/>
      <c r="P67" s="221"/>
      <c r="Q67" s="221"/>
      <c r="R67" s="221"/>
      <c r="S67" s="221"/>
      <c r="T67" s="221"/>
      <c r="U67" s="221"/>
      <c r="V67" s="221"/>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97"/>
      <c r="D69" s="12"/>
      <c r="E69" s="12"/>
      <c r="F69" s="12"/>
      <c r="N69" s="12"/>
      <c r="O69" s="12"/>
      <c r="P69" s="12"/>
      <c r="Q69" s="12"/>
      <c r="R69" s="12"/>
      <c r="S69" s="197"/>
      <c r="T69" s="12"/>
      <c r="U69" s="12"/>
      <c r="V69" s="12"/>
    </row>
    <row r="70" spans="1:22" ht="16.8" x14ac:dyDescent="0.3">
      <c r="A70" s="12"/>
      <c r="B70" s="12"/>
      <c r="C70" s="197"/>
      <c r="D70" s="12"/>
      <c r="E70" s="12"/>
      <c r="F70" s="12"/>
      <c r="N70" s="12"/>
      <c r="O70" s="12"/>
      <c r="P70" s="12"/>
      <c r="Q70" s="12"/>
      <c r="R70" s="12"/>
      <c r="S70" s="197"/>
      <c r="T70" s="12"/>
      <c r="U70" s="12"/>
      <c r="V70" s="12"/>
    </row>
    <row r="71" spans="1:22" ht="16.8" x14ac:dyDescent="0.3">
      <c r="A71" s="12"/>
      <c r="B71" s="12"/>
      <c r="C71" s="197"/>
      <c r="D71" s="12"/>
      <c r="E71" s="12"/>
      <c r="F71" s="12"/>
      <c r="N71" s="12"/>
      <c r="O71" s="12"/>
      <c r="P71" s="12"/>
      <c r="Q71" s="12"/>
      <c r="R71" s="12"/>
      <c r="S71" s="197"/>
      <c r="T71" s="12"/>
      <c r="U71" s="12"/>
      <c r="V71" s="12"/>
    </row>
    <row r="72" spans="1:22" ht="16.8" x14ac:dyDescent="0.3">
      <c r="A72" s="12"/>
      <c r="B72" s="12"/>
      <c r="C72" s="197"/>
      <c r="D72" s="12"/>
      <c r="E72" s="12"/>
      <c r="F72" s="12"/>
      <c r="K72" s="197"/>
      <c r="N72" s="12"/>
      <c r="O72" s="12"/>
      <c r="P72" s="12"/>
      <c r="Q72" s="12"/>
      <c r="R72" s="12"/>
      <c r="S72" s="197"/>
      <c r="T72" s="12"/>
      <c r="U72" s="12"/>
      <c r="V72" s="12"/>
    </row>
    <row r="73" spans="1:22" ht="16.8" x14ac:dyDescent="0.3">
      <c r="A73" s="12"/>
      <c r="B73" s="12"/>
      <c r="C73" s="197"/>
      <c r="D73" s="12"/>
      <c r="E73" s="12"/>
      <c r="F73" s="12"/>
      <c r="K73" s="197"/>
      <c r="N73" s="12"/>
      <c r="O73" s="12"/>
      <c r="P73" s="12"/>
      <c r="Q73" s="12"/>
      <c r="R73" s="12"/>
      <c r="S73" s="197"/>
      <c r="T73" s="12"/>
      <c r="U73" s="12"/>
      <c r="V73" s="12"/>
    </row>
    <row r="74" spans="1:22" ht="16.8" x14ac:dyDescent="0.3">
      <c r="A74" s="12"/>
      <c r="B74" s="12"/>
      <c r="C74" s="197"/>
      <c r="D74" s="12"/>
      <c r="E74" s="12"/>
      <c r="F74" s="12"/>
      <c r="K74" s="197"/>
      <c r="N74" s="12"/>
      <c r="O74" s="12"/>
      <c r="P74" s="12"/>
      <c r="Q74" s="12"/>
      <c r="R74" s="12"/>
      <c r="S74" s="12"/>
      <c r="T74" s="12"/>
      <c r="U74" s="12"/>
      <c r="V74" s="12"/>
    </row>
    <row r="75" spans="1:22" ht="15.6" x14ac:dyDescent="0.3">
      <c r="K75" s="197"/>
    </row>
    <row r="76" spans="1:22" ht="15.6" x14ac:dyDescent="0.3">
      <c r="K76" s="197"/>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124"/>
  <sheetViews>
    <sheetView showGridLines="0" topLeftCell="A20" zoomScale="55" zoomScaleNormal="55" workbookViewId="0">
      <selection activeCell="B94" sqref="B94:V94"/>
    </sheetView>
  </sheetViews>
  <sheetFormatPr defaultColWidth="11.5546875" defaultRowHeight="14.4" x14ac:dyDescent="0.3"/>
  <cols>
    <col min="1" max="1" width="42.77734375" customWidth="1"/>
    <col min="2" max="2" width="14" bestFit="1" customWidth="1"/>
    <col min="3" max="13" width="22.77734375" bestFit="1" customWidth="1"/>
    <col min="14" max="14" width="8.44140625" customWidth="1"/>
    <col min="15" max="15" width="22.77734375" customWidth="1"/>
    <col min="18" max="22" width="29.21875" customWidth="1"/>
  </cols>
  <sheetData>
    <row r="1" spans="1:22" s="1" customFormat="1" ht="21.6" thickBot="1" x14ac:dyDescent="0.35">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35">
      <c r="A2" s="1"/>
      <c r="B2" s="1"/>
      <c r="C2" s="1"/>
      <c r="D2" s="1"/>
      <c r="E2" s="1"/>
      <c r="F2" s="1"/>
      <c r="G2" s="1"/>
      <c r="H2" s="1"/>
      <c r="I2" s="1"/>
      <c r="J2" s="1"/>
      <c r="K2" s="1"/>
      <c r="L2" s="1"/>
      <c r="M2" s="1"/>
    </row>
    <row r="3" spans="1:22" s="33" customFormat="1" ht="15" thickBot="1" x14ac:dyDescent="0.35">
      <c r="B3" s="226" t="s">
        <v>6</v>
      </c>
      <c r="C3" s="227"/>
      <c r="D3" s="227"/>
      <c r="E3" s="227"/>
      <c r="F3" s="227"/>
      <c r="G3" s="227"/>
      <c r="H3" s="227"/>
      <c r="I3" s="227"/>
      <c r="J3" s="227"/>
      <c r="K3" s="227"/>
      <c r="L3" s="227"/>
      <c r="M3" s="227"/>
      <c r="N3" s="72"/>
      <c r="O3" s="226" t="s">
        <v>3</v>
      </c>
      <c r="P3" s="227"/>
      <c r="Q3" s="227"/>
      <c r="R3" s="227"/>
      <c r="S3" s="227"/>
      <c r="T3" s="227"/>
      <c r="U3" s="227"/>
      <c r="V3" s="227"/>
    </row>
    <row r="4" spans="1:22" x14ac:dyDescent="0.3">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Dutasteride-0,01mg/L</v>
      </c>
      <c r="J4" s="35" t="str">
        <f>'R1'!J4</f>
        <v>Dutasteride-0,1mg/L</v>
      </c>
      <c r="K4" s="35" t="str">
        <f>'R1'!K4</f>
        <v>Dutasteride-0,25mg/L</v>
      </c>
      <c r="L4" s="35" t="str">
        <f>'R1'!L4</f>
        <v>Dutasteride-0,5mg/L</v>
      </c>
      <c r="M4" s="35" t="str">
        <f>'R1'!M4</f>
        <v>Dutasteride-1mg/L</v>
      </c>
      <c r="O4" s="35" t="str">
        <f>'R1'!O4</f>
        <v>Testo -30µg/L</v>
      </c>
      <c r="P4" s="35" t="str">
        <f>'R1'!P4</f>
        <v>Testo 30µg/L + EE2 -64ng/L</v>
      </c>
      <c r="Q4" s="35" t="str">
        <f>'R1'!Q4</f>
        <v>Testo 30µg/L + FAD-10µg/L</v>
      </c>
      <c r="R4" s="35" t="str">
        <f>'R1'!R4</f>
        <v>Dutasteride-0.01mg/L + Testostérone</v>
      </c>
      <c r="S4" s="35" t="str">
        <f>'R1'!S4</f>
        <v>Dutasteride-0.1mg/L + Testostérone</v>
      </c>
      <c r="T4" s="35" t="str">
        <f>'R1'!T4</f>
        <v>Dutasteride-0.25mg/L + Testostérone</v>
      </c>
      <c r="U4" s="35" t="str">
        <f>'R1'!U4</f>
        <v>Dutasteride-0.5mg/L + Testostérone</v>
      </c>
      <c r="V4" s="35" t="str">
        <f>'R1'!V4</f>
        <v>Dutasteride-1mg/L + Testostérone</v>
      </c>
    </row>
    <row r="5" spans="1:22" s="1" customFormat="1" x14ac:dyDescent="0.3">
      <c r="A5" s="34"/>
      <c r="B5" s="35"/>
      <c r="C5" s="193" t="s">
        <v>165</v>
      </c>
      <c r="D5" s="35"/>
      <c r="E5" s="35"/>
      <c r="F5" s="35"/>
      <c r="G5" s="35"/>
      <c r="H5" s="35"/>
      <c r="I5" s="35"/>
      <c r="J5" s="35"/>
      <c r="K5" s="35"/>
      <c r="L5" s="35"/>
      <c r="M5" s="35"/>
      <c r="O5" s="35"/>
      <c r="P5" s="35"/>
      <c r="Q5" s="35"/>
      <c r="R5" s="35"/>
      <c r="S5" s="35"/>
      <c r="T5" s="35"/>
      <c r="U5" s="35"/>
      <c r="V5" s="35"/>
    </row>
    <row r="6" spans="1:22" s="1" customFormat="1" x14ac:dyDescent="0.3">
      <c r="A6" s="71" t="s">
        <v>4</v>
      </c>
      <c r="B6" s="53">
        <f>'R1'!B28</f>
        <v>1.5644251463201909E-2</v>
      </c>
      <c r="C6" s="53">
        <f>'R1'!C28</f>
        <v>2.1396924264698417E-2</v>
      </c>
      <c r="D6" s="53">
        <f>'R1'!D28</f>
        <v>1.464580572974338E-2</v>
      </c>
      <c r="E6" s="53">
        <f>'R1'!E28</f>
        <v>7.1174088011249942E-2</v>
      </c>
      <c r="F6" s="53">
        <f>'R1'!F28</f>
        <v>0.40518321043840189</v>
      </c>
      <c r="G6" s="53">
        <f>'R1'!G28</f>
        <v>1.3407094479378758</v>
      </c>
      <c r="H6" s="53">
        <f>'R1'!H28</f>
        <v>5.0398057674753405</v>
      </c>
      <c r="I6" s="53">
        <f>'R1'!I28</f>
        <v>0.44683349030796538</v>
      </c>
      <c r="J6" s="53">
        <f>'R1'!J28</f>
        <v>7.1655896126814222E-2</v>
      </c>
      <c r="K6" s="53">
        <f>'R1'!K28</f>
        <v>0.12630919019955855</v>
      </c>
      <c r="L6" s="53" t="str">
        <f>'R1'!L28</f>
        <v/>
      </c>
      <c r="M6" s="53">
        <f>'R1'!M28</f>
        <v>1.2817256857421079E-2</v>
      </c>
      <c r="N6"/>
      <c r="O6" s="53">
        <f>'R1'!O28</f>
        <v>1.5235817499212709</v>
      </c>
      <c r="P6" s="53">
        <f>'R1'!P28</f>
        <v>3.131764361001987</v>
      </c>
      <c r="Q6" s="53">
        <f>'R1'!Q28</f>
        <v>4.7072072398925517E-2</v>
      </c>
      <c r="R6" s="53">
        <f>'R1'!R28</f>
        <v>2.3118720712379419</v>
      </c>
      <c r="S6" s="53">
        <f>'R1'!S28</f>
        <v>1.7317692951814838</v>
      </c>
      <c r="T6" s="53">
        <f>'R1'!T28</f>
        <v>2.5132736684608696</v>
      </c>
      <c r="U6" s="53">
        <f>'R1'!U28</f>
        <v>2.2178991714932135</v>
      </c>
      <c r="V6" s="53">
        <f>'R1'!V28</f>
        <v>1.9779848520689451</v>
      </c>
    </row>
    <row r="7" spans="1:22" s="1" customFormat="1" x14ac:dyDescent="0.3">
      <c r="A7" s="230" t="s">
        <v>34</v>
      </c>
      <c r="B7" s="53">
        <f>'R1'!B29</f>
        <v>1.1412466930113154E-2</v>
      </c>
      <c r="C7" s="53">
        <f>'R1'!C29</f>
        <v>5.2070105983273137E-3</v>
      </c>
      <c r="D7" s="53">
        <f>'R1'!D29</f>
        <v>1.9272324622571554E-2</v>
      </c>
      <c r="E7" s="53">
        <f>'R1'!E29</f>
        <v>0.57191203809186575</v>
      </c>
      <c r="F7" s="53">
        <f>'R1'!F29</f>
        <v>0.36811881504228156</v>
      </c>
      <c r="G7" s="53">
        <f>'R1'!G29</f>
        <v>2.7955319553427733</v>
      </c>
      <c r="H7" s="53">
        <f>'R1'!H29</f>
        <v>3.845269935899204</v>
      </c>
      <c r="I7" s="53">
        <f>'R1'!I29</f>
        <v>1.549912853682712E-2</v>
      </c>
      <c r="J7" s="53">
        <f>'R1'!J29</f>
        <v>8.8524985088619321E-3</v>
      </c>
      <c r="K7" s="53">
        <f>'R1'!K29</f>
        <v>3.3593054997235409E-2</v>
      </c>
      <c r="L7" s="53">
        <f>'R1'!L29</f>
        <v>1.4204632033564032E-2</v>
      </c>
      <c r="M7" s="53">
        <f>'R1'!M29</f>
        <v>9.4852344678559974E-3</v>
      </c>
      <c r="N7"/>
      <c r="O7" s="53">
        <f>'R1'!O29</f>
        <v>0.48308519731638688</v>
      </c>
      <c r="P7" s="53">
        <f>'R1'!P29</f>
        <v>1.4909058718187242</v>
      </c>
      <c r="Q7" s="53">
        <f>'R1'!Q29</f>
        <v>3.1427820935723612E-2</v>
      </c>
      <c r="R7" s="53">
        <f>'R1'!R29</f>
        <v>3.9705632656141389E-2</v>
      </c>
      <c r="S7" s="53">
        <f>'R1'!S29</f>
        <v>1.2459325671810308</v>
      </c>
      <c r="T7" s="53">
        <f>'R1'!T29</f>
        <v>0.2285744139573426</v>
      </c>
      <c r="U7" s="53">
        <f>'R1'!U29</f>
        <v>2.3523323431112324</v>
      </c>
      <c r="V7" s="53">
        <f>'R1'!V29</f>
        <v>1.4212120376564972</v>
      </c>
    </row>
    <row r="8" spans="1:22" s="1" customFormat="1" x14ac:dyDescent="0.3">
      <c r="A8" s="231"/>
      <c r="B8" s="53">
        <f>'R1'!B30</f>
        <v>0.13865624877552532</v>
      </c>
      <c r="C8" s="53">
        <f>'R1'!C30</f>
        <v>6.9467442397082454E-2</v>
      </c>
      <c r="D8" s="53">
        <f>'R1'!D30</f>
        <v>9.0150361864016915E-3</v>
      </c>
      <c r="E8" s="53">
        <f>'R1'!E30</f>
        <v>3.2678780561074261E-2</v>
      </c>
      <c r="F8" s="53">
        <f>'R1'!F30</f>
        <v>0.42968576532752073</v>
      </c>
      <c r="G8" s="53">
        <f>'R1'!G30</f>
        <v>1.7602540231703265</v>
      </c>
      <c r="H8" s="53">
        <f>'R1'!H30</f>
        <v>2.6169262673947968</v>
      </c>
      <c r="I8" s="53">
        <f>'R1'!I30</f>
        <v>1.4640000812688389E-2</v>
      </c>
      <c r="J8" s="53">
        <f>'R1'!J30</f>
        <v>1.6300207090415939E-2</v>
      </c>
      <c r="K8" s="53">
        <f>'R1'!K30</f>
        <v>7.8534722836979071E-2</v>
      </c>
      <c r="L8" s="53">
        <f>'R1'!L30</f>
        <v>6.5903223325317714E-2</v>
      </c>
      <c r="M8" s="53">
        <f>'R1'!M30</f>
        <v>6.2344809170607968E-3</v>
      </c>
      <c r="N8"/>
      <c r="O8" s="53">
        <f>'R1'!O30</f>
        <v>2.2321444379461624</v>
      </c>
      <c r="P8" s="53">
        <f>'R1'!P30</f>
        <v>2.3453316131429127</v>
      </c>
      <c r="Q8" s="53">
        <f>'R1'!Q30</f>
        <v>1.6120254661711204E-2</v>
      </c>
      <c r="R8" s="53">
        <f>'R1'!R30</f>
        <v>0.59137012006019707</v>
      </c>
      <c r="S8" s="53">
        <f>'R1'!S30</f>
        <v>2.070973818372853</v>
      </c>
      <c r="T8" s="53">
        <f>'R1'!T30</f>
        <v>0.64047391342836946</v>
      </c>
      <c r="U8" s="53">
        <f>'R1'!U30</f>
        <v>1.4017945901075508</v>
      </c>
      <c r="V8" s="53">
        <f>'R1'!V30</f>
        <v>1.3578455630842106</v>
      </c>
    </row>
    <row r="9" spans="1:22" s="1" customFormat="1" x14ac:dyDescent="0.3">
      <c r="A9" s="231"/>
      <c r="B9" s="53">
        <f>'R1'!B31</f>
        <v>3.5502872708327596E-2</v>
      </c>
      <c r="C9" s="53">
        <f>'R1'!C31</f>
        <v>1.0843585058723992E-2</v>
      </c>
      <c r="D9" s="53">
        <f>'R1'!D31</f>
        <v>5.6606648661748936E-2</v>
      </c>
      <c r="E9" s="53">
        <f>'R1'!E31</f>
        <v>3.1392991433393663E-2</v>
      </c>
      <c r="F9" s="53">
        <f>'R1'!F31</f>
        <v>1.2354953263161561</v>
      </c>
      <c r="G9" s="53">
        <f>'R1'!G31</f>
        <v>8.2911630296442607E-2</v>
      </c>
      <c r="H9" s="53">
        <f>'R1'!H31</f>
        <v>0.8444412839896035</v>
      </c>
      <c r="I9" s="53">
        <f>'R1'!I31</f>
        <v>1.2898525696190958E-2</v>
      </c>
      <c r="J9" s="53">
        <f>'R1'!J31</f>
        <v>1.014699501212502E-2</v>
      </c>
      <c r="K9" s="53">
        <f>'R1'!K31</f>
        <v>9.4736246337460157E-3</v>
      </c>
      <c r="L9" s="53">
        <f>'R1'!L31</f>
        <v>4.0117781767045779E-2</v>
      </c>
      <c r="M9" s="53">
        <f>'R1'!M31</f>
        <v>0.12777202929741638</v>
      </c>
      <c r="N9"/>
      <c r="O9" s="53">
        <f>'R1'!O31</f>
        <v>1.9819554153345593</v>
      </c>
      <c r="P9" s="53">
        <f>'R1'!P31</f>
        <v>2.0863046043150852</v>
      </c>
      <c r="Q9" s="53">
        <f>'R1'!Q31</f>
        <v>5.6772088797816193E-2</v>
      </c>
      <c r="R9" s="53">
        <f>'R1'!R31</f>
        <v>1.1977923900439869</v>
      </c>
      <c r="S9" s="53">
        <f>'R1'!S31</f>
        <v>1.3937315603181677</v>
      </c>
      <c r="T9" s="53">
        <f>'R1'!T31</f>
        <v>0.36588392197610992</v>
      </c>
      <c r="U9" s="53">
        <f>'R1'!U31</f>
        <v>2.5317158899445777</v>
      </c>
      <c r="V9" s="53">
        <f>'R1'!V31</f>
        <v>1.2288777208734658</v>
      </c>
    </row>
    <row r="10" spans="1:22" s="1" customFormat="1" x14ac:dyDescent="0.3">
      <c r="A10" s="231"/>
      <c r="B10" s="53">
        <f>'R1'!B32</f>
        <v>6.6652057625411612E-2</v>
      </c>
      <c r="C10" s="53">
        <f>'R1'!C32</f>
        <v>1.5435274449222216E-2</v>
      </c>
      <c r="D10" s="53">
        <f>'R1'!D32</f>
        <v>0.16335036592745886</v>
      </c>
      <c r="E10" s="53">
        <f>'R1'!E32</f>
        <v>9.075407323773603E-2</v>
      </c>
      <c r="F10" s="53">
        <f>'R1'!F32</f>
        <v>0.54447219517292123</v>
      </c>
      <c r="G10" s="53">
        <f>'R1'!G32</f>
        <v>2.2327742714466292</v>
      </c>
      <c r="H10" s="53">
        <f>'R1'!H32</f>
        <v>3.2181183071120394</v>
      </c>
      <c r="I10" s="53">
        <f>'R1'!I32</f>
        <v>1.5365615444562318E-2</v>
      </c>
      <c r="J10" s="53">
        <f>'R1'!J32</f>
        <v>0.18979466557147234</v>
      </c>
      <c r="K10" s="53">
        <f>'R1'!K32</f>
        <v>2.1542047191073201E-2</v>
      </c>
      <c r="L10" s="53">
        <f>'R1'!L32</f>
        <v>8.2429822180878319E-3</v>
      </c>
      <c r="M10" s="53">
        <f>'R1'!M32</f>
        <v>9.3691361267561699E-3</v>
      </c>
      <c r="N10"/>
      <c r="O10" s="53">
        <f>'R1'!O32</f>
        <v>0.87713457684331519</v>
      </c>
      <c r="P10" s="53">
        <f>'R1'!P32</f>
        <v>0.13933542407095931</v>
      </c>
      <c r="Q10" s="53">
        <f>'R1'!Q32</f>
        <v>8.6789314889176891E-2</v>
      </c>
      <c r="R10" s="53">
        <f>'R1'!R32</f>
        <v>1.2747191508567335</v>
      </c>
      <c r="S10" s="53">
        <f>'R1'!S32</f>
        <v>0.52629119495668808</v>
      </c>
      <c r="T10" s="53">
        <f>'R1'!T32</f>
        <v>0.6203830955010442</v>
      </c>
      <c r="U10" s="53">
        <f>'R1'!U32</f>
        <v>1.4717960848736924</v>
      </c>
      <c r="V10" s="53">
        <f>'R1'!V32</f>
        <v>4.5005521927348566E-2</v>
      </c>
    </row>
    <row r="11" spans="1:22" s="1" customFormat="1" x14ac:dyDescent="0.3">
      <c r="A11" s="231"/>
      <c r="B11" s="53">
        <f>'R1'!B33</f>
        <v>0.13144654179322596</v>
      </c>
      <c r="C11" s="53">
        <f>'R1'!C33</f>
        <v>2.5947979235811696E-2</v>
      </c>
      <c r="D11" s="53">
        <f>'R1'!D33</f>
        <v>1.4343950042883826E-2</v>
      </c>
      <c r="E11" s="53">
        <f>'R1'!E33</f>
        <v>2.3991722188279586E-2</v>
      </c>
      <c r="F11" s="53">
        <f>'R1'!F33</f>
        <v>0.91796636340812487</v>
      </c>
      <c r="G11" s="53">
        <f>'R1'!G33</f>
        <v>1.6660692439530906</v>
      </c>
      <c r="H11" s="53">
        <f>'R1'!H33</f>
        <v>2.0432959738546539</v>
      </c>
      <c r="I11" s="53">
        <f>'R1'!I33</f>
        <v>3.095181773721431E-2</v>
      </c>
      <c r="J11" s="53">
        <f>'R1'!J33</f>
        <v>6.5235657863993698E-2</v>
      </c>
      <c r="K11" s="53">
        <f>'R1'!K33</f>
        <v>2.2737860104401438E-2</v>
      </c>
      <c r="L11" s="53">
        <f>'R1'!L33</f>
        <v>0.11810684240085566</v>
      </c>
      <c r="M11" s="53">
        <f>'R1'!M33</f>
        <v>0.50128361228378504</v>
      </c>
      <c r="N11"/>
      <c r="O11" s="53">
        <f>'R1'!O33</f>
        <v>0.73277789951978833</v>
      </c>
      <c r="P11" s="53">
        <f>'R1'!P33</f>
        <v>2.1997036589843431</v>
      </c>
      <c r="Q11" s="53">
        <f>'R1'!Q33</f>
        <v>2.2395369998156941E-2</v>
      </c>
      <c r="R11" s="53">
        <f>'R1'!R33</f>
        <v>0.32340934388473758</v>
      </c>
      <c r="S11" s="53">
        <f>'R1'!S33</f>
        <v>1.7845359912113559</v>
      </c>
      <c r="T11" s="53">
        <f>'R1'!T33</f>
        <v>0.27890304482411832</v>
      </c>
      <c r="U11" s="53">
        <f>'R1'!U33</f>
        <v>0.87636252287500138</v>
      </c>
      <c r="V11" s="53">
        <f>'R1'!V33</f>
        <v>0.51544180498090908</v>
      </c>
    </row>
    <row r="12" spans="1:22" s="1" customFormat="1" x14ac:dyDescent="0.3">
      <c r="A12" s="231"/>
      <c r="B12" s="53">
        <f>'R1'!B34</f>
        <v>0.14126846145027147</v>
      </c>
      <c r="C12" s="53">
        <f>'R1'!C34</f>
        <v>0.12037656496935729</v>
      </c>
      <c r="D12" s="53">
        <f>'R1'!D34</f>
        <v>1.8384172313157865E-2</v>
      </c>
      <c r="E12" s="53">
        <f>'R1'!E34</f>
        <v>0.10258449419580858</v>
      </c>
      <c r="F12" s="53">
        <f>'R1'!F34</f>
        <v>1.0968913217941259</v>
      </c>
      <c r="G12" s="53">
        <f>'R1'!G34</f>
        <v>2.4989297184179859</v>
      </c>
      <c r="H12" s="53">
        <f>'R1'!H34</f>
        <v>3.3169934593097086</v>
      </c>
      <c r="I12" s="53">
        <f>'R1'!I34</f>
        <v>4.5324792365373089E-2</v>
      </c>
      <c r="J12" s="53">
        <f>'R1'!J34</f>
        <v>0.13916708147636456</v>
      </c>
      <c r="K12" s="53">
        <f>'R1'!K34</f>
        <v>9.8219196570455015E-3</v>
      </c>
      <c r="L12" s="53">
        <f>'R1'!L34</f>
        <v>1.0936463731603856E-2</v>
      </c>
      <c r="M12" s="53">
        <f>'R1'!M34</f>
        <v>2.8891072182692351E-2</v>
      </c>
      <c r="N12"/>
      <c r="O12" s="53">
        <f>'R1'!O34</f>
        <v>0.96951983177350387</v>
      </c>
      <c r="P12" s="53">
        <f>'R1'!P34</f>
        <v>2.0650121685573768</v>
      </c>
      <c r="Q12" s="53">
        <f>'R1'!Q34</f>
        <v>3.1903824134232907E-2</v>
      </c>
      <c r="R12" s="53">
        <f>'R1'!R34</f>
        <v>7.4360987474440228E-3</v>
      </c>
      <c r="S12" s="53">
        <f>'R1'!S34</f>
        <v>5.8948932693437983E-2</v>
      </c>
      <c r="T12" s="53">
        <f>'R1'!T34</f>
        <v>2.1739588518454558</v>
      </c>
      <c r="U12" s="53">
        <f>'R1'!U34</f>
        <v>2.1210238132209893</v>
      </c>
      <c r="V12" s="53">
        <f>'R1'!V34</f>
        <v>0.25823754010834876</v>
      </c>
    </row>
    <row r="13" spans="1:22" s="1" customFormat="1" x14ac:dyDescent="0.3">
      <c r="A13" s="231"/>
      <c r="B13" s="53">
        <f>'R1'!B35</f>
        <v>1.1209294833188452E-2</v>
      </c>
      <c r="C13" s="53">
        <f>'R1'!C35</f>
        <v>1.8535100156587637E-2</v>
      </c>
      <c r="D13" s="53">
        <f>'R1'!D35</f>
        <v>0.2232977443543554</v>
      </c>
      <c r="E13" s="53">
        <f>'R1'!E35</f>
        <v>0.12347639067672272</v>
      </c>
      <c r="F13" s="53">
        <f>'R1'!F35</f>
        <v>1.1298922752517522</v>
      </c>
      <c r="G13" s="53">
        <f>'R1'!G35</f>
        <v>2.4090696024067189</v>
      </c>
      <c r="H13" s="53">
        <f>'R1'!H35</f>
        <v>2.8907848392981279</v>
      </c>
      <c r="I13" s="53">
        <f>'R1'!I35</f>
        <v>3.6083364413826736E-2</v>
      </c>
      <c r="J13" s="53">
        <f>'R1'!J35</f>
        <v>1.1528565271212982E-2</v>
      </c>
      <c r="K13" s="53">
        <f>'R1'!K35</f>
        <v>5.6661795373771355E-2</v>
      </c>
      <c r="L13" s="53">
        <f>'R1'!L35</f>
        <v>1.1354417759563239E-2</v>
      </c>
      <c r="M13" s="53">
        <f>'R1'!M35</f>
        <v>1.0239873685004884E-2</v>
      </c>
      <c r="N13"/>
      <c r="O13" s="53">
        <f>'R1'!O35</f>
        <v>0.55020164830619778</v>
      </c>
      <c r="P13" s="53">
        <f>'R1'!P35</f>
        <v>2.0087044731239598</v>
      </c>
      <c r="Q13" s="53">
        <f>'R1'!Q35</f>
        <v>2.4943728585298176E-2</v>
      </c>
      <c r="R13" s="53">
        <f>'R1'!R35</f>
        <v>1.3362512716396424</v>
      </c>
      <c r="S13" s="53">
        <f>'R1'!S35</f>
        <v>0.4289601506956468</v>
      </c>
      <c r="T13" s="53">
        <f>'R1'!T35</f>
        <v>1.5306579438113055</v>
      </c>
      <c r="U13" s="53">
        <f>'R1'!U35</f>
        <v>1.6841631704134989</v>
      </c>
      <c r="V13" s="53">
        <f>'R1'!V35</f>
        <v>0.54345633468829779</v>
      </c>
    </row>
    <row r="14" spans="1:22" s="1" customFormat="1" x14ac:dyDescent="0.3">
      <c r="A14" s="231"/>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1.1572102149125418E-2</v>
      </c>
      <c r="P14" s="53" t="str">
        <f>'R1'!P36</f>
        <v/>
      </c>
      <c r="Q14" s="53" t="str">
        <f>'R1'!Q36</f>
        <v/>
      </c>
      <c r="R14" s="53" t="str">
        <f>'R1'!R36</f>
        <v/>
      </c>
      <c r="S14" s="53" t="str">
        <f>'R1'!S36</f>
        <v/>
      </c>
      <c r="T14" s="53" t="str">
        <f>'R1'!T36</f>
        <v/>
      </c>
      <c r="U14" s="53" t="str">
        <f>'R1'!U36</f>
        <v/>
      </c>
      <c r="V14" s="53" t="str">
        <f>'R1'!V36</f>
        <v/>
      </c>
    </row>
    <row r="15" spans="1:22" s="1" customFormat="1" x14ac:dyDescent="0.3">
      <c r="A15" s="231"/>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0.80167065512842661</v>
      </c>
      <c r="P15" s="53" t="str">
        <f>'R1'!P37</f>
        <v/>
      </c>
      <c r="Q15" s="53" t="str">
        <f>'R1'!Q37</f>
        <v/>
      </c>
      <c r="R15" s="53" t="str">
        <f>'R1'!R37</f>
        <v/>
      </c>
      <c r="S15" s="53" t="str">
        <f>'R1'!S37</f>
        <v/>
      </c>
      <c r="T15" s="53" t="str">
        <f>'R1'!T37</f>
        <v/>
      </c>
      <c r="U15" s="53" t="str">
        <f>'R1'!U37</f>
        <v/>
      </c>
      <c r="V15" s="53" t="str">
        <f>'R1'!V37</f>
        <v/>
      </c>
    </row>
    <row r="16" spans="1:22" s="1" customFormat="1" x14ac:dyDescent="0.3">
      <c r="A16" s="231"/>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1.5022951190806175</v>
      </c>
      <c r="P16" s="53" t="str">
        <f>'R1'!P38</f>
        <v/>
      </c>
      <c r="Q16" s="53" t="str">
        <f>'R1'!Q38</f>
        <v/>
      </c>
      <c r="R16" s="53" t="str">
        <f>'R1'!R38</f>
        <v/>
      </c>
      <c r="S16" s="53" t="str">
        <f>'R1'!S38</f>
        <v/>
      </c>
      <c r="T16" s="53" t="str">
        <f>'R1'!T38</f>
        <v/>
      </c>
      <c r="U16" s="53" t="str">
        <f>'R1'!U38</f>
        <v/>
      </c>
      <c r="V16" s="53" t="str">
        <f>'R1'!V38</f>
        <v/>
      </c>
    </row>
    <row r="17" spans="1:22" s="1" customFormat="1" x14ac:dyDescent="0.3">
      <c r="A17" s="231"/>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1.2243614954046826</v>
      </c>
      <c r="P17" s="53" t="str">
        <f>'R1'!P39</f>
        <v/>
      </c>
      <c r="Q17" s="53" t="str">
        <f>'R1'!Q39</f>
        <v/>
      </c>
      <c r="R17" s="53" t="str">
        <f>'R1'!R39</f>
        <v/>
      </c>
      <c r="S17" s="53" t="str">
        <f>'R1'!S39</f>
        <v/>
      </c>
      <c r="T17" s="53" t="str">
        <f>'R1'!T39</f>
        <v/>
      </c>
      <c r="U17" s="53" t="str">
        <f>'R1'!U39</f>
        <v/>
      </c>
      <c r="V17" s="53" t="str">
        <f>'R1'!V39</f>
        <v/>
      </c>
    </row>
    <row r="18" spans="1:22" s="1" customFormat="1" x14ac:dyDescent="0.3">
      <c r="A18" s="231"/>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0.63276498357934097</v>
      </c>
      <c r="P18" s="53" t="str">
        <f>'R1'!P40</f>
        <v/>
      </c>
      <c r="Q18" s="53" t="str">
        <f>'R1'!Q40</f>
        <v/>
      </c>
      <c r="R18" s="53" t="str">
        <f>'R1'!R40</f>
        <v/>
      </c>
      <c r="S18" s="53" t="str">
        <f>'R1'!S40</f>
        <v/>
      </c>
      <c r="T18" s="53" t="str">
        <f>'R1'!T40</f>
        <v/>
      </c>
      <c r="U18" s="53" t="str">
        <f>'R1'!U40</f>
        <v/>
      </c>
      <c r="V18" s="53" t="str">
        <f>'R1'!V40</f>
        <v/>
      </c>
    </row>
    <row r="19" spans="1:22" s="1" customFormat="1" x14ac:dyDescent="0.3">
      <c r="A19" s="231"/>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1.2967836405827557</v>
      </c>
      <c r="P19" s="53" t="str">
        <f>'R1'!P41</f>
        <v/>
      </c>
      <c r="Q19" s="53" t="str">
        <f>'R1'!Q41</f>
        <v/>
      </c>
      <c r="R19" s="53" t="str">
        <f>'R1'!R41</f>
        <v/>
      </c>
      <c r="S19" s="53" t="str">
        <f>'R1'!S41</f>
        <v/>
      </c>
      <c r="T19" s="53" t="str">
        <f>'R1'!T41</f>
        <v/>
      </c>
      <c r="U19" s="53" t="str">
        <f>'R1'!U41</f>
        <v/>
      </c>
      <c r="V19" s="53" t="str">
        <f>'R1'!V41</f>
        <v/>
      </c>
    </row>
    <row r="20" spans="1:22" s="1" customFormat="1" x14ac:dyDescent="0.3">
      <c r="A20" s="231"/>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0.22290881491167094</v>
      </c>
      <c r="P20" s="53" t="str">
        <f>'R1'!P42</f>
        <v/>
      </c>
      <c r="Q20" s="53" t="str">
        <f>'R1'!Q42</f>
        <v/>
      </c>
      <c r="R20" s="53" t="str">
        <f>'R1'!R42</f>
        <v/>
      </c>
      <c r="S20" s="53" t="str">
        <f>'R1'!S42</f>
        <v/>
      </c>
      <c r="T20" s="53" t="str">
        <f>'R1'!T42</f>
        <v/>
      </c>
      <c r="U20" s="53" t="str">
        <f>'R1'!U42</f>
        <v/>
      </c>
      <c r="V20" s="53" t="str">
        <f>'R1'!V42</f>
        <v/>
      </c>
    </row>
    <row r="21" spans="1:22" s="1" customFormat="1" x14ac:dyDescent="0.3">
      <c r="A21" s="232"/>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0.95724243220219696</v>
      </c>
      <c r="P21" s="53" t="str">
        <f>'R1'!P43</f>
        <v/>
      </c>
      <c r="Q21" s="53" t="str">
        <f>'R1'!Q43</f>
        <v/>
      </c>
      <c r="R21" s="53" t="str">
        <f>'R1'!R43</f>
        <v/>
      </c>
      <c r="S21" s="53" t="str">
        <f>'R1'!S43</f>
        <v/>
      </c>
      <c r="T21" s="53" t="str">
        <f>'R1'!T43</f>
        <v/>
      </c>
      <c r="U21" s="53" t="str">
        <f>'R1'!U43</f>
        <v/>
      </c>
      <c r="V21" s="53" t="str">
        <f>'R1'!V43</f>
        <v/>
      </c>
    </row>
    <row r="22" spans="1:22" x14ac:dyDescent="0.3">
      <c r="A22" s="39" t="s">
        <v>5</v>
      </c>
      <c r="B22" s="54">
        <f>'R2'!B28</f>
        <v>1.892099466076709E-2</v>
      </c>
      <c r="C22" s="54">
        <f>'R2'!C28</f>
        <v>1.8358498283032144E-2</v>
      </c>
      <c r="D22" s="54" t="str">
        <f>'R2'!D28</f>
        <v/>
      </c>
      <c r="E22" s="54">
        <f>'R2'!E28</f>
        <v>6.6947809172557743E-2</v>
      </c>
      <c r="F22" s="54">
        <f>'R2'!F28</f>
        <v>0.14773575980233564</v>
      </c>
      <c r="G22" s="54">
        <f>'R2'!G28</f>
        <v>0.28513347938164446</v>
      </c>
      <c r="H22" s="54">
        <f>'R2'!H28</f>
        <v>2.1072759930421867</v>
      </c>
      <c r="I22" s="54">
        <f>'R2'!I28</f>
        <v>1.3548456442358015E-2</v>
      </c>
      <c r="J22" s="54">
        <f>'R2'!J28</f>
        <v>0.20604952263315598</v>
      </c>
      <c r="K22" s="54">
        <f>'R2'!K28</f>
        <v>8.323854164501019E-3</v>
      </c>
      <c r="L22" s="54">
        <f>'R2'!L28</f>
        <v>5.2350391038516447E-3</v>
      </c>
      <c r="M22" s="54">
        <f>'R2'!M28</f>
        <v>2.2199857041272544E-2</v>
      </c>
      <c r="O22" s="54">
        <f>'R2'!O28</f>
        <v>1.195580164991201</v>
      </c>
      <c r="P22" s="54">
        <f>'R2'!P28</f>
        <v>1.734790042197013</v>
      </c>
      <c r="Q22" s="54">
        <f>'R2'!Q28</f>
        <v>5.4080355626350676E-2</v>
      </c>
      <c r="R22" s="54">
        <f>'R2'!R28</f>
        <v>6.711413091704227E-2</v>
      </c>
      <c r="S22" s="54">
        <f>'R2'!S28</f>
        <v>1.0622390333666618</v>
      </c>
      <c r="T22" s="54">
        <f>'R2'!T28</f>
        <v>1.7246630443042734</v>
      </c>
      <c r="U22" s="54">
        <f>'R2'!U28</f>
        <v>1.8446722229466226</v>
      </c>
      <c r="V22" s="54">
        <f>'R2'!V28</f>
        <v>1.970531727992741</v>
      </c>
    </row>
    <row r="23" spans="1:22" x14ac:dyDescent="0.3">
      <c r="A23" s="230" t="s">
        <v>34</v>
      </c>
      <c r="B23" s="54">
        <f>'R2'!B29</f>
        <v>2.8203095081707191E-2</v>
      </c>
      <c r="C23" s="54">
        <f>'R2'!C29</f>
        <v>1.3796513097393661E-2</v>
      </c>
      <c r="D23" s="54">
        <f>'R2'!D29</f>
        <v>5.22351005188081E-2</v>
      </c>
      <c r="E23" s="54">
        <f>'R2'!E29</f>
        <v>0.18164264096934024</v>
      </c>
      <c r="F23" s="54">
        <f>'R2'!F29</f>
        <v>0.46962076222673599</v>
      </c>
      <c r="G23" s="54">
        <f>'R2'!G29</f>
        <v>1.3067481384316633</v>
      </c>
      <c r="H23" s="54">
        <f>'R2'!H29</f>
        <v>3.0896996423316416</v>
      </c>
      <c r="I23" s="54">
        <f>'R2'!I29</f>
        <v>4.3427997039066399E-2</v>
      </c>
      <c r="J23" s="54">
        <f>'R2'!J29</f>
        <v>0.1057478627128683</v>
      </c>
      <c r="K23" s="54">
        <f>'R2'!K29</f>
        <v>2.7379435337222383E-2</v>
      </c>
      <c r="L23" s="54">
        <f>'R2'!L29</f>
        <v>7.3128169858796954E-3</v>
      </c>
      <c r="M23" s="54">
        <f>'R2'!M29</f>
        <v>1.6642611274446512E-2</v>
      </c>
      <c r="O23" s="54">
        <f>'R2'!O29</f>
        <v>1.0937739031094984</v>
      </c>
      <c r="P23" s="54">
        <f>'R2'!P29</f>
        <v>1.5590847416342111</v>
      </c>
      <c r="Q23" s="54">
        <f>'R2'!Q29</f>
        <v>3.5922462847611067E-2</v>
      </c>
      <c r="R23" s="54">
        <f>'R2'!R29</f>
        <v>0.12035638514433414</v>
      </c>
      <c r="S23" s="54">
        <f>'R2'!S29</f>
        <v>0.99838009993397425</v>
      </c>
      <c r="T23" s="54">
        <f>'R2'!T29</f>
        <v>1.3108955631801189</v>
      </c>
      <c r="U23" s="54">
        <f>'R2'!U29</f>
        <v>1.0319476022184901</v>
      </c>
      <c r="V23" s="54">
        <f>'R2'!V29</f>
        <v>1.4902175880253927</v>
      </c>
    </row>
    <row r="24" spans="1:22" x14ac:dyDescent="0.3">
      <c r="A24" s="231"/>
      <c r="B24" s="54">
        <f>'R2'!B30</f>
        <v>5.094141952923862E-2</v>
      </c>
      <c r="C24" s="54">
        <f>'R2'!C30</f>
        <v>3.0559390587662251E-2</v>
      </c>
      <c r="D24" s="54">
        <f>'R2'!D30</f>
        <v>5.6126458955069382E-2</v>
      </c>
      <c r="E24" s="54">
        <f>'R2'!E30</f>
        <v>0.59343015911555608</v>
      </c>
      <c r="F24" s="54">
        <f>'R2'!F30</f>
        <v>6.6013288491490227E-2</v>
      </c>
      <c r="G24" s="54">
        <f>'R2'!G30</f>
        <v>1.3411261937489496</v>
      </c>
      <c r="H24" s="54">
        <f>'R2'!H30</f>
        <v>2.7120711275152667</v>
      </c>
      <c r="I24" s="54">
        <f>'R2'!I30</f>
        <v>3.4040193415320018E-2</v>
      </c>
      <c r="J24" s="54">
        <f>'R2'!J30</f>
        <v>3.4167012986999201E-2</v>
      </c>
      <c r="K24" s="54">
        <f>'R2'!K30</f>
        <v>2.0271350042656355E-2</v>
      </c>
      <c r="L24" s="54">
        <f>'R2'!L30</f>
        <v>5.018377877709207E-2</v>
      </c>
      <c r="M24" s="54">
        <f>'R2'!M30</f>
        <v>1.9541379015239807E-2</v>
      </c>
      <c r="O24" s="54">
        <f>'R2'!O30</f>
        <v>2.023099350642076</v>
      </c>
      <c r="P24" s="54">
        <f>'R2'!P30</f>
        <v>1.5576591440184067</v>
      </c>
      <c r="Q24" s="54">
        <f>'R2'!Q30</f>
        <v>7.7969764894338642E-2</v>
      </c>
      <c r="R24" s="54">
        <f>'R2'!R30</f>
        <v>1.1328089672723511</v>
      </c>
      <c r="S24" s="54">
        <f>'R2'!S30</f>
        <v>1.8601082885927107</v>
      </c>
      <c r="T24" s="54">
        <f>'R2'!T30</f>
        <v>0.45045037596807347</v>
      </c>
      <c r="U24" s="54">
        <f>'R2'!U30</f>
        <v>1.3396265674836485</v>
      </c>
      <c r="V24" s="54">
        <f>'R2'!V30</f>
        <v>1.2906493343349148</v>
      </c>
    </row>
    <row r="25" spans="1:22" x14ac:dyDescent="0.3">
      <c r="A25" s="231"/>
      <c r="B25" s="54">
        <f>'R2'!B31</f>
        <v>0.15459857968602736</v>
      </c>
      <c r="C25" s="54">
        <f>'R2'!C31</f>
        <v>6.0995905753003767E-2</v>
      </c>
      <c r="D25" s="54">
        <f>'R2'!D31</f>
        <v>0.13103398628751245</v>
      </c>
      <c r="E25" s="54">
        <f>'R2'!E31</f>
        <v>5.9788085861006555E-2</v>
      </c>
      <c r="F25" s="54">
        <f>'R2'!F31</f>
        <v>0.41197489558035238</v>
      </c>
      <c r="G25" s="54">
        <f>'R2'!G31</f>
        <v>1.5742462944849516</v>
      </c>
      <c r="H25" s="54">
        <f>'R2'!H31</f>
        <v>3.0960595528325219</v>
      </c>
      <c r="I25" s="54">
        <f>'R2'!I31</f>
        <v>5.7092714868667148E-2</v>
      </c>
      <c r="J25" s="54">
        <f>'R2'!J31</f>
        <v>4.5703589181225614E-2</v>
      </c>
      <c r="K25" s="54">
        <f>'R2'!K31</f>
        <v>2.7565599186940917E-2</v>
      </c>
      <c r="L25" s="54">
        <f>'R2'!L31</f>
        <v>7.5596600564973609E-2</v>
      </c>
      <c r="M25" s="54">
        <f>'R2'!M31</f>
        <v>5.6728396826388763E-2</v>
      </c>
      <c r="O25" s="54">
        <f>'R2'!O31</f>
        <v>0.48596373950838262</v>
      </c>
      <c r="P25" s="54">
        <f>'R2'!P31</f>
        <v>1.1450533058991452</v>
      </c>
      <c r="Q25" s="54">
        <f>'R2'!Q31</f>
        <v>7.0567506736853624E-3</v>
      </c>
      <c r="R25" s="54">
        <f>'R2'!R31</f>
        <v>1.7038810179385298</v>
      </c>
      <c r="S25" s="54">
        <f>'R2'!S31</f>
        <v>0.55082327329369674</v>
      </c>
      <c r="T25" s="54">
        <f>'R2'!T31</f>
        <v>1.3584657665546436</v>
      </c>
      <c r="U25" s="54">
        <f>'R2'!U31</f>
        <v>0.12012264878543069</v>
      </c>
      <c r="V25" s="54">
        <f>'R2'!V31</f>
        <v>1.211668410903513</v>
      </c>
    </row>
    <row r="26" spans="1:22" x14ac:dyDescent="0.3">
      <c r="A26" s="231"/>
      <c r="B26" s="54">
        <f>'R2'!B32</f>
        <v>6.1485647744880648E-2</v>
      </c>
      <c r="C26" s="54">
        <f>'R2'!C32</f>
        <v>3.3863374165619943E-2</v>
      </c>
      <c r="D26" s="54">
        <f>'R2'!D32</f>
        <v>2.9689493276852309E-2</v>
      </c>
      <c r="E26" s="54">
        <f>'R2'!E32</f>
        <v>3.3509492949336216E-2</v>
      </c>
      <c r="F26" s="54">
        <f>'R2'!F32</f>
        <v>0.37800339104309016</v>
      </c>
      <c r="G26" s="54">
        <f>'R2'!G32</f>
        <v>0.69740012065607981</v>
      </c>
      <c r="H26" s="54">
        <f>'R2'!H32</f>
        <v>1.756566054880305</v>
      </c>
      <c r="I26" s="54">
        <f>'R2'!I32</f>
        <v>1.3483711713658642E-2</v>
      </c>
      <c r="J26" s="54">
        <f>'R2'!J32</f>
        <v>0.16399154104355018</v>
      </c>
      <c r="K26" s="54">
        <f>'R2'!K32</f>
        <v>2.3472178945085527E-2</v>
      </c>
      <c r="L26" s="54">
        <f>'R2'!L32</f>
        <v>1.0641921761289629E-2</v>
      </c>
      <c r="M26" s="54">
        <f>'R2'!M32</f>
        <v>9.1739700492978471E-3</v>
      </c>
      <c r="O26" s="54">
        <f>'R2'!O32</f>
        <v>0.63613218995578524</v>
      </c>
      <c r="P26" s="54">
        <f>'R2'!P32</f>
        <v>1.6579634738244138</v>
      </c>
      <c r="Q26" s="54">
        <f>'R2'!Q32</f>
        <v>3.110720259393961E-2</v>
      </c>
      <c r="R26" s="54">
        <f>'R2'!R32</f>
        <v>0.78185248943595631</v>
      </c>
      <c r="S26" s="54">
        <f>'R2'!S32</f>
        <v>1.6721428121264603</v>
      </c>
      <c r="T26" s="54">
        <f>'R2'!T32</f>
        <v>1.2245490318406551</v>
      </c>
      <c r="U26" s="54">
        <f>'R2'!U32</f>
        <v>0.69730891978706844</v>
      </c>
      <c r="V26" s="54">
        <f>'R2'!V32</f>
        <v>0.49938003660762226</v>
      </c>
    </row>
    <row r="27" spans="1:22" x14ac:dyDescent="0.3">
      <c r="A27" s="231"/>
      <c r="B27" s="54">
        <f>'R2'!B33</f>
        <v>3.1537296911672653E-2</v>
      </c>
      <c r="C27" s="54">
        <f>'R2'!C33</f>
        <v>4.4275443038143666E-2</v>
      </c>
      <c r="D27" s="54">
        <f>'R2'!D33</f>
        <v>0.11113362900143339</v>
      </c>
      <c r="E27" s="54">
        <f>'R2'!E33</f>
        <v>0.17769715666803693</v>
      </c>
      <c r="F27" s="54">
        <f>'R2'!F33</f>
        <v>0.39835647599629764</v>
      </c>
      <c r="G27" s="54">
        <f>'R2'!G33</f>
        <v>1.0373253588498965</v>
      </c>
      <c r="H27" s="54">
        <f>'R2'!H33</f>
        <v>1.6884528405911585</v>
      </c>
      <c r="I27" s="54">
        <f>'R2'!I33</f>
        <v>5.6060439962731135E-2</v>
      </c>
      <c r="J27" s="54">
        <f>'R2'!J33</f>
        <v>1.0078333157578499E-2</v>
      </c>
      <c r="K27" s="54">
        <f>'R2'!K33</f>
        <v>5.3724047241230984E-2</v>
      </c>
      <c r="L27" s="54">
        <f>'R2'!L33</f>
        <v>2.9636702354670065E-2</v>
      </c>
      <c r="M27" s="54">
        <f>'R2'!M33</f>
        <v>9.4009710146814966E-3</v>
      </c>
      <c r="O27" s="54">
        <f>'R2'!O33</f>
        <v>0.17235507941851924</v>
      </c>
      <c r="P27" s="54" t="str">
        <f>'R2'!P33</f>
        <v/>
      </c>
      <c r="Q27" s="54">
        <f>'R2'!Q33</f>
        <v>2.2857134362051935E-2</v>
      </c>
      <c r="R27" s="54">
        <f>'R2'!R33</f>
        <v>0.85828318657140934</v>
      </c>
      <c r="S27" s="54">
        <f>'R2'!S33</f>
        <v>1.3536767197244004</v>
      </c>
      <c r="T27" s="54">
        <f>'R2'!T33</f>
        <v>1.002186992894744</v>
      </c>
      <c r="U27" s="54">
        <f>'R2'!U33</f>
        <v>0.96481769470401391</v>
      </c>
      <c r="V27" s="54">
        <f>'R2'!V33</f>
        <v>1.3508097478953585</v>
      </c>
    </row>
    <row r="28" spans="1:22" x14ac:dyDescent="0.3">
      <c r="A28" s="231"/>
      <c r="B28" s="54">
        <f>'R2'!B34</f>
        <v>1.265616849903629E-2</v>
      </c>
      <c r="C28" s="54">
        <f>'R2'!C34</f>
        <v>3.2515567311008443E-2</v>
      </c>
      <c r="D28" s="54">
        <f>'R2'!D34</f>
        <v>3.8641862811426529E-2</v>
      </c>
      <c r="E28" s="54">
        <f>'R2'!E34</f>
        <v>1.6851105077455925E-2</v>
      </c>
      <c r="F28" s="54">
        <f>'R2'!F34</f>
        <v>7.0826000217883919E-2</v>
      </c>
      <c r="G28" s="54">
        <f>'R2'!G34</f>
        <v>1.1160790992782519</v>
      </c>
      <c r="H28" s="54">
        <f>'R2'!H34</f>
        <v>1.0675058683822645</v>
      </c>
      <c r="I28" s="54">
        <f>'R2'!I34</f>
        <v>1.2980923689288439E-2</v>
      </c>
      <c r="J28" s="54">
        <f>'R2'!J34</f>
        <v>9.0483397903482865E-2</v>
      </c>
      <c r="K28" s="54">
        <f>'R2'!K34</f>
        <v>6.0294878713956099E-2</v>
      </c>
      <c r="L28" s="54">
        <f>'R2'!L34</f>
        <v>8.5496536813108662E-2</v>
      </c>
      <c r="M28" s="54">
        <f>'R2'!M34</f>
        <v>6.761303547127491E-2</v>
      </c>
      <c r="O28" s="54">
        <f>'R2'!O34</f>
        <v>5.0632501615641146E-2</v>
      </c>
      <c r="P28" s="54">
        <f>'R2'!P34</f>
        <v>1.2156495745867049</v>
      </c>
      <c r="Q28" s="54">
        <f>'R2'!Q34</f>
        <v>6.5589444133509797E-2</v>
      </c>
      <c r="R28" s="54">
        <f>'R2'!R34</f>
        <v>1.3711548231914072</v>
      </c>
      <c r="S28" s="54">
        <f>'R2'!S34</f>
        <v>0.22947425042749842</v>
      </c>
      <c r="T28" s="54">
        <f>'R2'!T34</f>
        <v>1.4111471020639439</v>
      </c>
      <c r="U28" s="54">
        <f>'R2'!U34</f>
        <v>1.4518927134639432</v>
      </c>
      <c r="V28" s="54">
        <f>'R2'!V34</f>
        <v>2.3431414644485491</v>
      </c>
    </row>
    <row r="29" spans="1:22" x14ac:dyDescent="0.3">
      <c r="A29" s="231"/>
      <c r="B29" s="54">
        <f>'R2'!B35</f>
        <v>9.3416449404084168E-2</v>
      </c>
      <c r="C29" s="54">
        <f>'R2'!C35</f>
        <v>6.5264870980920334E-2</v>
      </c>
      <c r="D29" s="54">
        <f>'R2'!D35</f>
        <v>5.778445798691724E-2</v>
      </c>
      <c r="E29" s="54">
        <f>'R2'!E35</f>
        <v>0.15473711034734008</v>
      </c>
      <c r="F29" s="54">
        <f>'R2'!F35</f>
        <v>0.12494070028326351</v>
      </c>
      <c r="G29" s="54">
        <f>'R2'!G35</f>
        <v>1.602948415479333</v>
      </c>
      <c r="H29" s="54">
        <f>'R2'!H35</f>
        <v>2.323465620279797</v>
      </c>
      <c r="I29" s="54" t="str">
        <f>'R2'!I35</f>
        <v/>
      </c>
      <c r="J29" s="54">
        <f>'R2'!J35</f>
        <v>1.8176460620334751E-2</v>
      </c>
      <c r="K29" s="54">
        <f>'R2'!K35</f>
        <v>6.8716669140988312E-2</v>
      </c>
      <c r="L29" s="54">
        <f>'R2'!L35</f>
        <v>3.8161162023463611E-2</v>
      </c>
      <c r="M29" s="54">
        <f>'R2'!M35</f>
        <v>4.6221182935495209E-2</v>
      </c>
      <c r="O29" s="54">
        <f>'R2'!O35</f>
        <v>1.5284078760748878</v>
      </c>
      <c r="P29" s="54">
        <f>'R2'!P35</f>
        <v>1.494761126727878</v>
      </c>
      <c r="Q29" s="54">
        <f>'R2'!Q35</f>
        <v>1.216521292274142E-2</v>
      </c>
      <c r="R29" s="54">
        <f>'R2'!R35</f>
        <v>1.5661572689053302</v>
      </c>
      <c r="S29" s="54">
        <f>'R2'!S35</f>
        <v>0.83844344782700853</v>
      </c>
      <c r="T29" s="54">
        <f>'R2'!T35</f>
        <v>1.4251311139539158</v>
      </c>
      <c r="U29" s="54">
        <f>'R2'!U35</f>
        <v>1.4018542007416837</v>
      </c>
      <c r="V29" s="54">
        <f>'R2'!V35</f>
        <v>1.3801374716572101</v>
      </c>
    </row>
    <row r="30" spans="1:22" x14ac:dyDescent="0.3">
      <c r="A30" s="231"/>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0.60609822074188857</v>
      </c>
      <c r="P30" s="54" t="str">
        <f>'R2'!P36</f>
        <v/>
      </c>
      <c r="Q30" s="54" t="str">
        <f>'R2'!Q36</f>
        <v/>
      </c>
      <c r="R30" s="54" t="str">
        <f>'R2'!R36</f>
        <v/>
      </c>
      <c r="S30" s="54" t="str">
        <f>'R2'!S36</f>
        <v/>
      </c>
      <c r="T30" s="54" t="str">
        <f>'R2'!T36</f>
        <v/>
      </c>
      <c r="U30" s="54" t="str">
        <f>'R2'!U36</f>
        <v/>
      </c>
      <c r="V30" s="54" t="str">
        <f>'R2'!V36</f>
        <v/>
      </c>
    </row>
    <row r="31" spans="1:22" s="1" customFormat="1" x14ac:dyDescent="0.3">
      <c r="A31" s="231"/>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0.94426260862443334</v>
      </c>
      <c r="P31" s="54" t="str">
        <f>'R2'!P37</f>
        <v/>
      </c>
      <c r="Q31" s="54" t="str">
        <f>'R2'!Q37</f>
        <v/>
      </c>
      <c r="R31" s="54" t="str">
        <f>'R2'!R37</f>
        <v/>
      </c>
      <c r="S31" s="54" t="str">
        <f>'R2'!S37</f>
        <v/>
      </c>
      <c r="T31" s="54" t="str">
        <f>'R2'!T37</f>
        <v/>
      </c>
      <c r="U31" s="54" t="str">
        <f>'R2'!U37</f>
        <v/>
      </c>
      <c r="V31" s="54" t="str">
        <f>'R2'!V37</f>
        <v/>
      </c>
    </row>
    <row r="32" spans="1:22" s="1" customFormat="1" x14ac:dyDescent="0.3">
      <c r="A32" s="231"/>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1.2080490167353217</v>
      </c>
      <c r="P32" s="54" t="str">
        <f>'R2'!P38</f>
        <v/>
      </c>
      <c r="Q32" s="54" t="str">
        <f>'R2'!Q38</f>
        <v/>
      </c>
      <c r="R32" s="54" t="str">
        <f>'R2'!R38</f>
        <v/>
      </c>
      <c r="S32" s="54" t="str">
        <f>'R2'!S38</f>
        <v/>
      </c>
      <c r="T32" s="54" t="str">
        <f>'R2'!T38</f>
        <v/>
      </c>
      <c r="U32" s="54" t="str">
        <f>'R2'!U38</f>
        <v/>
      </c>
      <c r="V32" s="54" t="str">
        <f>'R2'!V38</f>
        <v/>
      </c>
    </row>
    <row r="33" spans="1:22" s="1" customFormat="1" x14ac:dyDescent="0.3">
      <c r="A33" s="231"/>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1.5132832768696749</v>
      </c>
      <c r="P33" s="54" t="str">
        <f>'R2'!P39</f>
        <v/>
      </c>
      <c r="Q33" s="54" t="str">
        <f>'R2'!Q39</f>
        <v/>
      </c>
      <c r="R33" s="54" t="str">
        <f>'R2'!R39</f>
        <v/>
      </c>
      <c r="S33" s="54" t="str">
        <f>'R2'!S39</f>
        <v/>
      </c>
      <c r="T33" s="54" t="str">
        <f>'R2'!T39</f>
        <v/>
      </c>
      <c r="U33" s="54" t="str">
        <f>'R2'!U39</f>
        <v/>
      </c>
      <c r="V33" s="54" t="str">
        <f>'R2'!V39</f>
        <v/>
      </c>
    </row>
    <row r="34" spans="1:22" s="1" customFormat="1" x14ac:dyDescent="0.3">
      <c r="A34" s="231"/>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1.2440468431752894</v>
      </c>
      <c r="P34" s="54" t="str">
        <f>'R2'!P40</f>
        <v/>
      </c>
      <c r="Q34" s="54" t="str">
        <f>'R2'!Q40</f>
        <v/>
      </c>
      <c r="R34" s="54" t="str">
        <f>'R2'!R40</f>
        <v/>
      </c>
      <c r="S34" s="54" t="str">
        <f>'R2'!S40</f>
        <v/>
      </c>
      <c r="T34" s="54" t="str">
        <f>'R2'!T40</f>
        <v/>
      </c>
      <c r="U34" s="54" t="str">
        <f>'R2'!U40</f>
        <v/>
      </c>
      <c r="V34" s="54" t="str">
        <f>'R2'!V40</f>
        <v/>
      </c>
    </row>
    <row r="35" spans="1:22" s="1" customFormat="1" x14ac:dyDescent="0.3">
      <c r="A35" s="231"/>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0.86502816740811506</v>
      </c>
      <c r="P35" s="54" t="str">
        <f>'R2'!P41</f>
        <v/>
      </c>
      <c r="Q35" s="54" t="str">
        <f>'R2'!Q41</f>
        <v/>
      </c>
      <c r="R35" s="54" t="str">
        <f>'R2'!R41</f>
        <v/>
      </c>
      <c r="S35" s="54" t="str">
        <f>'R2'!S41</f>
        <v/>
      </c>
      <c r="T35" s="54" t="str">
        <f>'R2'!T41</f>
        <v/>
      </c>
      <c r="U35" s="54" t="str">
        <f>'R2'!U41</f>
        <v/>
      </c>
      <c r="V35" s="54" t="str">
        <f>'R2'!V41</f>
        <v/>
      </c>
    </row>
    <row r="36" spans="1:22" x14ac:dyDescent="0.3">
      <c r="A36" s="231"/>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1.7670561572309051</v>
      </c>
      <c r="P36" s="54" t="str">
        <f>'R2'!P42</f>
        <v/>
      </c>
      <c r="Q36" s="54" t="str">
        <f>'R2'!Q42</f>
        <v/>
      </c>
      <c r="R36" s="54" t="str">
        <f>'R2'!R42</f>
        <v/>
      </c>
      <c r="S36" s="54" t="str">
        <f>'R2'!S42</f>
        <v/>
      </c>
      <c r="T36" s="54" t="str">
        <f>'R2'!T42</f>
        <v/>
      </c>
      <c r="U36" s="54" t="str">
        <f>'R2'!U42</f>
        <v/>
      </c>
      <c r="V36" s="54" t="str">
        <f>'R2'!V42</f>
        <v/>
      </c>
    </row>
    <row r="37" spans="1:22" x14ac:dyDescent="0.3">
      <c r="A37" s="232"/>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0.66623090389838135</v>
      </c>
      <c r="P37" s="54" t="str">
        <f>'R2'!P43</f>
        <v/>
      </c>
      <c r="Q37" s="54" t="str">
        <f>'R2'!Q43</f>
        <v/>
      </c>
      <c r="R37" s="54" t="str">
        <f>'R2'!R43</f>
        <v/>
      </c>
      <c r="S37" s="54" t="str">
        <f>'R2'!S43</f>
        <v/>
      </c>
      <c r="T37" s="54" t="str">
        <f>'R2'!T43</f>
        <v/>
      </c>
      <c r="U37" s="54" t="str">
        <f>'R2'!U43</f>
        <v/>
      </c>
      <c r="V37" s="54" t="str">
        <f>'R2'!V43</f>
        <v/>
      </c>
    </row>
    <row r="38" spans="1:22" s="1" customFormat="1" x14ac:dyDescent="0.3">
      <c r="A38" s="153" t="s">
        <v>116</v>
      </c>
      <c r="B38" s="154">
        <f>'R3'!B28</f>
        <v>2.773691525867367E-2</v>
      </c>
      <c r="C38" s="154">
        <f>'R3'!C28</f>
        <v>7.4566119181046164E-2</v>
      </c>
      <c r="D38" s="154">
        <f>'R3'!D28</f>
        <v>8.6866960062171705E-2</v>
      </c>
      <c r="E38" s="154">
        <f>'R3'!E28</f>
        <v>9.344565277509527E-2</v>
      </c>
      <c r="F38" s="154">
        <f>'R3'!F28</f>
        <v>0.10880934510165072</v>
      </c>
      <c r="G38" s="154">
        <f>'R3'!G28</f>
        <v>0.28132934315748681</v>
      </c>
      <c r="H38" s="154">
        <f>'R3'!H28</f>
        <v>1.9152364349544249</v>
      </c>
      <c r="I38" s="154">
        <f>'R3'!I28</f>
        <v>3.0482475521669911E-2</v>
      </c>
      <c r="J38" s="154">
        <f>'R3'!J28</f>
        <v>1.4873732415824185E-2</v>
      </c>
      <c r="K38" s="154">
        <f>'R3'!K28</f>
        <v>0.14186017942684165</v>
      </c>
      <c r="L38" s="154">
        <f>'R3'!L28</f>
        <v>2.4136368577298166E-2</v>
      </c>
      <c r="M38" s="154">
        <f>'R3'!M28</f>
        <v>3.7364648751720304E-2</v>
      </c>
      <c r="N38"/>
      <c r="O38" s="154">
        <f>'R3'!O28</f>
        <v>1.6272976615007164</v>
      </c>
      <c r="P38" s="154">
        <f>'R3'!P28</f>
        <v>1.5087786396251985</v>
      </c>
      <c r="Q38" s="154">
        <f>'R3'!Q28</f>
        <v>5.1991984733685853E-2</v>
      </c>
      <c r="R38" s="154">
        <f>'R3'!R28</f>
        <v>0.58056764884561407</v>
      </c>
      <c r="S38" s="154">
        <f>'R3'!S28</f>
        <v>1.7728462092755</v>
      </c>
      <c r="T38" s="154">
        <f>'R3'!T28</f>
        <v>2.1023556518941402</v>
      </c>
      <c r="U38" s="154">
        <f>'R3'!U28</f>
        <v>1.273707092966005</v>
      </c>
      <c r="V38" s="154">
        <f>'R3'!V28</f>
        <v>0.39634166005179083</v>
      </c>
    </row>
    <row r="39" spans="1:22" s="1" customFormat="1" x14ac:dyDescent="0.3">
      <c r="A39" s="230" t="s">
        <v>34</v>
      </c>
      <c r="B39" s="154">
        <f>'R3'!B29</f>
        <v>0.15896189086431717</v>
      </c>
      <c r="C39" s="154">
        <f>'R3'!C29</f>
        <v>2.612992040835678E-2</v>
      </c>
      <c r="D39" s="154">
        <f>'R3'!D29</f>
        <v>2.5584717836398232E-2</v>
      </c>
      <c r="E39" s="154">
        <f>'R3'!E29</f>
        <v>0.23802674573915483</v>
      </c>
      <c r="F39" s="154">
        <f>'R3'!F29</f>
        <v>0.21846602763781844</v>
      </c>
      <c r="G39" s="154">
        <f>'R3'!G29</f>
        <v>1.0396920976147459</v>
      </c>
      <c r="H39" s="154">
        <f>'R3'!H29</f>
        <v>1.7498683784576325</v>
      </c>
      <c r="I39" s="154">
        <f>'R3'!I29</f>
        <v>4.0326009513126225E-2</v>
      </c>
      <c r="J39" s="154">
        <f>'R3'!J29</f>
        <v>4.6340731314058886E-2</v>
      </c>
      <c r="K39" s="154">
        <f>'R3'!K29</f>
        <v>6.3183439659088E-2</v>
      </c>
      <c r="L39" s="154">
        <f>'R3'!L29</f>
        <v>7.0714430862860445E-2</v>
      </c>
      <c r="M39" s="154">
        <f>'R3'!M29</f>
        <v>2.1076775032402184E-2</v>
      </c>
      <c r="N39"/>
      <c r="O39" s="154">
        <f>'R3'!O29</f>
        <v>2.0729009731669965</v>
      </c>
      <c r="P39" s="154">
        <f>'R3'!P29</f>
        <v>0.91180576181712081</v>
      </c>
      <c r="Q39" s="154">
        <f>'R3'!Q29</f>
        <v>0.17263374127882458</v>
      </c>
      <c r="R39" s="154">
        <f>'R3'!R29</f>
        <v>0.76756377380428709</v>
      </c>
      <c r="S39" s="154">
        <f>'R3'!S29</f>
        <v>1.4780944575661243</v>
      </c>
      <c r="T39" s="154">
        <f>'R3'!T29</f>
        <v>1.3456755322387248</v>
      </c>
      <c r="U39" s="154">
        <f>'R3'!U29</f>
        <v>1.606948106526624</v>
      </c>
      <c r="V39" s="154">
        <f>'R3'!V29</f>
        <v>0.88077652559714992</v>
      </c>
    </row>
    <row r="40" spans="1:22" s="1" customFormat="1" x14ac:dyDescent="0.3">
      <c r="A40" s="231"/>
      <c r="B40" s="154">
        <f>'R3'!B30</f>
        <v>0.24697209071819515</v>
      </c>
      <c r="C40" s="154">
        <f>'R3'!C30</f>
        <v>0.11092627220945027</v>
      </c>
      <c r="D40" s="154">
        <f>'R3'!D30</f>
        <v>5.6111883254522522E-2</v>
      </c>
      <c r="E40" s="154">
        <f>'R3'!E30</f>
        <v>0.19260127200335267</v>
      </c>
      <c r="F40" s="154">
        <f>'R3'!F30</f>
        <v>9.1660110810734788E-2</v>
      </c>
      <c r="G40" s="154">
        <f>'R3'!G30</f>
        <v>1.9762414723391171</v>
      </c>
      <c r="H40" s="154">
        <f>'R3'!H30</f>
        <v>2.0785059785638267</v>
      </c>
      <c r="I40" s="154">
        <f>'R3'!I30</f>
        <v>2.5239522027652325E-2</v>
      </c>
      <c r="J40" s="154">
        <f>'R3'!J30</f>
        <v>3.2229630918869885E-2</v>
      </c>
      <c r="K40" s="154">
        <f>'R3'!K30</f>
        <v>2.7069895536316488E-2</v>
      </c>
      <c r="L40" s="154">
        <f>'R3'!L30</f>
        <v>0.19167673649096673</v>
      </c>
      <c r="M40" s="154">
        <f>'R3'!M30</f>
        <v>7.4754652468465447E-3</v>
      </c>
      <c r="N40"/>
      <c r="O40" s="154">
        <f>'R3'!O30</f>
        <v>0.47051633540129439</v>
      </c>
      <c r="P40" s="154">
        <f>'R3'!P30</f>
        <v>1.6569988074856432</v>
      </c>
      <c r="Q40" s="154">
        <f>'R3'!Q30</f>
        <v>7.5567711123451689E-2</v>
      </c>
      <c r="R40" s="154">
        <f>'R3'!R30</f>
        <v>1.9653086663865378</v>
      </c>
      <c r="S40" s="154">
        <f>'R3'!S30</f>
        <v>1.5799029285400106</v>
      </c>
      <c r="T40" s="154">
        <f>'R3'!T30</f>
        <v>1.3956245300419461</v>
      </c>
      <c r="U40" s="154">
        <f>'R3'!U30</f>
        <v>0.54217669060178519</v>
      </c>
      <c r="V40" s="154">
        <f>'R3'!V30</f>
        <v>1.4982311158227175</v>
      </c>
    </row>
    <row r="41" spans="1:22" s="1" customFormat="1" x14ac:dyDescent="0.3">
      <c r="A41" s="231"/>
      <c r="B41" s="154">
        <f>'R3'!B31</f>
        <v>0.10711169562778135</v>
      </c>
      <c r="C41" s="154">
        <f>'R3'!C31</f>
        <v>6.8418744169243345E-2</v>
      </c>
      <c r="D41" s="154">
        <f>'R3'!D31</f>
        <v>0.10380535152940348</v>
      </c>
      <c r="E41" s="154">
        <f>'R3'!E31</f>
        <v>4.7967627687202537E-2</v>
      </c>
      <c r="F41" s="154">
        <f>'R3'!F31</f>
        <v>0.12914346046016911</v>
      </c>
      <c r="G41" s="154">
        <f>'R3'!G31</f>
        <v>0.3045536412331375</v>
      </c>
      <c r="H41" s="154">
        <f>'R3'!H31</f>
        <v>0.23464022895807274</v>
      </c>
      <c r="I41" s="154">
        <f>'R3'!I31</f>
        <v>2.4293597690021988E-2</v>
      </c>
      <c r="J41" s="154">
        <f>'R3'!J31</f>
        <v>3.6666891446064859E-2</v>
      </c>
      <c r="K41" s="154">
        <f>'R3'!K31</f>
        <v>0.10494547506842514</v>
      </c>
      <c r="L41" s="154">
        <f>'R3'!L31</f>
        <v>0.1946965269902092</v>
      </c>
      <c r="M41" s="154">
        <f>'R3'!M31</f>
        <v>9.0139450324566703E-2</v>
      </c>
      <c r="N41"/>
      <c r="O41" s="154">
        <f>'R3'!O31</f>
        <v>1.0621260006912983</v>
      </c>
      <c r="P41" s="154">
        <f>'R3'!P31</f>
        <v>0.26335267295488057</v>
      </c>
      <c r="Q41" s="154">
        <f>'R3'!Q31</f>
        <v>1.8904180319827438E-2</v>
      </c>
      <c r="R41" s="154">
        <f>'R3'!R31</f>
        <v>1.5568435793848707</v>
      </c>
      <c r="S41" s="154">
        <f>'R3'!S31</f>
        <v>0.73270275078895741</v>
      </c>
      <c r="T41" s="154">
        <f>'R3'!T31</f>
        <v>2.2608615783315584</v>
      </c>
      <c r="U41" s="154">
        <f>'R3'!U31</f>
        <v>2.8814438947175356</v>
      </c>
      <c r="V41" s="154">
        <f>'R3'!V31</f>
        <v>0.90018610544328248</v>
      </c>
    </row>
    <row r="42" spans="1:22" s="1" customFormat="1" x14ac:dyDescent="0.3">
      <c r="A42" s="231"/>
      <c r="B42" s="154">
        <f>'R3'!B32</f>
        <v>8.181013184213529E-3</v>
      </c>
      <c r="C42" s="154">
        <f>'R3'!C32</f>
        <v>2.7515094726668712E-2</v>
      </c>
      <c r="D42" s="154">
        <f>'R3'!D32</f>
        <v>0.28332303663639469</v>
      </c>
      <c r="E42" s="154">
        <f>'R3'!E32</f>
        <v>5.514577409836683E-2</v>
      </c>
      <c r="F42" s="154">
        <f>'R3'!F32</f>
        <v>0.21916576801336413</v>
      </c>
      <c r="G42" s="154">
        <f>'R3'!G32</f>
        <v>2.0451224134406285</v>
      </c>
      <c r="H42" s="154">
        <f>'R3'!H32</f>
        <v>1.9668061674493453</v>
      </c>
      <c r="I42" s="154">
        <f>'R3'!I32</f>
        <v>8.389957926717051E-2</v>
      </c>
      <c r="J42" s="154">
        <f>'R3'!J32</f>
        <v>5.4367702462157864E-2</v>
      </c>
      <c r="K42" s="154">
        <f>'R3'!K32</f>
        <v>2.4934412560258534E-2</v>
      </c>
      <c r="L42" s="154">
        <f>'R3'!L32</f>
        <v>0.19420954168431326</v>
      </c>
      <c r="M42" s="154">
        <f>'R3'!M32</f>
        <v>8.0962936055467574E-2</v>
      </c>
      <c r="N42"/>
      <c r="O42" s="154">
        <f>'R3'!O32</f>
        <v>0.79631127564379689</v>
      </c>
      <c r="P42" s="154">
        <f>'R3'!P32</f>
        <v>1.0491518367585217</v>
      </c>
      <c r="Q42" s="154">
        <f>'R3'!Q32</f>
        <v>0.17179277799752607</v>
      </c>
      <c r="R42" s="154">
        <f>'R3'!R32</f>
        <v>1.4393060354571576</v>
      </c>
      <c r="S42" s="154">
        <f>'R3'!S32</f>
        <v>8.9464639970497972E-2</v>
      </c>
      <c r="T42" s="154">
        <f>'R3'!T32</f>
        <v>1.9656198667114515</v>
      </c>
      <c r="U42" s="154">
        <f>'R3'!U32</f>
        <v>1.3883677690744198</v>
      </c>
      <c r="V42" s="154">
        <f>'R3'!V32</f>
        <v>1.6130060309215934</v>
      </c>
    </row>
    <row r="43" spans="1:22" s="1" customFormat="1" x14ac:dyDescent="0.3">
      <c r="A43" s="231"/>
      <c r="B43" s="154">
        <f>'R3'!B33</f>
        <v>7.376807519808579E-3</v>
      </c>
      <c r="C43" s="154">
        <f>'R3'!C33</f>
        <v>4.1547793037269756E-2</v>
      </c>
      <c r="D43" s="154">
        <f>'R3'!D33</f>
        <v>0.14744839955352979</v>
      </c>
      <c r="E43" s="154">
        <f>'R3'!E33</f>
        <v>8.6876167172376256E-2</v>
      </c>
      <c r="F43" s="154">
        <f>'R3'!F33</f>
        <v>0.29812297052273318</v>
      </c>
      <c r="G43" s="154">
        <f>'R3'!G33</f>
        <v>2.0478431853299974</v>
      </c>
      <c r="H43" s="154">
        <f>'R3'!H33</f>
        <v>2.8368625005157164</v>
      </c>
      <c r="I43" s="154">
        <f>'R3'!I33</f>
        <v>3.2499399247863145E-2</v>
      </c>
      <c r="J43" s="154">
        <f>'R3'!J33</f>
        <v>6.9762982259107377E-3</v>
      </c>
      <c r="K43" s="154">
        <f>'R3'!K33</f>
        <v>4.0615537717096938E-2</v>
      </c>
      <c r="L43" s="154">
        <f>'R3'!L33</f>
        <v>3.8957691288881074E-2</v>
      </c>
      <c r="M43" s="154">
        <f>'R3'!M33</f>
        <v>4.3342542111834782E-2</v>
      </c>
      <c r="N43"/>
      <c r="O43" s="154">
        <f>'R3'!O33</f>
        <v>0.59136015260346064</v>
      </c>
      <c r="P43" s="154">
        <f>'R3'!P33</f>
        <v>0.59879687716352348</v>
      </c>
      <c r="Q43" s="154">
        <f>'R3'!Q33</f>
        <v>9.8417563109475886E-2</v>
      </c>
      <c r="R43" s="154">
        <f>'R3'!R33</f>
        <v>1.0098705509579131</v>
      </c>
      <c r="S43" s="154">
        <f>'R3'!S33</f>
        <v>1.6411359481381522</v>
      </c>
      <c r="T43" s="154">
        <f>'R3'!T33</f>
        <v>0.20496047179839011</v>
      </c>
      <c r="U43" s="154">
        <f>'R3'!U33</f>
        <v>1.5794160140580393</v>
      </c>
      <c r="V43" s="154">
        <f>'R3'!V33</f>
        <v>0.8137657610499559</v>
      </c>
    </row>
    <row r="44" spans="1:22" s="1" customFormat="1" x14ac:dyDescent="0.3">
      <c r="A44" s="231"/>
      <c r="B44" s="154">
        <f>'R3'!B34</f>
        <v>7.3879127111937573E-2</v>
      </c>
      <c r="C44" s="154">
        <f>'R3'!C34</f>
        <v>0.30170949406702796</v>
      </c>
      <c r="D44" s="154">
        <f>'R3'!D34</f>
        <v>0.20227681164553832</v>
      </c>
      <c r="E44" s="154">
        <f>'R3'!E34</f>
        <v>0.13067184075412411</v>
      </c>
      <c r="F44" s="154">
        <f>'R3'!F34</f>
        <v>0.2747413016865094</v>
      </c>
      <c r="G44" s="154">
        <f>'R3'!G34</f>
        <v>0.11687796071744411</v>
      </c>
      <c r="H44" s="154">
        <f>'R3'!H34</f>
        <v>1.8075269854025946</v>
      </c>
      <c r="I44" s="154">
        <f>'R3'!I34</f>
        <v>4.667976544136021E-2</v>
      </c>
      <c r="J44" s="154">
        <f>'R3'!J34</f>
        <v>0.11933845468372262</v>
      </c>
      <c r="K44" s="154">
        <f>'R3'!K34</f>
        <v>5.7211849628267419E-2</v>
      </c>
      <c r="L44" s="154">
        <f>'R3'!L34</f>
        <v>0.18631989812611136</v>
      </c>
      <c r="M44" s="154">
        <f>'R3'!M34</f>
        <v>8.6919369766412985E-2</v>
      </c>
      <c r="N44"/>
      <c r="O44" s="154">
        <f>'R3'!O34</f>
        <v>1.5740883551501399</v>
      </c>
      <c r="P44" s="154">
        <f>'R3'!P34</f>
        <v>1.9999402907099251</v>
      </c>
      <c r="Q44" s="154">
        <f>'R3'!Q34</f>
        <v>2.3449234860340278E-2</v>
      </c>
      <c r="R44" s="154">
        <f>'R3'!R34</f>
        <v>1.6167900823917383</v>
      </c>
      <c r="S44" s="154">
        <f>'R3'!S34</f>
        <v>1.7020207264987877</v>
      </c>
      <c r="T44" s="154">
        <f>'R3'!T34</f>
        <v>0.25160638340376745</v>
      </c>
      <c r="U44" s="154">
        <f>'R3'!U34</f>
        <v>1.853658148723613</v>
      </c>
      <c r="V44" s="154">
        <f>'R3'!V34</f>
        <v>0.94527098692544098</v>
      </c>
    </row>
    <row r="45" spans="1:22" s="1" customFormat="1" x14ac:dyDescent="0.3">
      <c r="A45" s="231"/>
      <c r="B45" s="154">
        <f>'R3'!B35</f>
        <v>0.13784828739109678</v>
      </c>
      <c r="C45" s="154">
        <f>'R3'!C35</f>
        <v>1.9532955122873421E-2</v>
      </c>
      <c r="D45" s="154">
        <f>'R3'!D35</f>
        <v>9.1022058073559606E-2</v>
      </c>
      <c r="E45" s="154">
        <f>'R3'!E35</f>
        <v>0.24132225377706118</v>
      </c>
      <c r="F45" s="154">
        <f>'R3'!F35</f>
        <v>1.0562205602061012</v>
      </c>
      <c r="G45" s="154">
        <f>'R3'!G35</f>
        <v>2.0355504183762817E-2</v>
      </c>
      <c r="H45" s="154">
        <f>'R3'!H35</f>
        <v>2.6186644706087749</v>
      </c>
      <c r="I45" s="154">
        <f>'R3'!I35</f>
        <v>4.2168423088980944E-2</v>
      </c>
      <c r="J45" s="154">
        <f>'R3'!J35</f>
        <v>3.4006107420875113E-2</v>
      </c>
      <c r="K45" s="154">
        <f>'R3'!K35</f>
        <v>0.17571217398767755</v>
      </c>
      <c r="L45" s="154">
        <f>'R3'!L35</f>
        <v>0.13517978355812013</v>
      </c>
      <c r="M45" s="154">
        <f>'R3'!M35</f>
        <v>4.0369212107162947E-2</v>
      </c>
      <c r="N45"/>
      <c r="O45" s="154">
        <f>'R3'!O35</f>
        <v>2.2555578579101909E-2</v>
      </c>
      <c r="P45" s="154">
        <f>'R3'!P35</f>
        <v>1.195842137022594</v>
      </c>
      <c r="Q45" s="154">
        <f>'R3'!Q35</f>
        <v>6.3732041779429774E-2</v>
      </c>
      <c r="R45" s="154" t="str">
        <f>'R3'!R35</f>
        <v/>
      </c>
      <c r="S45" s="154">
        <f>'R3'!S35</f>
        <v>2.5881895024231182E-3</v>
      </c>
      <c r="T45" s="154">
        <f>'R3'!T35</f>
        <v>1.3723971157136108</v>
      </c>
      <c r="U45" s="154">
        <f>'R3'!U35</f>
        <v>1.3205821907915509</v>
      </c>
      <c r="V45" s="154">
        <f>'R3'!V35</f>
        <v>1.2286356680295301</v>
      </c>
    </row>
    <row r="46" spans="1:22" s="1" customFormat="1" x14ac:dyDescent="0.3">
      <c r="A46" s="231"/>
      <c r="B46" s="154" t="str">
        <f>'R3'!B36</f>
        <v/>
      </c>
      <c r="C46" s="154" t="str">
        <f>'R3'!C36</f>
        <v/>
      </c>
      <c r="D46" s="154" t="str">
        <f>'R3'!D36</f>
        <v/>
      </c>
      <c r="E46" s="154" t="str">
        <f>'R3'!E36</f>
        <v/>
      </c>
      <c r="F46" s="154" t="str">
        <f>'R3'!F36</f>
        <v/>
      </c>
      <c r="G46" s="154" t="str">
        <f>'R3'!G36</f>
        <v/>
      </c>
      <c r="H46" s="154" t="str">
        <f>'R3'!H36</f>
        <v/>
      </c>
      <c r="I46" s="154" t="str">
        <f>'R3'!I36</f>
        <v/>
      </c>
      <c r="J46" s="154" t="str">
        <f>'R3'!J36</f>
        <v/>
      </c>
      <c r="K46" s="154" t="str">
        <f>'R3'!K36</f>
        <v/>
      </c>
      <c r="L46" s="154" t="str">
        <f>'R3'!L36</f>
        <v/>
      </c>
      <c r="M46" s="154" t="str">
        <f>'R3'!M36</f>
        <v/>
      </c>
      <c r="N46"/>
      <c r="O46" s="154">
        <f>'R3'!O36</f>
        <v>1.0833366329412897</v>
      </c>
      <c r="P46" s="154" t="str">
        <f>'R3'!P36</f>
        <v/>
      </c>
      <c r="Q46" s="154" t="str">
        <f>'R3'!Q36</f>
        <v/>
      </c>
      <c r="R46" s="154" t="str">
        <f>'R3'!R36</f>
        <v/>
      </c>
      <c r="S46" s="154" t="str">
        <f>'R3'!S36</f>
        <v/>
      </c>
      <c r="T46" s="154" t="str">
        <f>'R3'!T36</f>
        <v/>
      </c>
      <c r="U46" s="154" t="str">
        <f>'R3'!U36</f>
        <v/>
      </c>
      <c r="V46" s="154" t="str">
        <f>'R3'!V36</f>
        <v/>
      </c>
    </row>
    <row r="47" spans="1:22" s="1" customFormat="1" x14ac:dyDescent="0.3">
      <c r="A47" s="231"/>
      <c r="B47" s="154" t="str">
        <f>'R3'!B37</f>
        <v/>
      </c>
      <c r="C47" s="154" t="str">
        <f>'R3'!C37</f>
        <v/>
      </c>
      <c r="D47" s="154" t="str">
        <f>'R3'!D37</f>
        <v/>
      </c>
      <c r="E47" s="154" t="str">
        <f>'R3'!E37</f>
        <v/>
      </c>
      <c r="F47" s="154" t="str">
        <f>'R3'!F37</f>
        <v/>
      </c>
      <c r="G47" s="154" t="str">
        <f>'R3'!G37</f>
        <v/>
      </c>
      <c r="H47" s="154" t="str">
        <f>'R3'!H37</f>
        <v/>
      </c>
      <c r="I47" s="154" t="str">
        <f>'R3'!I37</f>
        <v/>
      </c>
      <c r="J47" s="154" t="str">
        <f>'R3'!J37</f>
        <v/>
      </c>
      <c r="K47" s="154" t="str">
        <f>'R3'!K37</f>
        <v/>
      </c>
      <c r="L47" s="154" t="str">
        <f>'R3'!L37</f>
        <v/>
      </c>
      <c r="M47" s="154" t="str">
        <f>'R3'!M37</f>
        <v/>
      </c>
      <c r="N47"/>
      <c r="O47" s="154">
        <f>'R3'!O37</f>
        <v>1.2163656355556274</v>
      </c>
      <c r="P47" s="154" t="str">
        <f>'R3'!P37</f>
        <v/>
      </c>
      <c r="Q47" s="154" t="str">
        <f>'R3'!Q37</f>
        <v/>
      </c>
      <c r="R47" s="154" t="str">
        <f>'R3'!R37</f>
        <v/>
      </c>
      <c r="S47" s="154" t="str">
        <f>'R3'!S37</f>
        <v/>
      </c>
      <c r="T47" s="154" t="str">
        <f>'R3'!T37</f>
        <v/>
      </c>
      <c r="U47" s="154" t="str">
        <f>'R3'!U37</f>
        <v/>
      </c>
      <c r="V47" s="154" t="str">
        <f>'R3'!V37</f>
        <v/>
      </c>
    </row>
    <row r="48" spans="1:22" s="1" customFormat="1" x14ac:dyDescent="0.3">
      <c r="A48" s="231"/>
      <c r="B48" s="154" t="str">
        <f>'R3'!B38</f>
        <v/>
      </c>
      <c r="C48" s="154" t="str">
        <f>'R3'!C38</f>
        <v/>
      </c>
      <c r="D48" s="154" t="str">
        <f>'R3'!D38</f>
        <v/>
      </c>
      <c r="E48" s="154" t="str">
        <f>'R3'!E38</f>
        <v/>
      </c>
      <c r="F48" s="154" t="str">
        <f>'R3'!F38</f>
        <v/>
      </c>
      <c r="G48" s="154" t="str">
        <f>'R3'!G38</f>
        <v/>
      </c>
      <c r="H48" s="154" t="str">
        <f>'R3'!H38</f>
        <v/>
      </c>
      <c r="I48" s="154" t="str">
        <f>'R3'!I38</f>
        <v/>
      </c>
      <c r="J48" s="154" t="str">
        <f>'R3'!J38</f>
        <v/>
      </c>
      <c r="K48" s="154" t="str">
        <f>'R3'!K38</f>
        <v/>
      </c>
      <c r="L48" s="154" t="str">
        <f>'R3'!L38</f>
        <v/>
      </c>
      <c r="M48" s="154" t="str">
        <f>'R3'!M38</f>
        <v/>
      </c>
      <c r="N48"/>
      <c r="O48" s="154">
        <f>'R3'!O38</f>
        <v>1.1474291684971898</v>
      </c>
      <c r="P48" s="154" t="str">
        <f>'R3'!P38</f>
        <v/>
      </c>
      <c r="Q48" s="154" t="str">
        <f>'R3'!Q38</f>
        <v/>
      </c>
      <c r="R48" s="154" t="str">
        <f>'R3'!R38</f>
        <v/>
      </c>
      <c r="S48" s="154" t="str">
        <f>'R3'!S38</f>
        <v/>
      </c>
      <c r="T48" s="154" t="str">
        <f>'R3'!T38</f>
        <v/>
      </c>
      <c r="U48" s="154" t="str">
        <f>'R3'!U38</f>
        <v/>
      </c>
      <c r="V48" s="154" t="str">
        <f>'R3'!V38</f>
        <v/>
      </c>
    </row>
    <row r="49" spans="1:24" s="1" customFormat="1" x14ac:dyDescent="0.3">
      <c r="A49" s="231"/>
      <c r="B49" s="154" t="str">
        <f>'R3'!B39</f>
        <v/>
      </c>
      <c r="C49" s="154" t="str">
        <f>'R3'!C39</f>
        <v/>
      </c>
      <c r="D49" s="154" t="str">
        <f>'R3'!D39</f>
        <v/>
      </c>
      <c r="E49" s="154" t="str">
        <f>'R3'!E39</f>
        <v/>
      </c>
      <c r="F49" s="154" t="str">
        <f>'R3'!F39</f>
        <v/>
      </c>
      <c r="G49" s="154" t="str">
        <f>'R3'!G39</f>
        <v/>
      </c>
      <c r="H49" s="154" t="str">
        <f>'R3'!H39</f>
        <v/>
      </c>
      <c r="I49" s="154" t="str">
        <f>'R3'!I39</f>
        <v/>
      </c>
      <c r="J49" s="154" t="str">
        <f>'R3'!J39</f>
        <v/>
      </c>
      <c r="K49" s="154" t="str">
        <f>'R3'!K39</f>
        <v/>
      </c>
      <c r="L49" s="154" t="str">
        <f>'R3'!L39</f>
        <v/>
      </c>
      <c r="M49" s="154" t="str">
        <f>'R3'!M39</f>
        <v/>
      </c>
      <c r="N49"/>
      <c r="O49" s="154">
        <f>'R3'!O39</f>
        <v>0.57916250218055065</v>
      </c>
      <c r="P49" s="154" t="str">
        <f>'R3'!P39</f>
        <v/>
      </c>
      <c r="Q49" s="154" t="str">
        <f>'R3'!Q39</f>
        <v/>
      </c>
      <c r="R49" s="154" t="str">
        <f>'R3'!R39</f>
        <v/>
      </c>
      <c r="S49" s="154" t="str">
        <f>'R3'!S39</f>
        <v/>
      </c>
      <c r="T49" s="154" t="str">
        <f>'R3'!T39</f>
        <v/>
      </c>
      <c r="U49" s="154" t="str">
        <f>'R3'!U39</f>
        <v/>
      </c>
      <c r="V49" s="154" t="str">
        <f>'R3'!V39</f>
        <v/>
      </c>
    </row>
    <row r="50" spans="1:24" s="1" customFormat="1" x14ac:dyDescent="0.3">
      <c r="A50" s="231"/>
      <c r="B50" s="154" t="str">
        <f>'R3'!B40</f>
        <v/>
      </c>
      <c r="C50" s="154" t="str">
        <f>'R3'!C40</f>
        <v/>
      </c>
      <c r="D50" s="154" t="str">
        <f>'R3'!D40</f>
        <v/>
      </c>
      <c r="E50" s="154" t="str">
        <f>'R3'!E40</f>
        <v/>
      </c>
      <c r="F50" s="154" t="str">
        <f>'R3'!F40</f>
        <v/>
      </c>
      <c r="G50" s="154" t="str">
        <f>'R3'!G40</f>
        <v/>
      </c>
      <c r="H50" s="154" t="str">
        <f>'R3'!H40</f>
        <v/>
      </c>
      <c r="I50" s="154" t="str">
        <f>'R3'!I40</f>
        <v/>
      </c>
      <c r="J50" s="154" t="str">
        <f>'R3'!J40</f>
        <v/>
      </c>
      <c r="K50" s="154" t="str">
        <f>'R3'!K40</f>
        <v/>
      </c>
      <c r="L50" s="154" t="str">
        <f>'R3'!L40</f>
        <v/>
      </c>
      <c r="M50" s="154" t="str">
        <f>'R3'!M40</f>
        <v/>
      </c>
      <c r="N50"/>
      <c r="O50" s="154">
        <f>'R3'!O40</f>
        <v>0.23887734107420577</v>
      </c>
      <c r="P50" s="154" t="str">
        <f>'R3'!P40</f>
        <v/>
      </c>
      <c r="Q50" s="154" t="str">
        <f>'R3'!Q40</f>
        <v/>
      </c>
      <c r="R50" s="154" t="str">
        <f>'R3'!R40</f>
        <v/>
      </c>
      <c r="S50" s="154" t="str">
        <f>'R3'!S40</f>
        <v/>
      </c>
      <c r="T50" s="154" t="str">
        <f>'R3'!T40</f>
        <v/>
      </c>
      <c r="U50" s="154" t="str">
        <f>'R3'!U40</f>
        <v/>
      </c>
      <c r="V50" s="154" t="str">
        <f>'R3'!V40</f>
        <v/>
      </c>
    </row>
    <row r="51" spans="1:24" s="1" customFormat="1" x14ac:dyDescent="0.3">
      <c r="A51" s="231"/>
      <c r="B51" s="154" t="str">
        <f>'R3'!B41</f>
        <v/>
      </c>
      <c r="C51" s="154" t="str">
        <f>'R3'!C41</f>
        <v/>
      </c>
      <c r="D51" s="154" t="str">
        <f>'R3'!D41</f>
        <v/>
      </c>
      <c r="E51" s="154" t="str">
        <f>'R3'!E41</f>
        <v/>
      </c>
      <c r="F51" s="154" t="str">
        <f>'R3'!F41</f>
        <v/>
      </c>
      <c r="G51" s="154" t="str">
        <f>'R3'!G41</f>
        <v/>
      </c>
      <c r="H51" s="154" t="str">
        <f>'R3'!H41</f>
        <v/>
      </c>
      <c r="I51" s="154" t="str">
        <f>'R3'!I41</f>
        <v/>
      </c>
      <c r="J51" s="154" t="str">
        <f>'R3'!J41</f>
        <v/>
      </c>
      <c r="K51" s="154" t="str">
        <f>'R3'!K41</f>
        <v/>
      </c>
      <c r="L51" s="154" t="str">
        <f>'R3'!L41</f>
        <v/>
      </c>
      <c r="M51" s="154" t="str">
        <f>'R3'!M41</f>
        <v/>
      </c>
      <c r="N51"/>
      <c r="O51" s="154">
        <f>'R3'!O41</f>
        <v>1.4052307330618992</v>
      </c>
      <c r="P51" s="154" t="str">
        <f>'R3'!P41</f>
        <v/>
      </c>
      <c r="Q51" s="154" t="str">
        <f>'R3'!Q41</f>
        <v/>
      </c>
      <c r="R51" s="154" t="str">
        <f>'R3'!R41</f>
        <v/>
      </c>
      <c r="S51" s="154" t="str">
        <f>'R3'!S41</f>
        <v/>
      </c>
      <c r="T51" s="154" t="str">
        <f>'R3'!T41</f>
        <v/>
      </c>
      <c r="U51" s="154" t="str">
        <f>'R3'!U41</f>
        <v/>
      </c>
      <c r="V51" s="154" t="str">
        <f>'R3'!V41</f>
        <v/>
      </c>
    </row>
    <row r="52" spans="1:24" s="1" customFormat="1" x14ac:dyDescent="0.3">
      <c r="A52" s="231"/>
      <c r="B52" s="154" t="str">
        <f>'R3'!B42</f>
        <v/>
      </c>
      <c r="C52" s="154" t="str">
        <f>'R3'!C42</f>
        <v/>
      </c>
      <c r="D52" s="154" t="str">
        <f>'R3'!D42</f>
        <v/>
      </c>
      <c r="E52" s="154" t="str">
        <f>'R3'!E42</f>
        <v/>
      </c>
      <c r="F52" s="154" t="str">
        <f>'R3'!F42</f>
        <v/>
      </c>
      <c r="G52" s="154" t="str">
        <f>'R3'!G42</f>
        <v/>
      </c>
      <c r="H52" s="154" t="str">
        <f>'R3'!H42</f>
        <v/>
      </c>
      <c r="I52" s="154" t="str">
        <f>'R3'!I42</f>
        <v/>
      </c>
      <c r="J52" s="154" t="str">
        <f>'R3'!J42</f>
        <v/>
      </c>
      <c r="K52" s="154" t="str">
        <f>'R3'!K42</f>
        <v/>
      </c>
      <c r="L52" s="154" t="str">
        <f>'R3'!L42</f>
        <v/>
      </c>
      <c r="M52" s="154" t="str">
        <f>'R3'!M42</f>
        <v/>
      </c>
      <c r="N52"/>
      <c r="O52" s="154">
        <f>'R3'!O42</f>
        <v>1.1124416539524347</v>
      </c>
      <c r="P52" s="154" t="str">
        <f>'R3'!P42</f>
        <v/>
      </c>
      <c r="Q52" s="154" t="str">
        <f>'R3'!Q42</f>
        <v/>
      </c>
      <c r="R52" s="154" t="str">
        <f>'R3'!R42</f>
        <v/>
      </c>
      <c r="S52" s="154" t="str">
        <f>'R3'!S42</f>
        <v/>
      </c>
      <c r="T52" s="154" t="str">
        <f>'R3'!T42</f>
        <v/>
      </c>
      <c r="U52" s="154" t="str">
        <f>'R3'!U42</f>
        <v/>
      </c>
      <c r="V52" s="154" t="str">
        <f>'R3'!V42</f>
        <v/>
      </c>
    </row>
    <row r="53" spans="1:24" s="1" customFormat="1" x14ac:dyDescent="0.3">
      <c r="A53" s="232"/>
      <c r="B53" s="154" t="str">
        <f>'R3'!B43</f>
        <v/>
      </c>
      <c r="C53" s="154" t="str">
        <f>'R3'!C43</f>
        <v/>
      </c>
      <c r="D53" s="154" t="str">
        <f>'R3'!D43</f>
        <v/>
      </c>
      <c r="E53" s="154" t="str">
        <f>'R3'!E43</f>
        <v/>
      </c>
      <c r="F53" s="154" t="str">
        <f>'R3'!F43</f>
        <v/>
      </c>
      <c r="G53" s="154" t="str">
        <f>'R3'!G43</f>
        <v/>
      </c>
      <c r="H53" s="154" t="str">
        <f>'R3'!H43</f>
        <v/>
      </c>
      <c r="I53" s="154" t="str">
        <f>'R3'!I43</f>
        <v/>
      </c>
      <c r="J53" s="154" t="str">
        <f>'R3'!J43</f>
        <v/>
      </c>
      <c r="K53" s="154" t="str">
        <f>'R3'!K43</f>
        <v/>
      </c>
      <c r="L53" s="154" t="str">
        <f>'R3'!L43</f>
        <v/>
      </c>
      <c r="M53" s="154" t="str">
        <f>'R3'!M43</f>
        <v/>
      </c>
      <c r="N53"/>
      <c r="O53" s="154"/>
      <c r="P53" s="154" t="str">
        <f>'R3'!P43</f>
        <v/>
      </c>
      <c r="Q53" s="154" t="str">
        <f>'R3'!Q43</f>
        <v/>
      </c>
      <c r="R53" s="154" t="str">
        <f>'R3'!R43</f>
        <v/>
      </c>
      <c r="S53" s="154" t="str">
        <f>'R3'!S43</f>
        <v/>
      </c>
      <c r="T53" s="154" t="str">
        <f>'R3'!T43</f>
        <v/>
      </c>
      <c r="U53" s="154" t="str">
        <f>'R3'!U43</f>
        <v/>
      </c>
      <c r="V53" s="154" t="str">
        <f>'R3'!V43</f>
        <v/>
      </c>
    </row>
    <row r="54" spans="1:24" s="60" customFormat="1" x14ac:dyDescent="0.3">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Dutasteride-0,01mg/L</v>
      </c>
      <c r="J55" s="15" t="str">
        <f t="shared" si="0"/>
        <v>Dutasteride-0,1mg/L</v>
      </c>
      <c r="K55" s="15" t="str">
        <f t="shared" si="0"/>
        <v>Dutasteride-0,25mg/L</v>
      </c>
      <c r="L55" s="15" t="str">
        <f t="shared" si="0"/>
        <v>Dutasteride-0,5mg/L</v>
      </c>
      <c r="M55" s="15" t="str">
        <f t="shared" si="0"/>
        <v>Dutasteride-1mg/L</v>
      </c>
      <c r="O55" s="15" t="str">
        <f t="shared" ref="O55:V55" si="1">O4</f>
        <v>Testo -30µg/L</v>
      </c>
      <c r="P55" s="15" t="str">
        <f t="shared" si="1"/>
        <v>Testo 30µg/L + EE2 -64ng/L</v>
      </c>
      <c r="Q55" s="15" t="str">
        <f t="shared" si="1"/>
        <v>Testo 30µg/L + FAD-10µg/L</v>
      </c>
      <c r="R55" s="15" t="str">
        <f t="shared" si="1"/>
        <v>Dutasteride-0.01mg/L + Testostérone</v>
      </c>
      <c r="S55" s="15" t="str">
        <f t="shared" si="1"/>
        <v>Dutasteride-0.1mg/L + Testostérone</v>
      </c>
      <c r="T55" s="15" t="str">
        <f t="shared" si="1"/>
        <v>Dutasteride-0.25mg/L + Testostérone</v>
      </c>
      <c r="U55" s="15" t="str">
        <f t="shared" si="1"/>
        <v>Dutasteride-0.5mg/L + Testostérone</v>
      </c>
      <c r="V55" s="15" t="str">
        <f t="shared" si="1"/>
        <v>Dutasteride-1mg/L + Testostérone</v>
      </c>
    </row>
    <row r="56" spans="1:24" x14ac:dyDescent="0.3">
      <c r="A56" t="s">
        <v>48</v>
      </c>
      <c r="B56" s="9">
        <f t="shared" ref="B56:V56" si="2">AVERAGE(B6:B53)</f>
        <v>7.3817486448862643E-2</v>
      </c>
      <c r="C56" s="9">
        <f t="shared" si="2"/>
        <v>5.238274321952216E-2</v>
      </c>
      <c r="D56" s="9">
        <f t="shared" si="2"/>
        <v>8.660870675077649E-2</v>
      </c>
      <c r="E56" s="9">
        <f t="shared" si="2"/>
        <v>0.1424427280234789</v>
      </c>
      <c r="F56" s="9">
        <f t="shared" si="2"/>
        <v>0.4413127537846589</v>
      </c>
      <c r="G56" s="9">
        <f t="shared" si="2"/>
        <v>1.3158030254707891</v>
      </c>
      <c r="H56" s="9">
        <f t="shared" si="2"/>
        <v>2.3693684866291256</v>
      </c>
      <c r="I56" s="9">
        <f t="shared" si="2"/>
        <v>5.1035649749721024E-2</v>
      </c>
      <c r="J56" s="9">
        <f t="shared" si="2"/>
        <v>6.3828284835330831E-2</v>
      </c>
      <c r="K56" s="9">
        <f t="shared" si="2"/>
        <v>5.3498132972931822E-2</v>
      </c>
      <c r="L56" s="9">
        <f t="shared" si="2"/>
        <v>6.9870516486918582E-2</v>
      </c>
      <c r="M56" s="9">
        <f t="shared" si="2"/>
        <v>5.6719354118437669E-2</v>
      </c>
      <c r="N56" s="9"/>
      <c r="O56" s="9">
        <f t="shared" si="2"/>
        <v>1.0000000000000002</v>
      </c>
      <c r="P56" s="9">
        <f t="shared" si="2"/>
        <v>1.5224648090191533</v>
      </c>
      <c r="Q56" s="9">
        <f t="shared" si="2"/>
        <v>5.419425156907632E-2</v>
      </c>
      <c r="R56" s="9">
        <f t="shared" si="2"/>
        <v>1.0269745515535349</v>
      </c>
      <c r="S56" s="9">
        <f t="shared" si="2"/>
        <v>1.1168828035909804</v>
      </c>
      <c r="T56" s="9">
        <f t="shared" si="2"/>
        <v>1.2149457906124408</v>
      </c>
      <c r="U56" s="9">
        <f t="shared" si="2"/>
        <v>1.4981512526512597</v>
      </c>
      <c r="V56" s="9">
        <f t="shared" si="2"/>
        <v>1.1317004587956161</v>
      </c>
    </row>
    <row r="57" spans="1:24" x14ac:dyDescent="0.3">
      <c r="A57" t="s">
        <v>1</v>
      </c>
      <c r="B57" s="3">
        <f>STDEV(B6:B53)</f>
        <v>6.4702206479845079E-2</v>
      </c>
      <c r="C57" s="3">
        <f t="shared" ref="C57:V57" si="3">STDEV(C6:C53)</f>
        <v>6.1165022518466207E-2</v>
      </c>
      <c r="D57" s="3">
        <f t="shared" si="3"/>
        <v>7.4738120557923754E-2</v>
      </c>
      <c r="E57" s="3">
        <f t="shared" si="3"/>
        <v>0.15074422508519264</v>
      </c>
      <c r="F57" s="3">
        <f t="shared" si="3"/>
        <v>0.36753170158138115</v>
      </c>
      <c r="G57" s="3">
        <f t="shared" si="3"/>
        <v>0.83319713263899109</v>
      </c>
      <c r="H57" s="3">
        <f t="shared" si="3"/>
        <v>1.0097804333721923</v>
      </c>
      <c r="I57" s="3">
        <f t="shared" si="3"/>
        <v>8.8096267583504154E-2</v>
      </c>
      <c r="J57" s="3">
        <f t="shared" si="3"/>
        <v>6.0124736269050724E-2</v>
      </c>
      <c r="K57" s="3">
        <f t="shared" si="3"/>
        <v>4.423520650605884E-2</v>
      </c>
      <c r="L57" s="3">
        <f t="shared" si="3"/>
        <v>6.6967388103042327E-2</v>
      </c>
      <c r="M57" s="3">
        <f t="shared" si="3"/>
        <v>0.10013277687334986</v>
      </c>
      <c r="N57" s="3"/>
      <c r="O57" s="3">
        <f t="shared" si="3"/>
        <v>0.55932094387551745</v>
      </c>
      <c r="P57" s="3">
        <f t="shared" si="3"/>
        <v>0.68024472745953024</v>
      </c>
      <c r="Q57" s="3">
        <f t="shared" si="3"/>
        <v>4.4005976800480531E-2</v>
      </c>
      <c r="R57" s="3">
        <f t="shared" si="3"/>
        <v>0.64640588339142457</v>
      </c>
      <c r="S57" s="3">
        <f t="shared" si="3"/>
        <v>0.65025583356349159</v>
      </c>
      <c r="T57" s="3">
        <f t="shared" si="3"/>
        <v>0.70489703933337122</v>
      </c>
      <c r="U57" s="3">
        <f t="shared" si="3"/>
        <v>0.63929244571382193</v>
      </c>
      <c r="V57" s="3">
        <f t="shared" si="3"/>
        <v>0.57255254955879642</v>
      </c>
      <c r="W57" s="3"/>
      <c r="X57" s="3"/>
    </row>
    <row r="58" spans="1:24" x14ac:dyDescent="0.3">
      <c r="A58" t="s">
        <v>2</v>
      </c>
      <c r="B58" s="3">
        <f xml:space="preserve"> B57/SQRT(COUNT(B6:B53))</f>
        <v>1.3207282592318318E-2</v>
      </c>
      <c r="C58" s="3">
        <f t="shared" ref="C58:V58" si="4" xml:space="preserve"> C57/SQRT(COUNT(C6:C53))</f>
        <v>1.2485257939673759E-2</v>
      </c>
      <c r="D58" s="3">
        <f t="shared" si="4"/>
        <v>1.5583975415862487E-2</v>
      </c>
      <c r="E58" s="3">
        <f t="shared" si="4"/>
        <v>3.0770536094164837E-2</v>
      </c>
      <c r="F58" s="3">
        <f t="shared" si="4"/>
        <v>7.502209443093677E-2</v>
      </c>
      <c r="G58" s="3">
        <f t="shared" si="4"/>
        <v>0.17007565250963033</v>
      </c>
      <c r="H58" s="3">
        <f t="shared" si="4"/>
        <v>0.20612056783402813</v>
      </c>
      <c r="I58" s="3">
        <f t="shared" si="4"/>
        <v>1.8369341615789639E-2</v>
      </c>
      <c r="J58" s="3">
        <f t="shared" si="4"/>
        <v>1.227291039821529E-2</v>
      </c>
      <c r="K58" s="3">
        <f t="shared" si="4"/>
        <v>9.0294737172072377E-3</v>
      </c>
      <c r="L58" s="3">
        <f t="shared" si="4"/>
        <v>1.3963665691238591E-2</v>
      </c>
      <c r="M58" s="3">
        <f t="shared" si="4"/>
        <v>2.0439517488972259E-2</v>
      </c>
      <c r="N58" s="3"/>
      <c r="O58" s="3">
        <f t="shared" si="4"/>
        <v>8.1585344722996708E-2</v>
      </c>
      <c r="P58" s="3">
        <f t="shared" si="4"/>
        <v>0.14184083076163848</v>
      </c>
      <c r="Q58" s="3">
        <f t="shared" si="4"/>
        <v>8.9826823994942975E-3</v>
      </c>
      <c r="R58" s="3">
        <f t="shared" si="4"/>
        <v>0.13478494401840871</v>
      </c>
      <c r="S58" s="3">
        <f t="shared" si="4"/>
        <v>0.13273291620822486</v>
      </c>
      <c r="T58" s="3">
        <f t="shared" si="4"/>
        <v>0.14388650563044361</v>
      </c>
      <c r="U58" s="3">
        <f t="shared" si="4"/>
        <v>0.13049502403456489</v>
      </c>
      <c r="V58" s="3">
        <f t="shared" si="4"/>
        <v>0.11687179977905243</v>
      </c>
      <c r="W58" s="3"/>
      <c r="X58" s="3"/>
    </row>
    <row r="59" spans="1:24" s="1" customFormat="1" ht="15" thickBot="1" x14ac:dyDescent="0.35">
      <c r="B59" s="3"/>
      <c r="C59" s="3"/>
      <c r="D59" s="3"/>
      <c r="E59" s="3"/>
      <c r="F59" s="3"/>
      <c r="G59" s="3"/>
      <c r="H59" s="3"/>
      <c r="I59" s="3"/>
      <c r="J59" s="3"/>
      <c r="K59" s="3"/>
      <c r="L59" s="3"/>
      <c r="M59" s="3"/>
      <c r="N59" s="3"/>
      <c r="O59" s="3"/>
      <c r="P59" s="3"/>
      <c r="Q59" s="3"/>
      <c r="R59" s="3"/>
      <c r="S59" s="3"/>
      <c r="T59" s="3"/>
      <c r="U59" s="3"/>
      <c r="V59" s="3"/>
    </row>
    <row r="60" spans="1:24" s="48" customFormat="1" ht="26.4" thickBot="1" x14ac:dyDescent="0.35">
      <c r="A60" s="233" t="s">
        <v>46</v>
      </c>
      <c r="B60" s="234"/>
      <c r="C60" s="234"/>
      <c r="D60" s="234"/>
      <c r="E60" s="234"/>
      <c r="F60" s="234"/>
      <c r="G60" s="234"/>
      <c r="H60" s="234"/>
      <c r="I60" s="234"/>
      <c r="J60" s="234"/>
      <c r="K60" s="234"/>
      <c r="L60" s="234"/>
      <c r="M60" s="234"/>
      <c r="N60" s="234"/>
      <c r="O60" s="234"/>
      <c r="P60" s="234"/>
      <c r="Q60" s="234"/>
      <c r="R60" s="234"/>
      <c r="S60" s="234"/>
      <c r="T60" s="234"/>
      <c r="U60" s="234"/>
      <c r="V60" s="234"/>
    </row>
    <row r="61" spans="1:24" s="1" customFormat="1" x14ac:dyDescent="0.3">
      <c r="B61" s="3"/>
      <c r="C61" s="3"/>
      <c r="D61" s="3"/>
      <c r="E61" s="3"/>
      <c r="F61" s="3"/>
      <c r="G61" s="3"/>
      <c r="H61" s="3"/>
      <c r="I61" s="3"/>
      <c r="J61" s="3"/>
      <c r="K61" s="3"/>
      <c r="L61" s="3"/>
      <c r="M61" s="3"/>
      <c r="N61" s="3"/>
      <c r="O61" s="3"/>
      <c r="P61" s="3"/>
      <c r="Q61" s="3"/>
      <c r="R61" s="3"/>
      <c r="S61" s="3"/>
      <c r="T61" s="3"/>
      <c r="U61" s="3"/>
      <c r="V61" s="3"/>
    </row>
    <row r="62" spans="1:24" s="1" customFormat="1" x14ac:dyDescent="0.3">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Dutasteride-0,01mg/L</v>
      </c>
      <c r="J62" s="3" t="str">
        <f t="shared" si="6"/>
        <v>Dutasteride-0,1mg/L</v>
      </c>
      <c r="K62" s="3" t="str">
        <f t="shared" si="6"/>
        <v>Dutasteride-0,25mg/L</v>
      </c>
      <c r="L62" s="3" t="str">
        <f t="shared" si="6"/>
        <v>Dutasteride-0,5mg/L</v>
      </c>
      <c r="M62" s="3" t="str">
        <f t="shared" si="6"/>
        <v>Dutasteride-1mg/L</v>
      </c>
      <c r="N62" s="3"/>
      <c r="O62" s="3" t="str">
        <f t="shared" si="6"/>
        <v>Testo -30µg/L</v>
      </c>
      <c r="P62" s="3" t="str">
        <f t="shared" si="6"/>
        <v>Testo 30µg/L + EE2 -64ng/L</v>
      </c>
      <c r="Q62" s="3" t="str">
        <f t="shared" si="6"/>
        <v>Testo 30µg/L + FAD-10µg/L</v>
      </c>
      <c r="R62" s="3" t="str">
        <f t="shared" si="6"/>
        <v>Dutasteride-0.01mg/L + Testostérone</v>
      </c>
      <c r="S62" s="3" t="str">
        <f t="shared" si="6"/>
        <v>Dutasteride-0.1mg/L + Testostérone</v>
      </c>
      <c r="T62" s="3" t="str">
        <f t="shared" si="6"/>
        <v>Dutasteride-0.25mg/L + Testostérone</v>
      </c>
      <c r="U62" s="3" t="str">
        <f t="shared" si="6"/>
        <v>Dutasteride-0.5mg/L + Testostérone</v>
      </c>
      <c r="V62" s="3" t="str">
        <f t="shared" si="6"/>
        <v>Dutasteride-1mg/L + Testostérone</v>
      </c>
    </row>
    <row r="63" spans="1:24" s="1" customFormat="1" x14ac:dyDescent="0.3">
      <c r="A63" s="1" t="s">
        <v>49</v>
      </c>
      <c r="B63" s="3">
        <f>COUNT(B6:B53)</f>
        <v>24</v>
      </c>
      <c r="C63" s="3">
        <f t="shared" ref="C63:V63" si="7">COUNT(C6:C53)</f>
        <v>24</v>
      </c>
      <c r="D63" s="3">
        <f t="shared" si="7"/>
        <v>23</v>
      </c>
      <c r="E63" s="3">
        <f t="shared" si="7"/>
        <v>24</v>
      </c>
      <c r="F63" s="3">
        <f t="shared" si="7"/>
        <v>24</v>
      </c>
      <c r="G63" s="3">
        <f t="shared" si="7"/>
        <v>24</v>
      </c>
      <c r="H63" s="3">
        <f t="shared" si="7"/>
        <v>24</v>
      </c>
      <c r="I63" s="3">
        <f t="shared" si="7"/>
        <v>23</v>
      </c>
      <c r="J63" s="3">
        <f t="shared" si="7"/>
        <v>24</v>
      </c>
      <c r="K63" s="3">
        <f t="shared" si="7"/>
        <v>24</v>
      </c>
      <c r="L63" s="3">
        <f t="shared" si="7"/>
        <v>23</v>
      </c>
      <c r="M63" s="3">
        <f t="shared" si="7"/>
        <v>24</v>
      </c>
      <c r="N63" s="3"/>
      <c r="O63" s="3">
        <f t="shared" si="7"/>
        <v>47</v>
      </c>
      <c r="P63" s="3">
        <f t="shared" si="7"/>
        <v>23</v>
      </c>
      <c r="Q63" s="3">
        <f t="shared" si="7"/>
        <v>24</v>
      </c>
      <c r="R63" s="3">
        <f t="shared" si="7"/>
        <v>23</v>
      </c>
      <c r="S63" s="3">
        <f t="shared" si="7"/>
        <v>24</v>
      </c>
      <c r="T63" s="3">
        <f t="shared" si="7"/>
        <v>24</v>
      </c>
      <c r="U63" s="3">
        <f t="shared" si="7"/>
        <v>24</v>
      </c>
      <c r="V63" s="3">
        <f t="shared" si="7"/>
        <v>24</v>
      </c>
    </row>
    <row r="64" spans="1:24" s="1" customFormat="1" ht="15" thickBot="1" x14ac:dyDescent="0.35">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4" thickBot="1" x14ac:dyDescent="0.35">
      <c r="A65" s="233" t="s">
        <v>58</v>
      </c>
      <c r="B65" s="234"/>
      <c r="C65" s="234"/>
      <c r="D65" s="234"/>
      <c r="E65" s="234"/>
      <c r="F65" s="234"/>
      <c r="G65" s="234"/>
      <c r="H65" s="234"/>
      <c r="I65" s="234"/>
      <c r="J65" s="234"/>
      <c r="K65" s="234"/>
      <c r="L65" s="234"/>
      <c r="M65" s="234"/>
      <c r="N65" s="234"/>
      <c r="O65" s="234"/>
      <c r="P65" s="234"/>
      <c r="Q65" s="234"/>
      <c r="R65" s="234"/>
      <c r="S65" s="234"/>
      <c r="T65" s="234"/>
      <c r="U65" s="234"/>
      <c r="V65" s="234"/>
    </row>
    <row r="66" spans="1:22" s="1" customFormat="1" x14ac:dyDescent="0.3">
      <c r="B66" s="1" t="s">
        <v>61</v>
      </c>
      <c r="C66" s="3"/>
      <c r="D66" s="3"/>
      <c r="E66" s="3"/>
      <c r="F66" s="3"/>
      <c r="G66" s="3"/>
      <c r="H66" s="3"/>
      <c r="I66" s="3"/>
      <c r="J66" s="3"/>
      <c r="K66" s="3"/>
      <c r="L66" s="3"/>
      <c r="M66" s="3"/>
      <c r="N66" s="3"/>
      <c r="O66" s="3"/>
      <c r="P66" s="3"/>
      <c r="Q66" s="3"/>
      <c r="R66" s="3"/>
      <c r="S66" s="3"/>
      <c r="T66" s="3"/>
      <c r="U66" s="3"/>
      <c r="V66" s="3"/>
    </row>
    <row r="67" spans="1:22" s="1" customFormat="1" x14ac:dyDescent="0.3">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35">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4" thickBot="1" x14ac:dyDescent="0.35">
      <c r="A70" s="233" t="s">
        <v>53</v>
      </c>
      <c r="B70" s="234"/>
      <c r="C70" s="234"/>
      <c r="D70" s="234"/>
      <c r="E70" s="234"/>
      <c r="F70" s="234"/>
      <c r="G70" s="234"/>
      <c r="H70" s="234"/>
      <c r="I70" s="234"/>
      <c r="J70" s="234"/>
      <c r="K70" s="234"/>
      <c r="L70" s="234"/>
      <c r="M70" s="234"/>
      <c r="N70" s="234"/>
      <c r="O70" s="234"/>
      <c r="P70" s="234"/>
      <c r="Q70" s="234"/>
      <c r="R70" s="234"/>
      <c r="S70" s="234"/>
      <c r="T70" s="234"/>
      <c r="U70" s="234"/>
      <c r="V70" s="234"/>
    </row>
    <row r="71" spans="1:22" ht="15" thickBot="1" x14ac:dyDescent="0.35"/>
    <row r="72" spans="1:22" s="48" customFormat="1" ht="26.4" thickBot="1" x14ac:dyDescent="0.35">
      <c r="A72" s="233" t="s">
        <v>54</v>
      </c>
      <c r="B72" s="234"/>
      <c r="C72" s="234"/>
      <c r="D72" s="234"/>
      <c r="E72" s="234"/>
      <c r="F72" s="234"/>
      <c r="G72" s="234"/>
      <c r="H72" s="234"/>
      <c r="I72" s="234"/>
      <c r="J72" s="234"/>
      <c r="K72" s="234"/>
      <c r="L72" s="234"/>
      <c r="M72" s="234"/>
      <c r="N72" s="234"/>
      <c r="O72" s="234"/>
      <c r="P72" s="234"/>
      <c r="Q72" s="234"/>
      <c r="R72" s="234"/>
      <c r="S72" s="234"/>
      <c r="T72" s="234"/>
      <c r="U72" s="234"/>
      <c r="V72" s="234"/>
    </row>
    <row r="73" spans="1:22" ht="15" thickBot="1" x14ac:dyDescent="0.35">
      <c r="J73" s="3">
        <v>1</v>
      </c>
      <c r="K73" s="3">
        <v>2</v>
      </c>
      <c r="L73" s="3">
        <v>3</v>
      </c>
      <c r="M73" s="3">
        <v>4</v>
      </c>
      <c r="R73" s="3">
        <v>1</v>
      </c>
      <c r="S73" s="3">
        <v>2</v>
      </c>
      <c r="T73" s="3">
        <v>3</v>
      </c>
      <c r="U73" s="3">
        <v>4</v>
      </c>
      <c r="V73" s="3">
        <v>5</v>
      </c>
    </row>
    <row r="74" spans="1:22" s="1" customFormat="1" x14ac:dyDescent="0.3">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Dutasteride-0,01mg/L</v>
      </c>
      <c r="J74" s="46" t="str">
        <f t="shared" si="9"/>
        <v>Dutasteride-0,1mg/L</v>
      </c>
      <c r="K74" s="46" t="str">
        <f t="shared" si="9"/>
        <v>Dutasteride-0,25mg/L</v>
      </c>
      <c r="L74" s="46" t="str">
        <f t="shared" si="9"/>
        <v>Dutasteride-0,5mg/L</v>
      </c>
      <c r="M74" s="46" t="str">
        <f t="shared" si="9"/>
        <v>Dutasteride-1mg/L</v>
      </c>
      <c r="N74" s="46"/>
      <c r="O74" s="46" t="str">
        <f t="shared" ref="O74:V74" si="10">O4</f>
        <v>Testo -30µg/L</v>
      </c>
      <c r="P74" s="46" t="str">
        <f t="shared" si="10"/>
        <v>Testo 30µg/L + EE2 -64ng/L</v>
      </c>
      <c r="Q74" s="46" t="str">
        <f t="shared" si="10"/>
        <v>Testo 30µg/L + FAD-10µg/L</v>
      </c>
      <c r="R74" s="46" t="str">
        <f t="shared" si="10"/>
        <v>Dutasteride-0.01mg/L + Testostérone</v>
      </c>
      <c r="S74" s="46" t="str">
        <f t="shared" si="10"/>
        <v>Dutasteride-0.1mg/L + Testostérone</v>
      </c>
      <c r="T74" s="46" t="str">
        <f t="shared" si="10"/>
        <v>Dutasteride-0.25mg/L + Testostérone</v>
      </c>
      <c r="U74" s="46" t="str">
        <f t="shared" si="10"/>
        <v>Dutasteride-0.5mg/L + Testostérone</v>
      </c>
      <c r="V74" s="46" t="str">
        <f t="shared" si="10"/>
        <v>Dutasteride-1mg/L + Testostérone</v>
      </c>
    </row>
    <row r="75" spans="1:22" s="3" customFormat="1" x14ac:dyDescent="0.3">
      <c r="A75" s="61" t="s">
        <v>32</v>
      </c>
      <c r="B75" s="141">
        <f>B56</f>
        <v>7.3817486448862643E-2</v>
      </c>
      <c r="C75" s="141">
        <f t="shared" ref="C75:V75" si="11">C56</f>
        <v>5.238274321952216E-2</v>
      </c>
      <c r="D75" s="141">
        <f t="shared" si="11"/>
        <v>8.660870675077649E-2</v>
      </c>
      <c r="E75" s="141">
        <f t="shared" si="11"/>
        <v>0.1424427280234789</v>
      </c>
      <c r="F75" s="141">
        <f t="shared" si="11"/>
        <v>0.4413127537846589</v>
      </c>
      <c r="G75" s="141">
        <f t="shared" si="11"/>
        <v>1.3158030254707891</v>
      </c>
      <c r="H75" s="141">
        <f t="shared" si="11"/>
        <v>2.3693684866291256</v>
      </c>
      <c r="I75" s="141">
        <f t="shared" si="11"/>
        <v>5.1035649749721024E-2</v>
      </c>
      <c r="J75" s="141">
        <f t="shared" si="11"/>
        <v>6.3828284835330831E-2</v>
      </c>
      <c r="K75" s="141">
        <f t="shared" si="11"/>
        <v>5.3498132972931822E-2</v>
      </c>
      <c r="L75" s="141">
        <f t="shared" si="11"/>
        <v>6.9870516486918582E-2</v>
      </c>
      <c r="M75" s="141">
        <f t="shared" si="11"/>
        <v>5.6719354118437669E-2</v>
      </c>
      <c r="N75" s="141"/>
      <c r="O75" s="141">
        <f t="shared" si="11"/>
        <v>1.0000000000000002</v>
      </c>
      <c r="P75" s="141">
        <f t="shared" si="11"/>
        <v>1.5224648090191533</v>
      </c>
      <c r="Q75" s="141">
        <f t="shared" si="11"/>
        <v>5.419425156907632E-2</v>
      </c>
      <c r="R75" s="141">
        <f t="shared" si="11"/>
        <v>1.0269745515535349</v>
      </c>
      <c r="S75" s="141">
        <f t="shared" si="11"/>
        <v>1.1168828035909804</v>
      </c>
      <c r="T75" s="141">
        <f t="shared" si="11"/>
        <v>1.2149457906124408</v>
      </c>
      <c r="U75" s="141">
        <f t="shared" si="11"/>
        <v>1.4981512526512597</v>
      </c>
      <c r="V75" s="141">
        <f t="shared" si="11"/>
        <v>1.1317004587956161</v>
      </c>
    </row>
    <row r="76" spans="1:22" s="3" customFormat="1" x14ac:dyDescent="0.3">
      <c r="A76" s="61" t="s">
        <v>2</v>
      </c>
      <c r="B76" s="141">
        <f>B58</f>
        <v>1.3207282592318318E-2</v>
      </c>
      <c r="C76" s="141">
        <f t="shared" ref="C76:V76" si="12">C58</f>
        <v>1.2485257939673759E-2</v>
      </c>
      <c r="D76" s="141">
        <f t="shared" si="12"/>
        <v>1.5583975415862487E-2</v>
      </c>
      <c r="E76" s="141">
        <f t="shared" si="12"/>
        <v>3.0770536094164837E-2</v>
      </c>
      <c r="F76" s="141">
        <f t="shared" si="12"/>
        <v>7.502209443093677E-2</v>
      </c>
      <c r="G76" s="141">
        <f t="shared" si="12"/>
        <v>0.17007565250963033</v>
      </c>
      <c r="H76" s="141">
        <f t="shared" si="12"/>
        <v>0.20612056783402813</v>
      </c>
      <c r="I76" s="141">
        <f t="shared" si="12"/>
        <v>1.8369341615789639E-2</v>
      </c>
      <c r="J76" s="141">
        <f t="shared" si="12"/>
        <v>1.227291039821529E-2</v>
      </c>
      <c r="K76" s="141">
        <f t="shared" si="12"/>
        <v>9.0294737172072377E-3</v>
      </c>
      <c r="L76" s="141">
        <f t="shared" si="12"/>
        <v>1.3963665691238591E-2</v>
      </c>
      <c r="M76" s="141">
        <f t="shared" si="12"/>
        <v>2.0439517488972259E-2</v>
      </c>
      <c r="N76" s="141"/>
      <c r="O76" s="141">
        <f t="shared" si="12"/>
        <v>8.1585344722996708E-2</v>
      </c>
      <c r="P76" s="141">
        <f t="shared" si="12"/>
        <v>0.14184083076163848</v>
      </c>
      <c r="Q76" s="141">
        <f t="shared" si="12"/>
        <v>8.9826823994942975E-3</v>
      </c>
      <c r="R76" s="141">
        <f t="shared" si="12"/>
        <v>0.13478494401840871</v>
      </c>
      <c r="S76" s="141">
        <f t="shared" si="12"/>
        <v>0.13273291620822486</v>
      </c>
      <c r="T76" s="141">
        <f t="shared" si="12"/>
        <v>0.14388650563044361</v>
      </c>
      <c r="U76" s="141">
        <f t="shared" si="12"/>
        <v>0.13049502403456489</v>
      </c>
      <c r="V76" s="141">
        <f t="shared" si="12"/>
        <v>0.11687179977905243</v>
      </c>
    </row>
    <row r="77" spans="1:22" s="3" customFormat="1" x14ac:dyDescent="0.3">
      <c r="A77" s="61" t="s">
        <v>79</v>
      </c>
      <c r="B77" s="141">
        <f>(B75*100/$B$75)-100</f>
        <v>0</v>
      </c>
      <c r="C77" s="141">
        <f t="shared" ref="C77:M77" si="13">(C75*100/$B$75)-100</f>
        <v>-29.03748726826332</v>
      </c>
      <c r="D77" s="141">
        <f t="shared" si="13"/>
        <v>17.328171030010651</v>
      </c>
      <c r="E77" s="141">
        <f t="shared" si="13"/>
        <v>92.966104477367509</v>
      </c>
      <c r="F77" s="141">
        <f t="shared" si="13"/>
        <v>497.84310603745632</v>
      </c>
      <c r="G77" s="141">
        <f t="shared" si="13"/>
        <v>1682.5085745534248</v>
      </c>
      <c r="H77" s="141">
        <f t="shared" si="13"/>
        <v>3109.7658706795914</v>
      </c>
      <c r="I77" s="141">
        <f t="shared" si="13"/>
        <v>-30.86238477508148</v>
      </c>
      <c r="J77" s="141">
        <f t="shared" si="13"/>
        <v>-13.532297148117976</v>
      </c>
      <c r="K77" s="141">
        <f t="shared" si="13"/>
        <v>-27.52647706313752</v>
      </c>
      <c r="L77" s="141">
        <f t="shared" si="13"/>
        <v>-5.3469308585552255</v>
      </c>
      <c r="M77" s="141">
        <f t="shared" si="13"/>
        <v>-23.162712729686049</v>
      </c>
      <c r="N77" s="141"/>
      <c r="O77" s="141">
        <f>(O75*100/$O$75)-100</f>
        <v>0</v>
      </c>
      <c r="P77" s="141">
        <f t="shared" ref="P77:V77" si="14">(P75*100/$O$75)-100</f>
        <v>52.246480901915305</v>
      </c>
      <c r="Q77" s="141">
        <f t="shared" si="14"/>
        <v>-94.580574843092364</v>
      </c>
      <c r="R77" s="141">
        <f t="shared" si="14"/>
        <v>2.6974551553534667</v>
      </c>
      <c r="S77" s="141">
        <f t="shared" si="14"/>
        <v>11.688280359098002</v>
      </c>
      <c r="T77" s="141">
        <f t="shared" si="14"/>
        <v>21.494579061244053</v>
      </c>
      <c r="U77" s="141">
        <f t="shared" si="14"/>
        <v>49.815125265125943</v>
      </c>
      <c r="V77" s="141">
        <f t="shared" si="14"/>
        <v>13.170045879561584</v>
      </c>
    </row>
    <row r="78" spans="1:22" s="3" customFormat="1" x14ac:dyDescent="0.3">
      <c r="A78" s="61" t="s">
        <v>81</v>
      </c>
      <c r="B78" s="141" t="e">
        <f ca="1">[1]!DPTEST(B6:B53)</f>
        <v>#NAME?</v>
      </c>
      <c r="C78" s="141" t="e">
        <f ca="1">[1]!DPTEST(C6:C53)</f>
        <v>#NAME?</v>
      </c>
      <c r="D78" s="141" t="e">
        <f ca="1">[1]!DPTEST(D6:D53)</f>
        <v>#NAME?</v>
      </c>
      <c r="E78" s="141" t="e">
        <f ca="1">[1]!DPTEST(E6:E53)</f>
        <v>#NAME?</v>
      </c>
      <c r="F78" s="141" t="e">
        <f ca="1">[1]!DPTEST(F6:F53)</f>
        <v>#NAME?</v>
      </c>
      <c r="G78" s="141" t="e">
        <f ca="1">[1]!DPTEST(G6:G53)</f>
        <v>#NAME?</v>
      </c>
      <c r="H78" s="141" t="e">
        <f ca="1">[1]!DPTEST(H6:H53)</f>
        <v>#NAME?</v>
      </c>
      <c r="I78" s="141" t="e">
        <f ca="1">[1]!DPTEST(I6:I53)</f>
        <v>#NAME?</v>
      </c>
      <c r="J78" s="141" t="e">
        <f ca="1">[1]!DPTEST(J6:J53)</f>
        <v>#NAME?</v>
      </c>
      <c r="K78" s="141" t="e">
        <f ca="1">[1]!DPTEST(K6:K53)</f>
        <v>#NAME?</v>
      </c>
      <c r="L78" s="141" t="e">
        <f ca="1">[1]!DPTEST(L6:L53)</f>
        <v>#NAME?</v>
      </c>
      <c r="M78" s="141" t="e">
        <f ca="1">[1]!DPTEST(M6:M53)</f>
        <v>#NAME?</v>
      </c>
      <c r="N78" s="141"/>
      <c r="O78" s="141" t="e">
        <f ca="1">[1]!DPTEST(O6:O53)</f>
        <v>#NAME?</v>
      </c>
      <c r="P78" s="141" t="e">
        <f ca="1">[1]!DPTEST(P6:P53)</f>
        <v>#NAME?</v>
      </c>
      <c r="Q78" s="141" t="e">
        <f ca="1">[1]!DPTEST(Q6:Q53)</f>
        <v>#NAME?</v>
      </c>
      <c r="R78" s="141" t="e">
        <f ca="1">[1]!DPTEST(R6:R53)</f>
        <v>#NAME?</v>
      </c>
      <c r="S78" s="141" t="e">
        <f ca="1">[1]!DPTEST(S6:S53)</f>
        <v>#NAME?</v>
      </c>
      <c r="T78" s="141" t="e">
        <f ca="1">[1]!DPTEST(T6:T53)</f>
        <v>#NAME?</v>
      </c>
      <c r="U78" s="141" t="e">
        <f ca="1">[1]!DPTEST(U6:U53)</f>
        <v>#NAME?</v>
      </c>
      <c r="V78" s="141" t="e">
        <f ca="1">[1]!DPTEST(V6:V53)</f>
        <v>#NAME?</v>
      </c>
    </row>
    <row r="79" spans="1:22" s="3" customFormat="1" x14ac:dyDescent="0.3">
      <c r="A79" s="61" t="s">
        <v>85</v>
      </c>
      <c r="B79" s="141" t="e">
        <f ca="1">IF(B78&gt;0.05,"Oui","Non")</f>
        <v>#NAME?</v>
      </c>
      <c r="C79" s="141" t="e">
        <f t="shared" ref="C79:V79" ca="1" si="15">IF(C78&gt;0.05,"Oui","Non")</f>
        <v>#NAME?</v>
      </c>
      <c r="D79" s="141" t="e">
        <f t="shared" ca="1" si="15"/>
        <v>#NAME?</v>
      </c>
      <c r="E79" s="141" t="e">
        <f t="shared" ca="1" si="15"/>
        <v>#NAME?</v>
      </c>
      <c r="F79" s="141" t="e">
        <f t="shared" ca="1" si="15"/>
        <v>#NAME?</v>
      </c>
      <c r="G79" s="141" t="e">
        <f t="shared" ca="1" si="15"/>
        <v>#NAME?</v>
      </c>
      <c r="H79" s="141" t="e">
        <f t="shared" ca="1" si="15"/>
        <v>#NAME?</v>
      </c>
      <c r="I79" s="141" t="e">
        <f t="shared" ca="1" si="15"/>
        <v>#NAME?</v>
      </c>
      <c r="J79" s="141" t="e">
        <f t="shared" ca="1" si="15"/>
        <v>#NAME?</v>
      </c>
      <c r="K79" s="141" t="e">
        <f t="shared" ca="1" si="15"/>
        <v>#NAME?</v>
      </c>
      <c r="L79" s="141" t="e">
        <f t="shared" ca="1" si="15"/>
        <v>#NAME?</v>
      </c>
      <c r="M79" s="141" t="e">
        <f t="shared" ca="1" si="15"/>
        <v>#NAME?</v>
      </c>
      <c r="N79" s="141"/>
      <c r="O79" s="141" t="e">
        <f t="shared" ca="1" si="15"/>
        <v>#NAME?</v>
      </c>
      <c r="P79" s="141" t="e">
        <f t="shared" ca="1" si="15"/>
        <v>#NAME?</v>
      </c>
      <c r="Q79" s="141" t="e">
        <f t="shared" ca="1" si="15"/>
        <v>#NAME?</v>
      </c>
      <c r="R79" s="141" t="e">
        <f t="shared" ca="1" si="15"/>
        <v>#NAME?</v>
      </c>
      <c r="S79" s="141" t="e">
        <f t="shared" ca="1" si="15"/>
        <v>#NAME?</v>
      </c>
      <c r="T79" s="141" t="e">
        <f t="shared" ca="1" si="15"/>
        <v>#NAME?</v>
      </c>
      <c r="U79" s="141" t="e">
        <f t="shared" ca="1" si="15"/>
        <v>#NAME?</v>
      </c>
      <c r="V79" s="141" t="e">
        <f t="shared" ca="1" si="15"/>
        <v>#NAME?</v>
      </c>
    </row>
    <row r="80" spans="1:22" s="3" customFormat="1" x14ac:dyDescent="0.3">
      <c r="A80" s="61" t="s">
        <v>122</v>
      </c>
      <c r="B80" s="141"/>
      <c r="C80" s="141"/>
      <c r="D80" s="141"/>
      <c r="E80" s="141"/>
      <c r="F80" s="141"/>
      <c r="G80" s="141"/>
      <c r="H80" s="141"/>
      <c r="I80" s="141"/>
      <c r="J80" s="141" t="str">
        <f ca="1">IF(COUNTIF(J79:M79, "Non")&gt;0, "Oui","Non")</f>
        <v>Non</v>
      </c>
      <c r="K80" s="141"/>
      <c r="L80" s="141"/>
      <c r="M80" s="141"/>
      <c r="N80" s="141"/>
      <c r="O80" s="141"/>
      <c r="P80" s="141"/>
      <c r="Q80" s="141"/>
      <c r="R80" s="141"/>
      <c r="S80" s="141"/>
      <c r="T80" s="141"/>
      <c r="U80" s="141"/>
      <c r="V80" s="141"/>
    </row>
    <row r="81" spans="1:22" s="3" customFormat="1" x14ac:dyDescent="0.3">
      <c r="A81" s="61" t="s">
        <v>82</v>
      </c>
      <c r="B81" s="141"/>
      <c r="C81" s="141" t="s">
        <v>2971</v>
      </c>
      <c r="D81" s="141" t="s">
        <v>2971</v>
      </c>
      <c r="E81" s="141" t="s">
        <v>2971</v>
      </c>
      <c r="F81" s="141" t="s">
        <v>2971</v>
      </c>
      <c r="G81" s="141" t="s">
        <v>2971</v>
      </c>
      <c r="H81" s="141" t="s">
        <v>2971</v>
      </c>
      <c r="I81" s="141" t="s">
        <v>2971</v>
      </c>
      <c r="J81" s="141" t="s">
        <v>2971</v>
      </c>
      <c r="K81" s="141" t="s">
        <v>2971</v>
      </c>
      <c r="L81" s="141" t="s">
        <v>2971</v>
      </c>
      <c r="M81" s="141" t="s">
        <v>2971</v>
      </c>
      <c r="N81" s="141"/>
      <c r="O81" s="141" t="s">
        <v>4347</v>
      </c>
      <c r="P81" s="141" t="s">
        <v>4347</v>
      </c>
      <c r="Q81" s="141" t="s">
        <v>2972</v>
      </c>
      <c r="R81" s="141" t="s">
        <v>4348</v>
      </c>
      <c r="S81" s="141" t="s">
        <v>4348</v>
      </c>
      <c r="T81" s="141" t="s">
        <v>4348</v>
      </c>
      <c r="U81" s="141" t="s">
        <v>4348</v>
      </c>
      <c r="V81" s="141" t="s">
        <v>4348</v>
      </c>
    </row>
    <row r="82" spans="1:22" s="3" customFormat="1" ht="15.6" x14ac:dyDescent="0.3">
      <c r="A82" s="61" t="s">
        <v>83</v>
      </c>
      <c r="B82" s="141"/>
      <c r="C82" s="197" t="s">
        <v>4345</v>
      </c>
      <c r="D82" s="197" t="s">
        <v>4345</v>
      </c>
      <c r="E82" s="197">
        <v>0.89</v>
      </c>
      <c r="F82" s="197" t="s">
        <v>4346</v>
      </c>
      <c r="G82" s="197" t="s">
        <v>4346</v>
      </c>
      <c r="H82" s="197" t="s">
        <v>4346</v>
      </c>
      <c r="I82" s="197">
        <v>0.91</v>
      </c>
      <c r="J82" s="197" t="s">
        <v>4345</v>
      </c>
      <c r="K82" s="197" t="s">
        <v>4345</v>
      </c>
      <c r="L82" s="197" t="s">
        <v>4345</v>
      </c>
      <c r="M82" s="197">
        <v>0.4</v>
      </c>
      <c r="N82" s="141"/>
      <c r="O82" s="197" t="s">
        <v>4346</v>
      </c>
      <c r="P82" s="197">
        <v>3.0000000000000001E-3</v>
      </c>
      <c r="Q82" s="197" t="s">
        <v>4346</v>
      </c>
      <c r="R82" s="197">
        <v>0.87</v>
      </c>
      <c r="S82" s="197">
        <v>0.78</v>
      </c>
      <c r="T82" s="197">
        <v>0.53</v>
      </c>
      <c r="U82" s="197">
        <v>8.0000000000000002E-3</v>
      </c>
      <c r="V82" s="197">
        <v>0.78</v>
      </c>
    </row>
    <row r="83" spans="1:22" s="3" customFormat="1" ht="15" thickBot="1" x14ac:dyDescent="0.35">
      <c r="A83" s="62" t="s">
        <v>84</v>
      </c>
      <c r="B83" s="142"/>
      <c r="C83" s="142" t="s">
        <v>2966</v>
      </c>
      <c r="D83" s="142" t="s">
        <v>2966</v>
      </c>
      <c r="E83" s="142" t="s">
        <v>2966</v>
      </c>
      <c r="F83" s="142" t="s">
        <v>2968</v>
      </c>
      <c r="G83" s="142" t="s">
        <v>2968</v>
      </c>
      <c r="H83" s="142" t="s">
        <v>2968</v>
      </c>
      <c r="I83" s="142" t="s">
        <v>2966</v>
      </c>
      <c r="J83" s="142" t="s">
        <v>2966</v>
      </c>
      <c r="K83" s="142" t="s">
        <v>2966</v>
      </c>
      <c r="L83" s="142" t="s">
        <v>2966</v>
      </c>
      <c r="M83" s="142" t="s">
        <v>2966</v>
      </c>
      <c r="N83" s="142"/>
      <c r="O83" s="142" t="s">
        <v>2968</v>
      </c>
      <c r="P83" s="142" t="s">
        <v>2973</v>
      </c>
      <c r="Q83" s="142" t="s">
        <v>2968</v>
      </c>
      <c r="R83" s="142" t="s">
        <v>2966</v>
      </c>
      <c r="S83" s="142" t="s">
        <v>2966</v>
      </c>
      <c r="T83" s="142" t="s">
        <v>2966</v>
      </c>
      <c r="U83" s="142" t="s">
        <v>2973</v>
      </c>
      <c r="V83" s="142" t="s">
        <v>2966</v>
      </c>
    </row>
    <row r="84" spans="1:22" s="1" customFormat="1" x14ac:dyDescent="0.3"/>
    <row r="85" spans="1:22" s="1" customFormat="1" x14ac:dyDescent="0.3">
      <c r="A85" s="2" t="s">
        <v>39</v>
      </c>
    </row>
    <row r="86" spans="1:22" x14ac:dyDescent="0.3">
      <c r="A86" s="1" t="s">
        <v>23</v>
      </c>
      <c r="B86" s="1">
        <f>B56+(3*B57)</f>
        <v>0.26792410588839788</v>
      </c>
    </row>
    <row r="87" spans="1:22" x14ac:dyDescent="0.3">
      <c r="A87" s="1" t="s">
        <v>24</v>
      </c>
      <c r="B87" s="1">
        <f>B56+(10*B57)</f>
        <v>0.72083955124731347</v>
      </c>
    </row>
    <row r="88" spans="1:22" ht="15" thickBot="1" x14ac:dyDescent="0.35"/>
    <row r="89" spans="1:22" s="48" customFormat="1" ht="26.4" thickBot="1" x14ac:dyDescent="0.35">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35"/>
    <row r="91" spans="1:22" s="48" customFormat="1" ht="26.4" thickBot="1" x14ac:dyDescent="0.35">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35"/>
    <row r="93" spans="1:22" s="48" customFormat="1" ht="26.4" thickBot="1" x14ac:dyDescent="0.35">
      <c r="A93" s="233" t="s">
        <v>57</v>
      </c>
      <c r="B93" s="234"/>
      <c r="C93" s="234"/>
      <c r="D93" s="234"/>
      <c r="E93" s="234"/>
      <c r="F93" s="234"/>
      <c r="G93" s="234"/>
      <c r="H93" s="234"/>
      <c r="I93" s="234"/>
      <c r="J93" s="234"/>
      <c r="K93" s="234"/>
      <c r="L93" s="234"/>
      <c r="M93" s="234"/>
      <c r="N93" s="234"/>
      <c r="O93" s="234"/>
      <c r="P93" s="234"/>
      <c r="Q93" s="234"/>
      <c r="R93" s="234"/>
      <c r="S93" s="234"/>
      <c r="T93" s="234"/>
      <c r="U93" s="234"/>
      <c r="V93" s="234"/>
    </row>
    <row r="94" spans="1:22" x14ac:dyDescent="0.3">
      <c r="B94" s="1">
        <f t="shared" ref="B94:V94" si="16">B75/$B$75</f>
        <v>1</v>
      </c>
      <c r="C94" s="1">
        <f t="shared" si="16"/>
        <v>0.70962512731736693</v>
      </c>
      <c r="D94" s="1">
        <f t="shared" si="16"/>
        <v>1.1732817103001063</v>
      </c>
      <c r="E94" s="1">
        <f t="shared" si="16"/>
        <v>1.9296610447736753</v>
      </c>
      <c r="F94" s="1">
        <f t="shared" si="16"/>
        <v>5.9784310603745636</v>
      </c>
      <c r="G94" s="1">
        <f t="shared" si="16"/>
        <v>17.825085745534249</v>
      </c>
      <c r="H94" s="1">
        <f>H75/$B$75</f>
        <v>32.097658706795919</v>
      </c>
      <c r="I94" s="1">
        <f t="shared" si="16"/>
        <v>0.69137615224918525</v>
      </c>
      <c r="J94" s="1">
        <f t="shared" si="16"/>
        <v>0.86467702851882022</v>
      </c>
      <c r="K94" s="1">
        <f t="shared" si="16"/>
        <v>0.72473522936862478</v>
      </c>
      <c r="L94" s="1">
        <f t="shared" si="16"/>
        <v>0.94653069141444768</v>
      </c>
      <c r="M94" s="1">
        <f t="shared" si="16"/>
        <v>0.76837287270313959</v>
      </c>
      <c r="N94" s="1">
        <f t="shared" si="16"/>
        <v>0</v>
      </c>
      <c r="O94" s="1">
        <f t="shared" si="16"/>
        <v>13.546925641971759</v>
      </c>
      <c r="P94" s="1">
        <f t="shared" si="16"/>
        <v>20.6247175603012</v>
      </c>
      <c r="Q94" s="1">
        <f t="shared" si="16"/>
        <v>0.73416549622858807</v>
      </c>
      <c r="R94" s="1">
        <f t="shared" si="16"/>
        <v>13.912347886093027</v>
      </c>
      <c r="S94" s="1">
        <f t="shared" si="16"/>
        <v>15.130328291043957</v>
      </c>
      <c r="T94" s="1">
        <f t="shared" si="16"/>
        <v>16.458780284453322</v>
      </c>
      <c r="U94" s="1">
        <f t="shared" si="16"/>
        <v>20.295343620093458</v>
      </c>
      <c r="V94" s="1">
        <f t="shared" si="16"/>
        <v>15.331061964289534</v>
      </c>
    </row>
    <row r="95" spans="1:22" ht="15.6" x14ac:dyDescent="0.3">
      <c r="B95" s="197"/>
      <c r="J95" s="197"/>
      <c r="R95" s="197"/>
    </row>
    <row r="96" spans="1:22" ht="15.6" x14ac:dyDescent="0.3">
      <c r="B96" s="197"/>
      <c r="I96" s="197"/>
      <c r="J96" s="197"/>
      <c r="R96" s="197"/>
    </row>
    <row r="97" spans="2:27" ht="15.6" x14ac:dyDescent="0.3">
      <c r="B97" s="197"/>
      <c r="I97" s="197"/>
      <c r="J97" s="197"/>
      <c r="R97" s="197"/>
    </row>
    <row r="98" spans="2:27" ht="15.6" x14ac:dyDescent="0.3">
      <c r="B98" s="197"/>
      <c r="I98" s="197"/>
      <c r="J98" s="197"/>
      <c r="R98" s="197"/>
    </row>
    <row r="99" spans="2:27" ht="15.6" x14ac:dyDescent="0.3">
      <c r="B99" s="197"/>
      <c r="I99" s="197"/>
      <c r="J99" s="197"/>
      <c r="N99" s="1"/>
      <c r="O99" s="1"/>
      <c r="R99" s="197"/>
    </row>
    <row r="100" spans="2:27" ht="15.6" x14ac:dyDescent="0.3">
      <c r="B100" s="197"/>
      <c r="H100" s="1"/>
      <c r="I100" s="1"/>
      <c r="J100" s="1"/>
      <c r="K100" s="1"/>
      <c r="L100" s="1"/>
      <c r="M100" s="1"/>
      <c r="N100" s="1"/>
      <c r="O100" s="1"/>
      <c r="P100" s="1"/>
      <c r="Q100" s="1"/>
      <c r="R100" s="1"/>
      <c r="S100" s="1"/>
      <c r="T100" s="1"/>
      <c r="U100" s="1"/>
      <c r="V100" s="1"/>
      <c r="W100" s="1"/>
      <c r="X100" s="1"/>
      <c r="Y100" s="1"/>
      <c r="Z100" s="1"/>
      <c r="AA100" s="1"/>
    </row>
    <row r="101" spans="2:27" x14ac:dyDescent="0.3">
      <c r="H101" s="1"/>
      <c r="I101" s="1"/>
      <c r="J101" s="1"/>
      <c r="K101" s="1"/>
      <c r="L101" s="1"/>
      <c r="M101" s="1"/>
      <c r="N101" s="1"/>
      <c r="O101" s="1"/>
      <c r="P101" s="1"/>
      <c r="Q101" s="1"/>
      <c r="R101" s="1"/>
      <c r="S101" s="1"/>
      <c r="T101" s="1"/>
      <c r="U101" s="1"/>
      <c r="V101" s="1"/>
      <c r="W101" s="1"/>
      <c r="X101" s="1"/>
      <c r="Y101" s="1"/>
      <c r="Z101" s="1"/>
      <c r="AA101" s="1"/>
    </row>
    <row r="102" spans="2:27" x14ac:dyDescent="0.3">
      <c r="N102" s="1"/>
      <c r="O102" s="1"/>
    </row>
    <row r="103" spans="2:27" x14ac:dyDescent="0.3">
      <c r="N103" s="1"/>
      <c r="O103" s="1"/>
    </row>
    <row r="104" spans="2:27" x14ac:dyDescent="0.3">
      <c r="N104" s="1"/>
      <c r="O104" s="1"/>
    </row>
    <row r="105" spans="2:27" x14ac:dyDescent="0.3">
      <c r="D105" s="1"/>
      <c r="E105" s="1"/>
      <c r="N105" s="1"/>
      <c r="O105" s="1"/>
    </row>
    <row r="106" spans="2:27" x14ac:dyDescent="0.3">
      <c r="D106" s="1"/>
      <c r="E106" s="1"/>
      <c r="N106" s="1"/>
      <c r="O106" s="1"/>
    </row>
    <row r="107" spans="2:27" x14ac:dyDescent="0.3">
      <c r="D107" s="1"/>
      <c r="E107" s="1"/>
      <c r="N107" s="1"/>
      <c r="O107" s="1"/>
    </row>
    <row r="108" spans="2:27" x14ac:dyDescent="0.3">
      <c r="D108" s="1"/>
      <c r="E108" s="1"/>
      <c r="N108" s="1"/>
      <c r="O108" s="1"/>
    </row>
    <row r="109" spans="2:27" x14ac:dyDescent="0.3">
      <c r="D109" s="1"/>
      <c r="E109" s="1"/>
      <c r="N109" s="1"/>
      <c r="O109" s="1"/>
    </row>
    <row r="110" spans="2:27" x14ac:dyDescent="0.3">
      <c r="D110" s="1"/>
      <c r="E110" s="1"/>
    </row>
    <row r="111" spans="2:27" x14ac:dyDescent="0.3">
      <c r="D111" s="1"/>
      <c r="E111" s="1"/>
    </row>
    <row r="112" spans="2:27" x14ac:dyDescent="0.3">
      <c r="D112" s="1"/>
      <c r="E112" s="1"/>
    </row>
    <row r="113" spans="4:43" x14ac:dyDescent="0.3">
      <c r="D113" s="1"/>
      <c r="E113" s="1"/>
    </row>
    <row r="114" spans="4:43" x14ac:dyDescent="0.3">
      <c r="D114" s="1"/>
      <c r="E114" s="1"/>
    </row>
    <row r="115" spans="4:43" x14ac:dyDescent="0.3">
      <c r="D115" s="1"/>
      <c r="E115" s="1"/>
    </row>
    <row r="117" spans="4:43" x14ac:dyDescent="0.3">
      <c r="N117" s="1"/>
      <c r="R117" s="1"/>
      <c r="S117" s="1"/>
      <c r="T117" s="1"/>
      <c r="U117" s="1"/>
      <c r="V117" s="1"/>
      <c r="W117" s="1"/>
      <c r="X117" s="1"/>
      <c r="Y117" s="1"/>
      <c r="Z117" s="1"/>
      <c r="AA117" s="1"/>
      <c r="AB117" s="1"/>
      <c r="AC117" s="1"/>
      <c r="AD117" s="1"/>
      <c r="AE117" s="1"/>
      <c r="AF117" s="1"/>
      <c r="AG117" s="1"/>
      <c r="AH117" s="1"/>
      <c r="AI117" s="1"/>
      <c r="AJ117" s="1" t="s">
        <v>2969</v>
      </c>
      <c r="AK117" s="1">
        <v>1.9400000000000001E-2</v>
      </c>
      <c r="AL117" s="1" t="s">
        <v>2969</v>
      </c>
      <c r="AM117" s="1" t="s">
        <v>2967</v>
      </c>
      <c r="AN117" s="1" t="s">
        <v>2967</v>
      </c>
      <c r="AO117" s="1" t="s">
        <v>2967</v>
      </c>
      <c r="AP117" s="1" t="s">
        <v>2967</v>
      </c>
      <c r="AQ117" s="1" t="s">
        <v>2967</v>
      </c>
    </row>
    <row r="118" spans="4:43" x14ac:dyDescent="0.3">
      <c r="N118" s="1"/>
      <c r="R118" s="1"/>
      <c r="S118" s="1"/>
      <c r="T118" s="1"/>
      <c r="U118" s="1"/>
      <c r="V118" s="1"/>
      <c r="W118" s="1"/>
      <c r="X118" s="1"/>
      <c r="Y118" s="1"/>
      <c r="Z118" s="1"/>
      <c r="AA118" s="1"/>
      <c r="AB118" s="1"/>
      <c r="AC118" s="1"/>
      <c r="AD118" s="1"/>
      <c r="AE118" s="1"/>
      <c r="AF118" s="1"/>
      <c r="AG118" s="1"/>
      <c r="AH118" s="1"/>
      <c r="AI118" s="1"/>
      <c r="AJ118" s="1" t="s">
        <v>2968</v>
      </c>
      <c r="AK118" s="1" t="s">
        <v>2970</v>
      </c>
      <c r="AL118" s="1" t="s">
        <v>2968</v>
      </c>
      <c r="AM118" s="1" t="s">
        <v>2966</v>
      </c>
      <c r="AN118" s="1" t="s">
        <v>2966</v>
      </c>
      <c r="AO118" s="1" t="s">
        <v>2966</v>
      </c>
      <c r="AP118" s="1" t="s">
        <v>2966</v>
      </c>
      <c r="AQ118" s="1" t="s">
        <v>2966</v>
      </c>
    </row>
    <row r="119" spans="4:43" x14ac:dyDescent="0.3">
      <c r="N119" s="1"/>
    </row>
    <row r="120" spans="4:43" x14ac:dyDescent="0.3">
      <c r="D120" s="1"/>
      <c r="E120" s="1"/>
      <c r="N120" s="1"/>
      <c r="O120" s="1"/>
    </row>
    <row r="121" spans="4:43" x14ac:dyDescent="0.3">
      <c r="D121" s="1"/>
      <c r="E121" s="1"/>
      <c r="N121" s="1"/>
      <c r="O121" s="1"/>
    </row>
    <row r="122" spans="4:43" x14ac:dyDescent="0.3">
      <c r="D122" s="1"/>
      <c r="E122" s="1"/>
      <c r="N122" s="1"/>
      <c r="O122" s="1"/>
    </row>
    <row r="123" spans="4:43" x14ac:dyDescent="0.3">
      <c r="D123" s="1"/>
      <c r="E123" s="1"/>
      <c r="N123" s="1"/>
      <c r="O123" s="1"/>
    </row>
    <row r="124" spans="4:43" x14ac:dyDescent="0.3">
      <c r="D124" s="1"/>
      <c r="E124" s="1"/>
      <c r="N124" s="1"/>
      <c r="O124"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21875" defaultRowHeight="14.4" x14ac:dyDescent="0.3"/>
  <cols>
    <col min="1" max="1" width="33.77734375" style="41" bestFit="1" customWidth="1"/>
    <col min="2" max="3" width="14" style="41" bestFit="1" customWidth="1"/>
    <col min="4" max="4" width="14" style="41" customWidth="1"/>
    <col min="5" max="5" width="16" style="15" bestFit="1" customWidth="1"/>
    <col min="6" max="8" width="16" style="15" customWidth="1"/>
    <col min="9" max="13" width="19.21875" style="15" customWidth="1"/>
    <col min="14" max="14" width="32.21875" style="15" bestFit="1" customWidth="1"/>
    <col min="15" max="15" width="19.5546875" style="41" customWidth="1"/>
    <col min="16" max="16384" width="9.21875" style="41"/>
  </cols>
  <sheetData>
    <row r="1" spans="1:15" s="48" customFormat="1" ht="26.4" thickBot="1" x14ac:dyDescent="0.35">
      <c r="A1" s="233" t="s">
        <v>104</v>
      </c>
      <c r="B1" s="234"/>
      <c r="C1" s="234"/>
      <c r="D1" s="234"/>
      <c r="E1" s="234"/>
      <c r="F1" s="234"/>
      <c r="G1" s="234"/>
      <c r="H1" s="234"/>
      <c r="I1" s="234"/>
      <c r="J1" s="234"/>
      <c r="K1" s="234"/>
      <c r="L1" s="234"/>
      <c r="M1" s="234"/>
      <c r="N1" s="234"/>
      <c r="O1" s="235"/>
    </row>
    <row r="2" spans="1:15" s="48" customFormat="1" ht="26.4" thickBot="1" x14ac:dyDescent="0.35">
      <c r="A2" s="233" t="s">
        <v>105</v>
      </c>
      <c r="B2" s="234"/>
      <c r="C2" s="234"/>
      <c r="D2" s="234"/>
      <c r="E2" s="234"/>
      <c r="F2" s="234"/>
      <c r="G2" s="234"/>
      <c r="H2" s="234"/>
      <c r="I2" s="234"/>
      <c r="J2" s="234"/>
      <c r="K2" s="234"/>
      <c r="L2" s="234"/>
      <c r="M2" s="234"/>
      <c r="N2" s="234"/>
      <c r="O2" s="235"/>
    </row>
    <row r="3" spans="1:15" s="76" customFormat="1" ht="15.6" x14ac:dyDescent="0.3">
      <c r="H3" s="77"/>
      <c r="I3" s="77"/>
      <c r="J3" s="77"/>
      <c r="K3" s="77"/>
      <c r="L3" s="77"/>
      <c r="M3" s="77"/>
      <c r="N3" s="77"/>
    </row>
    <row r="4" spans="1:15" s="76" customFormat="1" ht="15.6" x14ac:dyDescent="0.3">
      <c r="O4"/>
    </row>
    <row r="5" spans="1:15" s="76" customFormat="1" ht="45.75" customHeight="1" thickBot="1" x14ac:dyDescent="0.35">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6" x14ac:dyDescent="0.3">
      <c r="A6" s="79" t="s">
        <v>28</v>
      </c>
      <c r="B6" s="99">
        <v>64</v>
      </c>
      <c r="C6" s="79"/>
      <c r="D6" s="79"/>
      <c r="E6" s="89"/>
      <c r="F6" s="90"/>
      <c r="G6" s="128">
        <f>IF(F6="NS","NC",ROUND(B6,2-(1+INT(LOG10(ABS(B6))))))</f>
        <v>64</v>
      </c>
      <c r="H6" s="120"/>
      <c r="I6" s="120"/>
      <c r="J6" s="121"/>
      <c r="K6" s="122"/>
      <c r="L6" s="124"/>
      <c r="M6" s="121"/>
      <c r="N6" s="91"/>
      <c r="O6"/>
    </row>
    <row r="7" spans="1:15" s="76" customFormat="1" ht="15.6" x14ac:dyDescent="0.3">
      <c r="A7" s="79" t="str">
        <f>'Page de garde'!A15</f>
        <v>Dutasteride-0,01mg/L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Dutasteride-0.01mg/L : 0%</v>
      </c>
      <c r="O7"/>
    </row>
    <row r="8" spans="1:15" s="76" customFormat="1" ht="15.6" x14ac:dyDescent="0.3">
      <c r="A8" s="79" t="str">
        <f>'Page de garde'!A16</f>
        <v>Dutasteride-0,1mg/L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Dutasteride-0.1mg/L : 0%</v>
      </c>
      <c r="O8"/>
    </row>
    <row r="9" spans="1:15" s="76" customFormat="1" ht="15.6" x14ac:dyDescent="0.3">
      <c r="A9" s="79" t="str">
        <f>'Page de garde'!A17</f>
        <v>Dutasteride-0,25mg/L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Dutasteride-0.25mg/L : 0%</v>
      </c>
      <c r="O9"/>
    </row>
    <row r="10" spans="1:15" s="76" customFormat="1" ht="15.6" x14ac:dyDescent="0.3">
      <c r="A10" s="79" t="str">
        <f>'Page de garde'!A18</f>
        <v>Dutasteride-0,5mg/L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Dutasteride-0.5mg/L : 0%</v>
      </c>
      <c r="O10"/>
    </row>
    <row r="11" spans="1:15" s="76" customFormat="1" ht="15.6" x14ac:dyDescent="0.3">
      <c r="A11" s="79" t="str">
        <f>'Page de garde'!A19</f>
        <v>Dutasteride-1mg/L</v>
      </c>
      <c r="B11" s="99"/>
      <c r="C11" s="79"/>
      <c r="D11" s="84"/>
      <c r="E11" s="81"/>
      <c r="F11" s="97"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2" t="str">
        <f>IF(H11="Non",CONCATENATE(VLOOKUP(A11,liste_groupe[],5,FALSE),"-",VLOOKUP(A11,liste_groupe[],3,FALSE),VLOOKUP(A11,liste_groupe[],4,FALSE)," : ",ROUND(K11,0),"%"),CONCATENATE(VLOOKUP(A11,liste_groupe[],5,FALSE)," : ",ROUND(K11,0),"%"))</f>
        <v>Dutasteride-1mg/L : 0%</v>
      </c>
      <c r="O11"/>
    </row>
    <row r="12" spans="1:15" s="76" customFormat="1" ht="15.6" x14ac:dyDescent="0.3">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6" x14ac:dyDescent="0.3">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6" x14ac:dyDescent="0.3">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6" x14ac:dyDescent="0.3">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6" x14ac:dyDescent="0.3">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6" x14ac:dyDescent="0.3">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6" x14ac:dyDescent="0.3">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6" x14ac:dyDescent="0.3">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6" x14ac:dyDescent="0.3">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6" x14ac:dyDescent="0.3">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6" x14ac:dyDescent="0.3">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6" x14ac:dyDescent="0.3">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6" x14ac:dyDescent="0.3">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6" x14ac:dyDescent="0.3">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6" x14ac:dyDescent="0.3">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6" x14ac:dyDescent="0.3">
      <c r="A27"/>
      <c r="B27"/>
      <c r="C27"/>
      <c r="D27"/>
      <c r="E27"/>
      <c r="F27"/>
      <c r="G27"/>
      <c r="H27"/>
      <c r="I27"/>
      <c r="J27"/>
      <c r="K27"/>
      <c r="L27"/>
      <c r="M27"/>
      <c r="N27"/>
      <c r="O27" s="1"/>
    </row>
    <row r="28" spans="1:15" s="76" customFormat="1" ht="31.8" thickBot="1" x14ac:dyDescent="0.35">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6" x14ac:dyDescent="0.3">
      <c r="A29" s="83" t="s">
        <v>29</v>
      </c>
      <c r="B29" s="99"/>
      <c r="C29" s="79"/>
      <c r="D29" s="79"/>
      <c r="E29" s="81"/>
      <c r="F29" s="90"/>
      <c r="G29" s="133"/>
      <c r="H29" s="120"/>
      <c r="I29" s="120"/>
      <c r="J29" s="121"/>
      <c r="K29" s="122"/>
      <c r="L29" s="124"/>
      <c r="M29" s="121"/>
      <c r="N29" s="91"/>
      <c r="O29"/>
    </row>
    <row r="30" spans="1:15" s="76" customFormat="1" ht="15.6" x14ac:dyDescent="0.3">
      <c r="A30" s="83" t="s">
        <v>31</v>
      </c>
      <c r="B30" s="99"/>
      <c r="C30" s="79"/>
      <c r="D30" s="79"/>
      <c r="E30" s="81"/>
      <c r="F30" s="90"/>
      <c r="G30" s="132" t="e">
        <f>IF(F30="NS","NC",ROUND(B30-$B$29,2-(1+INT(LOG10(ABS(B30-$B$29))))))</f>
        <v>#NUM!</v>
      </c>
      <c r="H30" s="120"/>
      <c r="I30" s="133"/>
      <c r="J30" s="134"/>
      <c r="K30" s="135"/>
      <c r="L30" s="134"/>
      <c r="M30" s="134"/>
      <c r="N30" s="136"/>
      <c r="O30"/>
    </row>
    <row r="31" spans="1:15" s="76" customFormat="1" ht="15.6" x14ac:dyDescent="0.3">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6" x14ac:dyDescent="0.3">
      <c r="A32" s="127" t="str">
        <f>'Page de garde'!A39</f>
        <v>Dutasteride-0.01mg/L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Dutasteride-0.01mg/L : 0%</v>
      </c>
    </row>
    <row r="33" spans="1:14" s="76" customFormat="1" ht="15.6" x14ac:dyDescent="0.3">
      <c r="A33" s="127" t="str">
        <f>'Page de garde'!A40</f>
        <v>Dutasteride-0.1mg/L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Dutasteride-0.1mg/L : 0%</v>
      </c>
    </row>
    <row r="34" spans="1:14" s="76" customFormat="1" ht="15.6" x14ac:dyDescent="0.3">
      <c r="A34" s="127" t="str">
        <f>'Page de garde'!A41</f>
        <v>Dutasteride-0.25mg/L + Testostérone</v>
      </c>
      <c r="B34" s="99"/>
      <c r="C34" s="79"/>
      <c r="D34" s="79"/>
      <c r="E34" s="81"/>
      <c r="F34" s="93" t="str">
        <f>HLOOKUP(A34,'pooled normalised values'!$B$74:$V$83,10,FALSE)</f>
        <v>ns</v>
      </c>
      <c r="G34" s="132" t="str">
        <f t="shared" si="6"/>
        <v>NC</v>
      </c>
      <c r="H34" s="123" t="str">
        <f>IF(VLOOKUP(A34,liste_groupe[],4,FALSE)="%",VLOOKUP(A34,liste_groupe[],3,FALSE)/100,IF(ISBLANK(VLOOKUP(A34,liste_groupe[],4,FALSE)),"Non","Non"))</f>
        <v>Non</v>
      </c>
      <c r="I34" s="132" t="str">
        <f t="shared" si="7"/>
        <v>NC</v>
      </c>
      <c r="J34" s="137" t="e">
        <f t="shared" si="8"/>
        <v>#NUM!</v>
      </c>
      <c r="K34" s="138">
        <f t="shared" si="9"/>
        <v>0</v>
      </c>
      <c r="L34" s="139"/>
      <c r="M34" s="131">
        <f t="shared" si="10"/>
        <v>0</v>
      </c>
      <c r="N34" s="140" t="str">
        <f>IF(H34="Non",CONCATENATE(VLOOKUP(A34,liste_groupe[],5,FALSE),"-",VLOOKUP(A34,liste_groupe[],3,FALSE),VLOOKUP(A34,liste_groupe[],4,FALSE)," : ",ROUND(K34,0),"%"),CONCATENATE(VLOOKUP(A34,liste_groupe[],5,FALSE)," : ",ROUND(K34,0),"%"))</f>
        <v>Dutasteride-0.25mg/L : 0%</v>
      </c>
    </row>
    <row r="35" spans="1:14" s="76" customFormat="1" ht="15.6" x14ac:dyDescent="0.3">
      <c r="A35" s="127" t="str">
        <f>'Page de garde'!A42</f>
        <v>Dutasteride-0.5mg/L + Testostérone</v>
      </c>
      <c r="B35" s="98"/>
      <c r="C35" s="86"/>
      <c r="D35" s="86"/>
      <c r="E35" s="81"/>
      <c r="F35" s="93"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6" customFormat="1" ht="15.6" x14ac:dyDescent="0.3">
      <c r="A36" s="127" t="str">
        <f>'Page de garde'!A43</f>
        <v>Dutasteride-1mg/L + Testostérone</v>
      </c>
      <c r="B36" s="98"/>
      <c r="C36" s="86"/>
      <c r="D36" s="86"/>
      <c r="E36" s="81"/>
      <c r="F36" s="93" t="str">
        <f>HLOOKUP(A36,'pooled normalised values'!$B$74:$V$83,10,FALSE)</f>
        <v>ns</v>
      </c>
      <c r="G36" s="132" t="str">
        <f t="shared" si="6"/>
        <v>NC</v>
      </c>
      <c r="H36" s="123" t="str">
        <f>IF(VLOOKUP(A36,liste_groupe[],4,FALSE)="%",VLOOKUP(A36,liste_groupe[],3,FALSE)/100,IF(ISBLANK(VLOOKUP(A36,liste_groupe[],4,FALSE)),"Non","Non"))</f>
        <v>Non</v>
      </c>
      <c r="I36" s="132" t="str">
        <f t="shared" si="7"/>
        <v>NC</v>
      </c>
      <c r="J36" s="137" t="e">
        <f t="shared" si="8"/>
        <v>#NUM!</v>
      </c>
      <c r="K36" s="138">
        <f t="shared" si="9"/>
        <v>0</v>
      </c>
      <c r="L36" s="139"/>
      <c r="M36" s="131">
        <f t="shared" si="10"/>
        <v>0</v>
      </c>
      <c r="N36" s="140" t="str">
        <f>IF(H36="Non",CONCATENATE(VLOOKUP(A36,liste_groupe[],5,FALSE),"-",VLOOKUP(A36,liste_groupe[],3,FALSE),VLOOKUP(A36,liste_groupe[],4,FALSE)," : ",ROUND(K36,0),"%"),CONCATENATE(VLOOKUP(A36,liste_groupe[],5,FALSE)," : ",ROUND(K36,0),"%"))</f>
        <v>Dutasteride-1mg/L : 0%</v>
      </c>
    </row>
    <row r="37" spans="1:14" s="76" customFormat="1" ht="15.6" x14ac:dyDescent="0.3">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6" x14ac:dyDescent="0.3">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6" x14ac:dyDescent="0.3">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6" x14ac:dyDescent="0.3">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6" x14ac:dyDescent="0.3">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6" x14ac:dyDescent="0.3">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6" x14ac:dyDescent="0.3">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6" x14ac:dyDescent="0.3">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6" x14ac:dyDescent="0.3">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6" x14ac:dyDescent="0.3">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6" x14ac:dyDescent="0.3">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6" x14ac:dyDescent="0.3">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6" x14ac:dyDescent="0.3">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6" x14ac:dyDescent="0.3">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6" x14ac:dyDescent="0.3">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2" thickBot="1" x14ac:dyDescent="0.35">
      <c r="E52" s="77"/>
      <c r="F52" s="77"/>
      <c r="G52" s="77"/>
      <c r="H52" s="77"/>
      <c r="I52" s="77"/>
      <c r="J52" s="77"/>
      <c r="K52" s="77"/>
      <c r="L52" s="77"/>
      <c r="M52" s="77"/>
      <c r="N52" s="77"/>
    </row>
    <row r="53" spans="1:15" s="48" customFormat="1" ht="26.4" thickBot="1" x14ac:dyDescent="0.35">
      <c r="A53" s="233" t="s">
        <v>60</v>
      </c>
      <c r="B53" s="234"/>
      <c r="C53" s="234"/>
      <c r="D53" s="234"/>
      <c r="E53" s="234"/>
      <c r="F53" s="234"/>
      <c r="G53" s="234"/>
      <c r="H53" s="234"/>
      <c r="I53" s="234"/>
      <c r="J53" s="234"/>
      <c r="K53" s="234"/>
      <c r="L53" s="234"/>
      <c r="M53" s="234"/>
      <c r="N53" s="234"/>
      <c r="O53" s="235"/>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4140625" defaultRowHeight="14.4" x14ac:dyDescent="0.3"/>
  <cols>
    <col min="1" max="1" width="22.77734375" style="178" customWidth="1"/>
    <col min="2" max="2" width="46.21875" style="178" customWidth="1"/>
    <col min="3" max="3" width="15.21875" style="178" customWidth="1"/>
    <col min="4" max="4" width="24.77734375" style="178" customWidth="1"/>
    <col min="5" max="5" width="24.44140625" style="178" customWidth="1"/>
    <col min="6" max="6" width="23.21875" style="178" customWidth="1"/>
    <col min="7" max="7" width="21.21875" style="178" customWidth="1"/>
    <col min="8" max="16384" width="11.44140625" style="178"/>
  </cols>
  <sheetData>
    <row r="1" spans="1:7" ht="29.4" thickBot="1" x14ac:dyDescent="0.35">
      <c r="A1" s="183" t="s">
        <v>132</v>
      </c>
      <c r="B1" s="184" t="s">
        <v>133</v>
      </c>
      <c r="C1" s="184" t="s">
        <v>139</v>
      </c>
      <c r="D1" s="184" t="s">
        <v>138</v>
      </c>
      <c r="E1" s="184" t="s">
        <v>140</v>
      </c>
      <c r="F1" s="185" t="s">
        <v>141</v>
      </c>
      <c r="G1" s="186" t="s">
        <v>142</v>
      </c>
    </row>
    <row r="2" spans="1:7" ht="57.6" x14ac:dyDescent="0.3">
      <c r="A2" s="179" t="s">
        <v>134</v>
      </c>
      <c r="B2" s="180" t="s">
        <v>135</v>
      </c>
      <c r="C2" s="180" t="s">
        <v>136</v>
      </c>
      <c r="D2" s="180" t="s">
        <v>143</v>
      </c>
      <c r="E2" s="180" t="s">
        <v>137</v>
      </c>
      <c r="F2" s="181" t="s">
        <v>136</v>
      </c>
      <c r="G2" s="182" t="s">
        <v>136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19" width="14.77734375" style="17" customWidth="1"/>
    <col min="20" max="21" width="11.44140625" style="17"/>
    <col min="22" max="22" width="13.5546875" style="17" bestFit="1" customWidth="1"/>
    <col min="23" max="34" width="13.5546875" style="17" customWidth="1"/>
    <col min="35" max="35" width="13.5546875" style="17" bestFit="1" customWidth="1"/>
    <col min="36" max="282" width="11.44140625" style="17"/>
    <col min="283" max="283" width="18.77734375" style="17" customWidth="1"/>
    <col min="284" max="284" width="13.77734375" style="17" bestFit="1" customWidth="1"/>
    <col min="285" max="285" width="17.21875" style="17" customWidth="1"/>
    <col min="286" max="286" width="11" style="17" customWidth="1"/>
    <col min="287" max="287" width="12" style="17" bestFit="1" customWidth="1"/>
    <col min="288" max="288" width="14.77734375" style="17" customWidth="1"/>
    <col min="289" max="538" width="11.44140625" style="17"/>
    <col min="539" max="539" width="18.77734375" style="17" customWidth="1"/>
    <col min="540" max="540" width="13.77734375" style="17" bestFit="1" customWidth="1"/>
    <col min="541" max="541" width="17.21875" style="17" customWidth="1"/>
    <col min="542" max="542" width="11" style="17" customWidth="1"/>
    <col min="543" max="543" width="12" style="17" bestFit="1" customWidth="1"/>
    <col min="544" max="544" width="14.77734375" style="17" customWidth="1"/>
    <col min="545" max="794" width="11.44140625" style="17"/>
    <col min="795" max="795" width="18.77734375" style="17" customWidth="1"/>
    <col min="796" max="796" width="13.77734375" style="17" bestFit="1" customWidth="1"/>
    <col min="797" max="797" width="17.21875" style="17" customWidth="1"/>
    <col min="798" max="798" width="11" style="17" customWidth="1"/>
    <col min="799" max="799" width="12" style="17" bestFit="1" customWidth="1"/>
    <col min="800" max="800" width="14.77734375" style="17" customWidth="1"/>
    <col min="801" max="1050" width="11.44140625" style="17"/>
    <col min="1051" max="1051" width="18.77734375" style="17" customWidth="1"/>
    <col min="1052" max="1052" width="13.77734375" style="17" bestFit="1" customWidth="1"/>
    <col min="1053" max="1053" width="17.21875" style="17" customWidth="1"/>
    <col min="1054" max="1054" width="11" style="17" customWidth="1"/>
    <col min="1055" max="1055" width="12" style="17" bestFit="1" customWidth="1"/>
    <col min="1056" max="1056" width="14.77734375" style="17" customWidth="1"/>
    <col min="1057" max="1306" width="11.44140625" style="17"/>
    <col min="1307" max="1307" width="18.77734375" style="17" customWidth="1"/>
    <col min="1308" max="1308" width="13.77734375" style="17" bestFit="1" customWidth="1"/>
    <col min="1309" max="1309" width="17.21875" style="17" customWidth="1"/>
    <col min="1310" max="1310" width="11" style="17" customWidth="1"/>
    <col min="1311" max="1311" width="12" style="17" bestFit="1" customWidth="1"/>
    <col min="1312" max="1312" width="14.77734375" style="17" customWidth="1"/>
    <col min="1313" max="1562" width="11.44140625" style="17"/>
    <col min="1563" max="1563" width="18.77734375" style="17" customWidth="1"/>
    <col min="1564" max="1564" width="13.77734375" style="17" bestFit="1" customWidth="1"/>
    <col min="1565" max="1565" width="17.21875" style="17" customWidth="1"/>
    <col min="1566" max="1566" width="11" style="17" customWidth="1"/>
    <col min="1567" max="1567" width="12" style="17" bestFit="1" customWidth="1"/>
    <col min="1568" max="1568" width="14.77734375" style="17" customWidth="1"/>
    <col min="1569" max="1818" width="11.44140625" style="17"/>
    <col min="1819" max="1819" width="18.77734375" style="17" customWidth="1"/>
    <col min="1820" max="1820" width="13.77734375" style="17" bestFit="1" customWidth="1"/>
    <col min="1821" max="1821" width="17.21875" style="17" customWidth="1"/>
    <col min="1822" max="1822" width="11" style="17" customWidth="1"/>
    <col min="1823" max="1823" width="12" style="17" bestFit="1" customWidth="1"/>
    <col min="1824" max="1824" width="14.77734375" style="17" customWidth="1"/>
    <col min="1825" max="2074" width="11.44140625" style="17"/>
    <col min="2075" max="2075" width="18.77734375" style="17" customWidth="1"/>
    <col min="2076" max="2076" width="13.77734375" style="17" bestFit="1" customWidth="1"/>
    <col min="2077" max="2077" width="17.21875" style="17" customWidth="1"/>
    <col min="2078" max="2078" width="11" style="17" customWidth="1"/>
    <col min="2079" max="2079" width="12" style="17" bestFit="1" customWidth="1"/>
    <col min="2080" max="2080" width="14.77734375" style="17" customWidth="1"/>
    <col min="2081" max="2330" width="11.44140625" style="17"/>
    <col min="2331" max="2331" width="18.77734375" style="17" customWidth="1"/>
    <col min="2332" max="2332" width="13.77734375" style="17" bestFit="1" customWidth="1"/>
    <col min="2333" max="2333" width="17.21875" style="17" customWidth="1"/>
    <col min="2334" max="2334" width="11" style="17" customWidth="1"/>
    <col min="2335" max="2335" width="12" style="17" bestFit="1" customWidth="1"/>
    <col min="2336" max="2336" width="14.77734375" style="17" customWidth="1"/>
    <col min="2337" max="2586" width="11.44140625" style="17"/>
    <col min="2587" max="2587" width="18.77734375" style="17" customWidth="1"/>
    <col min="2588" max="2588" width="13.77734375" style="17" bestFit="1" customWidth="1"/>
    <col min="2589" max="2589" width="17.21875" style="17" customWidth="1"/>
    <col min="2590" max="2590" width="11" style="17" customWidth="1"/>
    <col min="2591" max="2591" width="12" style="17" bestFit="1" customWidth="1"/>
    <col min="2592" max="2592" width="14.77734375" style="17" customWidth="1"/>
    <col min="2593" max="2842" width="11.44140625" style="17"/>
    <col min="2843" max="2843" width="18.77734375" style="17" customWidth="1"/>
    <col min="2844" max="2844" width="13.77734375" style="17" bestFit="1" customWidth="1"/>
    <col min="2845" max="2845" width="17.21875" style="17" customWidth="1"/>
    <col min="2846" max="2846" width="11" style="17" customWidth="1"/>
    <col min="2847" max="2847" width="12" style="17" bestFit="1" customWidth="1"/>
    <col min="2848" max="2848" width="14.77734375" style="17" customWidth="1"/>
    <col min="2849" max="3098" width="11.44140625" style="17"/>
    <col min="3099" max="3099" width="18.77734375" style="17" customWidth="1"/>
    <col min="3100" max="3100" width="13.77734375" style="17" bestFit="1" customWidth="1"/>
    <col min="3101" max="3101" width="17.21875" style="17" customWidth="1"/>
    <col min="3102" max="3102" width="11" style="17" customWidth="1"/>
    <col min="3103" max="3103" width="12" style="17" bestFit="1" customWidth="1"/>
    <col min="3104" max="3104" width="14.77734375" style="17" customWidth="1"/>
    <col min="3105" max="3354" width="11.44140625" style="17"/>
    <col min="3355" max="3355" width="18.77734375" style="17" customWidth="1"/>
    <col min="3356" max="3356" width="13.77734375" style="17" bestFit="1" customWidth="1"/>
    <col min="3357" max="3357" width="17.21875" style="17" customWidth="1"/>
    <col min="3358" max="3358" width="11" style="17" customWidth="1"/>
    <col min="3359" max="3359" width="12" style="17" bestFit="1" customWidth="1"/>
    <col min="3360" max="3360" width="14.77734375" style="17" customWidth="1"/>
    <col min="3361" max="3610" width="11.44140625" style="17"/>
    <col min="3611" max="3611" width="18.77734375" style="17" customWidth="1"/>
    <col min="3612" max="3612" width="13.77734375" style="17" bestFit="1" customWidth="1"/>
    <col min="3613" max="3613" width="17.21875" style="17" customWidth="1"/>
    <col min="3614" max="3614" width="11" style="17" customWidth="1"/>
    <col min="3615" max="3615" width="12" style="17" bestFit="1" customWidth="1"/>
    <col min="3616" max="3616" width="14.77734375" style="17" customWidth="1"/>
    <col min="3617" max="3866" width="11.44140625" style="17"/>
    <col min="3867" max="3867" width="18.77734375" style="17" customWidth="1"/>
    <col min="3868" max="3868" width="13.77734375" style="17" bestFit="1" customWidth="1"/>
    <col min="3869" max="3869" width="17.21875" style="17" customWidth="1"/>
    <col min="3870" max="3870" width="11" style="17" customWidth="1"/>
    <col min="3871" max="3871" width="12" style="17" bestFit="1" customWidth="1"/>
    <col min="3872" max="3872" width="14.77734375" style="17" customWidth="1"/>
    <col min="3873" max="4122" width="11.44140625" style="17"/>
    <col min="4123" max="4123" width="18.77734375" style="17" customWidth="1"/>
    <col min="4124" max="4124" width="13.77734375" style="17" bestFit="1" customWidth="1"/>
    <col min="4125" max="4125" width="17.21875" style="17" customWidth="1"/>
    <col min="4126" max="4126" width="11" style="17" customWidth="1"/>
    <col min="4127" max="4127" width="12" style="17" bestFit="1" customWidth="1"/>
    <col min="4128" max="4128" width="14.77734375" style="17" customWidth="1"/>
    <col min="4129" max="4378" width="11.44140625" style="17"/>
    <col min="4379" max="4379" width="18.77734375" style="17" customWidth="1"/>
    <col min="4380" max="4380" width="13.77734375" style="17" bestFit="1" customWidth="1"/>
    <col min="4381" max="4381" width="17.21875" style="17" customWidth="1"/>
    <col min="4382" max="4382" width="11" style="17" customWidth="1"/>
    <col min="4383" max="4383" width="12" style="17" bestFit="1" customWidth="1"/>
    <col min="4384" max="4384" width="14.77734375" style="17" customWidth="1"/>
    <col min="4385" max="4634" width="11.44140625" style="17"/>
    <col min="4635" max="4635" width="18.77734375" style="17" customWidth="1"/>
    <col min="4636" max="4636" width="13.77734375" style="17" bestFit="1" customWidth="1"/>
    <col min="4637" max="4637" width="17.21875" style="17" customWidth="1"/>
    <col min="4638" max="4638" width="11" style="17" customWidth="1"/>
    <col min="4639" max="4639" width="12" style="17" bestFit="1" customWidth="1"/>
    <col min="4640" max="4640" width="14.77734375" style="17" customWidth="1"/>
    <col min="4641" max="4890" width="11.44140625" style="17"/>
    <col min="4891" max="4891" width="18.77734375" style="17" customWidth="1"/>
    <col min="4892" max="4892" width="13.77734375" style="17" bestFit="1" customWidth="1"/>
    <col min="4893" max="4893" width="17.21875" style="17" customWidth="1"/>
    <col min="4894" max="4894" width="11" style="17" customWidth="1"/>
    <col min="4895" max="4895" width="12" style="17" bestFit="1" customWidth="1"/>
    <col min="4896" max="4896" width="14.77734375" style="17" customWidth="1"/>
    <col min="4897" max="5146" width="11.44140625" style="17"/>
    <col min="5147" max="5147" width="18.77734375" style="17" customWidth="1"/>
    <col min="5148" max="5148" width="13.77734375" style="17" bestFit="1" customWidth="1"/>
    <col min="5149" max="5149" width="17.21875" style="17" customWidth="1"/>
    <col min="5150" max="5150" width="11" style="17" customWidth="1"/>
    <col min="5151" max="5151" width="12" style="17" bestFit="1" customWidth="1"/>
    <col min="5152" max="5152" width="14.77734375" style="17" customWidth="1"/>
    <col min="5153" max="5402" width="11.44140625" style="17"/>
    <col min="5403" max="5403" width="18.77734375" style="17" customWidth="1"/>
    <col min="5404" max="5404" width="13.77734375" style="17" bestFit="1" customWidth="1"/>
    <col min="5405" max="5405" width="17.21875" style="17" customWidth="1"/>
    <col min="5406" max="5406" width="11" style="17" customWidth="1"/>
    <col min="5407" max="5407" width="12" style="17" bestFit="1" customWidth="1"/>
    <col min="5408" max="5408" width="14.77734375" style="17" customWidth="1"/>
    <col min="5409" max="5658" width="11.44140625" style="17"/>
    <col min="5659" max="5659" width="18.77734375" style="17" customWidth="1"/>
    <col min="5660" max="5660" width="13.77734375" style="17" bestFit="1" customWidth="1"/>
    <col min="5661" max="5661" width="17.21875" style="17" customWidth="1"/>
    <col min="5662" max="5662" width="11" style="17" customWidth="1"/>
    <col min="5663" max="5663" width="12" style="17" bestFit="1" customWidth="1"/>
    <col min="5664" max="5664" width="14.77734375" style="17" customWidth="1"/>
    <col min="5665" max="5914" width="11.44140625" style="17"/>
    <col min="5915" max="5915" width="18.77734375" style="17" customWidth="1"/>
    <col min="5916" max="5916" width="13.77734375" style="17" bestFit="1" customWidth="1"/>
    <col min="5917" max="5917" width="17.21875" style="17" customWidth="1"/>
    <col min="5918" max="5918" width="11" style="17" customWidth="1"/>
    <col min="5919" max="5919" width="12" style="17" bestFit="1" customWidth="1"/>
    <col min="5920" max="5920" width="14.77734375" style="17" customWidth="1"/>
    <col min="5921" max="6170" width="11.44140625" style="17"/>
    <col min="6171" max="6171" width="18.77734375" style="17" customWidth="1"/>
    <col min="6172" max="6172" width="13.77734375" style="17" bestFit="1" customWidth="1"/>
    <col min="6173" max="6173" width="17.21875" style="17" customWidth="1"/>
    <col min="6174" max="6174" width="11" style="17" customWidth="1"/>
    <col min="6175" max="6175" width="12" style="17" bestFit="1" customWidth="1"/>
    <col min="6176" max="6176" width="14.77734375" style="17" customWidth="1"/>
    <col min="6177" max="6426" width="11.44140625" style="17"/>
    <col min="6427" max="6427" width="18.77734375" style="17" customWidth="1"/>
    <col min="6428" max="6428" width="13.77734375" style="17" bestFit="1" customWidth="1"/>
    <col min="6429" max="6429" width="17.21875" style="17" customWidth="1"/>
    <col min="6430" max="6430" width="11" style="17" customWidth="1"/>
    <col min="6431" max="6431" width="12" style="17" bestFit="1" customWidth="1"/>
    <col min="6432" max="6432" width="14.77734375" style="17" customWidth="1"/>
    <col min="6433" max="6682" width="11.44140625" style="17"/>
    <col min="6683" max="6683" width="18.77734375" style="17" customWidth="1"/>
    <col min="6684" max="6684" width="13.77734375" style="17" bestFit="1" customWidth="1"/>
    <col min="6685" max="6685" width="17.21875" style="17" customWidth="1"/>
    <col min="6686" max="6686" width="11" style="17" customWidth="1"/>
    <col min="6687" max="6687" width="12" style="17" bestFit="1" customWidth="1"/>
    <col min="6688" max="6688" width="14.77734375" style="17" customWidth="1"/>
    <col min="6689" max="6938" width="11.44140625" style="17"/>
    <col min="6939" max="6939" width="18.77734375" style="17" customWidth="1"/>
    <col min="6940" max="6940" width="13.77734375" style="17" bestFit="1" customWidth="1"/>
    <col min="6941" max="6941" width="17.21875" style="17" customWidth="1"/>
    <col min="6942" max="6942" width="11" style="17" customWidth="1"/>
    <col min="6943" max="6943" width="12" style="17" bestFit="1" customWidth="1"/>
    <col min="6944" max="6944" width="14.77734375" style="17" customWidth="1"/>
    <col min="6945" max="7194" width="11.44140625" style="17"/>
    <col min="7195" max="7195" width="18.77734375" style="17" customWidth="1"/>
    <col min="7196" max="7196" width="13.77734375" style="17" bestFit="1" customWidth="1"/>
    <col min="7197" max="7197" width="17.21875" style="17" customWidth="1"/>
    <col min="7198" max="7198" width="11" style="17" customWidth="1"/>
    <col min="7199" max="7199" width="12" style="17" bestFit="1" customWidth="1"/>
    <col min="7200" max="7200" width="14.77734375" style="17" customWidth="1"/>
    <col min="7201" max="7450" width="11.44140625" style="17"/>
    <col min="7451" max="7451" width="18.77734375" style="17" customWidth="1"/>
    <col min="7452" max="7452" width="13.77734375" style="17" bestFit="1" customWidth="1"/>
    <col min="7453" max="7453" width="17.21875" style="17" customWidth="1"/>
    <col min="7454" max="7454" width="11" style="17" customWidth="1"/>
    <col min="7455" max="7455" width="12" style="17" bestFit="1" customWidth="1"/>
    <col min="7456" max="7456" width="14.77734375" style="17" customWidth="1"/>
    <col min="7457" max="7706" width="11.44140625" style="17"/>
    <col min="7707" max="7707" width="18.77734375" style="17" customWidth="1"/>
    <col min="7708" max="7708" width="13.77734375" style="17" bestFit="1" customWidth="1"/>
    <col min="7709" max="7709" width="17.21875" style="17" customWidth="1"/>
    <col min="7710" max="7710" width="11" style="17" customWidth="1"/>
    <col min="7711" max="7711" width="12" style="17" bestFit="1" customWidth="1"/>
    <col min="7712" max="7712" width="14.77734375" style="17" customWidth="1"/>
    <col min="7713" max="7962" width="11.44140625" style="17"/>
    <col min="7963" max="7963" width="18.77734375" style="17" customWidth="1"/>
    <col min="7964" max="7964" width="13.77734375" style="17" bestFit="1" customWidth="1"/>
    <col min="7965" max="7965" width="17.21875" style="17" customWidth="1"/>
    <col min="7966" max="7966" width="11" style="17" customWidth="1"/>
    <col min="7967" max="7967" width="12" style="17" bestFit="1" customWidth="1"/>
    <col min="7968" max="7968" width="14.77734375" style="17" customWidth="1"/>
    <col min="7969" max="8218" width="11.44140625" style="17"/>
    <col min="8219" max="8219" width="18.77734375" style="17" customWidth="1"/>
    <col min="8220" max="8220" width="13.77734375" style="17" bestFit="1" customWidth="1"/>
    <col min="8221" max="8221" width="17.21875" style="17" customWidth="1"/>
    <col min="8222" max="8222" width="11" style="17" customWidth="1"/>
    <col min="8223" max="8223" width="12" style="17" bestFit="1" customWidth="1"/>
    <col min="8224" max="8224" width="14.77734375" style="17" customWidth="1"/>
    <col min="8225" max="8474" width="11.44140625" style="17"/>
    <col min="8475" max="8475" width="18.77734375" style="17" customWidth="1"/>
    <col min="8476" max="8476" width="13.77734375" style="17" bestFit="1" customWidth="1"/>
    <col min="8477" max="8477" width="17.21875" style="17" customWidth="1"/>
    <col min="8478" max="8478" width="11" style="17" customWidth="1"/>
    <col min="8479" max="8479" width="12" style="17" bestFit="1" customWidth="1"/>
    <col min="8480" max="8480" width="14.77734375" style="17" customWidth="1"/>
    <col min="8481" max="8730" width="11.44140625" style="17"/>
    <col min="8731" max="8731" width="18.77734375" style="17" customWidth="1"/>
    <col min="8732" max="8732" width="13.77734375" style="17" bestFit="1" customWidth="1"/>
    <col min="8733" max="8733" width="17.21875" style="17" customWidth="1"/>
    <col min="8734" max="8734" width="11" style="17" customWidth="1"/>
    <col min="8735" max="8735" width="12" style="17" bestFit="1" customWidth="1"/>
    <col min="8736" max="8736" width="14.77734375" style="17" customWidth="1"/>
    <col min="8737" max="8986" width="11.44140625" style="17"/>
    <col min="8987" max="8987" width="18.77734375" style="17" customWidth="1"/>
    <col min="8988" max="8988" width="13.77734375" style="17" bestFit="1" customWidth="1"/>
    <col min="8989" max="8989" width="17.21875" style="17" customWidth="1"/>
    <col min="8990" max="8990" width="11" style="17" customWidth="1"/>
    <col min="8991" max="8991" width="12" style="17" bestFit="1" customWidth="1"/>
    <col min="8992" max="8992" width="14.77734375" style="17" customWidth="1"/>
    <col min="8993" max="9242" width="11.44140625" style="17"/>
    <col min="9243" max="9243" width="18.77734375" style="17" customWidth="1"/>
    <col min="9244" max="9244" width="13.77734375" style="17" bestFit="1" customWidth="1"/>
    <col min="9245" max="9245" width="17.21875" style="17" customWidth="1"/>
    <col min="9246" max="9246" width="11" style="17" customWidth="1"/>
    <col min="9247" max="9247" width="12" style="17" bestFit="1" customWidth="1"/>
    <col min="9248" max="9248" width="14.77734375" style="17" customWidth="1"/>
    <col min="9249" max="9498" width="11.44140625" style="17"/>
    <col min="9499" max="9499" width="18.77734375" style="17" customWidth="1"/>
    <col min="9500" max="9500" width="13.77734375" style="17" bestFit="1" customWidth="1"/>
    <col min="9501" max="9501" width="17.21875" style="17" customWidth="1"/>
    <col min="9502" max="9502" width="11" style="17" customWidth="1"/>
    <col min="9503" max="9503" width="12" style="17" bestFit="1" customWidth="1"/>
    <col min="9504" max="9504" width="14.77734375" style="17" customWidth="1"/>
    <col min="9505" max="9754" width="11.44140625" style="17"/>
    <col min="9755" max="9755" width="18.77734375" style="17" customWidth="1"/>
    <col min="9756" max="9756" width="13.77734375" style="17" bestFit="1" customWidth="1"/>
    <col min="9757" max="9757" width="17.21875" style="17" customWidth="1"/>
    <col min="9758" max="9758" width="11" style="17" customWidth="1"/>
    <col min="9759" max="9759" width="12" style="17" bestFit="1" customWidth="1"/>
    <col min="9760" max="9760" width="14.77734375" style="17" customWidth="1"/>
    <col min="9761" max="10010" width="11.44140625" style="17"/>
    <col min="10011" max="10011" width="18.77734375" style="17" customWidth="1"/>
    <col min="10012" max="10012" width="13.77734375" style="17" bestFit="1" customWidth="1"/>
    <col min="10013" max="10013" width="17.21875" style="17" customWidth="1"/>
    <col min="10014" max="10014" width="11" style="17" customWidth="1"/>
    <col min="10015" max="10015" width="12" style="17" bestFit="1" customWidth="1"/>
    <col min="10016" max="10016" width="14.77734375" style="17" customWidth="1"/>
    <col min="10017" max="10266" width="11.44140625" style="17"/>
    <col min="10267" max="10267" width="18.77734375" style="17" customWidth="1"/>
    <col min="10268" max="10268" width="13.77734375" style="17" bestFit="1" customWidth="1"/>
    <col min="10269" max="10269" width="17.21875" style="17" customWidth="1"/>
    <col min="10270" max="10270" width="11" style="17" customWidth="1"/>
    <col min="10271" max="10271" width="12" style="17" bestFit="1" customWidth="1"/>
    <col min="10272" max="10272" width="14.77734375" style="17" customWidth="1"/>
    <col min="10273" max="10522" width="11.44140625" style="17"/>
    <col min="10523" max="10523" width="18.77734375" style="17" customWidth="1"/>
    <col min="10524" max="10524" width="13.77734375" style="17" bestFit="1" customWidth="1"/>
    <col min="10525" max="10525" width="17.21875" style="17" customWidth="1"/>
    <col min="10526" max="10526" width="11" style="17" customWidth="1"/>
    <col min="10527" max="10527" width="12" style="17" bestFit="1" customWidth="1"/>
    <col min="10528" max="10528" width="14.77734375" style="17" customWidth="1"/>
    <col min="10529" max="10778" width="11.44140625" style="17"/>
    <col min="10779" max="10779" width="18.77734375" style="17" customWidth="1"/>
    <col min="10780" max="10780" width="13.77734375" style="17" bestFit="1" customWidth="1"/>
    <col min="10781" max="10781" width="17.21875" style="17" customWidth="1"/>
    <col min="10782" max="10782" width="11" style="17" customWidth="1"/>
    <col min="10783" max="10783" width="12" style="17" bestFit="1" customWidth="1"/>
    <col min="10784" max="10784" width="14.77734375" style="17" customWidth="1"/>
    <col min="10785" max="11034" width="11.44140625" style="17"/>
    <col min="11035" max="11035" width="18.77734375" style="17" customWidth="1"/>
    <col min="11036" max="11036" width="13.77734375" style="17" bestFit="1" customWidth="1"/>
    <col min="11037" max="11037" width="17.21875" style="17" customWidth="1"/>
    <col min="11038" max="11038" width="11" style="17" customWidth="1"/>
    <col min="11039" max="11039" width="12" style="17" bestFit="1" customWidth="1"/>
    <col min="11040" max="11040" width="14.77734375" style="17" customWidth="1"/>
    <col min="11041" max="11290" width="11.44140625" style="17"/>
    <col min="11291" max="11291" width="18.77734375" style="17" customWidth="1"/>
    <col min="11292" max="11292" width="13.77734375" style="17" bestFit="1" customWidth="1"/>
    <col min="11293" max="11293" width="17.21875" style="17" customWidth="1"/>
    <col min="11294" max="11294" width="11" style="17" customWidth="1"/>
    <col min="11295" max="11295" width="12" style="17" bestFit="1" customWidth="1"/>
    <col min="11296" max="11296" width="14.77734375" style="17" customWidth="1"/>
    <col min="11297" max="11546" width="11.44140625" style="17"/>
    <col min="11547" max="11547" width="18.77734375" style="17" customWidth="1"/>
    <col min="11548" max="11548" width="13.77734375" style="17" bestFit="1" customWidth="1"/>
    <col min="11549" max="11549" width="17.21875" style="17" customWidth="1"/>
    <col min="11550" max="11550" width="11" style="17" customWidth="1"/>
    <col min="11551" max="11551" width="12" style="17" bestFit="1" customWidth="1"/>
    <col min="11552" max="11552" width="14.77734375" style="17" customWidth="1"/>
    <col min="11553" max="11802" width="11.44140625" style="17"/>
    <col min="11803" max="11803" width="18.77734375" style="17" customWidth="1"/>
    <col min="11804" max="11804" width="13.77734375" style="17" bestFit="1" customWidth="1"/>
    <col min="11805" max="11805" width="17.21875" style="17" customWidth="1"/>
    <col min="11806" max="11806" width="11" style="17" customWidth="1"/>
    <col min="11807" max="11807" width="12" style="17" bestFit="1" customWidth="1"/>
    <col min="11808" max="11808" width="14.77734375" style="17" customWidth="1"/>
    <col min="11809" max="12058" width="11.44140625" style="17"/>
    <col min="12059" max="12059" width="18.77734375" style="17" customWidth="1"/>
    <col min="12060" max="12060" width="13.77734375" style="17" bestFit="1" customWidth="1"/>
    <col min="12061" max="12061" width="17.21875" style="17" customWidth="1"/>
    <col min="12062" max="12062" width="11" style="17" customWidth="1"/>
    <col min="12063" max="12063" width="12" style="17" bestFit="1" customWidth="1"/>
    <col min="12064" max="12064" width="14.77734375" style="17" customWidth="1"/>
    <col min="12065" max="12314" width="11.44140625" style="17"/>
    <col min="12315" max="12315" width="18.77734375" style="17" customWidth="1"/>
    <col min="12316" max="12316" width="13.77734375" style="17" bestFit="1" customWidth="1"/>
    <col min="12317" max="12317" width="17.21875" style="17" customWidth="1"/>
    <col min="12318" max="12318" width="11" style="17" customWidth="1"/>
    <col min="12319" max="12319" width="12" style="17" bestFit="1" customWidth="1"/>
    <col min="12320" max="12320" width="14.77734375" style="17" customWidth="1"/>
    <col min="12321" max="12570" width="11.44140625" style="17"/>
    <col min="12571" max="12571" width="18.77734375" style="17" customWidth="1"/>
    <col min="12572" max="12572" width="13.77734375" style="17" bestFit="1" customWidth="1"/>
    <col min="12573" max="12573" width="17.21875" style="17" customWidth="1"/>
    <col min="12574" max="12574" width="11" style="17" customWidth="1"/>
    <col min="12575" max="12575" width="12" style="17" bestFit="1" customWidth="1"/>
    <col min="12576" max="12576" width="14.77734375" style="17" customWidth="1"/>
    <col min="12577" max="12826" width="11.44140625" style="17"/>
    <col min="12827" max="12827" width="18.77734375" style="17" customWidth="1"/>
    <col min="12828" max="12828" width="13.77734375" style="17" bestFit="1" customWidth="1"/>
    <col min="12829" max="12829" width="17.21875" style="17" customWidth="1"/>
    <col min="12830" max="12830" width="11" style="17" customWidth="1"/>
    <col min="12831" max="12831" width="12" style="17" bestFit="1" customWidth="1"/>
    <col min="12832" max="12832" width="14.77734375" style="17" customWidth="1"/>
    <col min="12833" max="13082" width="11.44140625" style="17"/>
    <col min="13083" max="13083" width="18.77734375" style="17" customWidth="1"/>
    <col min="13084" max="13084" width="13.77734375" style="17" bestFit="1" customWidth="1"/>
    <col min="13085" max="13085" width="17.21875" style="17" customWidth="1"/>
    <col min="13086" max="13086" width="11" style="17" customWidth="1"/>
    <col min="13087" max="13087" width="12" style="17" bestFit="1" customWidth="1"/>
    <col min="13088" max="13088" width="14.77734375" style="17" customWidth="1"/>
    <col min="13089" max="13338" width="11.44140625" style="17"/>
    <col min="13339" max="13339" width="18.77734375" style="17" customWidth="1"/>
    <col min="13340" max="13340" width="13.77734375" style="17" bestFit="1" customWidth="1"/>
    <col min="13341" max="13341" width="17.21875" style="17" customWidth="1"/>
    <col min="13342" max="13342" width="11" style="17" customWidth="1"/>
    <col min="13343" max="13343" width="12" style="17" bestFit="1" customWidth="1"/>
    <col min="13344" max="13344" width="14.77734375" style="17" customWidth="1"/>
    <col min="13345" max="13594" width="11.44140625" style="17"/>
    <col min="13595" max="13595" width="18.77734375" style="17" customWidth="1"/>
    <col min="13596" max="13596" width="13.77734375" style="17" bestFit="1" customWidth="1"/>
    <col min="13597" max="13597" width="17.21875" style="17" customWidth="1"/>
    <col min="13598" max="13598" width="11" style="17" customWidth="1"/>
    <col min="13599" max="13599" width="12" style="17" bestFit="1" customWidth="1"/>
    <col min="13600" max="13600" width="14.77734375" style="17" customWidth="1"/>
    <col min="13601" max="13850" width="11.44140625" style="17"/>
    <col min="13851" max="13851" width="18.77734375" style="17" customWidth="1"/>
    <col min="13852" max="13852" width="13.77734375" style="17" bestFit="1" customWidth="1"/>
    <col min="13853" max="13853" width="17.21875" style="17" customWidth="1"/>
    <col min="13854" max="13854" width="11" style="17" customWidth="1"/>
    <col min="13855" max="13855" width="12" style="17" bestFit="1" customWidth="1"/>
    <col min="13856" max="13856" width="14.77734375" style="17" customWidth="1"/>
    <col min="13857" max="14106" width="11.44140625" style="17"/>
    <col min="14107" max="14107" width="18.77734375" style="17" customWidth="1"/>
    <col min="14108" max="14108" width="13.77734375" style="17" bestFit="1" customWidth="1"/>
    <col min="14109" max="14109" width="17.21875" style="17" customWidth="1"/>
    <col min="14110" max="14110" width="11" style="17" customWidth="1"/>
    <col min="14111" max="14111" width="12" style="17" bestFit="1" customWidth="1"/>
    <col min="14112" max="14112" width="14.77734375" style="17" customWidth="1"/>
    <col min="14113" max="14362" width="11.44140625" style="17"/>
    <col min="14363" max="14363" width="18.77734375" style="17" customWidth="1"/>
    <col min="14364" max="14364" width="13.77734375" style="17" bestFit="1" customWidth="1"/>
    <col min="14365" max="14365" width="17.21875" style="17" customWidth="1"/>
    <col min="14366" max="14366" width="11" style="17" customWidth="1"/>
    <col min="14367" max="14367" width="12" style="17" bestFit="1" customWidth="1"/>
    <col min="14368" max="14368" width="14.77734375" style="17" customWidth="1"/>
    <col min="14369" max="14618" width="11.44140625" style="17"/>
    <col min="14619" max="14619" width="18.77734375" style="17" customWidth="1"/>
    <col min="14620" max="14620" width="13.77734375" style="17" bestFit="1" customWidth="1"/>
    <col min="14621" max="14621" width="17.21875" style="17" customWidth="1"/>
    <col min="14622" max="14622" width="11" style="17" customWidth="1"/>
    <col min="14623" max="14623" width="12" style="17" bestFit="1" customWidth="1"/>
    <col min="14624" max="14624" width="14.77734375" style="17" customWidth="1"/>
    <col min="14625" max="14874" width="11.44140625" style="17"/>
    <col min="14875" max="14875" width="18.77734375" style="17" customWidth="1"/>
    <col min="14876" max="14876" width="13.77734375" style="17" bestFit="1" customWidth="1"/>
    <col min="14877" max="14877" width="17.21875" style="17" customWidth="1"/>
    <col min="14878" max="14878" width="11" style="17" customWidth="1"/>
    <col min="14879" max="14879" width="12" style="17" bestFit="1" customWidth="1"/>
    <col min="14880" max="14880" width="14.77734375" style="17" customWidth="1"/>
    <col min="14881" max="15130" width="11.44140625" style="17"/>
    <col min="15131" max="15131" width="18.77734375" style="17" customWidth="1"/>
    <col min="15132" max="15132" width="13.77734375" style="17" bestFit="1" customWidth="1"/>
    <col min="15133" max="15133" width="17.21875" style="17" customWidth="1"/>
    <col min="15134" max="15134" width="11" style="17" customWidth="1"/>
    <col min="15135" max="15135" width="12" style="17" bestFit="1" customWidth="1"/>
    <col min="15136" max="15136" width="14.77734375" style="17" customWidth="1"/>
    <col min="15137" max="15386" width="11.44140625" style="17"/>
    <col min="15387" max="15387" width="18.77734375" style="17" customWidth="1"/>
    <col min="15388" max="15388" width="13.77734375" style="17" bestFit="1" customWidth="1"/>
    <col min="15389" max="15389" width="17.21875" style="17" customWidth="1"/>
    <col min="15390" max="15390" width="11" style="17" customWidth="1"/>
    <col min="15391" max="15391" width="12" style="17" bestFit="1" customWidth="1"/>
    <col min="15392" max="15392" width="14.77734375" style="17" customWidth="1"/>
    <col min="15393" max="15642" width="11.44140625" style="17"/>
    <col min="15643" max="15643" width="18.77734375" style="17" customWidth="1"/>
    <col min="15644" max="15644" width="13.77734375" style="17" bestFit="1" customWidth="1"/>
    <col min="15645" max="15645" width="17.21875" style="17" customWidth="1"/>
    <col min="15646" max="15646" width="11" style="17" customWidth="1"/>
    <col min="15647" max="15647" width="12" style="17" bestFit="1" customWidth="1"/>
    <col min="15648" max="15648" width="14.77734375" style="17" customWidth="1"/>
    <col min="15649" max="15898" width="11.44140625" style="17"/>
    <col min="15899" max="15899" width="18.77734375" style="17" customWidth="1"/>
    <col min="15900" max="15900" width="13.77734375" style="17" bestFit="1" customWidth="1"/>
    <col min="15901" max="15901" width="17.21875" style="17" customWidth="1"/>
    <col min="15902" max="15902" width="11" style="17" customWidth="1"/>
    <col min="15903" max="15903" width="12" style="17" bestFit="1" customWidth="1"/>
    <col min="15904" max="15904" width="14.77734375" style="17" customWidth="1"/>
    <col min="15905" max="16154" width="11.44140625" style="17"/>
    <col min="16155" max="16155" width="18.77734375" style="17" customWidth="1"/>
    <col min="16156" max="16156" width="13.77734375" style="17" bestFit="1" customWidth="1"/>
    <col min="16157" max="16157" width="17.21875" style="17" customWidth="1"/>
    <col min="16158" max="16158" width="11" style="17" customWidth="1"/>
    <col min="16159" max="16159" width="12" style="17" bestFit="1" customWidth="1"/>
    <col min="16160" max="16160" width="14.77734375" style="17" customWidth="1"/>
    <col min="16161" max="16384" width="11.44140625" style="17"/>
  </cols>
  <sheetData>
    <row r="2" spans="1:37" x14ac:dyDescent="0.25">
      <c r="A2" s="17" t="s">
        <v>70</v>
      </c>
      <c r="B2" s="63">
        <f>'pooled normalised values'!B75</f>
        <v>7.3817486448862643E-2</v>
      </c>
      <c r="D2" s="17" t="s">
        <v>9</v>
      </c>
      <c r="E2" s="18"/>
      <c r="F2" s="19" t="str">
        <f>'pooled normalised values'!J74</f>
        <v>Dutasteride-0,1mg/L</v>
      </c>
      <c r="G2" s="19" t="str">
        <f>'pooled normalised values'!K74</f>
        <v>Dutasteride-0,25mg/L</v>
      </c>
      <c r="H2" s="19" t="str">
        <f>'pooled normalised values'!L74</f>
        <v>Dutasteride-0,5mg/L</v>
      </c>
      <c r="I2" s="19" t="str">
        <f>'pooled normalised values'!M74</f>
        <v>Dutasteride-1mg/L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Dutasteride-0.01mg/L + Testostérone</v>
      </c>
      <c r="W2" s="19" t="str">
        <f>'pooled normalised values'!S74</f>
        <v>Dutasteride-0.1mg/L + Testostérone</v>
      </c>
      <c r="X2" s="19" t="str">
        <f>'pooled normalised values'!T74</f>
        <v>Dutasteride-0.25mg/L + Testostérone</v>
      </c>
      <c r="Y2" s="19" t="str">
        <f>'pooled normalised values'!U74</f>
        <v>Dutasteride-0.5mg/L + Testostérone</v>
      </c>
      <c r="Z2" s="19" t="str">
        <f>'pooled normalised values'!V74</f>
        <v>Dutasteride-1mg/L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6.3828284835330831E-2</v>
      </c>
      <c r="G3" s="19">
        <f>HLOOKUP(G2,'pooled normalised values'!C74:W83,2,FALSE)</f>
        <v>5.3498132972931822E-2</v>
      </c>
      <c r="H3" s="19">
        <f>HLOOKUP(H2,'pooled normalised values'!C74:X83,2,FALSE)</f>
        <v>6.9870516486918582E-2</v>
      </c>
      <c r="I3" s="19">
        <f>HLOOKUP(I2,'pooled normalised values'!D74:Y83,2,FALSE)</f>
        <v>5.6719354118437669E-2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1.0269745515535349</v>
      </c>
      <c r="W3" s="19">
        <f>HLOOKUP(W2,'pooled normalised values'!N74:AM83,2,FALSE)</f>
        <v>1.1168828035909804</v>
      </c>
      <c r="X3" s="19">
        <f>HLOOKUP(X2,'pooled normalised values'!N74:AN83,2,FALSE)</f>
        <v>1.2149457906124408</v>
      </c>
      <c r="Y3" s="19">
        <f>HLOOKUP(Y2,'pooled normalised values'!N74:AO83,2,FALSE)</f>
        <v>1.4981512526512597</v>
      </c>
      <c r="Z3" s="19">
        <f>HLOOKUP(Z2,'pooled normalised values'!N74:AP83,2,FALSE)</f>
        <v>1.1317004587956161</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1.0000000000000002</v>
      </c>
      <c r="D4" s="21" t="s">
        <v>2</v>
      </c>
      <c r="E4" s="22"/>
      <c r="F4" s="19">
        <f>HLOOKUP(F2,'pooled normalised values'!B74:V83,3,FALSE)</f>
        <v>1.227291039821529E-2</v>
      </c>
      <c r="G4" s="19">
        <f>HLOOKUP(G2,'pooled normalised values'!C74:W83,3,FALSE)</f>
        <v>9.0294737172072377E-3</v>
      </c>
      <c r="H4" s="19">
        <f>HLOOKUP(H2,'pooled normalised values'!C74:X83,3,FALSE)</f>
        <v>1.3963665691238591E-2</v>
      </c>
      <c r="I4" s="19">
        <f>HLOOKUP(I2,'pooled normalised values'!D74:Y83,3,FALSE)</f>
        <v>2.0439517488972259E-2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0.13478494401840871</v>
      </c>
      <c r="W4" s="19">
        <f>HLOOKUP(W2,'pooled normalised values'!N74:AM83,3,FALSE)</f>
        <v>0.13273291620822486</v>
      </c>
      <c r="X4" s="19">
        <f>HLOOKUP(X2,'pooled normalised values'!N74:AN83,3,FALSE)</f>
        <v>0.14388650563044361</v>
      </c>
      <c r="Y4" s="19">
        <f>HLOOKUP(Y2,'pooled normalised values'!N74:AO83,3,FALSE)</f>
        <v>0.13049502403456489</v>
      </c>
      <c r="Z4" s="19">
        <f>HLOOKUP(Z2,'pooled normalised values'!N74:AP83,3,FALSE)</f>
        <v>0.11687179977905243</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1.5224648090191533</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5.419425156907632E-2</v>
      </c>
      <c r="D6" s="21" t="s">
        <v>12</v>
      </c>
      <c r="E6" s="24">
        <f>$B$2</f>
        <v>7.3817486448862643E-2</v>
      </c>
      <c r="F6" s="24">
        <f>$B$2</f>
        <v>7.3817486448862643E-2</v>
      </c>
      <c r="G6" s="24">
        <f t="shared" ref="G6:R6" si="0">$B$2</f>
        <v>7.3817486448862643E-2</v>
      </c>
      <c r="H6" s="24">
        <f t="shared" si="0"/>
        <v>7.3817486448862643E-2</v>
      </c>
      <c r="I6" s="24">
        <f t="shared" si="0"/>
        <v>7.3817486448862643E-2</v>
      </c>
      <c r="J6" s="24">
        <f t="shared" si="0"/>
        <v>7.3817486448862643E-2</v>
      </c>
      <c r="K6" s="24">
        <f t="shared" si="0"/>
        <v>7.3817486448862643E-2</v>
      </c>
      <c r="L6" s="24">
        <f t="shared" si="0"/>
        <v>7.3817486448862643E-2</v>
      </c>
      <c r="M6" s="24">
        <f t="shared" si="0"/>
        <v>7.3817486448862643E-2</v>
      </c>
      <c r="N6" s="24">
        <f t="shared" si="0"/>
        <v>7.3817486448862643E-2</v>
      </c>
      <c r="O6" s="24">
        <f t="shared" si="0"/>
        <v>7.3817486448862643E-2</v>
      </c>
      <c r="P6" s="24">
        <f t="shared" si="0"/>
        <v>7.3817486448862643E-2</v>
      </c>
      <c r="Q6" s="24">
        <f t="shared" si="0"/>
        <v>7.3817486448862643E-2</v>
      </c>
      <c r="R6" s="24">
        <f t="shared" si="0"/>
        <v>7.3817486448862643E-2</v>
      </c>
      <c r="S6" s="24">
        <f>$B$2</f>
        <v>7.3817486448862643E-2</v>
      </c>
      <c r="T6" s="24">
        <f>$B$2</f>
        <v>7.3817486448862643E-2</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5.419425156907632E-2</v>
      </c>
      <c r="V8" s="25">
        <f t="shared" ref="V8:AJ8" si="2">$B$6</f>
        <v>5.419425156907632E-2</v>
      </c>
      <c r="W8" s="25">
        <f t="shared" si="2"/>
        <v>5.419425156907632E-2</v>
      </c>
      <c r="X8" s="25">
        <f t="shared" si="2"/>
        <v>5.419425156907632E-2</v>
      </c>
      <c r="Y8" s="25">
        <f t="shared" si="2"/>
        <v>5.419425156907632E-2</v>
      </c>
      <c r="Z8" s="25">
        <f t="shared" si="2"/>
        <v>5.419425156907632E-2</v>
      </c>
      <c r="AA8" s="25">
        <f t="shared" si="2"/>
        <v>5.419425156907632E-2</v>
      </c>
      <c r="AB8" s="25">
        <f t="shared" si="2"/>
        <v>5.419425156907632E-2</v>
      </c>
      <c r="AC8" s="25">
        <f t="shared" si="2"/>
        <v>5.419425156907632E-2</v>
      </c>
      <c r="AD8" s="25">
        <f t="shared" si="2"/>
        <v>5.419425156907632E-2</v>
      </c>
      <c r="AE8" s="25">
        <f t="shared" si="2"/>
        <v>5.419425156907632E-2</v>
      </c>
      <c r="AF8" s="25">
        <f t="shared" si="2"/>
        <v>5.419425156907632E-2</v>
      </c>
      <c r="AG8" s="25">
        <f t="shared" si="2"/>
        <v>5.419425156907632E-2</v>
      </c>
      <c r="AH8" s="25">
        <f t="shared" si="2"/>
        <v>5.419425156907632E-2</v>
      </c>
      <c r="AI8" s="25">
        <f t="shared" si="2"/>
        <v>5.419425156907632E-2</v>
      </c>
      <c r="AJ8" s="25">
        <f t="shared" si="2"/>
        <v>5.419425156907632E-2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1.468270557450077</v>
      </c>
      <c r="V9" s="25">
        <f>$B$5-V8</f>
        <v>1.468270557450077</v>
      </c>
      <c r="W9" s="25">
        <f t="shared" ref="W9:AH9" si="4">$B$5-W8</f>
        <v>1.468270557450077</v>
      </c>
      <c r="X9" s="25">
        <f t="shared" si="4"/>
        <v>1.468270557450077</v>
      </c>
      <c r="Y9" s="25">
        <f t="shared" si="4"/>
        <v>1.468270557450077</v>
      </c>
      <c r="Z9" s="25">
        <f t="shared" si="4"/>
        <v>1.468270557450077</v>
      </c>
      <c r="AA9" s="25">
        <f t="shared" si="4"/>
        <v>1.468270557450077</v>
      </c>
      <c r="AB9" s="25">
        <f t="shared" si="4"/>
        <v>1.468270557450077</v>
      </c>
      <c r="AC9" s="25">
        <f t="shared" si="4"/>
        <v>1.468270557450077</v>
      </c>
      <c r="AD9" s="25">
        <f t="shared" si="4"/>
        <v>1.468270557450077</v>
      </c>
      <c r="AE9" s="25">
        <f t="shared" si="4"/>
        <v>1.468270557450077</v>
      </c>
      <c r="AF9" s="25">
        <f t="shared" si="4"/>
        <v>1.468270557450077</v>
      </c>
      <c r="AG9" s="25">
        <f t="shared" si="4"/>
        <v>1.468270557450077</v>
      </c>
      <c r="AH9" s="25">
        <f t="shared" si="4"/>
        <v>1.468270557450077</v>
      </c>
      <c r="AI9" s="25">
        <f>$B$5-AI8</f>
        <v>1.468270557450077</v>
      </c>
      <c r="AJ9" s="25">
        <f>$B$5-AJ8</f>
        <v>1.468270557450077</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1.031729442549923</v>
      </c>
      <c r="V10" s="25">
        <f>2.5-V9</f>
        <v>1.031729442549923</v>
      </c>
      <c r="W10" s="25">
        <f t="shared" ref="W10:AH10" si="6">2.5-W9</f>
        <v>1.031729442549923</v>
      </c>
      <c r="X10" s="25">
        <f t="shared" si="6"/>
        <v>1.031729442549923</v>
      </c>
      <c r="Y10" s="25">
        <f t="shared" si="6"/>
        <v>1.031729442549923</v>
      </c>
      <c r="Z10" s="25">
        <f t="shared" si="6"/>
        <v>1.031729442549923</v>
      </c>
      <c r="AA10" s="25">
        <f t="shared" si="6"/>
        <v>1.031729442549923</v>
      </c>
      <c r="AB10" s="25">
        <f t="shared" si="6"/>
        <v>1.031729442549923</v>
      </c>
      <c r="AC10" s="25">
        <f t="shared" si="6"/>
        <v>1.031729442549923</v>
      </c>
      <c r="AD10" s="25">
        <f t="shared" si="6"/>
        <v>1.031729442549923</v>
      </c>
      <c r="AE10" s="25">
        <f t="shared" si="6"/>
        <v>1.031729442549923</v>
      </c>
      <c r="AF10" s="25">
        <f t="shared" si="6"/>
        <v>1.031729442549923</v>
      </c>
      <c r="AG10" s="25">
        <f t="shared" si="6"/>
        <v>1.031729442549923</v>
      </c>
      <c r="AH10" s="25">
        <f t="shared" si="6"/>
        <v>1.031729442549923</v>
      </c>
      <c r="AI10" s="25">
        <f>2.5-AI9</f>
        <v>1.031729442549923</v>
      </c>
      <c r="AJ10" s="25">
        <f>2.5-AJ9</f>
        <v>1.031729442549923</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6" width="14.77734375" style="17" customWidth="1"/>
    <col min="7" max="8" width="11.44140625" style="17"/>
    <col min="9" max="9" width="13.5546875" style="17" bestFit="1" customWidth="1"/>
    <col min="10" max="256" width="11.44140625" style="17"/>
    <col min="257" max="257" width="18.77734375" style="17" customWidth="1"/>
    <col min="258" max="258" width="13.77734375" style="17" bestFit="1" customWidth="1"/>
    <col min="259" max="259" width="17.21875" style="17" customWidth="1"/>
    <col min="260" max="260" width="11" style="17" customWidth="1"/>
    <col min="261" max="261" width="12" style="17" bestFit="1" customWidth="1"/>
    <col min="262" max="262" width="14.77734375" style="17" customWidth="1"/>
    <col min="263" max="512" width="11.44140625" style="17"/>
    <col min="513" max="513" width="18.77734375" style="17" customWidth="1"/>
    <col min="514" max="514" width="13.77734375" style="17" bestFit="1" customWidth="1"/>
    <col min="515" max="515" width="17.21875" style="17" customWidth="1"/>
    <col min="516" max="516" width="11" style="17" customWidth="1"/>
    <col min="517" max="517" width="12" style="17" bestFit="1" customWidth="1"/>
    <col min="518" max="518" width="14.77734375" style="17" customWidth="1"/>
    <col min="519" max="768" width="11.44140625" style="17"/>
    <col min="769" max="769" width="18.77734375" style="17" customWidth="1"/>
    <col min="770" max="770" width="13.77734375" style="17" bestFit="1" customWidth="1"/>
    <col min="771" max="771" width="17.21875" style="17" customWidth="1"/>
    <col min="772" max="772" width="11" style="17" customWidth="1"/>
    <col min="773" max="773" width="12" style="17" bestFit="1" customWidth="1"/>
    <col min="774" max="774" width="14.77734375" style="17" customWidth="1"/>
    <col min="775" max="1024" width="11.44140625" style="17"/>
    <col min="1025" max="1025" width="18.77734375" style="17" customWidth="1"/>
    <col min="1026" max="1026" width="13.77734375" style="17" bestFit="1" customWidth="1"/>
    <col min="1027" max="1027" width="17.21875" style="17" customWidth="1"/>
    <col min="1028" max="1028" width="11" style="17" customWidth="1"/>
    <col min="1029" max="1029" width="12" style="17" bestFit="1" customWidth="1"/>
    <col min="1030" max="1030" width="14.77734375" style="17" customWidth="1"/>
    <col min="1031" max="1280" width="11.44140625" style="17"/>
    <col min="1281" max="1281" width="18.77734375" style="17" customWidth="1"/>
    <col min="1282" max="1282" width="13.77734375" style="17" bestFit="1" customWidth="1"/>
    <col min="1283" max="1283" width="17.21875" style="17" customWidth="1"/>
    <col min="1284" max="1284" width="11" style="17" customWidth="1"/>
    <col min="1285" max="1285" width="12" style="17" bestFit="1" customWidth="1"/>
    <col min="1286" max="1286" width="14.77734375" style="17" customWidth="1"/>
    <col min="1287" max="1536" width="11.44140625" style="17"/>
    <col min="1537" max="1537" width="18.77734375" style="17" customWidth="1"/>
    <col min="1538" max="1538" width="13.77734375" style="17" bestFit="1" customWidth="1"/>
    <col min="1539" max="1539" width="17.21875" style="17" customWidth="1"/>
    <col min="1540" max="1540" width="11" style="17" customWidth="1"/>
    <col min="1541" max="1541" width="12" style="17" bestFit="1" customWidth="1"/>
    <col min="1542" max="1542" width="14.77734375" style="17" customWidth="1"/>
    <col min="1543" max="1792" width="11.44140625" style="17"/>
    <col min="1793" max="1793" width="18.77734375" style="17" customWidth="1"/>
    <col min="1794" max="1794" width="13.77734375" style="17" bestFit="1" customWidth="1"/>
    <col min="1795" max="1795" width="17.21875" style="17" customWidth="1"/>
    <col min="1796" max="1796" width="11" style="17" customWidth="1"/>
    <col min="1797" max="1797" width="12" style="17" bestFit="1" customWidth="1"/>
    <col min="1798" max="1798" width="14.77734375" style="17" customWidth="1"/>
    <col min="1799" max="2048" width="11.44140625" style="17"/>
    <col min="2049" max="2049" width="18.77734375" style="17" customWidth="1"/>
    <col min="2050" max="2050" width="13.77734375" style="17" bestFit="1" customWidth="1"/>
    <col min="2051" max="2051" width="17.21875" style="17" customWidth="1"/>
    <col min="2052" max="2052" width="11" style="17" customWidth="1"/>
    <col min="2053" max="2053" width="12" style="17" bestFit="1" customWidth="1"/>
    <col min="2054" max="2054" width="14.77734375" style="17" customWidth="1"/>
    <col min="2055" max="2304" width="11.44140625" style="17"/>
    <col min="2305" max="2305" width="18.77734375" style="17" customWidth="1"/>
    <col min="2306" max="2306" width="13.77734375" style="17" bestFit="1" customWidth="1"/>
    <col min="2307" max="2307" width="17.21875" style="17" customWidth="1"/>
    <col min="2308" max="2308" width="11" style="17" customWidth="1"/>
    <col min="2309" max="2309" width="12" style="17" bestFit="1" customWidth="1"/>
    <col min="2310" max="2310" width="14.77734375" style="17" customWidth="1"/>
    <col min="2311" max="2560" width="11.44140625" style="17"/>
    <col min="2561" max="2561" width="18.77734375" style="17" customWidth="1"/>
    <col min="2562" max="2562" width="13.77734375" style="17" bestFit="1" customWidth="1"/>
    <col min="2563" max="2563" width="17.21875" style="17" customWidth="1"/>
    <col min="2564" max="2564" width="11" style="17" customWidth="1"/>
    <col min="2565" max="2565" width="12" style="17" bestFit="1" customWidth="1"/>
    <col min="2566" max="2566" width="14.77734375" style="17" customWidth="1"/>
    <col min="2567" max="2816" width="11.44140625" style="17"/>
    <col min="2817" max="2817" width="18.77734375" style="17" customWidth="1"/>
    <col min="2818" max="2818" width="13.77734375" style="17" bestFit="1" customWidth="1"/>
    <col min="2819" max="2819" width="17.21875" style="17" customWidth="1"/>
    <col min="2820" max="2820" width="11" style="17" customWidth="1"/>
    <col min="2821" max="2821" width="12" style="17" bestFit="1" customWidth="1"/>
    <col min="2822" max="2822" width="14.77734375" style="17" customWidth="1"/>
    <col min="2823" max="3072" width="11.44140625" style="17"/>
    <col min="3073" max="3073" width="18.77734375" style="17" customWidth="1"/>
    <col min="3074" max="3074" width="13.77734375" style="17" bestFit="1" customWidth="1"/>
    <col min="3075" max="3075" width="17.21875" style="17" customWidth="1"/>
    <col min="3076" max="3076" width="11" style="17" customWidth="1"/>
    <col min="3077" max="3077" width="12" style="17" bestFit="1" customWidth="1"/>
    <col min="3078" max="3078" width="14.77734375" style="17" customWidth="1"/>
    <col min="3079" max="3328" width="11.44140625" style="17"/>
    <col min="3329" max="3329" width="18.77734375" style="17" customWidth="1"/>
    <col min="3330" max="3330" width="13.77734375" style="17" bestFit="1" customWidth="1"/>
    <col min="3331" max="3331" width="17.21875" style="17" customWidth="1"/>
    <col min="3332" max="3332" width="11" style="17" customWidth="1"/>
    <col min="3333" max="3333" width="12" style="17" bestFit="1" customWidth="1"/>
    <col min="3334" max="3334" width="14.77734375" style="17" customWidth="1"/>
    <col min="3335" max="3584" width="11.44140625" style="17"/>
    <col min="3585" max="3585" width="18.77734375" style="17" customWidth="1"/>
    <col min="3586" max="3586" width="13.77734375" style="17" bestFit="1" customWidth="1"/>
    <col min="3587" max="3587" width="17.21875" style="17" customWidth="1"/>
    <col min="3588" max="3588" width="11" style="17" customWidth="1"/>
    <col min="3589" max="3589" width="12" style="17" bestFit="1" customWidth="1"/>
    <col min="3590" max="3590" width="14.77734375" style="17" customWidth="1"/>
    <col min="3591" max="3840" width="11.44140625" style="17"/>
    <col min="3841" max="3841" width="18.77734375" style="17" customWidth="1"/>
    <col min="3842" max="3842" width="13.77734375" style="17" bestFit="1" customWidth="1"/>
    <col min="3843" max="3843" width="17.21875" style="17" customWidth="1"/>
    <col min="3844" max="3844" width="11" style="17" customWidth="1"/>
    <col min="3845" max="3845" width="12" style="17" bestFit="1" customWidth="1"/>
    <col min="3846" max="3846" width="14.77734375" style="17" customWidth="1"/>
    <col min="3847" max="4096" width="11.44140625" style="17"/>
    <col min="4097" max="4097" width="18.77734375" style="17" customWidth="1"/>
    <col min="4098" max="4098" width="13.77734375" style="17" bestFit="1" customWidth="1"/>
    <col min="4099" max="4099" width="17.21875" style="17" customWidth="1"/>
    <col min="4100" max="4100" width="11" style="17" customWidth="1"/>
    <col min="4101" max="4101" width="12" style="17" bestFit="1" customWidth="1"/>
    <col min="4102" max="4102" width="14.77734375" style="17" customWidth="1"/>
    <col min="4103" max="4352" width="11.44140625" style="17"/>
    <col min="4353" max="4353" width="18.77734375" style="17" customWidth="1"/>
    <col min="4354" max="4354" width="13.77734375" style="17" bestFit="1" customWidth="1"/>
    <col min="4355" max="4355" width="17.21875" style="17" customWidth="1"/>
    <col min="4356" max="4356" width="11" style="17" customWidth="1"/>
    <col min="4357" max="4357" width="12" style="17" bestFit="1" customWidth="1"/>
    <col min="4358" max="4358" width="14.77734375" style="17" customWidth="1"/>
    <col min="4359" max="4608" width="11.44140625" style="17"/>
    <col min="4609" max="4609" width="18.77734375" style="17" customWidth="1"/>
    <col min="4610" max="4610" width="13.77734375" style="17" bestFit="1" customWidth="1"/>
    <col min="4611" max="4611" width="17.21875" style="17" customWidth="1"/>
    <col min="4612" max="4612" width="11" style="17" customWidth="1"/>
    <col min="4613" max="4613" width="12" style="17" bestFit="1" customWidth="1"/>
    <col min="4614" max="4614" width="14.77734375" style="17" customWidth="1"/>
    <col min="4615" max="4864" width="11.44140625" style="17"/>
    <col min="4865" max="4865" width="18.77734375" style="17" customWidth="1"/>
    <col min="4866" max="4866" width="13.77734375" style="17" bestFit="1" customWidth="1"/>
    <col min="4867" max="4867" width="17.21875" style="17" customWidth="1"/>
    <col min="4868" max="4868" width="11" style="17" customWidth="1"/>
    <col min="4869" max="4869" width="12" style="17" bestFit="1" customWidth="1"/>
    <col min="4870" max="4870" width="14.77734375" style="17" customWidth="1"/>
    <col min="4871" max="5120" width="11.44140625" style="17"/>
    <col min="5121" max="5121" width="18.77734375" style="17" customWidth="1"/>
    <col min="5122" max="5122" width="13.77734375" style="17" bestFit="1" customWidth="1"/>
    <col min="5123" max="5123" width="17.21875" style="17" customWidth="1"/>
    <col min="5124" max="5124" width="11" style="17" customWidth="1"/>
    <col min="5125" max="5125" width="12" style="17" bestFit="1" customWidth="1"/>
    <col min="5126" max="5126" width="14.77734375" style="17" customWidth="1"/>
    <col min="5127" max="5376" width="11.44140625" style="17"/>
    <col min="5377" max="5377" width="18.77734375" style="17" customWidth="1"/>
    <col min="5378" max="5378" width="13.77734375" style="17" bestFit="1" customWidth="1"/>
    <col min="5379" max="5379" width="17.21875" style="17" customWidth="1"/>
    <col min="5380" max="5380" width="11" style="17" customWidth="1"/>
    <col min="5381" max="5381" width="12" style="17" bestFit="1" customWidth="1"/>
    <col min="5382" max="5382" width="14.77734375" style="17" customWidth="1"/>
    <col min="5383" max="5632" width="11.44140625" style="17"/>
    <col min="5633" max="5633" width="18.77734375" style="17" customWidth="1"/>
    <col min="5634" max="5634" width="13.77734375" style="17" bestFit="1" customWidth="1"/>
    <col min="5635" max="5635" width="17.21875" style="17" customWidth="1"/>
    <col min="5636" max="5636" width="11" style="17" customWidth="1"/>
    <col min="5637" max="5637" width="12" style="17" bestFit="1" customWidth="1"/>
    <col min="5638" max="5638" width="14.77734375" style="17" customWidth="1"/>
    <col min="5639" max="5888" width="11.44140625" style="17"/>
    <col min="5889" max="5889" width="18.77734375" style="17" customWidth="1"/>
    <col min="5890" max="5890" width="13.77734375" style="17" bestFit="1" customWidth="1"/>
    <col min="5891" max="5891" width="17.21875" style="17" customWidth="1"/>
    <col min="5892" max="5892" width="11" style="17" customWidth="1"/>
    <col min="5893" max="5893" width="12" style="17" bestFit="1" customWidth="1"/>
    <col min="5894" max="5894" width="14.77734375" style="17" customWidth="1"/>
    <col min="5895" max="6144" width="11.44140625" style="17"/>
    <col min="6145" max="6145" width="18.77734375" style="17" customWidth="1"/>
    <col min="6146" max="6146" width="13.77734375" style="17" bestFit="1" customWidth="1"/>
    <col min="6147" max="6147" width="17.21875" style="17" customWidth="1"/>
    <col min="6148" max="6148" width="11" style="17" customWidth="1"/>
    <col min="6149" max="6149" width="12" style="17" bestFit="1" customWidth="1"/>
    <col min="6150" max="6150" width="14.77734375" style="17" customWidth="1"/>
    <col min="6151" max="6400" width="11.44140625" style="17"/>
    <col min="6401" max="6401" width="18.77734375" style="17" customWidth="1"/>
    <col min="6402" max="6402" width="13.77734375" style="17" bestFit="1" customWidth="1"/>
    <col min="6403" max="6403" width="17.21875" style="17" customWidth="1"/>
    <col min="6404" max="6404" width="11" style="17" customWidth="1"/>
    <col min="6405" max="6405" width="12" style="17" bestFit="1" customWidth="1"/>
    <col min="6406" max="6406" width="14.77734375" style="17" customWidth="1"/>
    <col min="6407" max="6656" width="11.44140625" style="17"/>
    <col min="6657" max="6657" width="18.77734375" style="17" customWidth="1"/>
    <col min="6658" max="6658" width="13.77734375" style="17" bestFit="1" customWidth="1"/>
    <col min="6659" max="6659" width="17.21875" style="17" customWidth="1"/>
    <col min="6660" max="6660" width="11" style="17" customWidth="1"/>
    <col min="6661" max="6661" width="12" style="17" bestFit="1" customWidth="1"/>
    <col min="6662" max="6662" width="14.77734375" style="17" customWidth="1"/>
    <col min="6663" max="6912" width="11.44140625" style="17"/>
    <col min="6913" max="6913" width="18.77734375" style="17" customWidth="1"/>
    <col min="6914" max="6914" width="13.77734375" style="17" bestFit="1" customWidth="1"/>
    <col min="6915" max="6915" width="17.21875" style="17" customWidth="1"/>
    <col min="6916" max="6916" width="11" style="17" customWidth="1"/>
    <col min="6917" max="6917" width="12" style="17" bestFit="1" customWidth="1"/>
    <col min="6918" max="6918" width="14.77734375" style="17" customWidth="1"/>
    <col min="6919" max="7168" width="11.44140625" style="17"/>
    <col min="7169" max="7169" width="18.77734375" style="17" customWidth="1"/>
    <col min="7170" max="7170" width="13.77734375" style="17" bestFit="1" customWidth="1"/>
    <col min="7171" max="7171" width="17.21875" style="17" customWidth="1"/>
    <col min="7172" max="7172" width="11" style="17" customWidth="1"/>
    <col min="7173" max="7173" width="12" style="17" bestFit="1" customWidth="1"/>
    <col min="7174" max="7174" width="14.77734375" style="17" customWidth="1"/>
    <col min="7175" max="7424" width="11.44140625" style="17"/>
    <col min="7425" max="7425" width="18.77734375" style="17" customWidth="1"/>
    <col min="7426" max="7426" width="13.77734375" style="17" bestFit="1" customWidth="1"/>
    <col min="7427" max="7427" width="17.21875" style="17" customWidth="1"/>
    <col min="7428" max="7428" width="11" style="17" customWidth="1"/>
    <col min="7429" max="7429" width="12" style="17" bestFit="1" customWidth="1"/>
    <col min="7430" max="7430" width="14.77734375" style="17" customWidth="1"/>
    <col min="7431" max="7680" width="11.44140625" style="17"/>
    <col min="7681" max="7681" width="18.77734375" style="17" customWidth="1"/>
    <col min="7682" max="7682" width="13.77734375" style="17" bestFit="1" customWidth="1"/>
    <col min="7683" max="7683" width="17.21875" style="17" customWidth="1"/>
    <col min="7684" max="7684" width="11" style="17" customWidth="1"/>
    <col min="7685" max="7685" width="12" style="17" bestFit="1" customWidth="1"/>
    <col min="7686" max="7686" width="14.77734375" style="17" customWidth="1"/>
    <col min="7687" max="7936" width="11.44140625" style="17"/>
    <col min="7937" max="7937" width="18.77734375" style="17" customWidth="1"/>
    <col min="7938" max="7938" width="13.77734375" style="17" bestFit="1" customWidth="1"/>
    <col min="7939" max="7939" width="17.21875" style="17" customWidth="1"/>
    <col min="7940" max="7940" width="11" style="17" customWidth="1"/>
    <col min="7941" max="7941" width="12" style="17" bestFit="1" customWidth="1"/>
    <col min="7942" max="7942" width="14.77734375" style="17" customWidth="1"/>
    <col min="7943" max="8192" width="11.44140625" style="17"/>
    <col min="8193" max="8193" width="18.77734375" style="17" customWidth="1"/>
    <col min="8194" max="8194" width="13.77734375" style="17" bestFit="1" customWidth="1"/>
    <col min="8195" max="8195" width="17.21875" style="17" customWidth="1"/>
    <col min="8196" max="8196" width="11" style="17" customWidth="1"/>
    <col min="8197" max="8197" width="12" style="17" bestFit="1" customWidth="1"/>
    <col min="8198" max="8198" width="14.77734375" style="17" customWidth="1"/>
    <col min="8199" max="8448" width="11.44140625" style="17"/>
    <col min="8449" max="8449" width="18.77734375" style="17" customWidth="1"/>
    <col min="8450" max="8450" width="13.77734375" style="17" bestFit="1" customWidth="1"/>
    <col min="8451" max="8451" width="17.21875" style="17" customWidth="1"/>
    <col min="8452" max="8452" width="11" style="17" customWidth="1"/>
    <col min="8453" max="8453" width="12" style="17" bestFit="1" customWidth="1"/>
    <col min="8454" max="8454" width="14.77734375" style="17" customWidth="1"/>
    <col min="8455" max="8704" width="11.44140625" style="17"/>
    <col min="8705" max="8705" width="18.77734375" style="17" customWidth="1"/>
    <col min="8706" max="8706" width="13.77734375" style="17" bestFit="1" customWidth="1"/>
    <col min="8707" max="8707" width="17.21875" style="17" customWidth="1"/>
    <col min="8708" max="8708" width="11" style="17" customWidth="1"/>
    <col min="8709" max="8709" width="12" style="17" bestFit="1" customWidth="1"/>
    <col min="8710" max="8710" width="14.77734375" style="17" customWidth="1"/>
    <col min="8711" max="8960" width="11.44140625" style="17"/>
    <col min="8961" max="8961" width="18.77734375" style="17" customWidth="1"/>
    <col min="8962" max="8962" width="13.77734375" style="17" bestFit="1" customWidth="1"/>
    <col min="8963" max="8963" width="17.21875" style="17" customWidth="1"/>
    <col min="8964" max="8964" width="11" style="17" customWidth="1"/>
    <col min="8965" max="8965" width="12" style="17" bestFit="1" customWidth="1"/>
    <col min="8966" max="8966" width="14.77734375" style="17" customWidth="1"/>
    <col min="8967" max="9216" width="11.44140625" style="17"/>
    <col min="9217" max="9217" width="18.77734375" style="17" customWidth="1"/>
    <col min="9218" max="9218" width="13.77734375" style="17" bestFit="1" customWidth="1"/>
    <col min="9219" max="9219" width="17.21875" style="17" customWidth="1"/>
    <col min="9220" max="9220" width="11" style="17" customWidth="1"/>
    <col min="9221" max="9221" width="12" style="17" bestFit="1" customWidth="1"/>
    <col min="9222" max="9222" width="14.77734375" style="17" customWidth="1"/>
    <col min="9223" max="9472" width="11.44140625" style="17"/>
    <col min="9473" max="9473" width="18.77734375" style="17" customWidth="1"/>
    <col min="9474" max="9474" width="13.77734375" style="17" bestFit="1" customWidth="1"/>
    <col min="9475" max="9475" width="17.21875" style="17" customWidth="1"/>
    <col min="9476" max="9476" width="11" style="17" customWidth="1"/>
    <col min="9477" max="9477" width="12" style="17" bestFit="1" customWidth="1"/>
    <col min="9478" max="9478" width="14.77734375" style="17" customWidth="1"/>
    <col min="9479" max="9728" width="11.44140625" style="17"/>
    <col min="9729" max="9729" width="18.77734375" style="17" customWidth="1"/>
    <col min="9730" max="9730" width="13.77734375" style="17" bestFit="1" customWidth="1"/>
    <col min="9731" max="9731" width="17.21875" style="17" customWidth="1"/>
    <col min="9732" max="9732" width="11" style="17" customWidth="1"/>
    <col min="9733" max="9733" width="12" style="17" bestFit="1" customWidth="1"/>
    <col min="9734" max="9734" width="14.77734375" style="17" customWidth="1"/>
    <col min="9735" max="9984" width="11.44140625" style="17"/>
    <col min="9985" max="9985" width="18.77734375" style="17" customWidth="1"/>
    <col min="9986" max="9986" width="13.77734375" style="17" bestFit="1" customWidth="1"/>
    <col min="9987" max="9987" width="17.21875" style="17" customWidth="1"/>
    <col min="9988" max="9988" width="11" style="17" customWidth="1"/>
    <col min="9989" max="9989" width="12" style="17" bestFit="1" customWidth="1"/>
    <col min="9990" max="9990" width="14.77734375" style="17" customWidth="1"/>
    <col min="9991" max="10240" width="11.44140625" style="17"/>
    <col min="10241" max="10241" width="18.77734375" style="17" customWidth="1"/>
    <col min="10242" max="10242" width="13.77734375" style="17" bestFit="1" customWidth="1"/>
    <col min="10243" max="10243" width="17.21875" style="17" customWidth="1"/>
    <col min="10244" max="10244" width="11" style="17" customWidth="1"/>
    <col min="10245" max="10245" width="12" style="17" bestFit="1" customWidth="1"/>
    <col min="10246" max="10246" width="14.77734375" style="17" customWidth="1"/>
    <col min="10247" max="10496" width="11.44140625" style="17"/>
    <col min="10497" max="10497" width="18.77734375" style="17" customWidth="1"/>
    <col min="10498" max="10498" width="13.77734375" style="17" bestFit="1" customWidth="1"/>
    <col min="10499" max="10499" width="17.21875" style="17" customWidth="1"/>
    <col min="10500" max="10500" width="11" style="17" customWidth="1"/>
    <col min="10501" max="10501" width="12" style="17" bestFit="1" customWidth="1"/>
    <col min="10502" max="10502" width="14.77734375" style="17" customWidth="1"/>
    <col min="10503" max="10752" width="11.44140625" style="17"/>
    <col min="10753" max="10753" width="18.77734375" style="17" customWidth="1"/>
    <col min="10754" max="10754" width="13.77734375" style="17" bestFit="1" customWidth="1"/>
    <col min="10755" max="10755" width="17.21875" style="17" customWidth="1"/>
    <col min="10756" max="10756" width="11" style="17" customWidth="1"/>
    <col min="10757" max="10757" width="12" style="17" bestFit="1" customWidth="1"/>
    <col min="10758" max="10758" width="14.77734375" style="17" customWidth="1"/>
    <col min="10759" max="11008" width="11.44140625" style="17"/>
    <col min="11009" max="11009" width="18.77734375" style="17" customWidth="1"/>
    <col min="11010" max="11010" width="13.77734375" style="17" bestFit="1" customWidth="1"/>
    <col min="11011" max="11011" width="17.21875" style="17" customWidth="1"/>
    <col min="11012" max="11012" width="11" style="17" customWidth="1"/>
    <col min="11013" max="11013" width="12" style="17" bestFit="1" customWidth="1"/>
    <col min="11014" max="11014" width="14.77734375" style="17" customWidth="1"/>
    <col min="11015" max="11264" width="11.44140625" style="17"/>
    <col min="11265" max="11265" width="18.77734375" style="17" customWidth="1"/>
    <col min="11266" max="11266" width="13.77734375" style="17" bestFit="1" customWidth="1"/>
    <col min="11267" max="11267" width="17.21875" style="17" customWidth="1"/>
    <col min="11268" max="11268" width="11" style="17" customWidth="1"/>
    <col min="11269" max="11269" width="12" style="17" bestFit="1" customWidth="1"/>
    <col min="11270" max="11270" width="14.77734375" style="17" customWidth="1"/>
    <col min="11271" max="11520" width="11.44140625" style="17"/>
    <col min="11521" max="11521" width="18.77734375" style="17" customWidth="1"/>
    <col min="11522" max="11522" width="13.77734375" style="17" bestFit="1" customWidth="1"/>
    <col min="11523" max="11523" width="17.21875" style="17" customWidth="1"/>
    <col min="11524" max="11524" width="11" style="17" customWidth="1"/>
    <col min="11525" max="11525" width="12" style="17" bestFit="1" customWidth="1"/>
    <col min="11526" max="11526" width="14.77734375" style="17" customWidth="1"/>
    <col min="11527" max="11776" width="11.44140625" style="17"/>
    <col min="11777" max="11777" width="18.77734375" style="17" customWidth="1"/>
    <col min="11778" max="11778" width="13.77734375" style="17" bestFit="1" customWidth="1"/>
    <col min="11779" max="11779" width="17.21875" style="17" customWidth="1"/>
    <col min="11780" max="11780" width="11" style="17" customWidth="1"/>
    <col min="11781" max="11781" width="12" style="17" bestFit="1" customWidth="1"/>
    <col min="11782" max="11782" width="14.77734375" style="17" customWidth="1"/>
    <col min="11783" max="12032" width="11.44140625" style="17"/>
    <col min="12033" max="12033" width="18.77734375" style="17" customWidth="1"/>
    <col min="12034" max="12034" width="13.77734375" style="17" bestFit="1" customWidth="1"/>
    <col min="12035" max="12035" width="17.21875" style="17" customWidth="1"/>
    <col min="12036" max="12036" width="11" style="17" customWidth="1"/>
    <col min="12037" max="12037" width="12" style="17" bestFit="1" customWidth="1"/>
    <col min="12038" max="12038" width="14.77734375" style="17" customWidth="1"/>
    <col min="12039" max="12288" width="11.44140625" style="17"/>
    <col min="12289" max="12289" width="18.77734375" style="17" customWidth="1"/>
    <col min="12290" max="12290" width="13.77734375" style="17" bestFit="1" customWidth="1"/>
    <col min="12291" max="12291" width="17.21875" style="17" customWidth="1"/>
    <col min="12292" max="12292" width="11" style="17" customWidth="1"/>
    <col min="12293" max="12293" width="12" style="17" bestFit="1" customWidth="1"/>
    <col min="12294" max="12294" width="14.77734375" style="17" customWidth="1"/>
    <col min="12295" max="12544" width="11.44140625" style="17"/>
    <col min="12545" max="12545" width="18.77734375" style="17" customWidth="1"/>
    <col min="12546" max="12546" width="13.77734375" style="17" bestFit="1" customWidth="1"/>
    <col min="12547" max="12547" width="17.21875" style="17" customWidth="1"/>
    <col min="12548" max="12548" width="11" style="17" customWidth="1"/>
    <col min="12549" max="12549" width="12" style="17" bestFit="1" customWidth="1"/>
    <col min="12550" max="12550" width="14.77734375" style="17" customWidth="1"/>
    <col min="12551" max="12800" width="11.44140625" style="17"/>
    <col min="12801" max="12801" width="18.77734375" style="17" customWidth="1"/>
    <col min="12802" max="12802" width="13.77734375" style="17" bestFit="1" customWidth="1"/>
    <col min="12803" max="12803" width="17.21875" style="17" customWidth="1"/>
    <col min="12804" max="12804" width="11" style="17" customWidth="1"/>
    <col min="12805" max="12805" width="12" style="17" bestFit="1" customWidth="1"/>
    <col min="12806" max="12806" width="14.77734375" style="17" customWidth="1"/>
    <col min="12807" max="13056" width="11.44140625" style="17"/>
    <col min="13057" max="13057" width="18.77734375" style="17" customWidth="1"/>
    <col min="13058" max="13058" width="13.77734375" style="17" bestFit="1" customWidth="1"/>
    <col min="13059" max="13059" width="17.21875" style="17" customWidth="1"/>
    <col min="13060" max="13060" width="11" style="17" customWidth="1"/>
    <col min="13061" max="13061" width="12" style="17" bestFit="1" customWidth="1"/>
    <col min="13062" max="13062" width="14.77734375" style="17" customWidth="1"/>
    <col min="13063" max="13312" width="11.44140625" style="17"/>
    <col min="13313" max="13313" width="18.77734375" style="17" customWidth="1"/>
    <col min="13314" max="13314" width="13.77734375" style="17" bestFit="1" customWidth="1"/>
    <col min="13315" max="13315" width="17.21875" style="17" customWidth="1"/>
    <col min="13316" max="13316" width="11" style="17" customWidth="1"/>
    <col min="13317" max="13317" width="12" style="17" bestFit="1" customWidth="1"/>
    <col min="13318" max="13318" width="14.77734375" style="17" customWidth="1"/>
    <col min="13319" max="13568" width="11.44140625" style="17"/>
    <col min="13569" max="13569" width="18.77734375" style="17" customWidth="1"/>
    <col min="13570" max="13570" width="13.77734375" style="17" bestFit="1" customWidth="1"/>
    <col min="13571" max="13571" width="17.21875" style="17" customWidth="1"/>
    <col min="13572" max="13572" width="11" style="17" customWidth="1"/>
    <col min="13573" max="13573" width="12" style="17" bestFit="1" customWidth="1"/>
    <col min="13574" max="13574" width="14.77734375" style="17" customWidth="1"/>
    <col min="13575" max="13824" width="11.44140625" style="17"/>
    <col min="13825" max="13825" width="18.77734375" style="17" customWidth="1"/>
    <col min="13826" max="13826" width="13.77734375" style="17" bestFit="1" customWidth="1"/>
    <col min="13827" max="13827" width="17.21875" style="17" customWidth="1"/>
    <col min="13828" max="13828" width="11" style="17" customWidth="1"/>
    <col min="13829" max="13829" width="12" style="17" bestFit="1" customWidth="1"/>
    <col min="13830" max="13830" width="14.77734375" style="17" customWidth="1"/>
    <col min="13831" max="14080" width="11.44140625" style="17"/>
    <col min="14081" max="14081" width="18.77734375" style="17" customWidth="1"/>
    <col min="14082" max="14082" width="13.77734375" style="17" bestFit="1" customWidth="1"/>
    <col min="14083" max="14083" width="17.21875" style="17" customWidth="1"/>
    <col min="14084" max="14084" width="11" style="17" customWidth="1"/>
    <col min="14085" max="14085" width="12" style="17" bestFit="1" customWidth="1"/>
    <col min="14086" max="14086" width="14.77734375" style="17" customWidth="1"/>
    <col min="14087" max="14336" width="11.44140625" style="17"/>
    <col min="14337" max="14337" width="18.77734375" style="17" customWidth="1"/>
    <col min="14338" max="14338" width="13.77734375" style="17" bestFit="1" customWidth="1"/>
    <col min="14339" max="14339" width="17.21875" style="17" customWidth="1"/>
    <col min="14340" max="14340" width="11" style="17" customWidth="1"/>
    <col min="14341" max="14341" width="12" style="17" bestFit="1" customWidth="1"/>
    <col min="14342" max="14342" width="14.77734375" style="17" customWidth="1"/>
    <col min="14343" max="14592" width="11.44140625" style="17"/>
    <col min="14593" max="14593" width="18.77734375" style="17" customWidth="1"/>
    <col min="14594" max="14594" width="13.77734375" style="17" bestFit="1" customWidth="1"/>
    <col min="14595" max="14595" width="17.21875" style="17" customWidth="1"/>
    <col min="14596" max="14596" width="11" style="17" customWidth="1"/>
    <col min="14597" max="14597" width="12" style="17" bestFit="1" customWidth="1"/>
    <col min="14598" max="14598" width="14.77734375" style="17" customWidth="1"/>
    <col min="14599" max="14848" width="11.44140625" style="17"/>
    <col min="14849" max="14849" width="18.77734375" style="17" customWidth="1"/>
    <col min="14850" max="14850" width="13.77734375" style="17" bestFit="1" customWidth="1"/>
    <col min="14851" max="14851" width="17.21875" style="17" customWidth="1"/>
    <col min="14852" max="14852" width="11" style="17" customWidth="1"/>
    <col min="14853" max="14853" width="12" style="17" bestFit="1" customWidth="1"/>
    <col min="14854" max="14854" width="14.77734375" style="17" customWidth="1"/>
    <col min="14855" max="15104" width="11.44140625" style="17"/>
    <col min="15105" max="15105" width="18.77734375" style="17" customWidth="1"/>
    <col min="15106" max="15106" width="13.77734375" style="17" bestFit="1" customWidth="1"/>
    <col min="15107" max="15107" width="17.21875" style="17" customWidth="1"/>
    <col min="15108" max="15108" width="11" style="17" customWidth="1"/>
    <col min="15109" max="15109" width="12" style="17" bestFit="1" customWidth="1"/>
    <col min="15110" max="15110" width="14.77734375" style="17" customWidth="1"/>
    <col min="15111" max="15360" width="11.44140625" style="17"/>
    <col min="15361" max="15361" width="18.77734375" style="17" customWidth="1"/>
    <col min="15362" max="15362" width="13.77734375" style="17" bestFit="1" customWidth="1"/>
    <col min="15363" max="15363" width="17.21875" style="17" customWidth="1"/>
    <col min="15364" max="15364" width="11" style="17" customWidth="1"/>
    <col min="15365" max="15365" width="12" style="17" bestFit="1" customWidth="1"/>
    <col min="15366" max="15366" width="14.77734375" style="17" customWidth="1"/>
    <col min="15367" max="15616" width="11.44140625" style="17"/>
    <col min="15617" max="15617" width="18.77734375" style="17" customWidth="1"/>
    <col min="15618" max="15618" width="13.77734375" style="17" bestFit="1" customWidth="1"/>
    <col min="15619" max="15619" width="17.21875" style="17" customWidth="1"/>
    <col min="15620" max="15620" width="11" style="17" customWidth="1"/>
    <col min="15621" max="15621" width="12" style="17" bestFit="1" customWidth="1"/>
    <col min="15622" max="15622" width="14.77734375" style="17" customWidth="1"/>
    <col min="15623" max="15872" width="11.44140625" style="17"/>
    <col min="15873" max="15873" width="18.77734375" style="17" customWidth="1"/>
    <col min="15874" max="15874" width="13.77734375" style="17" bestFit="1" customWidth="1"/>
    <col min="15875" max="15875" width="17.21875" style="17" customWidth="1"/>
    <col min="15876" max="15876" width="11" style="17" customWidth="1"/>
    <col min="15877" max="15877" width="12" style="17" bestFit="1" customWidth="1"/>
    <col min="15878" max="15878" width="14.77734375" style="17" customWidth="1"/>
    <col min="15879" max="16128" width="11.44140625" style="17"/>
    <col min="16129" max="16129" width="18.77734375" style="17" customWidth="1"/>
    <col min="16130" max="16130" width="13.77734375" style="17" bestFit="1" customWidth="1"/>
    <col min="16131" max="16131" width="17.21875" style="17" customWidth="1"/>
    <col min="16132" max="16132" width="11" style="17" customWidth="1"/>
    <col min="16133" max="16133" width="12" style="17" bestFit="1" customWidth="1"/>
    <col min="16134" max="16134" width="14.77734375" style="17" customWidth="1"/>
    <col min="16135" max="16384" width="11.44140625" style="17"/>
  </cols>
  <sheetData>
    <row r="2" spans="1:11" x14ac:dyDescent="0.25">
      <c r="A2" s="17" t="s">
        <v>70</v>
      </c>
      <c r="B2" s="63">
        <f>'pooled normalised values'!B75</f>
        <v>7.3817486448862643E-2</v>
      </c>
      <c r="D2" s="17" t="s">
        <v>9</v>
      </c>
      <c r="E2" s="18"/>
      <c r="F2" s="19" t="str">
        <f>'pooled normalised values'!J74</f>
        <v>Dutasteride-0,1mg/L</v>
      </c>
      <c r="G2" s="18"/>
      <c r="H2" s="20"/>
      <c r="I2" s="19" t="str">
        <f>'pooled normalised values'!R74</f>
        <v>Dutasteride-0.01mg/L + Testostérone</v>
      </c>
      <c r="J2" s="20"/>
      <c r="K2" s="17" t="s">
        <v>9</v>
      </c>
    </row>
    <row r="3" spans="1:11" x14ac:dyDescent="0.25">
      <c r="A3" s="17" t="s">
        <v>71</v>
      </c>
      <c r="B3" s="63">
        <f>'summary results'!E6</f>
        <v>0</v>
      </c>
      <c r="D3" s="21" t="s">
        <v>10</v>
      </c>
      <c r="E3" s="22"/>
      <c r="F3" s="19">
        <f>HLOOKUP(F2,'pooled normalised values'!B74:V83,2,FALSE)</f>
        <v>6.3828284835330831E-2</v>
      </c>
      <c r="G3" s="22"/>
      <c r="H3" s="20"/>
      <c r="I3" s="19">
        <f>HLOOKUP(I2,'pooled normalised values'!N74:AL83,2,FALSE)</f>
        <v>1.0269745515535349</v>
      </c>
      <c r="J3" s="20"/>
      <c r="K3" s="21" t="s">
        <v>10</v>
      </c>
    </row>
    <row r="4" spans="1:11" x14ac:dyDescent="0.25">
      <c r="A4" s="17" t="s">
        <v>72</v>
      </c>
      <c r="B4" s="63">
        <f>'pooled normalised values'!O75</f>
        <v>1.0000000000000002</v>
      </c>
      <c r="D4" s="21" t="s">
        <v>2</v>
      </c>
      <c r="E4" s="22"/>
      <c r="F4" s="19">
        <f>HLOOKUP(F2,'pooled normalised values'!B74:V83,3,FALSE)</f>
        <v>1.227291039821529E-2</v>
      </c>
      <c r="G4" s="22"/>
      <c r="H4" s="20"/>
      <c r="I4" s="19">
        <f>HLOOKUP(I2,'pooled normalised values'!N74:AL83,3,FALSE)</f>
        <v>0.13478494401840871</v>
      </c>
      <c r="J4" s="20"/>
      <c r="K4" s="21" t="s">
        <v>2</v>
      </c>
    </row>
    <row r="5" spans="1:11" x14ac:dyDescent="0.25">
      <c r="A5" s="17" t="s">
        <v>73</v>
      </c>
      <c r="B5" s="63">
        <f>'pooled normalised values'!P75</f>
        <v>1.5224648090191533</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5.419425156907632E-2</v>
      </c>
      <c r="D6" s="21" t="s">
        <v>12</v>
      </c>
      <c r="E6" s="24">
        <f>$B$2</f>
        <v>7.3817486448862643E-2</v>
      </c>
      <c r="F6" s="24">
        <f>$B$2</f>
        <v>7.3817486448862643E-2</v>
      </c>
      <c r="G6" s="24">
        <f>$B$2</f>
        <v>7.3817486448862643E-2</v>
      </c>
      <c r="H6" s="25"/>
      <c r="I6" s="25"/>
      <c r="J6" s="25"/>
      <c r="K6" s="21" t="s">
        <v>12</v>
      </c>
    </row>
    <row r="7" spans="1:11" x14ac:dyDescent="0.25">
      <c r="B7" s="26"/>
      <c r="D7" s="26" t="s">
        <v>13</v>
      </c>
      <c r="E7" s="24"/>
      <c r="F7" s="24"/>
      <c r="G7" s="27"/>
      <c r="H7" s="25">
        <f t="shared" ref="H7:J7" si="0">$B$4</f>
        <v>1.0000000000000002</v>
      </c>
      <c r="I7" s="25">
        <f t="shared" si="0"/>
        <v>1.0000000000000002</v>
      </c>
      <c r="J7" s="25">
        <f t="shared" si="0"/>
        <v>1.0000000000000002</v>
      </c>
      <c r="K7" s="26" t="s">
        <v>13</v>
      </c>
    </row>
    <row r="8" spans="1:11" x14ac:dyDescent="0.25">
      <c r="D8" s="28" t="s">
        <v>14</v>
      </c>
      <c r="E8" s="24">
        <v>0</v>
      </c>
      <c r="F8" s="24">
        <v>0</v>
      </c>
      <c r="G8" s="27">
        <v>0</v>
      </c>
      <c r="H8" s="25">
        <f>$B$6</f>
        <v>5.419425156907632E-2</v>
      </c>
      <c r="I8" s="25">
        <f t="shared" ref="I8:J8" si="1">$B$6</f>
        <v>5.419425156907632E-2</v>
      </c>
      <c r="J8" s="25">
        <f t="shared" si="1"/>
        <v>5.419425156907632E-2</v>
      </c>
      <c r="K8" s="28" t="s">
        <v>14</v>
      </c>
    </row>
    <row r="9" spans="1:11" x14ac:dyDescent="0.25">
      <c r="D9" s="28" t="s">
        <v>15</v>
      </c>
      <c r="E9" s="29">
        <f>$B$3-E8</f>
        <v>0</v>
      </c>
      <c r="F9" s="29">
        <f>$B$3-F8</f>
        <v>0</v>
      </c>
      <c r="G9" s="29">
        <f>$B$3-G8</f>
        <v>0</v>
      </c>
      <c r="H9" s="25">
        <f>$B$5-H8</f>
        <v>1.468270557450077</v>
      </c>
      <c r="I9" s="25">
        <f>$B$5-I8</f>
        <v>1.468270557450077</v>
      </c>
      <c r="J9" s="25">
        <f>$B$5-J8</f>
        <v>1.468270557450077</v>
      </c>
      <c r="K9" s="28" t="s">
        <v>15</v>
      </c>
    </row>
    <row r="10" spans="1:11" x14ac:dyDescent="0.25">
      <c r="D10" s="28" t="s">
        <v>16</v>
      </c>
      <c r="E10" s="27">
        <f t="shared" ref="E10:J10" si="2">2.5-E9</f>
        <v>2.5</v>
      </c>
      <c r="F10" s="27">
        <f t="shared" si="2"/>
        <v>2.5</v>
      </c>
      <c r="G10" s="27">
        <f t="shared" si="2"/>
        <v>2.5</v>
      </c>
      <c r="H10" s="25">
        <f t="shared" si="2"/>
        <v>1.031729442549923</v>
      </c>
      <c r="I10" s="25">
        <f t="shared" si="2"/>
        <v>1.031729442549923</v>
      </c>
      <c r="J10" s="25">
        <f t="shared" si="2"/>
        <v>1.031729442549923</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pageSetup paperSize="9" orientation="portrait" horizontalDpi="300" verticalDpi="300" r:id="rId1"/>
  <headerFooter>
    <oddFooter>&amp;C&amp;1#&amp;"Arial"&amp;10&amp;K000000Internal</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5546875" defaultRowHeight="14.4" x14ac:dyDescent="0.3"/>
  <cols>
    <col min="1" max="1" width="11.44140625" style="1"/>
    <col min="3" max="3" width="15.21875" customWidth="1"/>
    <col min="4" max="4" width="13.77734375" customWidth="1"/>
    <col min="5" max="5" width="18.21875" customWidth="1"/>
    <col min="6" max="6" width="14" customWidth="1"/>
    <col min="7" max="7" width="14.44140625" customWidth="1"/>
    <col min="8" max="8" width="14.21875" customWidth="1"/>
    <col min="9" max="9" width="17" customWidth="1"/>
    <col min="10" max="10" width="12.5546875" customWidth="1"/>
    <col min="11" max="11" width="13.21875" customWidth="1"/>
    <col min="12" max="12" width="15.77734375" customWidth="1"/>
    <col min="13" max="14" width="16.21875" customWidth="1"/>
    <col min="17" max="23" width="9.77734375" customWidth="1"/>
  </cols>
  <sheetData>
    <row r="1" spans="1:23" ht="29.4" thickBot="1" x14ac:dyDescent="0.35">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6" t="s">
        <v>99</v>
      </c>
      <c r="R1" s="236"/>
      <c r="S1" s="236"/>
      <c r="U1" s="236" t="s">
        <v>98</v>
      </c>
      <c r="V1" s="236"/>
      <c r="W1" s="236"/>
    </row>
    <row r="2" spans="1:23" x14ac:dyDescent="0.3">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131</v>
      </c>
      <c r="U2" s="118" t="s">
        <v>7</v>
      </c>
      <c r="V2" s="1" t="s">
        <v>131</v>
      </c>
    </row>
    <row r="3" spans="1:23" x14ac:dyDescent="0.3">
      <c r="A3" s="1" t="str">
        <f>Q7</f>
        <v>Dutasteride-0,01mg/L</v>
      </c>
      <c r="B3" t="str">
        <f t="shared" si="0"/>
        <v>Dutasteride-0,01mg/L + Testostérone</v>
      </c>
      <c r="D3" t="str">
        <f>CONCATENATE(VLOOKUP(Tableau3[[#This Row],[Nom ND]],liste_groupe[],3,FALSE),VLOOKUP(Tableau3[[#This Row],[Nom ND]],liste_groupe[],4,FALSE))</f>
        <v>0.01mg/L</v>
      </c>
      <c r="E3">
        <f>HLOOKUP(Tableau3[[#This Row],[Nom ND]],'pooled normalised values'!$B$74:$V$83,4,FALSE)</f>
        <v>-30.86238477508148</v>
      </c>
      <c r="F3" t="str">
        <f>HLOOKUP(Tableau3[[#This Row],[Nom ND]],'pooled normalised values'!$B$74:$V$83,8,FALSE)</f>
        <v>Kruskal-Wallis</v>
      </c>
      <c r="G3" t="str">
        <f>VLOOKUP(Tableau3[[#This Row],[Nom ND]],'summary results'!$A$6:$N$26,9,FALSE)</f>
        <v>NC</v>
      </c>
      <c r="H3">
        <f>VLOOKUP(Tableau3[[#This Row],[Nom ND]],'summary results'!$A$6:$N$26,11,FALSE)</f>
        <v>0</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
      <c r="A4" s="1" t="str">
        <f t="shared" ref="A4:A15" si="1">Q8</f>
        <v>Dutasteride-0,1mg/L</v>
      </c>
      <c r="B4" s="44" t="str">
        <f t="shared" ref="B4:B15" si="2">U8</f>
        <v>Dutasteride-0,1mg/L + Testostérone</v>
      </c>
      <c r="D4" s="44" t="str">
        <f>CONCATENATE(VLOOKUP(Tableau3[[#This Row],[Nom ND]],liste_groupe[],3,FALSE),VLOOKUP(Tableau3[[#This Row],[Nom ND]],liste_groupe[],4,FALSE))</f>
        <v>0.1mg/L</v>
      </c>
      <c r="E4" s="44">
        <f>HLOOKUP(Tableau3[[#This Row],[Nom ND]],'pooled normalised values'!$B$74:$V$83,4,FALSE)</f>
        <v>-13.532297148117976</v>
      </c>
      <c r="F4" s="44" t="str">
        <f>HLOOKUP(Tableau3[[#This Row],[Nom ND]],'pooled normalised values'!$B$74:$V$83,8,FALSE)</f>
        <v>Kruskal-Wallis</v>
      </c>
      <c r="G4" s="44" t="str">
        <f>VLOOKUP(Tableau3[[#This Row],[Nom ND]],'summary results'!$A$6:$N$26,9,FALSE)</f>
        <v>NC</v>
      </c>
      <c r="H4" s="44">
        <f>VLOOKUP(Tableau3[[#This Row],[Nom ND]],'summary results'!$A$6:$N$26,11,FALSE)</f>
        <v>0</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
      <c r="A5" s="1" t="str">
        <f t="shared" si="1"/>
        <v>Dutasteride-0,25mg/L</v>
      </c>
      <c r="B5" s="44" t="str">
        <f t="shared" si="2"/>
        <v>Dutasteride-0,25mg/L + Testostérone</v>
      </c>
      <c r="D5" s="44" t="str">
        <f>CONCATENATE(VLOOKUP(Tableau3[[#This Row],[Nom ND]],liste_groupe[],3,FALSE),VLOOKUP(Tableau3[[#This Row],[Nom ND]],liste_groupe[],4,FALSE))</f>
        <v>0.25mg/L</v>
      </c>
      <c r="E5" s="44">
        <f>HLOOKUP(Tableau3[[#This Row],[Nom ND]],'pooled normalised values'!$B$74:$V$83,4,FALSE)</f>
        <v>-27.52647706313752</v>
      </c>
      <c r="F5" s="44" t="str">
        <f>HLOOKUP(Tableau3[[#This Row],[Nom ND]],'pooled normalised values'!$B$74:$V$83,8,FALSE)</f>
        <v>Kruskal-Wallis</v>
      </c>
      <c r="G5" s="44" t="str">
        <f>VLOOKUP(Tableau3[[#This Row],[Nom ND]],'summary results'!$A$6:$N$26,9,FALSE)</f>
        <v>NC</v>
      </c>
      <c r="H5" s="44">
        <f>VLOOKUP(Tableau3[[#This Row],[Nom ND]],'summary results'!$A$6:$N$26,11,FALSE)</f>
        <v>0</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
      <c r="A6" s="1" t="str">
        <f t="shared" si="1"/>
        <v>Dutasteride-0,5mg/L</v>
      </c>
      <c r="B6" s="44" t="str">
        <f t="shared" si="2"/>
        <v>Dutasteride-0,5mg/L + Testostérone</v>
      </c>
      <c r="D6" s="44" t="str">
        <f>CONCATENATE(VLOOKUP(Tableau3[[#This Row],[Nom ND]],liste_groupe[],3,FALSE),VLOOKUP(Tableau3[[#This Row],[Nom ND]],liste_groupe[],4,FALSE))</f>
        <v>0.5mg/L</v>
      </c>
      <c r="E6" s="44">
        <f>HLOOKUP(Tableau3[[#This Row],[Nom ND]],'pooled normalised values'!$B$74:$V$83,4,FALSE)</f>
        <v>-5.3469308585552255</v>
      </c>
      <c r="F6" s="44" t="str">
        <f>HLOOKUP(Tableau3[[#This Row],[Nom ND]],'pooled normalised values'!$B$74:$V$83,8,FALSE)</f>
        <v>Kruskal-Wallis</v>
      </c>
      <c r="G6" s="44" t="str">
        <f>VLOOKUP(Tableau3[[#This Row],[Nom ND]],'summary results'!$A$6:$N$26,9,FALSE)</f>
        <v>NC</v>
      </c>
      <c r="H6" s="44">
        <f>VLOOKUP(Tableau3[[#This Row],[Nom ND]],'summary results'!$A$6:$N$26,11,FALSE)</f>
        <v>0</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
      <c r="A7" s="1" t="str">
        <f t="shared" si="1"/>
        <v>Dutasteride-1mg/L</v>
      </c>
      <c r="B7" s="44" t="str">
        <f t="shared" si="2"/>
        <v>Dutasteride-1mg/L + Testostérone</v>
      </c>
      <c r="D7" s="44" t="str">
        <f>CONCATENATE(VLOOKUP(Tableau3[[#This Row],[Nom ND]],liste_groupe[],3,FALSE),VLOOKUP(Tableau3[[#This Row],[Nom ND]],liste_groupe[],4,FALSE))</f>
        <v>1mg/L</v>
      </c>
      <c r="E7" s="44">
        <f>HLOOKUP(Tableau3[[#This Row],[Nom ND]],'pooled normalised values'!$B$74:$V$83,4,FALSE)</f>
        <v>-23.162712729686049</v>
      </c>
      <c r="F7" s="44" t="str">
        <f>HLOOKUP(Tableau3[[#This Row],[Nom ND]],'pooled normalised values'!$B$74:$V$83,8,FALSE)</f>
        <v>Kruskal-Wallis</v>
      </c>
      <c r="G7" s="44" t="str">
        <f>VLOOKUP(Tableau3[[#This Row],[Nom ND]],'summary results'!$A$6:$N$26,9,FALSE)</f>
        <v>NC</v>
      </c>
      <c r="H7" s="44">
        <f>VLOOKUP(Tableau3[[#This Row],[Nom ND]],'summary results'!$A$6:$N$26,11,FALSE)</f>
        <v>0</v>
      </c>
      <c r="I7" s="44">
        <f>HLOOKUP(Tableau3[[#This Row],[Nom D]],'pooled normalised values'!$B$74:$V$83,4,FALSE)</f>
        <v>13.170045879561584</v>
      </c>
      <c r="J7" s="44" t="str">
        <f>HLOOKUP(Tableau3[[#This Row],[Nom D]],'pooled normalised values'!$B$74:$V$83,8,FALSE)</f>
        <v>ANOVA</v>
      </c>
      <c r="K7" s="44" t="str">
        <f>VLOOKUP(Tableau3[[#This Row],[Nom D]],'summary results'!$A$29:$N$51,9,FALSE)</f>
        <v>NC</v>
      </c>
      <c r="L7" s="44">
        <f>VLOOKUP(Tableau3[[#This Row],[Nom D]],'summary results'!$A$29:$N$51,11,FALSE)</f>
        <v>0</v>
      </c>
      <c r="M7" t="e">
        <f>'summary results'!$G$30</f>
        <v>#NUM!</v>
      </c>
      <c r="N7" t="e">
        <f>'summary results'!$G$31</f>
        <v>#NUM!</v>
      </c>
      <c r="Q7" s="145" t="s">
        <v>166</v>
      </c>
      <c r="U7" s="145" t="s">
        <v>419</v>
      </c>
    </row>
    <row r="8" spans="1:23" x14ac:dyDescent="0.3">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c r="Q8" s="145" t="s">
        <v>167</v>
      </c>
      <c r="U8" s="145" t="s">
        <v>420</v>
      </c>
    </row>
    <row r="9" spans="1:23" x14ac:dyDescent="0.3">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c r="Q9" s="145" t="s">
        <v>168</v>
      </c>
      <c r="U9" s="145" t="s">
        <v>421</v>
      </c>
    </row>
    <row r="10" spans="1:23" x14ac:dyDescent="0.3">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c r="Q10" s="145" t="s">
        <v>169</v>
      </c>
      <c r="U10" s="145" t="s">
        <v>422</v>
      </c>
    </row>
    <row r="11" spans="1:23" x14ac:dyDescent="0.3">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c r="Q11" s="145" t="s">
        <v>170</v>
      </c>
      <c r="U11" s="145" t="s">
        <v>423</v>
      </c>
    </row>
    <row r="12" spans="1:23" x14ac:dyDescent="0.3">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pageSetup paperSize="9" orientation="portrait" horizontalDpi="300" verticalDpi="300" r:id="rId3"/>
  <headerFooter>
    <oddFooter>&amp;C&amp;1#&amp;"Arial"&amp;10&amp;K000000Internal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EF5F57-6829-48B5-8BB0-A3C6263DBC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527088-300A-4738-AC0F-245701C69C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15</vt:i4>
      </vt:variant>
      <vt:variant>
        <vt:lpstr>Charts</vt:lpstr>
      </vt:variant>
      <vt:variant>
        <vt:i4>4</vt:i4>
      </vt:variant>
      <vt:variant>
        <vt:lpstr>Named Ranges</vt:lpstr>
      </vt:variant>
      <vt:variant>
        <vt:i4>1</vt:i4>
      </vt:variant>
    </vt:vector>
  </HeadingPairs>
  <TitlesOfParts>
    <vt:vector size="20" baseType="lpstr">
      <vt:lpstr>Page de garde</vt:lpstr>
      <vt:lpstr>Feuil1</vt:lpstr>
      <vt:lpstr>Feuil2</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R4</vt:lpstr>
      <vt:lpstr>Graph R6</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2022-12-22T16:48:37Z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2022-12-22T16:48:36Z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53ddf89b-7502-401c-8799-93f6c6fdc512</vt:lpwstr>
  </property>
  <property fmtid="{D5CDD505-2E9C-101B-9397-08002B2CF9AE}" pid="8" name="MSIP_Label_06530cf4-8573-4c29-a912-bbcdac835909_ContentBits">
    <vt:lpwstr>2</vt:lpwstr>
  </property>
</Properties>
</file>