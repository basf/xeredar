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hidePivotFieldList="1" defaultThemeVersion="124226"/>
  <xr:revisionPtr revIDLastSave="4" documentId="13_ncr:1_{8AAB3BB8-737D-4986-985D-B02FD52F9179}" xr6:coauthVersionLast="47" xr6:coauthVersionMax="47" xr10:uidLastSave="{12F58F57-5D89-474C-9FBC-B2FA32BA32DA}"/>
  <bookViews>
    <workbookView xWindow="-28920" yWindow="-120" windowWidth="29040" windowHeight="15720" firstSheet="1" activeTab="9"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garde'!$A$1:$I$52</definedName>
  </definedNames>
  <calcPr calcId="191029"/>
  <pivotCaches>
    <pivotCache cacheId="0" r:id="rId21"/>
    <pivotCache cacheId="1" r:id="rId22"/>
    <pivotCache cacheId="2" r:id="rId23"/>
    <pivotCache cacheId="3"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22" i="1" s="1"/>
  <c r="J4" i="1"/>
  <c r="K4" i="1"/>
  <c r="K22" i="1" s="1"/>
  <c r="L4" i="1"/>
  <c r="L27" i="1" s="1"/>
  <c r="M4" i="1"/>
  <c r="M27" i="1" s="1"/>
  <c r="J22" i="1"/>
  <c r="B23" i="1"/>
  <c r="C23" i="1"/>
  <c r="D23" i="1"/>
  <c r="E23" i="1"/>
  <c r="F23" i="1"/>
  <c r="G23" i="1"/>
  <c r="H23" i="1"/>
  <c r="I23" i="1"/>
  <c r="J23" i="1"/>
  <c r="K23" i="1"/>
  <c r="L23" i="1"/>
  <c r="M23" i="1"/>
  <c r="N23" i="1"/>
  <c r="O23" i="1"/>
  <c r="P23" i="1"/>
  <c r="Q23" i="1"/>
  <c r="R23" i="1"/>
  <c r="S23" i="1"/>
  <c r="T23" i="1"/>
  <c r="U23" i="1"/>
  <c r="V23" i="1"/>
  <c r="W23" i="1"/>
  <c r="X23" i="1"/>
  <c r="Y23" i="1"/>
  <c r="Z23" i="1"/>
  <c r="AA23" i="1"/>
  <c r="AB23" i="1"/>
  <c r="AC23" i="1"/>
  <c r="B24" i="1"/>
  <c r="C24" i="1"/>
  <c r="D24" i="1"/>
  <c r="E24" i="1"/>
  <c r="F24" i="1"/>
  <c r="G24" i="1"/>
  <c r="H24" i="1"/>
  <c r="I24" i="1"/>
  <c r="J24" i="1"/>
  <c r="K24" i="1"/>
  <c r="L24" i="1"/>
  <c r="M24" i="1"/>
  <c r="N24" i="1"/>
  <c r="O24" i="1"/>
  <c r="P24" i="1"/>
  <c r="Q24" i="1"/>
  <c r="R24" i="1"/>
  <c r="S24" i="1"/>
  <c r="T24" i="1"/>
  <c r="U24" i="1"/>
  <c r="V24" i="1"/>
  <c r="W24" i="1"/>
  <c r="X24" i="1"/>
  <c r="Y24" i="1"/>
  <c r="Z24" i="1"/>
  <c r="AA24" i="1"/>
  <c r="AB24" i="1"/>
  <c r="AC24" i="1"/>
  <c r="J27" i="1"/>
  <c r="N28" i="1"/>
  <c r="M29" i="1"/>
  <c r="N29" i="1"/>
  <c r="N30" i="1"/>
  <c r="N31" i="1"/>
  <c r="N32" i="1"/>
  <c r="C33" i="1"/>
  <c r="E33" i="1"/>
  <c r="N33" i="1"/>
  <c r="D34" i="1"/>
  <c r="E34" i="1"/>
  <c r="M34" i="1"/>
  <c r="N34" i="1"/>
  <c r="K35" i="1"/>
  <c r="M35" i="1"/>
  <c r="N35" i="1"/>
  <c r="B36" i="1"/>
  <c r="C36" i="1"/>
  <c r="D36" i="1"/>
  <c r="E36" i="1"/>
  <c r="F36" i="1"/>
  <c r="G36" i="1"/>
  <c r="H36" i="1"/>
  <c r="I36" i="1"/>
  <c r="J36" i="1"/>
  <c r="K36" i="1"/>
  <c r="L36" i="1"/>
  <c r="M36" i="1"/>
  <c r="N36" i="1"/>
  <c r="B37" i="1"/>
  <c r="C37" i="1"/>
  <c r="D37" i="1"/>
  <c r="E37" i="1"/>
  <c r="F37" i="1"/>
  <c r="G37" i="1"/>
  <c r="H37" i="1"/>
  <c r="I37" i="1"/>
  <c r="J37" i="1"/>
  <c r="K37" i="1"/>
  <c r="L37" i="1"/>
  <c r="M37" i="1"/>
  <c r="N37" i="1"/>
  <c r="B38" i="1"/>
  <c r="C38" i="1"/>
  <c r="D38" i="1"/>
  <c r="E38" i="1"/>
  <c r="F38" i="1"/>
  <c r="G38" i="1"/>
  <c r="H38" i="1"/>
  <c r="I38" i="1"/>
  <c r="J38" i="1"/>
  <c r="K38" i="1"/>
  <c r="L38" i="1"/>
  <c r="M38" i="1"/>
  <c r="N38" i="1"/>
  <c r="B39" i="1"/>
  <c r="C39" i="1"/>
  <c r="D39" i="1"/>
  <c r="E39" i="1"/>
  <c r="F39" i="1"/>
  <c r="G39" i="1"/>
  <c r="H39" i="1"/>
  <c r="I39" i="1"/>
  <c r="J39" i="1"/>
  <c r="K39" i="1"/>
  <c r="L39" i="1"/>
  <c r="M39" i="1"/>
  <c r="N39" i="1"/>
  <c r="B40" i="1"/>
  <c r="C40" i="1"/>
  <c r="D40" i="1"/>
  <c r="E40" i="1"/>
  <c r="F40" i="1"/>
  <c r="G40" i="1"/>
  <c r="H40" i="1"/>
  <c r="I40" i="1"/>
  <c r="J40" i="1"/>
  <c r="K40" i="1"/>
  <c r="L40" i="1"/>
  <c r="M40" i="1"/>
  <c r="N40" i="1"/>
  <c r="B41" i="1"/>
  <c r="C41" i="1"/>
  <c r="D41" i="1"/>
  <c r="E41" i="1"/>
  <c r="F41" i="1"/>
  <c r="G41" i="1"/>
  <c r="H41" i="1"/>
  <c r="I41" i="1"/>
  <c r="J41" i="1"/>
  <c r="K41" i="1"/>
  <c r="L41" i="1"/>
  <c r="M41" i="1"/>
  <c r="N41" i="1"/>
  <c r="B42" i="1"/>
  <c r="C42" i="1"/>
  <c r="D42" i="1"/>
  <c r="E42" i="1"/>
  <c r="F42" i="1"/>
  <c r="G42" i="1"/>
  <c r="H42" i="1"/>
  <c r="I42" i="1"/>
  <c r="J42" i="1"/>
  <c r="K42" i="1"/>
  <c r="L42" i="1"/>
  <c r="M42" i="1"/>
  <c r="N42" i="1"/>
  <c r="B43" i="1"/>
  <c r="C43" i="1"/>
  <c r="D43" i="1"/>
  <c r="E43" i="1"/>
  <c r="F43" i="1"/>
  <c r="G43" i="1"/>
  <c r="H43" i="1"/>
  <c r="I43" i="1"/>
  <c r="J43" i="1"/>
  <c r="K43" i="1"/>
  <c r="L43" i="1"/>
  <c r="M43" i="1"/>
  <c r="N43" i="1"/>
  <c r="J45" i="1"/>
  <c r="L45" i="1"/>
  <c r="M45" i="1"/>
  <c r="A22" i="1"/>
  <c r="AE23" i="1"/>
  <c r="B28" i="1" s="1"/>
  <c r="AF23" i="1"/>
  <c r="AG23" i="1"/>
  <c r="AH23" i="1"/>
  <c r="AI23" i="1"/>
  <c r="AJ23" i="1"/>
  <c r="AK23" i="1"/>
  <c r="AL23" i="1"/>
  <c r="AM23" i="1"/>
  <c r="AN23" i="1"/>
  <c r="AO23" i="1"/>
  <c r="AP23" i="1"/>
  <c r="AQ23" i="1"/>
  <c r="AR23" i="1"/>
  <c r="AS23" i="1"/>
  <c r="AT23" i="1"/>
  <c r="AU23" i="1"/>
  <c r="AV23" i="1"/>
  <c r="AW23" i="1"/>
  <c r="AX23" i="1"/>
  <c r="AY23" i="1"/>
  <c r="AZ23" i="1"/>
  <c r="BA23" i="1"/>
  <c r="AE24" i="1"/>
  <c r="AF24" i="1"/>
  <c r="AG24" i="1"/>
  <c r="AH24" i="1"/>
  <c r="AI24" i="1"/>
  <c r="AJ24" i="1"/>
  <c r="AK24" i="1"/>
  <c r="AL24" i="1"/>
  <c r="AM24" i="1"/>
  <c r="AN24" i="1"/>
  <c r="AO24" i="1"/>
  <c r="AP24" i="1"/>
  <c r="AQ24" i="1"/>
  <c r="AR24" i="1"/>
  <c r="AS24" i="1"/>
  <c r="AT24" i="1"/>
  <c r="AU24" i="1"/>
  <c r="AV24" i="1"/>
  <c r="AW24" i="1"/>
  <c r="AX24" i="1"/>
  <c r="AY24" i="1"/>
  <c r="AZ24" i="1"/>
  <c r="BA24" i="1"/>
  <c r="I45" i="1" l="1"/>
  <c r="M22" i="1"/>
  <c r="L22" i="1"/>
  <c r="I27" i="1"/>
  <c r="M31" i="1"/>
  <c r="K45" i="1"/>
  <c r="I30" i="1"/>
  <c r="E35" i="1"/>
  <c r="K27" i="1"/>
  <c r="E29" i="1"/>
  <c r="N47" i="1"/>
  <c r="N48" i="1" s="1"/>
  <c r="N46" i="1"/>
  <c r="M33" i="1"/>
  <c r="M32" i="1"/>
  <c r="I31" i="1"/>
  <c r="E30" i="1"/>
  <c r="M28" i="1"/>
  <c r="I34" i="1"/>
  <c r="I33" i="1"/>
  <c r="I32" i="1"/>
  <c r="E31" i="1"/>
  <c r="I28" i="1"/>
  <c r="I35" i="1"/>
  <c r="E32" i="1"/>
  <c r="M30" i="1"/>
  <c r="I29" i="1"/>
  <c r="E28" i="1"/>
  <c r="L35" i="1"/>
  <c r="H35" i="1"/>
  <c r="D35" i="1"/>
  <c r="L34" i="1"/>
  <c r="H34" i="1"/>
  <c r="L33" i="1"/>
  <c r="H33" i="1"/>
  <c r="D33" i="1"/>
  <c r="L32" i="1"/>
  <c r="H32" i="1"/>
  <c r="D32" i="1"/>
  <c r="L31" i="1"/>
  <c r="H31" i="1"/>
  <c r="D31" i="1"/>
  <c r="L30" i="1"/>
  <c r="H30" i="1"/>
  <c r="D30" i="1"/>
  <c r="L29" i="1"/>
  <c r="H29" i="1"/>
  <c r="D29" i="1"/>
  <c r="L28" i="1"/>
  <c r="H28" i="1"/>
  <c r="D28" i="1"/>
  <c r="G35" i="1"/>
  <c r="C35" i="1"/>
  <c r="K34" i="1"/>
  <c r="G34" i="1"/>
  <c r="C34" i="1"/>
  <c r="K33" i="1"/>
  <c r="G33" i="1"/>
  <c r="K32" i="1"/>
  <c r="G32" i="1"/>
  <c r="C32" i="1"/>
  <c r="K31" i="1"/>
  <c r="G31" i="1"/>
  <c r="C31" i="1"/>
  <c r="K30" i="1"/>
  <c r="G30" i="1"/>
  <c r="C30" i="1"/>
  <c r="K29" i="1"/>
  <c r="G29" i="1"/>
  <c r="C29" i="1"/>
  <c r="K28" i="1"/>
  <c r="G28" i="1"/>
  <c r="C28" i="1"/>
  <c r="J35" i="1"/>
  <c r="F35" i="1"/>
  <c r="B35" i="1"/>
  <c r="J34" i="1"/>
  <c r="F34" i="1"/>
  <c r="B34" i="1"/>
  <c r="J33" i="1"/>
  <c r="F33" i="1"/>
  <c r="B33" i="1"/>
  <c r="J32" i="1"/>
  <c r="F32" i="1"/>
  <c r="B32" i="1"/>
  <c r="J31" i="1"/>
  <c r="F31" i="1"/>
  <c r="B31" i="1"/>
  <c r="J30" i="1"/>
  <c r="F30" i="1"/>
  <c r="B30" i="1"/>
  <c r="J29" i="1"/>
  <c r="F29" i="1"/>
  <c r="B29" i="1"/>
  <c r="J28" i="1"/>
  <c r="F28" i="1"/>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7" i="1" l="1"/>
  <c r="B48" i="1" s="1"/>
  <c r="E46" i="1"/>
  <c r="E47" i="1"/>
  <c r="E48" i="1" s="1"/>
  <c r="B46" i="1"/>
  <c r="I46" i="1"/>
  <c r="I47" i="1"/>
  <c r="I48" i="1" s="1"/>
  <c r="M47" i="1"/>
  <c r="M48" i="1" s="1"/>
  <c r="M46" i="1"/>
  <c r="H46" i="1"/>
  <c r="H47" i="1"/>
  <c r="H48" i="1" s="1"/>
  <c r="C46" i="1"/>
  <c r="C47" i="1"/>
  <c r="C48" i="1" s="1"/>
  <c r="L46" i="1"/>
  <c r="L47" i="1"/>
  <c r="L48" i="1" s="1"/>
  <c r="F46" i="1"/>
  <c r="F47" i="1"/>
  <c r="F48" i="1" s="1"/>
  <c r="G46" i="1"/>
  <c r="G47" i="1"/>
  <c r="G48" i="1" s="1"/>
  <c r="J46" i="1"/>
  <c r="J47" i="1"/>
  <c r="J48" i="1" s="1"/>
  <c r="K46" i="1"/>
  <c r="K47" i="1"/>
  <c r="K48" i="1" s="1"/>
  <c r="D46" i="1"/>
  <c r="D47" i="1"/>
  <c r="D48" i="1" s="1"/>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Z56" i="33"/>
  <c r="O56" i="33"/>
  <c r="S56" i="33"/>
  <c r="W56" i="33"/>
  <c r="AA56" i="33"/>
  <c r="Q56" i="33"/>
  <c r="Y56" i="33"/>
  <c r="N56" i="33"/>
  <c r="V56" i="33"/>
  <c r="P56" i="33"/>
  <c r="T56" i="33"/>
  <c r="X56" i="33"/>
  <c r="AB56" i="33"/>
  <c r="U56" i="33"/>
  <c r="AC56" i="33"/>
  <c r="R56" i="33"/>
  <c r="A7" i="10" l="1"/>
  <c r="B4" i="1" s="1"/>
  <c r="A8" i="10"/>
  <c r="A9" i="10"/>
  <c r="C4" i="1" s="1"/>
  <c r="A10" i="10"/>
  <c r="D4" i="1" s="1"/>
  <c r="A11" i="10"/>
  <c r="E4" i="1" s="1"/>
  <c r="A12" i="10"/>
  <c r="F4" i="1" s="1"/>
  <c r="A13" i="10"/>
  <c r="G4" i="1" s="1"/>
  <c r="A14" i="10"/>
  <c r="H4" i="1" s="1"/>
  <c r="A7" i="22"/>
  <c r="A8" i="22"/>
  <c r="A9" i="22"/>
  <c r="A10" i="22"/>
  <c r="A11" i="22"/>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H45" i="1" l="1"/>
  <c r="H22" i="1"/>
  <c r="H27" i="1"/>
  <c r="D45" i="1"/>
  <c r="D22" i="1"/>
  <c r="D27" i="1"/>
  <c r="AC22" i="1"/>
  <c r="A19" i="22"/>
  <c r="A15" i="22"/>
  <c r="A26" i="22"/>
  <c r="A18" i="22"/>
  <c r="A25" i="22"/>
  <c r="A21" i="22"/>
  <c r="A17" i="22"/>
  <c r="A13" i="22"/>
  <c r="G45" i="1"/>
  <c r="G22" i="1"/>
  <c r="G27" i="1"/>
  <c r="C45" i="1"/>
  <c r="C22" i="1"/>
  <c r="C27" i="1"/>
  <c r="A23" i="22"/>
  <c r="E45" i="1"/>
  <c r="E27" i="1"/>
  <c r="E22" i="1"/>
  <c r="A22" i="22"/>
  <c r="A14" i="22"/>
  <c r="A24" i="22"/>
  <c r="A20" i="22"/>
  <c r="A16" i="22"/>
  <c r="A12" i="22"/>
  <c r="N4" i="1"/>
  <c r="F22" i="1"/>
  <c r="F27" i="1"/>
  <c r="F45" i="1"/>
  <c r="B22" i="1"/>
  <c r="B27" i="1"/>
  <c r="B45" i="1"/>
  <c r="B2"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N22" i="1" l="1"/>
  <c r="N27" i="1"/>
  <c r="N45" i="1"/>
  <c r="V22" i="1"/>
  <c r="P22" i="1"/>
  <c r="S22" i="1"/>
  <c r="AA22" i="1"/>
  <c r="AB22" i="1"/>
  <c r="U22" i="1"/>
  <c r="R22" i="1"/>
  <c r="Z22" i="1"/>
  <c r="X22" i="1"/>
  <c r="Y22" i="1"/>
  <c r="O22" i="1"/>
  <c r="W22" i="1"/>
  <c r="T22" i="1"/>
  <c r="Q22" i="1"/>
  <c r="B2" i="35"/>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H4" i="33" l="1"/>
  <c r="H4" i="23"/>
  <c r="G4" i="33"/>
  <c r="G4" i="23"/>
  <c r="C4" i="33"/>
  <c r="C4" i="23"/>
  <c r="D4" i="33"/>
  <c r="D4" i="23"/>
  <c r="F4" i="33" l="1"/>
  <c r="F4" i="23"/>
  <c r="E4" i="33"/>
  <c r="E4" i="23"/>
  <c r="I4" i="33"/>
  <c r="I4" i="23"/>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BA43" i="33"/>
  <c r="AK53" i="4" s="1"/>
  <c r="AZ43" i="33"/>
  <c r="AJ53" i="4" s="1"/>
  <c r="AY43" i="33"/>
  <c r="AI53" i="4" s="1"/>
  <c r="AX43" i="33"/>
  <c r="AH53" i="4" s="1"/>
  <c r="AW43" i="33"/>
  <c r="AG53" i="4" s="1"/>
  <c r="AV43" i="33"/>
  <c r="AF53" i="4" s="1"/>
  <c r="AU43" i="33"/>
  <c r="AE53" i="4" s="1"/>
  <c r="AT43" i="33"/>
  <c r="AD53" i="4" s="1"/>
  <c r="AS43" i="33"/>
  <c r="AC53" i="4" s="1"/>
  <c r="AR43" i="33"/>
  <c r="AB53" i="4" s="1"/>
  <c r="AQ43" i="33"/>
  <c r="AA53" i="4" s="1"/>
  <c r="AP43" i="33"/>
  <c r="Z53" i="4" s="1"/>
  <c r="AO43" i="33"/>
  <c r="Y53" i="4" s="1"/>
  <c r="AN43" i="33"/>
  <c r="X53" i="4" s="1"/>
  <c r="AM43" i="33"/>
  <c r="W53" i="4" s="1"/>
  <c r="AL43" i="33"/>
  <c r="V53" i="4" s="1"/>
  <c r="AK43" i="33"/>
  <c r="U53" i="4" s="1"/>
  <c r="AJ43" i="33"/>
  <c r="T53" i="4" s="1"/>
  <c r="AI43" i="33"/>
  <c r="S53" i="4" s="1"/>
  <c r="AH43" i="33"/>
  <c r="R53" i="4" s="1"/>
  <c r="AG43" i="33"/>
  <c r="Q53" i="4" s="1"/>
  <c r="AF43" i="33"/>
  <c r="P53" i="4" s="1"/>
  <c r="AC43" i="33"/>
  <c r="AB43" i="33"/>
  <c r="AA43" i="33"/>
  <c r="Z43" i="33"/>
  <c r="Y43" i="33"/>
  <c r="X43" i="33"/>
  <c r="W43" i="33"/>
  <c r="V43" i="33"/>
  <c r="U43" i="33"/>
  <c r="T43" i="33"/>
  <c r="S43" i="33"/>
  <c r="R43" i="33"/>
  <c r="Q43" i="33"/>
  <c r="P43" i="33"/>
  <c r="O43" i="33"/>
  <c r="N43" i="33"/>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BA42" i="33"/>
  <c r="AK52" i="4" s="1"/>
  <c r="AZ42" i="33"/>
  <c r="AJ52" i="4" s="1"/>
  <c r="AY42" i="33"/>
  <c r="AI52" i="4" s="1"/>
  <c r="AX42" i="33"/>
  <c r="AH52" i="4" s="1"/>
  <c r="AW42" i="33"/>
  <c r="AG52" i="4" s="1"/>
  <c r="AV42" i="33"/>
  <c r="AF52" i="4" s="1"/>
  <c r="AU42" i="33"/>
  <c r="AE52" i="4" s="1"/>
  <c r="AT42" i="33"/>
  <c r="AD52" i="4" s="1"/>
  <c r="AS42" i="33"/>
  <c r="AC52" i="4" s="1"/>
  <c r="AR42" i="33"/>
  <c r="AB52" i="4" s="1"/>
  <c r="AQ42" i="33"/>
  <c r="AA52" i="4" s="1"/>
  <c r="AP42" i="33"/>
  <c r="Z52" i="4" s="1"/>
  <c r="AO42" i="33"/>
  <c r="Y52" i="4" s="1"/>
  <c r="AN42" i="33"/>
  <c r="X52" i="4" s="1"/>
  <c r="AM42" i="33"/>
  <c r="W52" i="4" s="1"/>
  <c r="AL42" i="33"/>
  <c r="V52" i="4" s="1"/>
  <c r="AK42" i="33"/>
  <c r="U52" i="4" s="1"/>
  <c r="AJ42" i="33"/>
  <c r="T52" i="4" s="1"/>
  <c r="AI42" i="33"/>
  <c r="S52" i="4" s="1"/>
  <c r="AH42" i="33"/>
  <c r="R52" i="4" s="1"/>
  <c r="AG42" i="33"/>
  <c r="Q52" i="4" s="1"/>
  <c r="AF42" i="33"/>
  <c r="P52" i="4" s="1"/>
  <c r="AC42" i="33"/>
  <c r="AB42" i="33"/>
  <c r="AA42" i="33"/>
  <c r="Z42" i="33"/>
  <c r="Y42" i="33"/>
  <c r="X42" i="33"/>
  <c r="W42" i="33"/>
  <c r="V42" i="33"/>
  <c r="U42" i="33"/>
  <c r="T42" i="33"/>
  <c r="S42" i="33"/>
  <c r="R42" i="33"/>
  <c r="Q42" i="33"/>
  <c r="P42" i="33"/>
  <c r="O42" i="33"/>
  <c r="N42" i="33"/>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BA41" i="33"/>
  <c r="AK51" i="4" s="1"/>
  <c r="AZ41" i="33"/>
  <c r="AJ51" i="4" s="1"/>
  <c r="AY41" i="33"/>
  <c r="AI51" i="4" s="1"/>
  <c r="AX41" i="33"/>
  <c r="AH51" i="4" s="1"/>
  <c r="AW41" i="33"/>
  <c r="AG51" i="4" s="1"/>
  <c r="AV41" i="33"/>
  <c r="AF51" i="4" s="1"/>
  <c r="AU41" i="33"/>
  <c r="AE51" i="4" s="1"/>
  <c r="AT41" i="33"/>
  <c r="AD51" i="4" s="1"/>
  <c r="AS41" i="33"/>
  <c r="AC51" i="4" s="1"/>
  <c r="AR41" i="33"/>
  <c r="AB51" i="4" s="1"/>
  <c r="AQ41" i="33"/>
  <c r="AA51" i="4" s="1"/>
  <c r="AP41" i="33"/>
  <c r="Z51" i="4" s="1"/>
  <c r="AO41" i="33"/>
  <c r="Y51" i="4" s="1"/>
  <c r="AN41" i="33"/>
  <c r="X51" i="4" s="1"/>
  <c r="AM41" i="33"/>
  <c r="W51" i="4" s="1"/>
  <c r="AL41" i="33"/>
  <c r="V51" i="4" s="1"/>
  <c r="AK41" i="33"/>
  <c r="U51" i="4" s="1"/>
  <c r="AJ41" i="33"/>
  <c r="T51" i="4" s="1"/>
  <c r="AI41" i="33"/>
  <c r="S51" i="4" s="1"/>
  <c r="AH41" i="33"/>
  <c r="R51" i="4" s="1"/>
  <c r="AG41" i="33"/>
  <c r="Q51" i="4" s="1"/>
  <c r="AF41" i="33"/>
  <c r="P51" i="4" s="1"/>
  <c r="AC41" i="33"/>
  <c r="AB41" i="33"/>
  <c r="AA41" i="33"/>
  <c r="Z41" i="33"/>
  <c r="Y41" i="33"/>
  <c r="X41" i="33"/>
  <c r="W41" i="33"/>
  <c r="V41" i="33"/>
  <c r="U41" i="33"/>
  <c r="T41" i="33"/>
  <c r="S41" i="33"/>
  <c r="R41" i="33"/>
  <c r="Q41" i="33"/>
  <c r="P41" i="33"/>
  <c r="O41" i="33"/>
  <c r="N41" i="33"/>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BA40" i="33"/>
  <c r="AK50" i="4" s="1"/>
  <c r="AZ40" i="33"/>
  <c r="AJ50" i="4" s="1"/>
  <c r="AY40" i="33"/>
  <c r="AI50" i="4" s="1"/>
  <c r="AX40" i="33"/>
  <c r="AH50" i="4" s="1"/>
  <c r="AW40" i="33"/>
  <c r="AG50" i="4" s="1"/>
  <c r="AV40" i="33"/>
  <c r="AF50" i="4" s="1"/>
  <c r="AU40" i="33"/>
  <c r="AE50" i="4" s="1"/>
  <c r="AT40" i="33"/>
  <c r="AD50" i="4" s="1"/>
  <c r="AS40" i="33"/>
  <c r="AC50" i="4" s="1"/>
  <c r="AR40" i="33"/>
  <c r="AB50" i="4" s="1"/>
  <c r="AQ40" i="33"/>
  <c r="AA50" i="4" s="1"/>
  <c r="AP40" i="33"/>
  <c r="Z50" i="4" s="1"/>
  <c r="AO40" i="33"/>
  <c r="Y50" i="4" s="1"/>
  <c r="AN40" i="33"/>
  <c r="X50" i="4" s="1"/>
  <c r="AM40" i="33"/>
  <c r="W50" i="4" s="1"/>
  <c r="AL40" i="33"/>
  <c r="V50" i="4" s="1"/>
  <c r="AK40" i="33"/>
  <c r="U50" i="4" s="1"/>
  <c r="AJ40" i="33"/>
  <c r="T50" i="4" s="1"/>
  <c r="AI40" i="33"/>
  <c r="S50" i="4" s="1"/>
  <c r="AH40" i="33"/>
  <c r="R50" i="4" s="1"/>
  <c r="AG40" i="33"/>
  <c r="Q50" i="4" s="1"/>
  <c r="AF40" i="33"/>
  <c r="P50" i="4" s="1"/>
  <c r="AC40" i="33"/>
  <c r="AB40" i="33"/>
  <c r="AA40" i="33"/>
  <c r="Z40" i="33"/>
  <c r="Y40" i="33"/>
  <c r="X40" i="33"/>
  <c r="W40" i="33"/>
  <c r="V40" i="33"/>
  <c r="U40" i="33"/>
  <c r="T40" i="33"/>
  <c r="S40" i="33"/>
  <c r="R40" i="33"/>
  <c r="Q40" i="33"/>
  <c r="P40" i="33"/>
  <c r="O40" i="33"/>
  <c r="N40" i="33"/>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BA39" i="33"/>
  <c r="AK49" i="4" s="1"/>
  <c r="AZ39" i="33"/>
  <c r="AJ49" i="4" s="1"/>
  <c r="AY39" i="33"/>
  <c r="AI49" i="4" s="1"/>
  <c r="AX39" i="33"/>
  <c r="AH49" i="4" s="1"/>
  <c r="AW39" i="33"/>
  <c r="AG49" i="4" s="1"/>
  <c r="AV39" i="33"/>
  <c r="AF49" i="4" s="1"/>
  <c r="AU39" i="33"/>
  <c r="AE49" i="4" s="1"/>
  <c r="AT39" i="33"/>
  <c r="AD49" i="4" s="1"/>
  <c r="AS39" i="33"/>
  <c r="AC49" i="4" s="1"/>
  <c r="AR39" i="33"/>
  <c r="AB49" i="4" s="1"/>
  <c r="AQ39" i="33"/>
  <c r="AA49" i="4" s="1"/>
  <c r="AP39" i="33"/>
  <c r="Z49" i="4" s="1"/>
  <c r="AO39" i="33"/>
  <c r="Y49" i="4" s="1"/>
  <c r="AN39" i="33"/>
  <c r="X49" i="4" s="1"/>
  <c r="AM39" i="33"/>
  <c r="W49" i="4" s="1"/>
  <c r="AL39" i="33"/>
  <c r="V49" i="4" s="1"/>
  <c r="AK39" i="33"/>
  <c r="U49" i="4" s="1"/>
  <c r="AJ39" i="33"/>
  <c r="T49" i="4" s="1"/>
  <c r="AI39" i="33"/>
  <c r="S49" i="4" s="1"/>
  <c r="AH39" i="33"/>
  <c r="R49" i="4" s="1"/>
  <c r="AG39" i="33"/>
  <c r="Q49" i="4" s="1"/>
  <c r="AF39" i="33"/>
  <c r="P49" i="4" s="1"/>
  <c r="AC39" i="33"/>
  <c r="AB39" i="33"/>
  <c r="AA39" i="33"/>
  <c r="Z39" i="33"/>
  <c r="Y39" i="33"/>
  <c r="X39" i="33"/>
  <c r="W39" i="33"/>
  <c r="V39" i="33"/>
  <c r="U39" i="33"/>
  <c r="T39" i="33"/>
  <c r="S39" i="33"/>
  <c r="R39" i="33"/>
  <c r="Q39" i="33"/>
  <c r="P39" i="33"/>
  <c r="O39" i="33"/>
  <c r="N39" i="33"/>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BA38" i="33"/>
  <c r="AK48" i="4" s="1"/>
  <c r="AZ38" i="33"/>
  <c r="AJ48" i="4" s="1"/>
  <c r="AY38" i="33"/>
  <c r="AI48" i="4" s="1"/>
  <c r="AX38" i="33"/>
  <c r="AH48" i="4" s="1"/>
  <c r="AW38" i="33"/>
  <c r="AG48" i="4" s="1"/>
  <c r="AV38" i="33"/>
  <c r="AF48" i="4" s="1"/>
  <c r="AU38" i="33"/>
  <c r="AE48" i="4" s="1"/>
  <c r="AT38" i="33"/>
  <c r="AD48" i="4" s="1"/>
  <c r="AS38" i="33"/>
  <c r="AC48" i="4" s="1"/>
  <c r="AR38" i="33"/>
  <c r="AB48" i="4" s="1"/>
  <c r="AQ38" i="33"/>
  <c r="AA48" i="4" s="1"/>
  <c r="AP38" i="33"/>
  <c r="Z48" i="4" s="1"/>
  <c r="AO38" i="33"/>
  <c r="Y48" i="4" s="1"/>
  <c r="AN38" i="33"/>
  <c r="X48" i="4" s="1"/>
  <c r="AM38" i="33"/>
  <c r="W48" i="4" s="1"/>
  <c r="AL38" i="33"/>
  <c r="V48" i="4" s="1"/>
  <c r="AK38" i="33"/>
  <c r="U48" i="4" s="1"/>
  <c r="AJ38" i="33"/>
  <c r="T48" i="4" s="1"/>
  <c r="AI38" i="33"/>
  <c r="S48" i="4" s="1"/>
  <c r="AH38" i="33"/>
  <c r="R48" i="4" s="1"/>
  <c r="AG38" i="33"/>
  <c r="Q48" i="4" s="1"/>
  <c r="AF38" i="33"/>
  <c r="P48" i="4" s="1"/>
  <c r="AC38" i="33"/>
  <c r="AB38" i="33"/>
  <c r="AA38" i="33"/>
  <c r="Z38" i="33"/>
  <c r="Y38" i="33"/>
  <c r="X38" i="33"/>
  <c r="W38" i="33"/>
  <c r="V38" i="33"/>
  <c r="U38" i="33"/>
  <c r="T38" i="33"/>
  <c r="S38" i="33"/>
  <c r="R38" i="33"/>
  <c r="Q38" i="33"/>
  <c r="P38" i="33"/>
  <c r="O38" i="33"/>
  <c r="N38" i="33"/>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BA37" i="33"/>
  <c r="AK47" i="4" s="1"/>
  <c r="AZ37" i="33"/>
  <c r="AJ47" i="4" s="1"/>
  <c r="AY37" i="33"/>
  <c r="AI47" i="4" s="1"/>
  <c r="AX37" i="33"/>
  <c r="AH47" i="4" s="1"/>
  <c r="AW37" i="33"/>
  <c r="AG47" i="4" s="1"/>
  <c r="AV37" i="33"/>
  <c r="AF47" i="4" s="1"/>
  <c r="AU37" i="33"/>
  <c r="AE47" i="4" s="1"/>
  <c r="AT37" i="33"/>
  <c r="AD47" i="4" s="1"/>
  <c r="AS37" i="33"/>
  <c r="AC47" i="4" s="1"/>
  <c r="AR37" i="33"/>
  <c r="AB47" i="4" s="1"/>
  <c r="AQ37" i="33"/>
  <c r="AA47" i="4" s="1"/>
  <c r="AP37" i="33"/>
  <c r="Z47" i="4" s="1"/>
  <c r="AO37" i="33"/>
  <c r="Y47" i="4" s="1"/>
  <c r="AN37" i="33"/>
  <c r="X47" i="4" s="1"/>
  <c r="AM37" i="33"/>
  <c r="W47" i="4" s="1"/>
  <c r="AL37" i="33"/>
  <c r="V47" i="4" s="1"/>
  <c r="AK37" i="33"/>
  <c r="U47" i="4" s="1"/>
  <c r="AJ37" i="33"/>
  <c r="T47" i="4" s="1"/>
  <c r="AI37" i="33"/>
  <c r="S47" i="4" s="1"/>
  <c r="AH37" i="33"/>
  <c r="R47" i="4" s="1"/>
  <c r="AG37" i="33"/>
  <c r="Q47" i="4" s="1"/>
  <c r="AF37" i="33"/>
  <c r="P47" i="4" s="1"/>
  <c r="AC37" i="33"/>
  <c r="AB37" i="33"/>
  <c r="AA37" i="33"/>
  <c r="Z37" i="33"/>
  <c r="Y37" i="33"/>
  <c r="X37" i="33"/>
  <c r="W37" i="33"/>
  <c r="V37" i="33"/>
  <c r="U37" i="33"/>
  <c r="T37" i="33"/>
  <c r="S37" i="33"/>
  <c r="R37" i="33"/>
  <c r="Q37" i="33"/>
  <c r="P37" i="33"/>
  <c r="O37" i="33"/>
  <c r="N37" i="33"/>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BA36" i="33"/>
  <c r="AK46" i="4" s="1"/>
  <c r="AZ36" i="33"/>
  <c r="AJ46" i="4" s="1"/>
  <c r="AY36" i="33"/>
  <c r="AI46" i="4" s="1"/>
  <c r="AX36" i="33"/>
  <c r="AH46" i="4" s="1"/>
  <c r="AW36" i="33"/>
  <c r="AG46" i="4" s="1"/>
  <c r="AV36" i="33"/>
  <c r="AF46" i="4" s="1"/>
  <c r="AU36" i="33"/>
  <c r="AE46" i="4" s="1"/>
  <c r="AT36" i="33"/>
  <c r="AD46" i="4" s="1"/>
  <c r="AS36" i="33"/>
  <c r="AC46" i="4" s="1"/>
  <c r="AR36" i="33"/>
  <c r="AB46" i="4" s="1"/>
  <c r="AQ36" i="33"/>
  <c r="AA46" i="4" s="1"/>
  <c r="AP36" i="33"/>
  <c r="Z46" i="4" s="1"/>
  <c r="AO36" i="33"/>
  <c r="Y46" i="4" s="1"/>
  <c r="AN36" i="33"/>
  <c r="X46" i="4" s="1"/>
  <c r="AM36" i="33"/>
  <c r="W46" i="4" s="1"/>
  <c r="AL36" i="33"/>
  <c r="V46" i="4" s="1"/>
  <c r="AK36" i="33"/>
  <c r="U46" i="4" s="1"/>
  <c r="AJ36" i="33"/>
  <c r="T46" i="4" s="1"/>
  <c r="AI36" i="33"/>
  <c r="S46" i="4" s="1"/>
  <c r="AH36" i="33"/>
  <c r="R46" i="4" s="1"/>
  <c r="AG36" i="33"/>
  <c r="Q46" i="4" s="1"/>
  <c r="AF36" i="33"/>
  <c r="P46" i="4" s="1"/>
  <c r="AC36" i="33"/>
  <c r="AB36" i="33"/>
  <c r="AA36" i="33"/>
  <c r="Z36" i="33"/>
  <c r="Y36" i="33"/>
  <c r="X36" i="33"/>
  <c r="W36" i="33"/>
  <c r="V36" i="33"/>
  <c r="U36" i="33"/>
  <c r="T36" i="33"/>
  <c r="S36" i="33"/>
  <c r="R36" i="33"/>
  <c r="Q36" i="33"/>
  <c r="P36" i="33"/>
  <c r="O36" i="33"/>
  <c r="N36" i="33"/>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BA35" i="33"/>
  <c r="AK45" i="4" s="1"/>
  <c r="AZ35" i="33"/>
  <c r="AJ45" i="4" s="1"/>
  <c r="AY35" i="33"/>
  <c r="AI45" i="4" s="1"/>
  <c r="AX35" i="33"/>
  <c r="AH45" i="4" s="1"/>
  <c r="AW35" i="33"/>
  <c r="AG45" i="4" s="1"/>
  <c r="AV35" i="33"/>
  <c r="AF45" i="4" s="1"/>
  <c r="AU35" i="33"/>
  <c r="AE45" i="4" s="1"/>
  <c r="AT35" i="33"/>
  <c r="AD45" i="4" s="1"/>
  <c r="AS35" i="33"/>
  <c r="AC45" i="4" s="1"/>
  <c r="AR35" i="33"/>
  <c r="AB45" i="4" s="1"/>
  <c r="AQ35" i="33"/>
  <c r="AA45" i="4" s="1"/>
  <c r="AP35" i="33"/>
  <c r="Z45" i="4" s="1"/>
  <c r="AO35" i="33"/>
  <c r="Y45" i="4" s="1"/>
  <c r="AN35" i="33"/>
  <c r="X45" i="4" s="1"/>
  <c r="AM35" i="33"/>
  <c r="W45" i="4" s="1"/>
  <c r="AC35" i="33"/>
  <c r="AB35" i="33"/>
  <c r="AA35" i="33"/>
  <c r="Z35" i="33"/>
  <c r="Y35" i="33"/>
  <c r="X35" i="33"/>
  <c r="W35" i="33"/>
  <c r="V35" i="33"/>
  <c r="U35" i="33"/>
  <c r="T35" i="33"/>
  <c r="S35" i="33"/>
  <c r="R35" i="33"/>
  <c r="Q35" i="33"/>
  <c r="P35" i="33"/>
  <c r="O35" i="33"/>
  <c r="N35" i="33"/>
  <c r="BA34" i="33"/>
  <c r="AK44" i="4" s="1"/>
  <c r="AZ34" i="33"/>
  <c r="AJ44" i="4" s="1"/>
  <c r="AY34" i="33"/>
  <c r="AI44" i="4" s="1"/>
  <c r="AX34" i="33"/>
  <c r="AH44" i="4" s="1"/>
  <c r="AW34" i="33"/>
  <c r="AG44" i="4" s="1"/>
  <c r="AV34" i="33"/>
  <c r="AF44" i="4" s="1"/>
  <c r="AU34" i="33"/>
  <c r="AE44" i="4" s="1"/>
  <c r="AT34" i="33"/>
  <c r="AD44" i="4" s="1"/>
  <c r="AS34" i="33"/>
  <c r="AC44" i="4" s="1"/>
  <c r="AR34" i="33"/>
  <c r="AB44" i="4" s="1"/>
  <c r="AQ34" i="33"/>
  <c r="AA44" i="4" s="1"/>
  <c r="AP34" i="33"/>
  <c r="Z44" i="4" s="1"/>
  <c r="AO34" i="33"/>
  <c r="Y44" i="4" s="1"/>
  <c r="AN34" i="33"/>
  <c r="X44" i="4" s="1"/>
  <c r="AM34" i="33"/>
  <c r="W44" i="4" s="1"/>
  <c r="AC34" i="33"/>
  <c r="AB34" i="33"/>
  <c r="AA34" i="33"/>
  <c r="Z34" i="33"/>
  <c r="Y34" i="33"/>
  <c r="X34" i="33"/>
  <c r="W34" i="33"/>
  <c r="V34" i="33"/>
  <c r="U34" i="33"/>
  <c r="T34" i="33"/>
  <c r="S34" i="33"/>
  <c r="R34" i="33"/>
  <c r="Q34" i="33"/>
  <c r="P34" i="33"/>
  <c r="O34" i="33"/>
  <c r="N34" i="33"/>
  <c r="M34" i="33"/>
  <c r="M44" i="4" s="1"/>
  <c r="BA33" i="33"/>
  <c r="AK43" i="4" s="1"/>
  <c r="AZ33" i="33"/>
  <c r="AJ43" i="4" s="1"/>
  <c r="AY33" i="33"/>
  <c r="AI43" i="4" s="1"/>
  <c r="AX33" i="33"/>
  <c r="AH43" i="4" s="1"/>
  <c r="AW33" i="33"/>
  <c r="AG43" i="4" s="1"/>
  <c r="AV33" i="33"/>
  <c r="AF43" i="4" s="1"/>
  <c r="AU33" i="33"/>
  <c r="AE43" i="4" s="1"/>
  <c r="AT33" i="33"/>
  <c r="AD43" i="4" s="1"/>
  <c r="AS33" i="33"/>
  <c r="AC43" i="4" s="1"/>
  <c r="AR33" i="33"/>
  <c r="AB43" i="4" s="1"/>
  <c r="AQ33" i="33"/>
  <c r="AA43" i="4" s="1"/>
  <c r="AP33" i="33"/>
  <c r="Z43" i="4" s="1"/>
  <c r="AO33" i="33"/>
  <c r="Y43" i="4" s="1"/>
  <c r="AN33" i="33"/>
  <c r="X43" i="4" s="1"/>
  <c r="AM33" i="33"/>
  <c r="W43" i="4" s="1"/>
  <c r="AC33" i="33"/>
  <c r="AB33" i="33"/>
  <c r="AA33" i="33"/>
  <c r="Z33" i="33"/>
  <c r="Y33" i="33"/>
  <c r="X33" i="33"/>
  <c r="W33" i="33"/>
  <c r="V33" i="33"/>
  <c r="U33" i="33"/>
  <c r="T33" i="33"/>
  <c r="S33" i="33"/>
  <c r="R33" i="33"/>
  <c r="Q33" i="33"/>
  <c r="P33" i="33"/>
  <c r="O33" i="33"/>
  <c r="N33" i="33"/>
  <c r="BA32" i="33"/>
  <c r="AK42" i="4" s="1"/>
  <c r="AZ32" i="33"/>
  <c r="AJ42" i="4" s="1"/>
  <c r="AY32" i="33"/>
  <c r="AI42" i="4" s="1"/>
  <c r="AX32" i="33"/>
  <c r="AH42" i="4" s="1"/>
  <c r="AW32" i="33"/>
  <c r="AG42" i="4" s="1"/>
  <c r="AV32" i="33"/>
  <c r="AF42" i="4" s="1"/>
  <c r="AU32" i="33"/>
  <c r="AE42" i="4" s="1"/>
  <c r="AT32" i="33"/>
  <c r="AD42" i="4" s="1"/>
  <c r="AS32" i="33"/>
  <c r="AC42" i="4" s="1"/>
  <c r="AR32" i="33"/>
  <c r="AB42" i="4" s="1"/>
  <c r="AQ32" i="33"/>
  <c r="AA42" i="4" s="1"/>
  <c r="AP32" i="33"/>
  <c r="Z42" i="4" s="1"/>
  <c r="AO32" i="33"/>
  <c r="Y42" i="4" s="1"/>
  <c r="AN32" i="33"/>
  <c r="X42" i="4" s="1"/>
  <c r="AM32" i="33"/>
  <c r="W42" i="4" s="1"/>
  <c r="AC32" i="33"/>
  <c r="AB32" i="33"/>
  <c r="AA32" i="33"/>
  <c r="Z32" i="33"/>
  <c r="Y32" i="33"/>
  <c r="X32" i="33"/>
  <c r="W32" i="33"/>
  <c r="V32" i="33"/>
  <c r="U32" i="33"/>
  <c r="T32" i="33"/>
  <c r="S32" i="33"/>
  <c r="R32" i="33"/>
  <c r="Q32" i="33"/>
  <c r="P32" i="33"/>
  <c r="O32" i="33"/>
  <c r="N32" i="33"/>
  <c r="M32" i="33"/>
  <c r="M42" i="4" s="1"/>
  <c r="BA31" i="33"/>
  <c r="AK41" i="4" s="1"/>
  <c r="AZ31" i="33"/>
  <c r="AJ41" i="4" s="1"/>
  <c r="AY31" i="33"/>
  <c r="AI41" i="4" s="1"/>
  <c r="AX31" i="33"/>
  <c r="AH41" i="4" s="1"/>
  <c r="AW31" i="33"/>
  <c r="AG41" i="4" s="1"/>
  <c r="AV31" i="33"/>
  <c r="AF41" i="4" s="1"/>
  <c r="AU31" i="33"/>
  <c r="AE41" i="4" s="1"/>
  <c r="AT31" i="33"/>
  <c r="AD41" i="4" s="1"/>
  <c r="AS31" i="33"/>
  <c r="AC41" i="4" s="1"/>
  <c r="AR31" i="33"/>
  <c r="AB41" i="4" s="1"/>
  <c r="AQ31" i="33"/>
  <c r="AA41" i="4" s="1"/>
  <c r="AP31" i="33"/>
  <c r="Z41" i="4" s="1"/>
  <c r="AO31" i="33"/>
  <c r="Y41" i="4" s="1"/>
  <c r="AN31" i="33"/>
  <c r="X41" i="4" s="1"/>
  <c r="AM31" i="33"/>
  <c r="W41" i="4" s="1"/>
  <c r="AC31" i="33"/>
  <c r="AB31" i="33"/>
  <c r="AA31" i="33"/>
  <c r="Z31" i="33"/>
  <c r="Y31" i="33"/>
  <c r="X31" i="33"/>
  <c r="W31" i="33"/>
  <c r="V31" i="33"/>
  <c r="U31" i="33"/>
  <c r="T31" i="33"/>
  <c r="S31" i="33"/>
  <c r="R31" i="33"/>
  <c r="Q31" i="33"/>
  <c r="P31" i="33"/>
  <c r="O31" i="33"/>
  <c r="N31" i="33"/>
  <c r="BA30" i="33"/>
  <c r="AK40" i="4" s="1"/>
  <c r="AZ30" i="33"/>
  <c r="AJ40" i="4" s="1"/>
  <c r="AY30" i="33"/>
  <c r="AI40" i="4" s="1"/>
  <c r="AX30" i="33"/>
  <c r="AH40" i="4" s="1"/>
  <c r="AW30" i="33"/>
  <c r="AG40" i="4" s="1"/>
  <c r="AV30" i="33"/>
  <c r="AF40" i="4" s="1"/>
  <c r="AU30" i="33"/>
  <c r="AE40" i="4" s="1"/>
  <c r="AT30" i="33"/>
  <c r="AD40" i="4" s="1"/>
  <c r="AS30" i="33"/>
  <c r="AC40" i="4" s="1"/>
  <c r="AR30" i="33"/>
  <c r="AB40" i="4" s="1"/>
  <c r="AQ30" i="33"/>
  <c r="AA40" i="4" s="1"/>
  <c r="AP30" i="33"/>
  <c r="Z40" i="4" s="1"/>
  <c r="AO30" i="33"/>
  <c r="Y40" i="4" s="1"/>
  <c r="AN30" i="33"/>
  <c r="X40" i="4" s="1"/>
  <c r="AM30" i="33"/>
  <c r="W40" i="4" s="1"/>
  <c r="AC30" i="33"/>
  <c r="AB30" i="33"/>
  <c r="AA30" i="33"/>
  <c r="Z30" i="33"/>
  <c r="Y30" i="33"/>
  <c r="X30" i="33"/>
  <c r="W30" i="33"/>
  <c r="V30" i="33"/>
  <c r="U30" i="33"/>
  <c r="T30" i="33"/>
  <c r="S30" i="33"/>
  <c r="R30" i="33"/>
  <c r="Q30" i="33"/>
  <c r="P30" i="33"/>
  <c r="O30" i="33"/>
  <c r="N30" i="33"/>
  <c r="BA29" i="33"/>
  <c r="AK39" i="4" s="1"/>
  <c r="AZ29" i="33"/>
  <c r="AJ39" i="4" s="1"/>
  <c r="AY29" i="33"/>
  <c r="AI39" i="4" s="1"/>
  <c r="AX29" i="33"/>
  <c r="AH39" i="4" s="1"/>
  <c r="AW29" i="33"/>
  <c r="AG39" i="4" s="1"/>
  <c r="AV29" i="33"/>
  <c r="AF39" i="4" s="1"/>
  <c r="AU29" i="33"/>
  <c r="AE39" i="4" s="1"/>
  <c r="AT29" i="33"/>
  <c r="AD39" i="4" s="1"/>
  <c r="AS29" i="33"/>
  <c r="AC39" i="4" s="1"/>
  <c r="AR29" i="33"/>
  <c r="AB39" i="4" s="1"/>
  <c r="AQ29" i="33"/>
  <c r="AA39" i="4" s="1"/>
  <c r="AP29" i="33"/>
  <c r="Z39" i="4" s="1"/>
  <c r="AO29" i="33"/>
  <c r="Y39" i="4" s="1"/>
  <c r="AN29" i="33"/>
  <c r="X39" i="4" s="1"/>
  <c r="AM29" i="33"/>
  <c r="W39" i="4" s="1"/>
  <c r="AC29" i="33"/>
  <c r="AB29" i="33"/>
  <c r="AA29" i="33"/>
  <c r="Z29" i="33"/>
  <c r="Y29" i="33"/>
  <c r="X29" i="33"/>
  <c r="W29" i="33"/>
  <c r="V29" i="33"/>
  <c r="U29" i="33"/>
  <c r="T29" i="33"/>
  <c r="S29" i="33"/>
  <c r="R29" i="33"/>
  <c r="Q29" i="33"/>
  <c r="P29" i="33"/>
  <c r="O29" i="33"/>
  <c r="N29" i="33"/>
  <c r="BA28" i="33"/>
  <c r="AZ28" i="33"/>
  <c r="AY28" i="33"/>
  <c r="AX28" i="33"/>
  <c r="AW28" i="33"/>
  <c r="AV28" i="33"/>
  <c r="AU28" i="33"/>
  <c r="AT28" i="33"/>
  <c r="AS28" i="33"/>
  <c r="AR28" i="33"/>
  <c r="AQ28" i="33"/>
  <c r="AP28" i="33"/>
  <c r="AO28" i="33"/>
  <c r="AN28" i="33"/>
  <c r="AM28" i="33"/>
  <c r="AC28" i="33"/>
  <c r="AB28" i="33"/>
  <c r="AA28" i="33"/>
  <c r="Z28" i="33"/>
  <c r="Y28" i="33"/>
  <c r="X28" i="33"/>
  <c r="W28" i="33"/>
  <c r="V28" i="33"/>
  <c r="U28" i="33"/>
  <c r="T28" i="33"/>
  <c r="S28" i="33"/>
  <c r="R28" i="33"/>
  <c r="Q28" i="33"/>
  <c r="P28" i="33"/>
  <c r="O28" i="33"/>
  <c r="N28" i="33"/>
  <c r="BA24" i="33"/>
  <c r="AZ24" i="33"/>
  <c r="AY24" i="33"/>
  <c r="AX24" i="33"/>
  <c r="AW24" i="33"/>
  <c r="AV24" i="33"/>
  <c r="AU24" i="33"/>
  <c r="AT24" i="33"/>
  <c r="AS24" i="33"/>
  <c r="AR24" i="33"/>
  <c r="AQ24" i="33"/>
  <c r="AP24" i="33"/>
  <c r="AO24" i="33"/>
  <c r="AN24" i="33"/>
  <c r="AM24" i="33"/>
  <c r="AL24" i="33"/>
  <c r="AK24" i="33"/>
  <c r="AJ24" i="33"/>
  <c r="AI24" i="33"/>
  <c r="AH24" i="33"/>
  <c r="AG24" i="33"/>
  <c r="AF24" i="33"/>
  <c r="AE24" i="33"/>
  <c r="AC24" i="33"/>
  <c r="AB24" i="33"/>
  <c r="AA24" i="33"/>
  <c r="Z24" i="33"/>
  <c r="Y24" i="33"/>
  <c r="X24" i="33"/>
  <c r="W24" i="33"/>
  <c r="V24" i="33"/>
  <c r="U24" i="33"/>
  <c r="T24" i="33"/>
  <c r="S24" i="33"/>
  <c r="R24" i="33"/>
  <c r="Q24" i="33"/>
  <c r="P24" i="33"/>
  <c r="N24" i="33"/>
  <c r="L24" i="33"/>
  <c r="J24" i="33"/>
  <c r="I24" i="33"/>
  <c r="H24" i="33"/>
  <c r="G24" i="33"/>
  <c r="F24" i="33"/>
  <c r="E24" i="33"/>
  <c r="D24" i="33"/>
  <c r="C24" i="33"/>
  <c r="B24" i="33"/>
  <c r="BA23" i="33"/>
  <c r="AZ23" i="33"/>
  <c r="AY23" i="33"/>
  <c r="AX23" i="33"/>
  <c r="AW23" i="33"/>
  <c r="AV23" i="33"/>
  <c r="AU23" i="33"/>
  <c r="AT23" i="33"/>
  <c r="AS23" i="33"/>
  <c r="AR23" i="33"/>
  <c r="AQ23" i="33"/>
  <c r="AP23" i="33"/>
  <c r="AO23" i="33"/>
  <c r="AN23" i="33"/>
  <c r="AM23" i="33"/>
  <c r="AL23" i="33"/>
  <c r="AK23" i="33"/>
  <c r="AJ23" i="33"/>
  <c r="AI23" i="33"/>
  <c r="AH23" i="33"/>
  <c r="AG23" i="33"/>
  <c r="AF23" i="33"/>
  <c r="AE23" i="33"/>
  <c r="AE35" i="33" s="1"/>
  <c r="O45" i="4" s="1"/>
  <c r="AC23" i="33"/>
  <c r="AB23" i="33"/>
  <c r="AA23" i="33"/>
  <c r="Z23" i="33"/>
  <c r="Y23" i="33"/>
  <c r="X23" i="33"/>
  <c r="W23" i="33"/>
  <c r="V23" i="33"/>
  <c r="U23" i="33"/>
  <c r="T23" i="33"/>
  <c r="S23" i="33"/>
  <c r="R23" i="33"/>
  <c r="Q23" i="33"/>
  <c r="P23" i="33"/>
  <c r="N23" i="33"/>
  <c r="L23" i="33"/>
  <c r="J23" i="33"/>
  <c r="I23" i="33"/>
  <c r="H23" i="33"/>
  <c r="G23" i="33"/>
  <c r="F23" i="33"/>
  <c r="E23" i="33"/>
  <c r="D23" i="33"/>
  <c r="C23" i="33"/>
  <c r="B23" i="33"/>
  <c r="A22" i="33"/>
  <c r="H22" i="33"/>
  <c r="G45" i="33"/>
  <c r="F27" i="33"/>
  <c r="F52" i="33" s="1"/>
  <c r="E45" i="33"/>
  <c r="D22" i="33"/>
  <c r="C45" i="33"/>
  <c r="B45" i="33"/>
  <c r="AS56" i="33"/>
  <c r="AX56" i="33"/>
  <c r="AW56" i="33"/>
  <c r="AY56" i="33"/>
  <c r="AP56" i="33"/>
  <c r="AR56" i="33"/>
  <c r="AZ56" i="33"/>
  <c r="AO56" i="33"/>
  <c r="BA56" i="33"/>
  <c r="AN56" i="33"/>
  <c r="AU56" i="33"/>
  <c r="AQ56" i="33"/>
  <c r="AT56" i="33"/>
  <c r="AM56" i="33"/>
  <c r="AV56" i="33"/>
  <c r="AJ29" i="33" l="1"/>
  <c r="T39" i="4" s="1"/>
  <c r="AG30" i="33"/>
  <c r="Q40" i="4" s="1"/>
  <c r="AL32" i="33"/>
  <c r="V42" i="4" s="1"/>
  <c r="AI33" i="33"/>
  <c r="S43" i="4" s="1"/>
  <c r="AH28" i="33"/>
  <c r="AK30" i="33"/>
  <c r="U40" i="4" s="1"/>
  <c r="AH31" i="33"/>
  <c r="R41" i="4" s="1"/>
  <c r="AI34" i="33"/>
  <c r="S44" i="4" s="1"/>
  <c r="AF35" i="33"/>
  <c r="P45" i="4" s="1"/>
  <c r="AI28" i="33"/>
  <c r="S38" i="4" s="1"/>
  <c r="AL31" i="33"/>
  <c r="V41" i="4" s="1"/>
  <c r="AJ35" i="33"/>
  <c r="T45" i="4" s="1"/>
  <c r="AL28" i="33"/>
  <c r="AL47" i="33" s="1"/>
  <c r="AL48" i="33" s="1"/>
  <c r="AL54" i="33" s="1"/>
  <c r="AF29" i="33"/>
  <c r="P39" i="4" s="1"/>
  <c r="AH32" i="33"/>
  <c r="R42" i="4" s="1"/>
  <c r="AF28" i="33"/>
  <c r="P38" i="4" s="1"/>
  <c r="AJ28" i="33"/>
  <c r="AJ47" i="33" s="1"/>
  <c r="AJ48" i="33" s="1"/>
  <c r="AJ54" i="33" s="1"/>
  <c r="AG29" i="33"/>
  <c r="Q39" i="4" s="1"/>
  <c r="AK29" i="33"/>
  <c r="U39" i="4" s="1"/>
  <c r="AH30" i="33"/>
  <c r="R40" i="4" s="1"/>
  <c r="AL30" i="33"/>
  <c r="V40" i="4" s="1"/>
  <c r="AI31" i="33"/>
  <c r="S41" i="4" s="1"/>
  <c r="AI32" i="33"/>
  <c r="S42" i="4" s="1"/>
  <c r="AF33" i="33"/>
  <c r="P43" i="4" s="1"/>
  <c r="AJ33" i="33"/>
  <c r="T43" i="4" s="1"/>
  <c r="AF34" i="33"/>
  <c r="P44" i="4" s="1"/>
  <c r="AJ34" i="33"/>
  <c r="T44" i="4" s="1"/>
  <c r="AG35" i="33"/>
  <c r="Q45" i="4" s="1"/>
  <c r="AK35" i="33"/>
  <c r="U45" i="4" s="1"/>
  <c r="AG28" i="33"/>
  <c r="AK28" i="33"/>
  <c r="AH29" i="33"/>
  <c r="AL29" i="33"/>
  <c r="AI30" i="33"/>
  <c r="S40" i="4" s="1"/>
  <c r="AF31" i="33"/>
  <c r="P41" i="4" s="1"/>
  <c r="AJ31" i="33"/>
  <c r="T41" i="4" s="1"/>
  <c r="AF32" i="33"/>
  <c r="P42" i="4" s="1"/>
  <c r="AJ32" i="33"/>
  <c r="T42" i="4" s="1"/>
  <c r="AG33" i="33"/>
  <c r="Q43" i="4" s="1"/>
  <c r="AK33" i="33"/>
  <c r="U43" i="4" s="1"/>
  <c r="AG34" i="33"/>
  <c r="Q44" i="4" s="1"/>
  <c r="AK34" i="33"/>
  <c r="U44" i="4" s="1"/>
  <c r="AH35" i="33"/>
  <c r="R45" i="4" s="1"/>
  <c r="AL35" i="33"/>
  <c r="V45" i="4" s="1"/>
  <c r="AI29" i="33"/>
  <c r="AF30" i="33"/>
  <c r="P40" i="4" s="1"/>
  <c r="AJ30" i="33"/>
  <c r="T40" i="4" s="1"/>
  <c r="AG31" i="33"/>
  <c r="Q41" i="4" s="1"/>
  <c r="AK31" i="33"/>
  <c r="U41" i="4" s="1"/>
  <c r="AG32" i="33"/>
  <c r="Q42" i="4" s="1"/>
  <c r="AK32" i="33"/>
  <c r="U42" i="4" s="1"/>
  <c r="AH33" i="33"/>
  <c r="R43" i="4" s="1"/>
  <c r="AL33" i="33"/>
  <c r="V43" i="4" s="1"/>
  <c r="AH34" i="33"/>
  <c r="R44" i="4" s="1"/>
  <c r="AL34" i="33"/>
  <c r="V44" i="4" s="1"/>
  <c r="AI35" i="33"/>
  <c r="S45" i="4" s="1"/>
  <c r="AE36" i="33"/>
  <c r="O46" i="4" s="1"/>
  <c r="AE37" i="33"/>
  <c r="O47" i="4" s="1"/>
  <c r="AE38" i="33"/>
  <c r="O48" i="4" s="1"/>
  <c r="AE39" i="33"/>
  <c r="O49" i="4" s="1"/>
  <c r="AE40" i="33"/>
  <c r="O50" i="4" s="1"/>
  <c r="AE41" i="33"/>
  <c r="O51" i="4" s="1"/>
  <c r="AE42" i="33"/>
  <c r="O52" i="4" s="1"/>
  <c r="AE43" i="33"/>
  <c r="O53" i="4" s="1"/>
  <c r="N46" i="33"/>
  <c r="N53" i="33" s="1"/>
  <c r="G31" i="33"/>
  <c r="G41" i="4" s="1"/>
  <c r="K34" i="33"/>
  <c r="K44" i="4" s="1"/>
  <c r="C33" i="33"/>
  <c r="C43" i="4" s="1"/>
  <c r="C28" i="33"/>
  <c r="K29" i="33"/>
  <c r="K39" i="4" s="1"/>
  <c r="C30" i="33"/>
  <c r="C40" i="4" s="1"/>
  <c r="K31" i="33"/>
  <c r="K41" i="4" s="1"/>
  <c r="C32" i="33"/>
  <c r="C42" i="4" s="1"/>
  <c r="G33" i="33"/>
  <c r="G43" i="4" s="1"/>
  <c r="C35" i="33"/>
  <c r="C45" i="4" s="1"/>
  <c r="G29" i="33"/>
  <c r="G39" i="4" s="1"/>
  <c r="G28" i="33"/>
  <c r="G30" i="33"/>
  <c r="G40" i="4" s="1"/>
  <c r="G32" i="33"/>
  <c r="G42" i="4" s="1"/>
  <c r="K33" i="33"/>
  <c r="K43" i="4" s="1"/>
  <c r="C34" i="33"/>
  <c r="C44" i="4" s="1"/>
  <c r="G35" i="33"/>
  <c r="G45" i="4" s="1"/>
  <c r="K28" i="33"/>
  <c r="C29" i="33"/>
  <c r="C39" i="4" s="1"/>
  <c r="K30" i="33"/>
  <c r="K40" i="4" s="1"/>
  <c r="C31" i="33"/>
  <c r="C41" i="4" s="1"/>
  <c r="K32" i="33"/>
  <c r="K42" i="4" s="1"/>
  <c r="G34" i="33"/>
  <c r="G44" i="4" s="1"/>
  <c r="K35" i="33"/>
  <c r="K45" i="4" s="1"/>
  <c r="D28" i="33"/>
  <c r="H28" i="33"/>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B28" i="33"/>
  <c r="E28" i="33"/>
  <c r="I28" i="33"/>
  <c r="M28" i="33"/>
  <c r="B29" i="33"/>
  <c r="B39" i="4" s="1"/>
  <c r="E29" i="33"/>
  <c r="E39" i="4" s="1"/>
  <c r="I29" i="33"/>
  <c r="I39" i="4" s="1"/>
  <c r="M29" i="33"/>
  <c r="M39" i="4" s="1"/>
  <c r="B30" i="33"/>
  <c r="B40" i="4" s="1"/>
  <c r="E30" i="33"/>
  <c r="E40" i="4" s="1"/>
  <c r="I30" i="33"/>
  <c r="I40" i="4" s="1"/>
  <c r="M30" i="33"/>
  <c r="M40" i="4" s="1"/>
  <c r="B31" i="33"/>
  <c r="B41" i="4" s="1"/>
  <c r="E31" i="33"/>
  <c r="E41" i="4" s="1"/>
  <c r="I31" i="33"/>
  <c r="I41" i="4" s="1"/>
  <c r="M31" i="33"/>
  <c r="M41" i="4" s="1"/>
  <c r="B32" i="33"/>
  <c r="B42" i="4" s="1"/>
  <c r="E32" i="33"/>
  <c r="E42" i="4" s="1"/>
  <c r="I32" i="33"/>
  <c r="I42" i="4" s="1"/>
  <c r="B33" i="33"/>
  <c r="B43" i="4" s="1"/>
  <c r="E33" i="33"/>
  <c r="E43" i="4" s="1"/>
  <c r="I33" i="33"/>
  <c r="I43" i="4" s="1"/>
  <c r="M33" i="33"/>
  <c r="M43" i="4" s="1"/>
  <c r="B34" i="33"/>
  <c r="B44" i="4" s="1"/>
  <c r="E34" i="33"/>
  <c r="E44" i="4" s="1"/>
  <c r="I34" i="33"/>
  <c r="I44" i="4" s="1"/>
  <c r="B35" i="33"/>
  <c r="B45" i="4" s="1"/>
  <c r="E35" i="33"/>
  <c r="E45" i="4" s="1"/>
  <c r="I35" i="33"/>
  <c r="I45" i="4" s="1"/>
  <c r="M35" i="33"/>
  <c r="M45" i="4" s="1"/>
  <c r="F28" i="33"/>
  <c r="J28" i="33"/>
  <c r="AE28" i="33"/>
  <c r="O38" i="4" s="1"/>
  <c r="F29" i="33"/>
  <c r="F39" i="4" s="1"/>
  <c r="J29" i="33"/>
  <c r="J39" i="4" s="1"/>
  <c r="AE29" i="33"/>
  <c r="O39" i="4" s="1"/>
  <c r="F30" i="33"/>
  <c r="F40" i="4" s="1"/>
  <c r="J30" i="33"/>
  <c r="J40" i="4" s="1"/>
  <c r="AE30" i="33"/>
  <c r="O40" i="4" s="1"/>
  <c r="F31" i="33"/>
  <c r="F41" i="4" s="1"/>
  <c r="J31" i="33"/>
  <c r="J41" i="4" s="1"/>
  <c r="AE31" i="33"/>
  <c r="O41" i="4" s="1"/>
  <c r="F32" i="33"/>
  <c r="F42" i="4" s="1"/>
  <c r="J32" i="33"/>
  <c r="J42" i="4" s="1"/>
  <c r="AE32" i="33"/>
  <c r="O42" i="4" s="1"/>
  <c r="F33" i="33"/>
  <c r="F43" i="4" s="1"/>
  <c r="J33" i="33"/>
  <c r="J43" i="4" s="1"/>
  <c r="AE33" i="33"/>
  <c r="O43" i="4" s="1"/>
  <c r="F34" i="33"/>
  <c r="F44" i="4" s="1"/>
  <c r="J34" i="33"/>
  <c r="J44" i="4" s="1"/>
  <c r="AE34" i="33"/>
  <c r="O44" i="4" s="1"/>
  <c r="F35" i="33"/>
  <c r="F45" i="4" s="1"/>
  <c r="J35" i="33"/>
  <c r="J45" i="4" s="1"/>
  <c r="U38" i="4"/>
  <c r="Y38" i="4"/>
  <c r="AK38" i="4"/>
  <c r="R38" i="4"/>
  <c r="V38" i="4"/>
  <c r="Z38" i="4"/>
  <c r="AD38" i="4"/>
  <c r="AH38" i="4"/>
  <c r="B22" i="33"/>
  <c r="E22" i="33"/>
  <c r="I45" i="33"/>
  <c r="I52" i="33"/>
  <c r="I27" i="33"/>
  <c r="O46" i="33"/>
  <c r="O53" i="33" s="1"/>
  <c r="O47" i="33"/>
  <c r="O48" i="33" s="1"/>
  <c r="O54" i="33" s="1"/>
  <c r="S46" i="33"/>
  <c r="S53" i="33" s="1"/>
  <c r="S47" i="33"/>
  <c r="S48" i="33" s="1"/>
  <c r="S54" i="33" s="1"/>
  <c r="W46" i="33"/>
  <c r="W53" i="33" s="1"/>
  <c r="W47" i="33"/>
  <c r="W48" i="33" s="1"/>
  <c r="W54" i="33" s="1"/>
  <c r="AA47" i="33"/>
  <c r="AA48" i="33" s="1"/>
  <c r="AA54" i="33" s="1"/>
  <c r="AA46" i="33"/>
  <c r="AA53" i="33" s="1"/>
  <c r="X38" i="4"/>
  <c r="AN47" i="33"/>
  <c r="AN48" i="33" s="1"/>
  <c r="AN54" i="33" s="1"/>
  <c r="AN46" i="33"/>
  <c r="AN53" i="33" s="1"/>
  <c r="AR47" i="33"/>
  <c r="AR48" i="33" s="1"/>
  <c r="AR54" i="33" s="1"/>
  <c r="AB38" i="4"/>
  <c r="AR46" i="33"/>
  <c r="AR53" i="33" s="1"/>
  <c r="AV46" i="33"/>
  <c r="AV53" i="33" s="1"/>
  <c r="AF38" i="4"/>
  <c r="AV47" i="33"/>
  <c r="AV48" i="33" s="1"/>
  <c r="AV54" i="33" s="1"/>
  <c r="AJ38" i="4"/>
  <c r="AZ46" i="33"/>
  <c r="AZ53" i="33" s="1"/>
  <c r="AZ47" i="33"/>
  <c r="AZ48" i="33" s="1"/>
  <c r="AZ54" i="33" s="1"/>
  <c r="B27" i="33"/>
  <c r="B52" i="33" s="1"/>
  <c r="P47" i="33"/>
  <c r="P48" i="33" s="1"/>
  <c r="P54" i="33" s="1"/>
  <c r="AB46" i="33"/>
  <c r="AB53" i="33" s="1"/>
  <c r="Q38" i="4"/>
  <c r="AS46" i="33"/>
  <c r="AS53" i="33" s="1"/>
  <c r="AC38" i="4"/>
  <c r="AW47" i="33"/>
  <c r="AW48" i="33" s="1"/>
  <c r="AW54" i="33" s="1"/>
  <c r="AG38" i="4"/>
  <c r="D27" i="33"/>
  <c r="D52" i="33" s="1"/>
  <c r="I22" i="33"/>
  <c r="E27" i="33"/>
  <c r="E52" i="33" s="1"/>
  <c r="N47" i="33"/>
  <c r="N48" i="33" s="1"/>
  <c r="N54" i="33" s="1"/>
  <c r="R46" i="33"/>
  <c r="R53" i="33" s="1"/>
  <c r="R47" i="33"/>
  <c r="R48" i="33" s="1"/>
  <c r="R54" i="33" s="1"/>
  <c r="V47" i="33"/>
  <c r="V48" i="33" s="1"/>
  <c r="V54" i="33" s="1"/>
  <c r="V46" i="33"/>
  <c r="V53" i="33" s="1"/>
  <c r="Z46" i="33"/>
  <c r="Z53" i="33" s="1"/>
  <c r="Z47" i="33"/>
  <c r="Z48" i="33" s="1"/>
  <c r="Z54" i="33" s="1"/>
  <c r="W38" i="4"/>
  <c r="AM46" i="33"/>
  <c r="AM53" i="33" s="1"/>
  <c r="AM47" i="33"/>
  <c r="AM48" i="33" s="1"/>
  <c r="AM54" i="33" s="1"/>
  <c r="AA38" i="4"/>
  <c r="AQ46" i="33"/>
  <c r="AQ53" i="33" s="1"/>
  <c r="AQ47" i="33"/>
  <c r="AQ48" i="33" s="1"/>
  <c r="AQ54" i="33" s="1"/>
  <c r="AE38" i="4"/>
  <c r="AU46" i="33"/>
  <c r="AU53" i="33" s="1"/>
  <c r="AU47" i="33"/>
  <c r="AU48" i="33" s="1"/>
  <c r="AU54" i="33" s="1"/>
  <c r="AI38" i="4"/>
  <c r="AY47" i="33"/>
  <c r="AY48" i="33" s="1"/>
  <c r="AY54" i="33" s="1"/>
  <c r="AY46" i="33"/>
  <c r="AY53" i="33" s="1"/>
  <c r="D45" i="33"/>
  <c r="N57" i="33"/>
  <c r="T57" i="33"/>
  <c r="AB57" i="33"/>
  <c r="AQ57" i="33"/>
  <c r="AY57" i="33"/>
  <c r="O57" i="33"/>
  <c r="W57" i="33"/>
  <c r="AS57" i="33"/>
  <c r="AZ57" i="33"/>
  <c r="R57" i="33"/>
  <c r="X57" i="33"/>
  <c r="AN57" i="33"/>
  <c r="AU57" i="33"/>
  <c r="BA57" i="33"/>
  <c r="S57" i="33"/>
  <c r="Z57" i="33"/>
  <c r="AO57" i="33"/>
  <c r="AV57" i="33"/>
  <c r="P57" i="33"/>
  <c r="V57" i="33"/>
  <c r="AA57" i="33"/>
  <c r="AM57" i="33"/>
  <c r="AR57" i="33"/>
  <c r="AW57" i="33"/>
  <c r="Q57" i="33"/>
  <c r="U57" i="33"/>
  <c r="Y57" i="33"/>
  <c r="AC57" i="33"/>
  <c r="AP57" i="33"/>
  <c r="AT57" i="33"/>
  <c r="AX57" i="33"/>
  <c r="T46" i="33"/>
  <c r="T53" i="33" s="1"/>
  <c r="T47" i="33"/>
  <c r="T48" i="33" s="1"/>
  <c r="T54" i="33" s="1"/>
  <c r="X46" i="33"/>
  <c r="X53" i="33" s="1"/>
  <c r="X47" i="33"/>
  <c r="X48" i="33" s="1"/>
  <c r="X54" i="33" s="1"/>
  <c r="AO46" i="33"/>
  <c r="AO53" i="33" s="1"/>
  <c r="AO47" i="33"/>
  <c r="AO48" i="33" s="1"/>
  <c r="AO54" i="33" s="1"/>
  <c r="BA46" i="33"/>
  <c r="BA53" i="33" s="1"/>
  <c r="BA47" i="33"/>
  <c r="BA48" i="33" s="1"/>
  <c r="BA54" i="33" s="1"/>
  <c r="P46" i="33"/>
  <c r="P53" i="33" s="1"/>
  <c r="AW46" i="33"/>
  <c r="AW53" i="33" s="1"/>
  <c r="AB47" i="33"/>
  <c r="AB48" i="33" s="1"/>
  <c r="AB54" i="33" s="1"/>
  <c r="AS47" i="33"/>
  <c r="AS48" i="33" s="1"/>
  <c r="AS54" i="33" s="1"/>
  <c r="F22" i="33"/>
  <c r="Q47" i="33"/>
  <c r="Q48" i="33" s="1"/>
  <c r="Q54" i="33" s="1"/>
  <c r="Q46" i="33"/>
  <c r="Q53" i="33" s="1"/>
  <c r="U47" i="33"/>
  <c r="U48" i="33" s="1"/>
  <c r="U54" i="33" s="1"/>
  <c r="U46" i="33"/>
  <c r="U53" i="33" s="1"/>
  <c r="Y47" i="33"/>
  <c r="Y48" i="33" s="1"/>
  <c r="Y54" i="33" s="1"/>
  <c r="Y46" i="33"/>
  <c r="Y53" i="33" s="1"/>
  <c r="AC47" i="33"/>
  <c r="AC48" i="33" s="1"/>
  <c r="AC54" i="33" s="1"/>
  <c r="AC46" i="33"/>
  <c r="AC53" i="33" s="1"/>
  <c r="AP47" i="33"/>
  <c r="AP48" i="33" s="1"/>
  <c r="AP54" i="33" s="1"/>
  <c r="AP46" i="33"/>
  <c r="AP53" i="33" s="1"/>
  <c r="AT47" i="33"/>
  <c r="AT48" i="33" s="1"/>
  <c r="AT54" i="33" s="1"/>
  <c r="AT46" i="33"/>
  <c r="AT53" i="33" s="1"/>
  <c r="AX47" i="33"/>
  <c r="AX48" i="33" s="1"/>
  <c r="AX54" i="33" s="1"/>
  <c r="AX46" i="33"/>
  <c r="AX53" i="33" s="1"/>
  <c r="F45" i="33"/>
  <c r="G22" i="33"/>
  <c r="G27" i="33"/>
  <c r="G52" i="33" s="1"/>
  <c r="C22" i="33"/>
  <c r="C27" i="33"/>
  <c r="C52" i="33" s="1"/>
  <c r="H27" i="33"/>
  <c r="H52" i="33" s="1"/>
  <c r="H45" i="33"/>
  <c r="M56" i="33"/>
  <c r="L56" i="33"/>
  <c r="C56" i="33"/>
  <c r="F56" i="33"/>
  <c r="AG56" i="33"/>
  <c r="AI56" i="33"/>
  <c r="AF56" i="33"/>
  <c r="G56" i="33"/>
  <c r="D56" i="33"/>
  <c r="AK56" i="33"/>
  <c r="J56" i="33"/>
  <c r="I56" i="33"/>
  <c r="AJ56" i="33"/>
  <c r="AH56" i="33"/>
  <c r="B56" i="33"/>
  <c r="H56" i="33"/>
  <c r="E56" i="33"/>
  <c r="AE56" i="33"/>
  <c r="AL56" i="33"/>
  <c r="K56" i="33"/>
  <c r="T38" i="4" l="1"/>
  <c r="AK47" i="33"/>
  <c r="AK48" i="33" s="1"/>
  <c r="AK54" i="33" s="1"/>
  <c r="B57" i="33"/>
  <c r="U59" i="33" s="1"/>
  <c r="U60" i="33" s="1"/>
  <c r="U61" i="33" s="1"/>
  <c r="J57" i="33"/>
  <c r="C57" i="33"/>
  <c r="E57" i="33"/>
  <c r="H57" i="33"/>
  <c r="K57" i="33"/>
  <c r="AK57" i="33"/>
  <c r="D57" i="33"/>
  <c r="AG57" i="33"/>
  <c r="M57" i="33"/>
  <c r="G57" i="33"/>
  <c r="G59" i="33" s="1"/>
  <c r="AI57" i="33"/>
  <c r="AL57" i="33"/>
  <c r="AJ57" i="33"/>
  <c r="F57" i="33"/>
  <c r="F59" i="33" s="1"/>
  <c r="I57" i="33"/>
  <c r="I59" i="33" s="1"/>
  <c r="L57" i="33"/>
  <c r="AH57" i="33"/>
  <c r="AF57" i="33"/>
  <c r="AH46" i="33"/>
  <c r="AH53" i="33" s="1"/>
  <c r="B38" i="4"/>
  <c r="J38" i="4"/>
  <c r="E38" i="4"/>
  <c r="H38" i="4"/>
  <c r="AJ46" i="33"/>
  <c r="AJ53" i="33" s="1"/>
  <c r="AF46" i="33"/>
  <c r="AF53" i="33" s="1"/>
  <c r="D38" i="4"/>
  <c r="AH47" i="33"/>
  <c r="AH48" i="33" s="1"/>
  <c r="AH54" i="33" s="1"/>
  <c r="AK46" i="33"/>
  <c r="AK53" i="33" s="1"/>
  <c r="AI47" i="33"/>
  <c r="AI48" i="33" s="1"/>
  <c r="AI54" i="33" s="1"/>
  <c r="AG47" i="33"/>
  <c r="AG48" i="33" s="1"/>
  <c r="AG54" i="33" s="1"/>
  <c r="K38" i="4"/>
  <c r="M38" i="4"/>
  <c r="S39" i="4"/>
  <c r="V39" i="4"/>
  <c r="AL46" i="33"/>
  <c r="AL53" i="33" s="1"/>
  <c r="AG46" i="33"/>
  <c r="AG53" i="33" s="1"/>
  <c r="AI46" i="33"/>
  <c r="AI53" i="33" s="1"/>
  <c r="AF47" i="33"/>
  <c r="AF48" i="33" s="1"/>
  <c r="AF54" i="33" s="1"/>
  <c r="C47" i="33"/>
  <c r="C48" i="33" s="1"/>
  <c r="C54" i="33" s="1"/>
  <c r="F38" i="4"/>
  <c r="I38" i="4"/>
  <c r="R39" i="4"/>
  <c r="L47" i="33"/>
  <c r="L48" i="33" s="1"/>
  <c r="L54" i="33" s="1"/>
  <c r="D47" i="33"/>
  <c r="D48" i="33" s="1"/>
  <c r="D54" i="33" s="1"/>
  <c r="I47" i="33"/>
  <c r="I48" i="33" s="1"/>
  <c r="I54" i="33" s="1"/>
  <c r="L38" i="4"/>
  <c r="K46" i="33"/>
  <c r="K53" i="33" s="1"/>
  <c r="B47" i="33"/>
  <c r="B48" i="33" s="1"/>
  <c r="B54" i="33" s="1"/>
  <c r="K47" i="33"/>
  <c r="K48" i="33" s="1"/>
  <c r="K54" i="33" s="1"/>
  <c r="G46" i="33"/>
  <c r="G53" i="33" s="1"/>
  <c r="C46" i="33"/>
  <c r="C53" i="33" s="1"/>
  <c r="G47" i="33"/>
  <c r="G48" i="33" s="1"/>
  <c r="G54" i="33" s="1"/>
  <c r="C38" i="4"/>
  <c r="G38" i="4"/>
  <c r="M46" i="33"/>
  <c r="M53" i="33" s="1"/>
  <c r="J47" i="33"/>
  <c r="J48" i="33" s="1"/>
  <c r="J54" i="33" s="1"/>
  <c r="AE57" i="33"/>
  <c r="AM59" i="33" s="1"/>
  <c r="AM60" i="33" s="1"/>
  <c r="AM61" i="33" s="1"/>
  <c r="D46" i="33"/>
  <c r="D53" i="33" s="1"/>
  <c r="M47" i="33"/>
  <c r="M48" i="33" s="1"/>
  <c r="M54" i="33" s="1"/>
  <c r="E47" i="33"/>
  <c r="E48" i="33" s="1"/>
  <c r="E54" i="33" s="1"/>
  <c r="H47" i="33"/>
  <c r="H48" i="33" s="1"/>
  <c r="H54" i="33" s="1"/>
  <c r="AE46" i="33"/>
  <c r="AE53" i="33" s="1"/>
  <c r="AE55" i="33" s="1"/>
  <c r="F46" i="33"/>
  <c r="F53" i="33" s="1"/>
  <c r="E46" i="33"/>
  <c r="E53" i="33" s="1"/>
  <c r="J46" i="33"/>
  <c r="J53" i="33" s="1"/>
  <c r="I46" i="33"/>
  <c r="I53" i="33" s="1"/>
  <c r="B46" i="33"/>
  <c r="B53" i="33" s="1"/>
  <c r="H46" i="33"/>
  <c r="H53" i="33" s="1"/>
  <c r="AE47" i="33"/>
  <c r="AE48" i="33" s="1"/>
  <c r="AE54" i="33" s="1"/>
  <c r="F47" i="33"/>
  <c r="F48" i="33" s="1"/>
  <c r="F54" i="33" s="1"/>
  <c r="L46" i="33"/>
  <c r="L53" i="33" s="1"/>
  <c r="AE59" i="33"/>
  <c r="Z59" i="33"/>
  <c r="Z60" i="33" s="1"/>
  <c r="Z61" i="33" s="1"/>
  <c r="V59" i="33"/>
  <c r="V60" i="33" s="1"/>
  <c r="V61" i="33" s="1"/>
  <c r="R59" i="33"/>
  <c r="R60" i="33" s="1"/>
  <c r="R61" i="33" s="1"/>
  <c r="N59" i="33"/>
  <c r="N60" i="33" s="1"/>
  <c r="N61" i="33" s="1"/>
  <c r="J59" i="33"/>
  <c r="Y59" i="33"/>
  <c r="Y60" i="33" s="1"/>
  <c r="Y61" i="33" s="1"/>
  <c r="T59" i="33"/>
  <c r="T60" i="33" s="1"/>
  <c r="T61" i="33" s="1"/>
  <c r="O59" i="33"/>
  <c r="O60" i="33" s="1"/>
  <c r="O61" i="33" s="1"/>
  <c r="AC59" i="33"/>
  <c r="AC60" i="33" s="1"/>
  <c r="AC61" i="33" s="1"/>
  <c r="W59" i="33"/>
  <c r="W60" i="33" s="1"/>
  <c r="W61" i="33" s="1"/>
  <c r="P59" i="33"/>
  <c r="P60" i="33" s="1"/>
  <c r="P61" i="33" s="1"/>
  <c r="H59" i="33"/>
  <c r="AB59" i="33"/>
  <c r="AB60" i="33" s="1"/>
  <c r="AB61" i="33" s="1"/>
  <c r="C59" i="33" l="1"/>
  <c r="K59" i="33"/>
  <c r="Q59" i="33"/>
  <c r="Q60" i="33" s="1"/>
  <c r="Q61" i="33" s="1"/>
  <c r="X59" i="33"/>
  <c r="X60" i="33" s="1"/>
  <c r="X61" i="33" s="1"/>
  <c r="L59" i="33"/>
  <c r="S59" i="33"/>
  <c r="S60" i="33" s="1"/>
  <c r="S61" i="33" s="1"/>
  <c r="AA59" i="33"/>
  <c r="AA60" i="33" s="1"/>
  <c r="AA61" i="33" s="1"/>
  <c r="M59" i="33"/>
  <c r="AP59" i="33"/>
  <c r="AP60" i="33" s="1"/>
  <c r="AP61" i="33" s="1"/>
  <c r="AT59" i="33"/>
  <c r="AT60" i="33" s="1"/>
  <c r="AT61" i="33" s="1"/>
  <c r="AY59" i="33"/>
  <c r="AY60" i="33" s="1"/>
  <c r="AY61" i="33" s="1"/>
  <c r="AG59" i="33"/>
  <c r="AG60" i="33" s="1"/>
  <c r="AV55" i="33"/>
  <c r="D59" i="33"/>
  <c r="D60" i="33" s="1"/>
  <c r="E59" i="33"/>
  <c r="AJ59" i="33"/>
  <c r="AJ60" i="33" s="1"/>
  <c r="AJ61" i="33" s="1"/>
  <c r="AS59" i="33"/>
  <c r="AS60" i="33" s="1"/>
  <c r="AS61" i="33" s="1"/>
  <c r="M55" i="33"/>
  <c r="AZ59" i="33"/>
  <c r="AZ60" i="33" s="1"/>
  <c r="AZ61" i="33" s="1"/>
  <c r="AF59" i="33"/>
  <c r="AU59" i="33"/>
  <c r="AU60" i="33" s="1"/>
  <c r="AU61" i="33" s="1"/>
  <c r="AH59" i="33"/>
  <c r="AH60" i="33" s="1"/>
  <c r="AH61" i="33" s="1"/>
  <c r="AR59" i="33"/>
  <c r="AR60" i="33" s="1"/>
  <c r="AR61" i="33" s="1"/>
  <c r="AV59" i="33"/>
  <c r="AV60" i="33" s="1"/>
  <c r="AV61" i="33" s="1"/>
  <c r="AQ59" i="33"/>
  <c r="AQ60" i="33" s="1"/>
  <c r="AQ61" i="33" s="1"/>
  <c r="AO59" i="33"/>
  <c r="AO60" i="33" s="1"/>
  <c r="AO61" i="33" s="1"/>
  <c r="AX59" i="33"/>
  <c r="AX60" i="33" s="1"/>
  <c r="AX61" i="33" s="1"/>
  <c r="BA59" i="33"/>
  <c r="BA60" i="33" s="1"/>
  <c r="BA61" i="33" s="1"/>
  <c r="AN59" i="33"/>
  <c r="AN60" i="33" s="1"/>
  <c r="AN61" i="33" s="1"/>
  <c r="AW59" i="33"/>
  <c r="AW60" i="33" s="1"/>
  <c r="AW61" i="33" s="1"/>
  <c r="AL59" i="33"/>
  <c r="AL60" i="33" s="1"/>
  <c r="AL61" i="33" s="1"/>
  <c r="AK59" i="33"/>
  <c r="AK60" i="33" s="1"/>
  <c r="AK61" i="33" s="1"/>
  <c r="AI59" i="33"/>
  <c r="AI60" i="33" s="1"/>
  <c r="AI61" i="33" s="1"/>
  <c r="AZ55" i="33"/>
  <c r="AU55" i="33"/>
  <c r="BA55" i="33"/>
  <c r="B64" i="33"/>
  <c r="AS55" i="33"/>
  <c r="AP55" i="33"/>
  <c r="AG55" i="33"/>
  <c r="AK55" i="33"/>
  <c r="AF55" i="33"/>
  <c r="AO55" i="33"/>
  <c r="AX55" i="33"/>
  <c r="AW55" i="33"/>
  <c r="B65" i="33"/>
  <c r="AJ55" i="33"/>
  <c r="AY55" i="33"/>
  <c r="AT55" i="33"/>
  <c r="AQ55" i="33"/>
  <c r="AL55" i="33"/>
  <c r="AR55" i="33"/>
  <c r="AN55" i="33"/>
  <c r="AH55" i="33"/>
  <c r="AM55" i="33"/>
  <c r="AI55" i="33"/>
  <c r="P55" i="33"/>
  <c r="D55" i="33"/>
  <c r="B55" i="33"/>
  <c r="K55" i="33"/>
  <c r="L55" i="33"/>
  <c r="Z55" i="33"/>
  <c r="R55" i="33"/>
  <c r="AA55" i="33"/>
  <c r="N55" i="33"/>
  <c r="AB55" i="33"/>
  <c r="G55" i="33"/>
  <c r="F55" i="33"/>
  <c r="C55" i="33"/>
  <c r="O55" i="33"/>
  <c r="V55" i="33"/>
  <c r="W55" i="33"/>
  <c r="S55" i="33"/>
  <c r="J55" i="33"/>
  <c r="U55" i="33"/>
  <c r="AC55" i="33"/>
  <c r="H55" i="33"/>
  <c r="Q55" i="33"/>
  <c r="X55" i="33"/>
  <c r="T55" i="33"/>
  <c r="I55" i="33"/>
  <c r="E55" i="33"/>
  <c r="Y55" i="33"/>
  <c r="I60" i="33"/>
  <c r="C60" i="33"/>
  <c r="M60" i="33"/>
  <c r="E60" i="33"/>
  <c r="K60" i="33"/>
  <c r="G60" i="33"/>
  <c r="H60" i="33"/>
  <c r="AE60" i="33"/>
  <c r="F60" i="33"/>
  <c r="J60" i="33"/>
  <c r="L60" i="33"/>
  <c r="M61" i="33" l="1"/>
  <c r="C61" i="33"/>
  <c r="K61" i="33"/>
  <c r="H61" i="33"/>
  <c r="D61" i="33"/>
  <c r="J61" i="33"/>
  <c r="L61" i="33"/>
  <c r="I61" i="33"/>
  <c r="AE61" i="33"/>
  <c r="G61" i="33"/>
  <c r="F61" i="33"/>
  <c r="E61" i="33"/>
  <c r="AF60" i="33"/>
  <c r="AF61" i="33" s="1"/>
  <c r="M4" i="33"/>
  <c r="N4" i="33"/>
  <c r="AG61" i="33" l="1"/>
  <c r="L4" i="33"/>
  <c r="L22" i="33" s="1"/>
  <c r="K4" i="33"/>
  <c r="K22" i="33" s="1"/>
  <c r="J4" i="33"/>
  <c r="J52" i="33" s="1"/>
  <c r="AB27" i="33"/>
  <c r="AB45" i="33"/>
  <c r="AB52" i="33"/>
  <c r="AB22" i="33"/>
  <c r="AC45" i="33"/>
  <c r="AC52" i="33"/>
  <c r="AC22" i="33"/>
  <c r="AC27" i="33"/>
  <c r="Y45" i="33"/>
  <c r="Y52" i="33"/>
  <c r="Y22" i="33"/>
  <c r="Y27" i="33"/>
  <c r="U45" i="33"/>
  <c r="U52" i="33"/>
  <c r="U22" i="33"/>
  <c r="U27" i="33"/>
  <c r="Q45" i="33"/>
  <c r="Q52" i="33"/>
  <c r="Q27" i="33"/>
  <c r="Q22" i="33"/>
  <c r="M45" i="33"/>
  <c r="M52" i="33"/>
  <c r="M27" i="33"/>
  <c r="M22" i="33"/>
  <c r="X22" i="33"/>
  <c r="X27" i="33"/>
  <c r="X52" i="33"/>
  <c r="X45" i="33"/>
  <c r="T27" i="33"/>
  <c r="T45" i="33"/>
  <c r="T52" i="33"/>
  <c r="T22" i="33"/>
  <c r="P27" i="33"/>
  <c r="P45" i="33"/>
  <c r="P22" i="33"/>
  <c r="P52" i="33"/>
  <c r="AA52" i="33"/>
  <c r="AA45" i="33"/>
  <c r="AA27" i="33"/>
  <c r="AA22" i="33"/>
  <c r="W45" i="33"/>
  <c r="W52" i="33"/>
  <c r="W22" i="33"/>
  <c r="W27" i="33"/>
  <c r="S45" i="33"/>
  <c r="S52" i="33"/>
  <c r="S27" i="33"/>
  <c r="S22" i="33"/>
  <c r="O52" i="33"/>
  <c r="O45" i="33"/>
  <c r="O22" i="33"/>
  <c r="O27" i="33"/>
  <c r="K52" i="33"/>
  <c r="Z27" i="33"/>
  <c r="Z22" i="33"/>
  <c r="Z45" i="33"/>
  <c r="Z52" i="33"/>
  <c r="V27" i="33"/>
  <c r="V22" i="33"/>
  <c r="V45" i="33"/>
  <c r="V52" i="33"/>
  <c r="R27" i="33"/>
  <c r="R52" i="33"/>
  <c r="R45" i="33"/>
  <c r="R22" i="33"/>
  <c r="N27" i="33"/>
  <c r="N52" i="33"/>
  <c r="N22" i="33"/>
  <c r="N45" i="33"/>
  <c r="K45" i="33" l="1"/>
  <c r="K27" i="33"/>
  <c r="O4" i="33"/>
  <c r="O4" i="23"/>
  <c r="O4" i="1"/>
  <c r="AE22" i="1" s="1"/>
  <c r="Q4" i="1"/>
  <c r="AG22" i="1" s="1"/>
  <c r="Q4" i="33"/>
  <c r="Q4" i="23"/>
  <c r="P4" i="33"/>
  <c r="P4" i="23"/>
  <c r="P4" i="1"/>
  <c r="AF22" i="1" s="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AG22" i="33" l="1"/>
  <c r="AG45" i="33"/>
  <c r="AG27" i="33"/>
  <c r="AG52" i="33" s="1"/>
  <c r="AE27" i="33"/>
  <c r="AE52" i="33" s="1"/>
  <c r="AE22" i="33"/>
  <c r="AE45" i="33"/>
  <c r="AF22" i="33"/>
  <c r="AF45" i="33"/>
  <c r="AF27" i="33"/>
  <c r="AF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AB52" i="23"/>
  <c r="H26" i="22"/>
  <c r="B3" i="12"/>
  <c r="Q9" i="12" s="1"/>
  <c r="Q10" i="12" s="1"/>
  <c r="R45" i="1"/>
  <c r="AM28" i="23"/>
  <c r="AN28" i="23"/>
  <c r="AO28" i="23"/>
  <c r="AP28" i="23"/>
  <c r="AQ28" i="23"/>
  <c r="AR28" i="23"/>
  <c r="AS28" i="23"/>
  <c r="AT28" i="23"/>
  <c r="AU28" i="23"/>
  <c r="AE22" i="4" s="1"/>
  <c r="AV28" i="23"/>
  <c r="AW28" i="23"/>
  <c r="AX28" i="23"/>
  <c r="AY28" i="23"/>
  <c r="AZ28" i="23"/>
  <c r="BA28" i="23"/>
  <c r="AM29" i="23"/>
  <c r="W23" i="4" s="1"/>
  <c r="AN29" i="23"/>
  <c r="X23" i="4" s="1"/>
  <c r="AO29" i="23"/>
  <c r="AP29" i="23"/>
  <c r="Z23" i="4" s="1"/>
  <c r="AQ29" i="23"/>
  <c r="AR29" i="23"/>
  <c r="AS29" i="23"/>
  <c r="AT29" i="23"/>
  <c r="AD23" i="4" s="1"/>
  <c r="AU29" i="23"/>
  <c r="AE23" i="4" s="1"/>
  <c r="AV29" i="23"/>
  <c r="AF23" i="4" s="1"/>
  <c r="AW29" i="23"/>
  <c r="AG23" i="4" s="1"/>
  <c r="AX29" i="23"/>
  <c r="AH23" i="4" s="1"/>
  <c r="AY29" i="23"/>
  <c r="AI23" i="4" s="1"/>
  <c r="AZ29" i="23"/>
  <c r="AJ23" i="4" s="1"/>
  <c r="BA29" i="23"/>
  <c r="AK23" i="4" s="1"/>
  <c r="AM30" i="23"/>
  <c r="W24" i="4" s="1"/>
  <c r="AN30" i="23"/>
  <c r="X24" i="4" s="1"/>
  <c r="AO30" i="23"/>
  <c r="Y24" i="4" s="1"/>
  <c r="AP30" i="23"/>
  <c r="Z24" i="4" s="1"/>
  <c r="AQ30" i="23"/>
  <c r="AR30" i="23"/>
  <c r="AS30" i="23"/>
  <c r="AC24" i="4" s="1"/>
  <c r="AT30" i="23"/>
  <c r="AD24" i="4" s="1"/>
  <c r="AU30" i="23"/>
  <c r="AE24" i="4" s="1"/>
  <c r="AV30" i="23"/>
  <c r="AF24" i="4" s="1"/>
  <c r="AW30" i="23"/>
  <c r="AG24" i="4" s="1"/>
  <c r="AX30" i="23"/>
  <c r="AH24" i="4" s="1"/>
  <c r="AY30" i="23"/>
  <c r="AI24" i="4" s="1"/>
  <c r="AZ30" i="23"/>
  <c r="AJ24" i="4" s="1"/>
  <c r="BA30" i="23"/>
  <c r="AK24" i="4" s="1"/>
  <c r="AM31" i="23"/>
  <c r="W25" i="4" s="1"/>
  <c r="AN31" i="23"/>
  <c r="X25" i="4" s="1"/>
  <c r="AO31" i="23"/>
  <c r="AP31" i="23"/>
  <c r="AQ31" i="23"/>
  <c r="AA25" i="4" s="1"/>
  <c r="AR31" i="23"/>
  <c r="AB25" i="4" s="1"/>
  <c r="AS31" i="23"/>
  <c r="AC25" i="4" s="1"/>
  <c r="AT31" i="23"/>
  <c r="AD25" i="4" s="1"/>
  <c r="AU31" i="23"/>
  <c r="AE25" i="4" s="1"/>
  <c r="AV31" i="23"/>
  <c r="AF25" i="4" s="1"/>
  <c r="AW31" i="23"/>
  <c r="AG25" i="4" s="1"/>
  <c r="AX31" i="23"/>
  <c r="AH25" i="4" s="1"/>
  <c r="AY31" i="23"/>
  <c r="AI25" i="4" s="1"/>
  <c r="AZ31" i="23"/>
  <c r="AJ25" i="4" s="1"/>
  <c r="BA31" i="23"/>
  <c r="AK25" i="4" s="1"/>
  <c r="AM32" i="23"/>
  <c r="AN32" i="23"/>
  <c r="X26" i="4" s="1"/>
  <c r="AO32" i="23"/>
  <c r="Y26" i="4" s="1"/>
  <c r="AP32" i="23"/>
  <c r="Z26" i="4" s="1"/>
  <c r="AQ32" i="23"/>
  <c r="AA26" i="4" s="1"/>
  <c r="AR32" i="23"/>
  <c r="AB26" i="4" s="1"/>
  <c r="AS32" i="23"/>
  <c r="AC26" i="4" s="1"/>
  <c r="AT32" i="23"/>
  <c r="AD26" i="4" s="1"/>
  <c r="AU32" i="23"/>
  <c r="AE26" i="4" s="1"/>
  <c r="AV32" i="23"/>
  <c r="AF26" i="4" s="1"/>
  <c r="AW32" i="23"/>
  <c r="AG26" i="4" s="1"/>
  <c r="AX32" i="23"/>
  <c r="AH26" i="4" s="1"/>
  <c r="AY32" i="23"/>
  <c r="AI26" i="4" s="1"/>
  <c r="AZ32" i="23"/>
  <c r="AJ26" i="4" s="1"/>
  <c r="BA32" i="23"/>
  <c r="AK26" i="4" s="1"/>
  <c r="AM33" i="23"/>
  <c r="W27" i="4" s="1"/>
  <c r="AN33" i="23"/>
  <c r="AO33" i="23"/>
  <c r="AP33" i="23"/>
  <c r="Z27" i="4" s="1"/>
  <c r="AQ33" i="23"/>
  <c r="AA27" i="4" s="1"/>
  <c r="AR33" i="23"/>
  <c r="AS33" i="23"/>
  <c r="AT33" i="23"/>
  <c r="AD27" i="4" s="1"/>
  <c r="AU33" i="23"/>
  <c r="AE27" i="4" s="1"/>
  <c r="AV33" i="23"/>
  <c r="AF27" i="4" s="1"/>
  <c r="AW33" i="23"/>
  <c r="AG27" i="4" s="1"/>
  <c r="AX33" i="23"/>
  <c r="AH27" i="4" s="1"/>
  <c r="AY33" i="23"/>
  <c r="AI27" i="4" s="1"/>
  <c r="AZ33" i="23"/>
  <c r="AJ27" i="4" s="1"/>
  <c r="BA33" i="23"/>
  <c r="AK27" i="4" s="1"/>
  <c r="AM34" i="23"/>
  <c r="W28" i="4" s="1"/>
  <c r="AN34" i="23"/>
  <c r="X28" i="4" s="1"/>
  <c r="AO34" i="23"/>
  <c r="Y28" i="4" s="1"/>
  <c r="AP34" i="23"/>
  <c r="Z28" i="4" s="1"/>
  <c r="AQ34" i="23"/>
  <c r="AA28" i="4" s="1"/>
  <c r="AR34" i="23"/>
  <c r="AB28" i="4" s="1"/>
  <c r="AS34" i="23"/>
  <c r="AC28" i="4" s="1"/>
  <c r="AT34" i="23"/>
  <c r="AD28" i="4" s="1"/>
  <c r="AU34" i="23"/>
  <c r="AE28" i="4" s="1"/>
  <c r="AV34" i="23"/>
  <c r="AF28" i="4" s="1"/>
  <c r="AW34" i="23"/>
  <c r="AG28" i="4" s="1"/>
  <c r="AX34" i="23"/>
  <c r="AH28" i="4" s="1"/>
  <c r="AY34" i="23"/>
  <c r="AI28" i="4" s="1"/>
  <c r="AZ34" i="23"/>
  <c r="AJ28" i="4" s="1"/>
  <c r="BA34" i="23"/>
  <c r="AK28" i="4" s="1"/>
  <c r="AM35" i="23"/>
  <c r="W29" i="4" s="1"/>
  <c r="AN35" i="23"/>
  <c r="X29" i="4" s="1"/>
  <c r="AO35" i="23"/>
  <c r="Y29" i="4" s="1"/>
  <c r="AP35" i="23"/>
  <c r="Z29" i="4" s="1"/>
  <c r="AQ35" i="23"/>
  <c r="AA29" i="4" s="1"/>
  <c r="AR35" i="23"/>
  <c r="AB29" i="4" s="1"/>
  <c r="AS35" i="23"/>
  <c r="AC29" i="4" s="1"/>
  <c r="AT35" i="23"/>
  <c r="AD29" i="4" s="1"/>
  <c r="AU35" i="23"/>
  <c r="AE29" i="4" s="1"/>
  <c r="AV35" i="23"/>
  <c r="AF29" i="4" s="1"/>
  <c r="AW35" i="23"/>
  <c r="AG29" i="4" s="1"/>
  <c r="AX35" i="23"/>
  <c r="AH29" i="4" s="1"/>
  <c r="AY35" i="23"/>
  <c r="AI29" i="4" s="1"/>
  <c r="AZ35" i="23"/>
  <c r="AJ29" i="4" s="1"/>
  <c r="BA35" i="23"/>
  <c r="AK29" i="4" s="1"/>
  <c r="AF36" i="23"/>
  <c r="P30" i="4" s="1"/>
  <c r="AG36" i="23"/>
  <c r="Q30" i="4" s="1"/>
  <c r="AH36" i="23"/>
  <c r="R30" i="4" s="1"/>
  <c r="AI36" i="23"/>
  <c r="S30" i="4" s="1"/>
  <c r="AJ36" i="23"/>
  <c r="T30" i="4" s="1"/>
  <c r="AK36" i="23"/>
  <c r="U30" i="4" s="1"/>
  <c r="AL36" i="23"/>
  <c r="V30" i="4" s="1"/>
  <c r="AM36" i="23"/>
  <c r="AN36" i="23"/>
  <c r="X30" i="4" s="1"/>
  <c r="AO36" i="23"/>
  <c r="Y30" i="4" s="1"/>
  <c r="AP36" i="23"/>
  <c r="Z30" i="4" s="1"/>
  <c r="AQ36" i="23"/>
  <c r="AA30" i="4" s="1"/>
  <c r="AR36" i="23"/>
  <c r="AB30" i="4" s="1"/>
  <c r="AS36" i="23"/>
  <c r="AC30" i="4" s="1"/>
  <c r="AT36" i="23"/>
  <c r="AD30" i="4" s="1"/>
  <c r="AU36" i="23"/>
  <c r="AE30" i="4" s="1"/>
  <c r="AV36" i="23"/>
  <c r="AF30" i="4" s="1"/>
  <c r="AW36" i="23"/>
  <c r="AG30" i="4" s="1"/>
  <c r="AX36" i="23"/>
  <c r="AY36" i="23"/>
  <c r="AI30" i="4" s="1"/>
  <c r="AZ36" i="23"/>
  <c r="AJ30" i="4" s="1"/>
  <c r="BA36" i="23"/>
  <c r="AK30" i="4" s="1"/>
  <c r="AF37" i="23"/>
  <c r="P31" i="4" s="1"/>
  <c r="AG37" i="23"/>
  <c r="AH37" i="23"/>
  <c r="R31" i="4" s="1"/>
  <c r="AI37" i="23"/>
  <c r="S31" i="4" s="1"/>
  <c r="AJ37" i="23"/>
  <c r="T31" i="4" s="1"/>
  <c r="AK37" i="23"/>
  <c r="AL37" i="23"/>
  <c r="V31" i="4" s="1"/>
  <c r="AM37" i="23"/>
  <c r="W31" i="4" s="1"/>
  <c r="AN37" i="23"/>
  <c r="X31" i="4" s="1"/>
  <c r="AO37" i="23"/>
  <c r="Y31" i="4" s="1"/>
  <c r="AP37" i="23"/>
  <c r="Z31" i="4" s="1"/>
  <c r="AQ37" i="23"/>
  <c r="AA31" i="4" s="1"/>
  <c r="AR37" i="23"/>
  <c r="AB31" i="4" s="1"/>
  <c r="AS37" i="23"/>
  <c r="AC31" i="4" s="1"/>
  <c r="AT37" i="23"/>
  <c r="AD31" i="4" s="1"/>
  <c r="AU37" i="23"/>
  <c r="AE31" i="4" s="1"/>
  <c r="AV37" i="23"/>
  <c r="AF31" i="4" s="1"/>
  <c r="AW37" i="23"/>
  <c r="AG31" i="4" s="1"/>
  <c r="AX37" i="23"/>
  <c r="AH31" i="4" s="1"/>
  <c r="AY37" i="23"/>
  <c r="AI31" i="4" s="1"/>
  <c r="AZ37" i="23"/>
  <c r="AJ31" i="4" s="1"/>
  <c r="BA37" i="23"/>
  <c r="AK31" i="4" s="1"/>
  <c r="AF38" i="23"/>
  <c r="P32" i="4" s="1"/>
  <c r="AG38" i="23"/>
  <c r="Q32" i="4" s="1"/>
  <c r="AH38" i="23"/>
  <c r="R32" i="4" s="1"/>
  <c r="AI38" i="23"/>
  <c r="S32" i="4" s="1"/>
  <c r="AJ38" i="23"/>
  <c r="T32" i="4" s="1"/>
  <c r="AK38" i="23"/>
  <c r="U32" i="4" s="1"/>
  <c r="AL38" i="23"/>
  <c r="V32" i="4" s="1"/>
  <c r="AM38" i="23"/>
  <c r="W32" i="4" s="1"/>
  <c r="AN38" i="23"/>
  <c r="X32" i="4" s="1"/>
  <c r="AO38" i="23"/>
  <c r="Y32" i="4" s="1"/>
  <c r="AP38" i="23"/>
  <c r="Z32" i="4" s="1"/>
  <c r="AQ38" i="23"/>
  <c r="AR38" i="23"/>
  <c r="AB32" i="4" s="1"/>
  <c r="AS38" i="23"/>
  <c r="AC32" i="4" s="1"/>
  <c r="AT38" i="23"/>
  <c r="AD32" i="4" s="1"/>
  <c r="AU38" i="23"/>
  <c r="AE32" i="4" s="1"/>
  <c r="AV38" i="23"/>
  <c r="AF32" i="4" s="1"/>
  <c r="AW38" i="23"/>
  <c r="AG32" i="4" s="1"/>
  <c r="AX38" i="23"/>
  <c r="AH32" i="4" s="1"/>
  <c r="AY38" i="23"/>
  <c r="AI32" i="4" s="1"/>
  <c r="AZ38" i="23"/>
  <c r="AJ32" i="4" s="1"/>
  <c r="BA38" i="23"/>
  <c r="AK32" i="4" s="1"/>
  <c r="AF39" i="23"/>
  <c r="P33" i="4" s="1"/>
  <c r="AG39" i="23"/>
  <c r="Q33" i="4" s="1"/>
  <c r="AH39" i="23"/>
  <c r="R33" i="4" s="1"/>
  <c r="AI39" i="23"/>
  <c r="S33" i="4" s="1"/>
  <c r="AJ39" i="23"/>
  <c r="T33" i="4" s="1"/>
  <c r="AK39" i="23"/>
  <c r="U33" i="4" s="1"/>
  <c r="AL39" i="23"/>
  <c r="AM39" i="23"/>
  <c r="W33" i="4" s="1"/>
  <c r="AN39" i="23"/>
  <c r="X33" i="4" s="1"/>
  <c r="AO39" i="23"/>
  <c r="Y33" i="4" s="1"/>
  <c r="AP39" i="23"/>
  <c r="Z33" i="4" s="1"/>
  <c r="AQ39" i="23"/>
  <c r="AA33" i="4" s="1"/>
  <c r="AR39" i="23"/>
  <c r="AB33" i="4" s="1"/>
  <c r="AS39" i="23"/>
  <c r="AT39" i="23"/>
  <c r="AD33" i="4" s="1"/>
  <c r="AU39" i="23"/>
  <c r="AE33" i="4" s="1"/>
  <c r="AV39" i="23"/>
  <c r="AF33" i="4" s="1"/>
  <c r="AW39" i="23"/>
  <c r="AG33" i="4" s="1"/>
  <c r="AX39" i="23"/>
  <c r="AH33" i="4" s="1"/>
  <c r="AY39" i="23"/>
  <c r="AI33" i="4" s="1"/>
  <c r="AZ39" i="23"/>
  <c r="AJ33" i="4" s="1"/>
  <c r="BA39" i="23"/>
  <c r="AK33" i="4" s="1"/>
  <c r="AF40" i="23"/>
  <c r="P34" i="4" s="1"/>
  <c r="AG40" i="23"/>
  <c r="Q34" i="4" s="1"/>
  <c r="AH40" i="23"/>
  <c r="R34" i="4" s="1"/>
  <c r="AI40" i="23"/>
  <c r="S34" i="4" s="1"/>
  <c r="AJ40" i="23"/>
  <c r="T34" i="4" s="1"/>
  <c r="AK40" i="23"/>
  <c r="U34" i="4" s="1"/>
  <c r="AL40" i="23"/>
  <c r="V34" i="4" s="1"/>
  <c r="AM40" i="23"/>
  <c r="W34" i="4" s="1"/>
  <c r="AN40" i="23"/>
  <c r="X34" i="4" s="1"/>
  <c r="AO40" i="23"/>
  <c r="Y34" i="4" s="1"/>
  <c r="AP40" i="23"/>
  <c r="Z34" i="4" s="1"/>
  <c r="AQ40" i="23"/>
  <c r="AA34" i="4" s="1"/>
  <c r="AR40" i="23"/>
  <c r="AB34" i="4" s="1"/>
  <c r="AS40" i="23"/>
  <c r="AC34" i="4" s="1"/>
  <c r="AT40" i="23"/>
  <c r="AD34" i="4" s="1"/>
  <c r="AU40" i="23"/>
  <c r="AE34" i="4" s="1"/>
  <c r="AV40" i="23"/>
  <c r="AF34" i="4" s="1"/>
  <c r="AW40" i="23"/>
  <c r="AG34" i="4" s="1"/>
  <c r="AX40" i="23"/>
  <c r="AH34" i="4" s="1"/>
  <c r="AY40" i="23"/>
  <c r="AI34" i="4" s="1"/>
  <c r="AZ40" i="23"/>
  <c r="AJ34" i="4" s="1"/>
  <c r="BA40" i="23"/>
  <c r="AK34" i="4" s="1"/>
  <c r="AF41" i="23"/>
  <c r="P35" i="4" s="1"/>
  <c r="AG41" i="23"/>
  <c r="AH41" i="23"/>
  <c r="R35" i="4" s="1"/>
  <c r="AI41" i="23"/>
  <c r="S35" i="4" s="1"/>
  <c r="AJ41" i="23"/>
  <c r="T35" i="4" s="1"/>
  <c r="AK41" i="23"/>
  <c r="AL41" i="23"/>
  <c r="V35" i="4" s="1"/>
  <c r="AM41" i="23"/>
  <c r="W35" i="4" s="1"/>
  <c r="AN41" i="23"/>
  <c r="X35" i="4" s="1"/>
  <c r="AO41" i="23"/>
  <c r="Y35" i="4" s="1"/>
  <c r="AP41" i="23"/>
  <c r="Z35" i="4" s="1"/>
  <c r="AQ41" i="23"/>
  <c r="AA35" i="4" s="1"/>
  <c r="AR41" i="23"/>
  <c r="AB35" i="4" s="1"/>
  <c r="AS41" i="23"/>
  <c r="AT41" i="23"/>
  <c r="AD35" i="4" s="1"/>
  <c r="AU41" i="23"/>
  <c r="AE35" i="4" s="1"/>
  <c r="AV41" i="23"/>
  <c r="AF35" i="4" s="1"/>
  <c r="AW41" i="23"/>
  <c r="AG35" i="4" s="1"/>
  <c r="AX41" i="23"/>
  <c r="AH35" i="4" s="1"/>
  <c r="AY41" i="23"/>
  <c r="AI35" i="4" s="1"/>
  <c r="AZ41" i="23"/>
  <c r="AJ35" i="4" s="1"/>
  <c r="BA41" i="23"/>
  <c r="AK35" i="4" s="1"/>
  <c r="AF42" i="23"/>
  <c r="P36" i="4" s="1"/>
  <c r="AG42" i="23"/>
  <c r="Q36" i="4" s="1"/>
  <c r="AH42" i="23"/>
  <c r="R36" i="4" s="1"/>
  <c r="AI42" i="23"/>
  <c r="AJ42" i="23"/>
  <c r="T36" i="4" s="1"/>
  <c r="AK42" i="23"/>
  <c r="U36" i="4" s="1"/>
  <c r="AL42" i="23"/>
  <c r="V36" i="4" s="1"/>
  <c r="AM42" i="23"/>
  <c r="AN42" i="23"/>
  <c r="X36" i="4" s="1"/>
  <c r="AO42" i="23"/>
  <c r="Y36" i="4" s="1"/>
  <c r="AP42" i="23"/>
  <c r="Z36" i="4" s="1"/>
  <c r="AQ42" i="23"/>
  <c r="AA36" i="4" s="1"/>
  <c r="AR42" i="23"/>
  <c r="AB36" i="4" s="1"/>
  <c r="AS42" i="23"/>
  <c r="AC36" i="4" s="1"/>
  <c r="AT42" i="23"/>
  <c r="AD36" i="4" s="1"/>
  <c r="AU42" i="23"/>
  <c r="AE36" i="4" s="1"/>
  <c r="AV42" i="23"/>
  <c r="AF36" i="4" s="1"/>
  <c r="AW42" i="23"/>
  <c r="AG36" i="4" s="1"/>
  <c r="AX42" i="23"/>
  <c r="AH36" i="4" s="1"/>
  <c r="AY42" i="23"/>
  <c r="AI36" i="4" s="1"/>
  <c r="AZ42" i="23"/>
  <c r="AJ36" i="4" s="1"/>
  <c r="BA42" i="23"/>
  <c r="AK36" i="4" s="1"/>
  <c r="AF43" i="23"/>
  <c r="AG43" i="23"/>
  <c r="Q37" i="4" s="1"/>
  <c r="AH43" i="23"/>
  <c r="AI43" i="23"/>
  <c r="AJ43" i="23"/>
  <c r="AK43" i="23"/>
  <c r="AL43" i="23"/>
  <c r="AM43" i="23"/>
  <c r="AN43" i="23"/>
  <c r="AO43" i="23"/>
  <c r="Y37" i="4" s="1"/>
  <c r="AP43" i="23"/>
  <c r="AQ43" i="23"/>
  <c r="AR43" i="23"/>
  <c r="AS43" i="23"/>
  <c r="AC37" i="4" s="1"/>
  <c r="AT43" i="23"/>
  <c r="AU43" i="23"/>
  <c r="AV43" i="23"/>
  <c r="AW43" i="23"/>
  <c r="AX43" i="23"/>
  <c r="AY43" i="23"/>
  <c r="AZ43" i="23"/>
  <c r="BA43" i="23"/>
  <c r="N28" i="23"/>
  <c r="O28" i="23"/>
  <c r="P28" i="23"/>
  <c r="Q28" i="23"/>
  <c r="R28" i="23"/>
  <c r="S28" i="23"/>
  <c r="T28" i="23"/>
  <c r="U28" i="23"/>
  <c r="V28" i="23"/>
  <c r="W28" i="23"/>
  <c r="X28" i="23"/>
  <c r="Y28" i="23"/>
  <c r="Z28" i="23"/>
  <c r="AA28" i="23"/>
  <c r="AB28" i="23"/>
  <c r="AC28" i="23"/>
  <c r="N29" i="23"/>
  <c r="O29" i="23"/>
  <c r="P29" i="23"/>
  <c r="Q29" i="23"/>
  <c r="R29" i="23"/>
  <c r="S29" i="23"/>
  <c r="T29" i="23"/>
  <c r="U29" i="23"/>
  <c r="V29" i="23"/>
  <c r="W29" i="23"/>
  <c r="X29" i="23"/>
  <c r="Y29" i="23"/>
  <c r="Z29" i="23"/>
  <c r="AA29" i="23"/>
  <c r="AB29" i="23"/>
  <c r="AC29" i="23"/>
  <c r="N30" i="23"/>
  <c r="O30" i="23"/>
  <c r="P30" i="23"/>
  <c r="Q30" i="23"/>
  <c r="R30" i="23"/>
  <c r="S30" i="23"/>
  <c r="T30" i="23"/>
  <c r="U30" i="23"/>
  <c r="V30" i="23"/>
  <c r="W30" i="23"/>
  <c r="X30" i="23"/>
  <c r="Y30" i="23"/>
  <c r="Z30" i="23"/>
  <c r="AA30" i="23"/>
  <c r="AB30" i="23"/>
  <c r="AC30" i="23"/>
  <c r="N31" i="23"/>
  <c r="O31" i="23"/>
  <c r="P31" i="23"/>
  <c r="Q31" i="23"/>
  <c r="R31" i="23"/>
  <c r="S31" i="23"/>
  <c r="T31" i="23"/>
  <c r="U31" i="23"/>
  <c r="V31" i="23"/>
  <c r="W31" i="23"/>
  <c r="X31" i="23"/>
  <c r="Y31" i="23"/>
  <c r="Z31" i="23"/>
  <c r="AA31" i="23"/>
  <c r="AB31" i="23"/>
  <c r="AC31" i="23"/>
  <c r="N32" i="23"/>
  <c r="O32" i="23"/>
  <c r="P32" i="23"/>
  <c r="Q32" i="23"/>
  <c r="R32" i="23"/>
  <c r="S32" i="23"/>
  <c r="T32" i="23"/>
  <c r="U32" i="23"/>
  <c r="V32" i="23"/>
  <c r="W32" i="23"/>
  <c r="X32" i="23"/>
  <c r="Y32" i="23"/>
  <c r="Z32" i="23"/>
  <c r="AA32" i="23"/>
  <c r="AB32" i="23"/>
  <c r="AC32" i="23"/>
  <c r="N33" i="23"/>
  <c r="O33" i="23"/>
  <c r="P33" i="23"/>
  <c r="Q33" i="23"/>
  <c r="R33" i="23"/>
  <c r="S33" i="23"/>
  <c r="T33" i="23"/>
  <c r="U33" i="23"/>
  <c r="V33" i="23"/>
  <c r="W33" i="23"/>
  <c r="X33" i="23"/>
  <c r="Y33" i="23"/>
  <c r="Z33" i="23"/>
  <c r="AA33" i="23"/>
  <c r="AB33" i="23"/>
  <c r="AC33" i="23"/>
  <c r="N34" i="23"/>
  <c r="O34" i="23"/>
  <c r="P34" i="23"/>
  <c r="Q34" i="23"/>
  <c r="R34" i="23"/>
  <c r="S34" i="23"/>
  <c r="T34" i="23"/>
  <c r="U34" i="23"/>
  <c r="V34" i="23"/>
  <c r="W34" i="23"/>
  <c r="X34" i="23"/>
  <c r="Y34" i="23"/>
  <c r="Z34" i="23"/>
  <c r="AA34" i="23"/>
  <c r="AB34" i="23"/>
  <c r="AC34" i="23"/>
  <c r="N35" i="23"/>
  <c r="O35" i="23"/>
  <c r="P35" i="23"/>
  <c r="Q35" i="23"/>
  <c r="R35" i="23"/>
  <c r="S35" i="23"/>
  <c r="T35" i="23"/>
  <c r="U35" i="23"/>
  <c r="V35" i="23"/>
  <c r="W35" i="23"/>
  <c r="X35" i="23"/>
  <c r="Y35" i="23"/>
  <c r="Z35" i="23"/>
  <c r="AA35" i="23"/>
  <c r="AB35" i="23"/>
  <c r="AC35" i="23"/>
  <c r="K36" i="23"/>
  <c r="K30" i="4" s="1"/>
  <c r="L36" i="23"/>
  <c r="L30" i="4" s="1"/>
  <c r="M36" i="23"/>
  <c r="M30" i="4" s="1"/>
  <c r="N36" i="23"/>
  <c r="O36" i="23"/>
  <c r="P36" i="23"/>
  <c r="Q36" i="23"/>
  <c r="R36" i="23"/>
  <c r="S36" i="23"/>
  <c r="T36" i="23"/>
  <c r="U36" i="23"/>
  <c r="V36" i="23"/>
  <c r="W36" i="23"/>
  <c r="X36" i="23"/>
  <c r="Y36" i="23"/>
  <c r="Z36" i="23"/>
  <c r="AA36" i="23"/>
  <c r="AB36" i="23"/>
  <c r="AC36" i="23"/>
  <c r="K37" i="23"/>
  <c r="K31" i="4" s="1"/>
  <c r="L37" i="23"/>
  <c r="L31" i="4" s="1"/>
  <c r="M37" i="23"/>
  <c r="M31" i="4" s="1"/>
  <c r="N37" i="23"/>
  <c r="O37" i="23"/>
  <c r="P37" i="23"/>
  <c r="Q37" i="23"/>
  <c r="R37" i="23"/>
  <c r="S37" i="23"/>
  <c r="T37" i="23"/>
  <c r="U37" i="23"/>
  <c r="V37" i="23"/>
  <c r="W37" i="23"/>
  <c r="X37" i="23"/>
  <c r="Y37" i="23"/>
  <c r="Z37" i="23"/>
  <c r="AA37" i="23"/>
  <c r="AB37" i="23"/>
  <c r="AC37" i="23"/>
  <c r="K38" i="23"/>
  <c r="K32" i="4" s="1"/>
  <c r="L38" i="23"/>
  <c r="L32" i="4" s="1"/>
  <c r="M38" i="23"/>
  <c r="M32" i="4" s="1"/>
  <c r="N38" i="23"/>
  <c r="O38" i="23"/>
  <c r="P38" i="23"/>
  <c r="Q38" i="23"/>
  <c r="R38" i="23"/>
  <c r="S38" i="23"/>
  <c r="T38" i="23"/>
  <c r="U38" i="23"/>
  <c r="V38" i="23"/>
  <c r="W38" i="23"/>
  <c r="X38" i="23"/>
  <c r="Y38" i="23"/>
  <c r="Z38" i="23"/>
  <c r="AA38" i="23"/>
  <c r="AB38" i="23"/>
  <c r="AC38" i="23"/>
  <c r="K39" i="23"/>
  <c r="K33" i="4" s="1"/>
  <c r="L39" i="23"/>
  <c r="L33" i="4" s="1"/>
  <c r="M39" i="23"/>
  <c r="M33" i="4" s="1"/>
  <c r="N39" i="23"/>
  <c r="O39" i="23"/>
  <c r="P39" i="23"/>
  <c r="Q39" i="23"/>
  <c r="R39" i="23"/>
  <c r="S39" i="23"/>
  <c r="T39" i="23"/>
  <c r="U39" i="23"/>
  <c r="V39" i="23"/>
  <c r="W39" i="23"/>
  <c r="X39" i="23"/>
  <c r="Y39" i="23"/>
  <c r="Z39" i="23"/>
  <c r="AA39" i="23"/>
  <c r="AB39" i="23"/>
  <c r="AC39" i="23"/>
  <c r="K40" i="23"/>
  <c r="K34" i="4" s="1"/>
  <c r="L40" i="23"/>
  <c r="L34" i="4" s="1"/>
  <c r="M40" i="23"/>
  <c r="M34" i="4" s="1"/>
  <c r="N40" i="23"/>
  <c r="O40" i="23"/>
  <c r="P40" i="23"/>
  <c r="Q40" i="23"/>
  <c r="R40" i="23"/>
  <c r="S40" i="23"/>
  <c r="T40" i="23"/>
  <c r="U40" i="23"/>
  <c r="V40" i="23"/>
  <c r="W40" i="23"/>
  <c r="X40" i="23"/>
  <c r="Y40" i="23"/>
  <c r="Z40" i="23"/>
  <c r="AA40" i="23"/>
  <c r="AB40" i="23"/>
  <c r="AC40" i="23"/>
  <c r="K41" i="23"/>
  <c r="K35" i="4" s="1"/>
  <c r="L41" i="23"/>
  <c r="L35" i="4" s="1"/>
  <c r="M41" i="23"/>
  <c r="M35" i="4" s="1"/>
  <c r="N41" i="23"/>
  <c r="O41" i="23"/>
  <c r="P41" i="23"/>
  <c r="Q41" i="23"/>
  <c r="R41" i="23"/>
  <c r="S41" i="23"/>
  <c r="T41" i="23"/>
  <c r="U41" i="23"/>
  <c r="V41" i="23"/>
  <c r="W41" i="23"/>
  <c r="X41" i="23"/>
  <c r="Y41" i="23"/>
  <c r="Z41" i="23"/>
  <c r="AA41" i="23"/>
  <c r="AB41" i="23"/>
  <c r="AC41" i="23"/>
  <c r="K42" i="23"/>
  <c r="K36" i="4" s="1"/>
  <c r="L42" i="23"/>
  <c r="L36" i="4" s="1"/>
  <c r="M42" i="23"/>
  <c r="M36" i="4" s="1"/>
  <c r="N42" i="23"/>
  <c r="O42" i="23"/>
  <c r="P42" i="23"/>
  <c r="Q42" i="23"/>
  <c r="R42" i="23"/>
  <c r="S42" i="23"/>
  <c r="T42" i="23"/>
  <c r="U42" i="23"/>
  <c r="V42" i="23"/>
  <c r="W42" i="23"/>
  <c r="X42" i="23"/>
  <c r="Y42" i="23"/>
  <c r="Z42" i="23"/>
  <c r="AA42" i="23"/>
  <c r="AB42" i="23"/>
  <c r="AC42" i="23"/>
  <c r="K43" i="23"/>
  <c r="L43" i="23"/>
  <c r="M43" i="23"/>
  <c r="N43" i="23"/>
  <c r="O43" i="23"/>
  <c r="P43" i="23"/>
  <c r="Q43" i="23"/>
  <c r="R43" i="23"/>
  <c r="S43" i="23"/>
  <c r="T43" i="23"/>
  <c r="U43" i="23"/>
  <c r="V43" i="23"/>
  <c r="W43" i="23"/>
  <c r="X43" i="23"/>
  <c r="Y43" i="23"/>
  <c r="Z43" i="23"/>
  <c r="AA43" i="23"/>
  <c r="AB43" i="23"/>
  <c r="AC43" i="23"/>
  <c r="Z22" i="23"/>
  <c r="X28" i="1"/>
  <c r="Y28" i="1"/>
  <c r="Z28" i="1"/>
  <c r="AA28" i="1"/>
  <c r="AB28" i="1"/>
  <c r="AC28" i="1"/>
  <c r="AD28" i="1"/>
  <c r="AE28" i="1"/>
  <c r="AF28" i="1"/>
  <c r="AG28" i="1"/>
  <c r="AH28" i="1"/>
  <c r="AI28" i="1"/>
  <c r="AJ28" i="1"/>
  <c r="AK28" i="1"/>
  <c r="AL28" i="1"/>
  <c r="X29" i="1"/>
  <c r="W7" i="4" s="1"/>
  <c r="Y29" i="1"/>
  <c r="Z29" i="1"/>
  <c r="Y7" i="4" s="1"/>
  <c r="AA29" i="1"/>
  <c r="Z7" i="4" s="1"/>
  <c r="AB29" i="1"/>
  <c r="AA7" i="4" s="1"/>
  <c r="AC29" i="1"/>
  <c r="AB7" i="4" s="1"/>
  <c r="AD29" i="1"/>
  <c r="AC7" i="4" s="1"/>
  <c r="AE29" i="1"/>
  <c r="AD7" i="4" s="1"/>
  <c r="AF29" i="1"/>
  <c r="AE7" i="4" s="1"/>
  <c r="AG29" i="1"/>
  <c r="AF7" i="4" s="1"/>
  <c r="AH29" i="1"/>
  <c r="AG7" i="4" s="1"/>
  <c r="AI29" i="1"/>
  <c r="AH7" i="4" s="1"/>
  <c r="AJ29" i="1"/>
  <c r="AI7" i="4" s="1"/>
  <c r="AK29" i="1"/>
  <c r="AJ7" i="4" s="1"/>
  <c r="AL29" i="1"/>
  <c r="AK7" i="4" s="1"/>
  <c r="X30" i="1"/>
  <c r="W8" i="4" s="1"/>
  <c r="Y30" i="1"/>
  <c r="X8" i="4" s="1"/>
  <c r="Z30" i="1"/>
  <c r="Y8" i="4" s="1"/>
  <c r="AA30" i="1"/>
  <c r="Z8" i="4" s="1"/>
  <c r="AB30" i="1"/>
  <c r="AA8" i="4" s="1"/>
  <c r="AC30" i="1"/>
  <c r="AB8" i="4" s="1"/>
  <c r="AD30" i="1"/>
  <c r="AC8" i="4" s="1"/>
  <c r="AE30" i="1"/>
  <c r="AD8" i="4" s="1"/>
  <c r="AF30" i="1"/>
  <c r="AE8" i="4" s="1"/>
  <c r="AG30" i="1"/>
  <c r="AF8" i="4" s="1"/>
  <c r="AH30" i="1"/>
  <c r="AG8" i="4" s="1"/>
  <c r="AI30" i="1"/>
  <c r="AH8" i="4" s="1"/>
  <c r="AJ30" i="1"/>
  <c r="AI8" i="4" s="1"/>
  <c r="AK30" i="1"/>
  <c r="AJ8" i="4" s="1"/>
  <c r="AL30" i="1"/>
  <c r="AK8" i="4" s="1"/>
  <c r="X31" i="1"/>
  <c r="W9" i="4" s="1"/>
  <c r="Y31" i="1"/>
  <c r="X9" i="4" s="1"/>
  <c r="Z31" i="1"/>
  <c r="Y9" i="4" s="1"/>
  <c r="AA31" i="1"/>
  <c r="Z9" i="4" s="1"/>
  <c r="AB31" i="1"/>
  <c r="AA9" i="4" s="1"/>
  <c r="AC31" i="1"/>
  <c r="AB9" i="4" s="1"/>
  <c r="AD31" i="1"/>
  <c r="AC9" i="4" s="1"/>
  <c r="AE31" i="1"/>
  <c r="AD9" i="4" s="1"/>
  <c r="AF31" i="1"/>
  <c r="AE9" i="4" s="1"/>
  <c r="AG31" i="1"/>
  <c r="AH31" i="1"/>
  <c r="AG9" i="4" s="1"/>
  <c r="AI31" i="1"/>
  <c r="AH9" i="4" s="1"/>
  <c r="AJ31" i="1"/>
  <c r="AI9" i="4" s="1"/>
  <c r="AK31" i="1"/>
  <c r="AJ9" i="4" s="1"/>
  <c r="AL31" i="1"/>
  <c r="AK9" i="4" s="1"/>
  <c r="X32" i="1"/>
  <c r="W10" i="4" s="1"/>
  <c r="Y32" i="1"/>
  <c r="X10" i="4" s="1"/>
  <c r="Z32" i="1"/>
  <c r="Y10" i="4" s="1"/>
  <c r="AA32" i="1"/>
  <c r="Z10" i="4" s="1"/>
  <c r="AB32" i="1"/>
  <c r="AA10" i="4" s="1"/>
  <c r="AC32" i="1"/>
  <c r="AB10" i="4" s="1"/>
  <c r="AD32" i="1"/>
  <c r="AC10" i="4" s="1"/>
  <c r="AE32" i="1"/>
  <c r="AD10" i="4" s="1"/>
  <c r="AF32" i="1"/>
  <c r="AE10" i="4" s="1"/>
  <c r="AG32" i="1"/>
  <c r="AF10" i="4" s="1"/>
  <c r="AH32" i="1"/>
  <c r="AG10" i="4" s="1"/>
  <c r="AI32" i="1"/>
  <c r="AH10" i="4" s="1"/>
  <c r="AJ32" i="1"/>
  <c r="AI10" i="4" s="1"/>
  <c r="AK32" i="1"/>
  <c r="AJ10" i="4" s="1"/>
  <c r="AL32" i="1"/>
  <c r="AK10" i="4" s="1"/>
  <c r="X33" i="1"/>
  <c r="W11" i="4" s="1"/>
  <c r="Y33" i="1"/>
  <c r="Z33" i="1"/>
  <c r="Y11" i="4" s="1"/>
  <c r="AA33" i="1"/>
  <c r="Z11" i="4" s="1"/>
  <c r="AB33" i="1"/>
  <c r="AA11" i="4" s="1"/>
  <c r="AC33" i="1"/>
  <c r="AB11" i="4" s="1"/>
  <c r="AD33" i="1"/>
  <c r="AC11" i="4" s="1"/>
  <c r="AE33" i="1"/>
  <c r="AD11" i="4" s="1"/>
  <c r="AF33" i="1"/>
  <c r="AE11" i="4" s="1"/>
  <c r="AG33" i="1"/>
  <c r="AF11" i="4" s="1"/>
  <c r="AH33" i="1"/>
  <c r="AI33" i="1"/>
  <c r="AH11" i="4" s="1"/>
  <c r="AJ33" i="1"/>
  <c r="AI11" i="4" s="1"/>
  <c r="AK33" i="1"/>
  <c r="AJ11" i="4" s="1"/>
  <c r="AL33" i="1"/>
  <c r="AK11" i="4" s="1"/>
  <c r="X34" i="1"/>
  <c r="W12" i="4" s="1"/>
  <c r="Y34" i="1"/>
  <c r="X12" i="4" s="1"/>
  <c r="Z34" i="1"/>
  <c r="AA34" i="1"/>
  <c r="Z12" i="4" s="1"/>
  <c r="AB34" i="1"/>
  <c r="AA12" i="4" s="1"/>
  <c r="AC34" i="1"/>
  <c r="AB12" i="4" s="1"/>
  <c r="AD34" i="1"/>
  <c r="AC12" i="4" s="1"/>
  <c r="AE34" i="1"/>
  <c r="AD12" i="4" s="1"/>
  <c r="AF34" i="1"/>
  <c r="AE12" i="4" s="1"/>
  <c r="AG34" i="1"/>
  <c r="AF12" i="4" s="1"/>
  <c r="AH34" i="1"/>
  <c r="AG12" i="4" s="1"/>
  <c r="AI34" i="1"/>
  <c r="AH12" i="4" s="1"/>
  <c r="AJ34" i="1"/>
  <c r="AI12" i="4" s="1"/>
  <c r="AK34" i="1"/>
  <c r="AJ12" i="4" s="1"/>
  <c r="AL34" i="1"/>
  <c r="AK12" i="4" s="1"/>
  <c r="X35" i="1"/>
  <c r="W13" i="4" s="1"/>
  <c r="Y35" i="1"/>
  <c r="X13" i="4" s="1"/>
  <c r="Z35" i="1"/>
  <c r="Y13" i="4" s="1"/>
  <c r="AA35" i="1"/>
  <c r="Z13" i="4" s="1"/>
  <c r="AB35" i="1"/>
  <c r="AA13" i="4" s="1"/>
  <c r="AC35" i="1"/>
  <c r="AB13" i="4" s="1"/>
  <c r="AD35" i="1"/>
  <c r="AC13" i="4" s="1"/>
  <c r="AE35" i="1"/>
  <c r="AD13" i="4" s="1"/>
  <c r="AF35" i="1"/>
  <c r="AE13" i="4" s="1"/>
  <c r="AG35" i="1"/>
  <c r="AF13" i="4" s="1"/>
  <c r="AH35" i="1"/>
  <c r="AG13" i="4" s="1"/>
  <c r="AI35" i="1"/>
  <c r="AH13" i="4" s="1"/>
  <c r="AJ35" i="1"/>
  <c r="AI13" i="4" s="1"/>
  <c r="AK35" i="1"/>
  <c r="AJ13" i="4" s="1"/>
  <c r="AL35" i="1"/>
  <c r="AK13" i="4" s="1"/>
  <c r="T36" i="1"/>
  <c r="S14" i="4" s="1"/>
  <c r="U36" i="1"/>
  <c r="T14" i="4" s="1"/>
  <c r="V36" i="1"/>
  <c r="U14" i="4" s="1"/>
  <c r="W36" i="1"/>
  <c r="V14" i="4" s="1"/>
  <c r="X36" i="1"/>
  <c r="W14" i="4" s="1"/>
  <c r="Y36" i="1"/>
  <c r="X14" i="4" s="1"/>
  <c r="Z36" i="1"/>
  <c r="Y14" i="4" s="1"/>
  <c r="AA36" i="1"/>
  <c r="Z14" i="4" s="1"/>
  <c r="AB36" i="1"/>
  <c r="AA14" i="4" s="1"/>
  <c r="AC36" i="1"/>
  <c r="AB14" i="4" s="1"/>
  <c r="AD36" i="1"/>
  <c r="AC14" i="4" s="1"/>
  <c r="AE36" i="1"/>
  <c r="AD14" i="4" s="1"/>
  <c r="AF36" i="1"/>
  <c r="AE14" i="4" s="1"/>
  <c r="AG36" i="1"/>
  <c r="AF14" i="4" s="1"/>
  <c r="AH36" i="1"/>
  <c r="AG14" i="4" s="1"/>
  <c r="AI36" i="1"/>
  <c r="AH14" i="4" s="1"/>
  <c r="AJ36" i="1"/>
  <c r="AI14" i="4" s="1"/>
  <c r="AK36" i="1"/>
  <c r="AJ14" i="4" s="1"/>
  <c r="AL36" i="1"/>
  <c r="AK14" i="4" s="1"/>
  <c r="T37" i="1"/>
  <c r="S15" i="4" s="1"/>
  <c r="U37" i="1"/>
  <c r="T15" i="4" s="1"/>
  <c r="V37" i="1"/>
  <c r="U15" i="4" s="1"/>
  <c r="W37" i="1"/>
  <c r="V15" i="4" s="1"/>
  <c r="X37" i="1"/>
  <c r="W15" i="4" s="1"/>
  <c r="Y37" i="1"/>
  <c r="X15" i="4" s="1"/>
  <c r="Z37" i="1"/>
  <c r="Y15" i="4" s="1"/>
  <c r="AA37" i="1"/>
  <c r="Z15" i="4" s="1"/>
  <c r="AB37" i="1"/>
  <c r="AA15" i="4" s="1"/>
  <c r="AC37" i="1"/>
  <c r="AB15" i="4" s="1"/>
  <c r="AD37" i="1"/>
  <c r="AC15" i="4" s="1"/>
  <c r="AE37" i="1"/>
  <c r="AD15" i="4" s="1"/>
  <c r="AF37" i="1"/>
  <c r="AE15" i="4" s="1"/>
  <c r="AG37" i="1"/>
  <c r="AF15" i="4" s="1"/>
  <c r="AH37" i="1"/>
  <c r="AG15" i="4" s="1"/>
  <c r="AI37" i="1"/>
  <c r="AH15" i="4" s="1"/>
  <c r="AJ37" i="1"/>
  <c r="AI15" i="4" s="1"/>
  <c r="AK37" i="1"/>
  <c r="AJ15" i="4" s="1"/>
  <c r="AL37" i="1"/>
  <c r="AK15" i="4" s="1"/>
  <c r="T38" i="1"/>
  <c r="S16" i="4" s="1"/>
  <c r="U38" i="1"/>
  <c r="T16" i="4" s="1"/>
  <c r="V38" i="1"/>
  <c r="U16" i="4" s="1"/>
  <c r="W38" i="1"/>
  <c r="V16" i="4" s="1"/>
  <c r="X38" i="1"/>
  <c r="W16" i="4" s="1"/>
  <c r="Y38" i="1"/>
  <c r="X16" i="4" s="1"/>
  <c r="Z38" i="1"/>
  <c r="Y16" i="4" s="1"/>
  <c r="AA38" i="1"/>
  <c r="Z16" i="4" s="1"/>
  <c r="AB38" i="1"/>
  <c r="AA16" i="4" s="1"/>
  <c r="AC38" i="1"/>
  <c r="AB16" i="4" s="1"/>
  <c r="AD38" i="1"/>
  <c r="AC16" i="4" s="1"/>
  <c r="AE38" i="1"/>
  <c r="AD16" i="4" s="1"/>
  <c r="AF38" i="1"/>
  <c r="AE16" i="4" s="1"/>
  <c r="AG38" i="1"/>
  <c r="AF16" i="4" s="1"/>
  <c r="AH38" i="1"/>
  <c r="AG16" i="4" s="1"/>
  <c r="AI38" i="1"/>
  <c r="AH16" i="4" s="1"/>
  <c r="AJ38" i="1"/>
  <c r="AI16" i="4" s="1"/>
  <c r="AK38" i="1"/>
  <c r="AJ16" i="4" s="1"/>
  <c r="AL38" i="1"/>
  <c r="AK16" i="4" s="1"/>
  <c r="T39" i="1"/>
  <c r="S17" i="4" s="1"/>
  <c r="U39" i="1"/>
  <c r="T17" i="4" s="1"/>
  <c r="V39" i="1"/>
  <c r="U17" i="4" s="1"/>
  <c r="W39" i="1"/>
  <c r="V17" i="4" s="1"/>
  <c r="X39" i="1"/>
  <c r="W17" i="4" s="1"/>
  <c r="Y39" i="1"/>
  <c r="X17" i="4" s="1"/>
  <c r="Z39" i="1"/>
  <c r="Y17" i="4" s="1"/>
  <c r="AA39" i="1"/>
  <c r="Z17" i="4" s="1"/>
  <c r="AB39" i="1"/>
  <c r="AA17" i="4" s="1"/>
  <c r="AC39" i="1"/>
  <c r="AB17" i="4" s="1"/>
  <c r="AD39" i="1"/>
  <c r="AC17" i="4" s="1"/>
  <c r="AE39" i="1"/>
  <c r="AD17" i="4" s="1"/>
  <c r="AF39" i="1"/>
  <c r="AE17" i="4" s="1"/>
  <c r="AG39" i="1"/>
  <c r="AF17" i="4" s="1"/>
  <c r="AH39" i="1"/>
  <c r="AG17" i="4" s="1"/>
  <c r="AI39" i="1"/>
  <c r="AH17" i="4" s="1"/>
  <c r="AJ39" i="1"/>
  <c r="AI17" i="4" s="1"/>
  <c r="AK39" i="1"/>
  <c r="AJ17" i="4" s="1"/>
  <c r="AL39" i="1"/>
  <c r="AK17" i="4" s="1"/>
  <c r="T40" i="1"/>
  <c r="S18" i="4" s="1"/>
  <c r="U40" i="1"/>
  <c r="T18" i="4" s="1"/>
  <c r="V40" i="1"/>
  <c r="U18" i="4" s="1"/>
  <c r="W40" i="1"/>
  <c r="V18" i="4" s="1"/>
  <c r="X40" i="1"/>
  <c r="W18" i="4" s="1"/>
  <c r="Y40" i="1"/>
  <c r="X18" i="4" s="1"/>
  <c r="Z40" i="1"/>
  <c r="Y18" i="4" s="1"/>
  <c r="AA40" i="1"/>
  <c r="Z18" i="4" s="1"/>
  <c r="AB40" i="1"/>
  <c r="AA18" i="4" s="1"/>
  <c r="AC40" i="1"/>
  <c r="AB18" i="4" s="1"/>
  <c r="AD40" i="1"/>
  <c r="AC18" i="4" s="1"/>
  <c r="AE40" i="1"/>
  <c r="AD18" i="4" s="1"/>
  <c r="AF40" i="1"/>
  <c r="AE18" i="4" s="1"/>
  <c r="AG40" i="1"/>
  <c r="AF18" i="4" s="1"/>
  <c r="AH40" i="1"/>
  <c r="AG18" i="4" s="1"/>
  <c r="AI40" i="1"/>
  <c r="AH18" i="4" s="1"/>
  <c r="AJ40" i="1"/>
  <c r="AI18" i="4" s="1"/>
  <c r="AK40" i="1"/>
  <c r="AJ18" i="4" s="1"/>
  <c r="AL40" i="1"/>
  <c r="AK18" i="4" s="1"/>
  <c r="T41" i="1"/>
  <c r="S19" i="4" s="1"/>
  <c r="U41" i="1"/>
  <c r="T19" i="4" s="1"/>
  <c r="V41" i="1"/>
  <c r="U19" i="4" s="1"/>
  <c r="W41" i="1"/>
  <c r="V19" i="4" s="1"/>
  <c r="X41" i="1"/>
  <c r="W19" i="4" s="1"/>
  <c r="Y41" i="1"/>
  <c r="X19" i="4" s="1"/>
  <c r="Z41" i="1"/>
  <c r="Y19" i="4" s="1"/>
  <c r="AA41" i="1"/>
  <c r="Z19" i="4" s="1"/>
  <c r="AB41" i="1"/>
  <c r="AA19" i="4" s="1"/>
  <c r="AC41" i="1"/>
  <c r="AB19" i="4" s="1"/>
  <c r="AD41" i="1"/>
  <c r="AC19" i="4" s="1"/>
  <c r="AE41" i="1"/>
  <c r="AD19" i="4" s="1"/>
  <c r="AF41" i="1"/>
  <c r="AE19" i="4" s="1"/>
  <c r="AG41" i="1"/>
  <c r="AF19" i="4" s="1"/>
  <c r="AH41" i="1"/>
  <c r="AG19" i="4" s="1"/>
  <c r="AI41" i="1"/>
  <c r="AH19" i="4" s="1"/>
  <c r="AJ41" i="1"/>
  <c r="AI19" i="4" s="1"/>
  <c r="AK41" i="1"/>
  <c r="AJ19" i="4" s="1"/>
  <c r="AL41" i="1"/>
  <c r="AK19" i="4" s="1"/>
  <c r="T42" i="1"/>
  <c r="S20" i="4" s="1"/>
  <c r="U42" i="1"/>
  <c r="T20" i="4" s="1"/>
  <c r="V42" i="1"/>
  <c r="U20" i="4" s="1"/>
  <c r="W42" i="1"/>
  <c r="V20" i="4" s="1"/>
  <c r="X42" i="1"/>
  <c r="W20" i="4" s="1"/>
  <c r="Y42" i="1"/>
  <c r="X20" i="4" s="1"/>
  <c r="Z42" i="1"/>
  <c r="Y20" i="4" s="1"/>
  <c r="AA42" i="1"/>
  <c r="Z20" i="4" s="1"/>
  <c r="AB42" i="1"/>
  <c r="AA20" i="4" s="1"/>
  <c r="AC42" i="1"/>
  <c r="AB20" i="4" s="1"/>
  <c r="AD42" i="1"/>
  <c r="AC20" i="4" s="1"/>
  <c r="AE42" i="1"/>
  <c r="AD20" i="4" s="1"/>
  <c r="AF42" i="1"/>
  <c r="AE20" i="4" s="1"/>
  <c r="AG42" i="1"/>
  <c r="AF20" i="4" s="1"/>
  <c r="AH42" i="1"/>
  <c r="AG20" i="4" s="1"/>
  <c r="AI42" i="1"/>
  <c r="AH20" i="4" s="1"/>
  <c r="AJ42" i="1"/>
  <c r="AI20" i="4" s="1"/>
  <c r="AK42" i="1"/>
  <c r="AJ20" i="4" s="1"/>
  <c r="AL42" i="1"/>
  <c r="AK20" i="4" s="1"/>
  <c r="T43" i="1"/>
  <c r="S21" i="4" s="1"/>
  <c r="U43" i="1"/>
  <c r="V43" i="1"/>
  <c r="W43" i="1"/>
  <c r="X43" i="1"/>
  <c r="W21" i="4" s="1"/>
  <c r="Y43" i="1"/>
  <c r="Z43" i="1"/>
  <c r="AA43" i="1"/>
  <c r="AB43" i="1"/>
  <c r="AA21" i="4" s="1"/>
  <c r="AC43" i="1"/>
  <c r="AD43" i="1"/>
  <c r="AE43" i="1"/>
  <c r="AF43" i="1"/>
  <c r="AG43" i="1"/>
  <c r="AH43" i="1"/>
  <c r="AI43" i="1"/>
  <c r="AJ43" i="1"/>
  <c r="AK43" i="1"/>
  <c r="AL43" i="1"/>
  <c r="M7" i="4"/>
  <c r="M12" i="4"/>
  <c r="K13" i="4"/>
  <c r="M13" i="4"/>
  <c r="K14" i="4"/>
  <c r="L14" i="4"/>
  <c r="M14" i="4"/>
  <c r="K15" i="4"/>
  <c r="L15" i="4"/>
  <c r="M15" i="4"/>
  <c r="K16" i="4"/>
  <c r="L16" i="4"/>
  <c r="M16" i="4"/>
  <c r="K17" i="4"/>
  <c r="L17" i="4"/>
  <c r="M17" i="4"/>
  <c r="K18" i="4"/>
  <c r="L18" i="4"/>
  <c r="M18" i="4"/>
  <c r="K19" i="4"/>
  <c r="L19" i="4"/>
  <c r="M19" i="4"/>
  <c r="K20" i="4"/>
  <c r="L20" i="4"/>
  <c r="M20" i="4"/>
  <c r="AU23" i="23"/>
  <c r="AV23" i="23"/>
  <c r="AW23" i="23"/>
  <c r="AX23" i="23"/>
  <c r="AY23" i="23"/>
  <c r="AZ23" i="23"/>
  <c r="BA23" i="23"/>
  <c r="AU24" i="23"/>
  <c r="AV24" i="23"/>
  <c r="AW24" i="23"/>
  <c r="AX24" i="23"/>
  <c r="AY24" i="23"/>
  <c r="AZ24" i="23"/>
  <c r="BA24" i="23"/>
  <c r="X23" i="23"/>
  <c r="Y23" i="23"/>
  <c r="Z23" i="23"/>
  <c r="AA23" i="23"/>
  <c r="AB23" i="23"/>
  <c r="AC23" i="23"/>
  <c r="X24" i="23"/>
  <c r="Y24" i="23"/>
  <c r="Z24" i="23"/>
  <c r="AA24" i="23"/>
  <c r="AB24" i="23"/>
  <c r="AC24" i="23"/>
  <c r="Q23" i="23"/>
  <c r="R23" i="23"/>
  <c r="S23" i="23"/>
  <c r="T23" i="23"/>
  <c r="U23" i="23"/>
  <c r="V23" i="23"/>
  <c r="W23" i="23"/>
  <c r="Q24" i="23"/>
  <c r="R24" i="23"/>
  <c r="S24" i="23"/>
  <c r="T24" i="23"/>
  <c r="U24" i="23"/>
  <c r="V24" i="23"/>
  <c r="W24" i="23"/>
  <c r="O45" i="1"/>
  <c r="A45" i="1"/>
  <c r="A45" i="23"/>
  <c r="A22" i="23"/>
  <c r="B1" i="4"/>
  <c r="A52" i="23"/>
  <c r="U37" i="4"/>
  <c r="I43" i="23"/>
  <c r="H43" i="23"/>
  <c r="G43" i="23"/>
  <c r="F43" i="23"/>
  <c r="E43" i="23"/>
  <c r="D43" i="23"/>
  <c r="C43" i="23"/>
  <c r="B43" i="23"/>
  <c r="W36" i="4"/>
  <c r="S36" i="4"/>
  <c r="I42" i="23"/>
  <c r="I36" i="4" s="1"/>
  <c r="H42" i="23"/>
  <c r="H36" i="4" s="1"/>
  <c r="G42" i="23"/>
  <c r="G36" i="4" s="1"/>
  <c r="F42" i="23"/>
  <c r="F36" i="4" s="1"/>
  <c r="E42" i="23"/>
  <c r="E36" i="4" s="1"/>
  <c r="D42" i="23"/>
  <c r="D36" i="4" s="1"/>
  <c r="C42" i="23"/>
  <c r="C36" i="4" s="1"/>
  <c r="B42" i="23"/>
  <c r="B36" i="4" s="1"/>
  <c r="AC35" i="4"/>
  <c r="U35" i="4"/>
  <c r="Q35" i="4"/>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AC33" i="4"/>
  <c r="V33" i="4"/>
  <c r="I39" i="23"/>
  <c r="I33" i="4" s="1"/>
  <c r="H39" i="23"/>
  <c r="H33" i="4" s="1"/>
  <c r="G39" i="23"/>
  <c r="G33" i="4" s="1"/>
  <c r="F39" i="23"/>
  <c r="F33" i="4" s="1"/>
  <c r="E39" i="23"/>
  <c r="E33" i="4" s="1"/>
  <c r="D39" i="23"/>
  <c r="D33" i="4" s="1"/>
  <c r="C39" i="23"/>
  <c r="C33" i="4" s="1"/>
  <c r="B39" i="23"/>
  <c r="B33" i="4" s="1"/>
  <c r="AA32" i="4"/>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W30" i="4"/>
  <c r="I36" i="23"/>
  <c r="I30" i="4" s="1"/>
  <c r="H36" i="23"/>
  <c r="H30" i="4" s="1"/>
  <c r="G36" i="23"/>
  <c r="G30" i="4" s="1"/>
  <c r="F36" i="23"/>
  <c r="F30" i="4" s="1"/>
  <c r="E36" i="23"/>
  <c r="E30" i="4" s="1"/>
  <c r="D36" i="23"/>
  <c r="D30" i="4" s="1"/>
  <c r="C36" i="23"/>
  <c r="C30" i="4" s="1"/>
  <c r="B36" i="23"/>
  <c r="B30" i="4" s="1"/>
  <c r="AC27" i="4"/>
  <c r="Y27" i="4"/>
  <c r="W26" i="4"/>
  <c r="Z25" i="4"/>
  <c r="Y25" i="4"/>
  <c r="AB24" i="4"/>
  <c r="AA24" i="4"/>
  <c r="AC23" i="4"/>
  <c r="Y23" i="4"/>
  <c r="AA22" i="4"/>
  <c r="AT24" i="23"/>
  <c r="AS24" i="23"/>
  <c r="AR24" i="23"/>
  <c r="AQ24" i="23"/>
  <c r="AP24" i="23"/>
  <c r="AO24" i="23"/>
  <c r="AN24" i="23"/>
  <c r="AM24" i="23"/>
  <c r="AL24" i="23"/>
  <c r="AK24" i="23"/>
  <c r="AJ24" i="23"/>
  <c r="AI24" i="23"/>
  <c r="AH24" i="23"/>
  <c r="AG24" i="23"/>
  <c r="AF24" i="23"/>
  <c r="AE24" i="23"/>
  <c r="P24" i="23"/>
  <c r="N24" i="23"/>
  <c r="L24" i="23"/>
  <c r="J24" i="23"/>
  <c r="I24" i="23"/>
  <c r="H24" i="23"/>
  <c r="G24" i="23"/>
  <c r="F24" i="23"/>
  <c r="E24" i="23"/>
  <c r="D24" i="23"/>
  <c r="C24" i="23"/>
  <c r="B24" i="23"/>
  <c r="AT23" i="23"/>
  <c r="AS23" i="23"/>
  <c r="AR23" i="23"/>
  <c r="AQ23" i="23"/>
  <c r="AP23" i="23"/>
  <c r="AO23" i="23"/>
  <c r="AN23" i="23"/>
  <c r="AM23" i="23"/>
  <c r="AL23" i="23"/>
  <c r="AK23" i="23"/>
  <c r="AJ23" i="23"/>
  <c r="AI23" i="23"/>
  <c r="AH23" i="23"/>
  <c r="AG23" i="23"/>
  <c r="AF23" i="23"/>
  <c r="AE23" i="23"/>
  <c r="B32" i="23" s="1"/>
  <c r="B26" i="4" s="1"/>
  <c r="P23" i="23"/>
  <c r="N23" i="23"/>
  <c r="L23" i="23"/>
  <c r="J23" i="23"/>
  <c r="I23" i="23"/>
  <c r="H23" i="23"/>
  <c r="G23" i="23"/>
  <c r="F23" i="23"/>
  <c r="E23" i="23"/>
  <c r="D23" i="23"/>
  <c r="C23" i="23"/>
  <c r="B23" i="23"/>
  <c r="AG45" i="23"/>
  <c r="AF45" i="23"/>
  <c r="AE45" i="23"/>
  <c r="I22" i="23"/>
  <c r="H27" i="23"/>
  <c r="H52" i="23" s="1"/>
  <c r="G45" i="23"/>
  <c r="F27" i="23"/>
  <c r="F52" i="23" s="1"/>
  <c r="E45" i="23"/>
  <c r="C45" i="23"/>
  <c r="B45" i="23"/>
  <c r="J40" i="23"/>
  <c r="J34" i="4" s="1"/>
  <c r="J36" i="23"/>
  <c r="J30" i="4" s="1"/>
  <c r="J28" i="23"/>
  <c r="J42" i="23"/>
  <c r="J36" i="4" s="1"/>
  <c r="J38" i="23"/>
  <c r="J32" i="4" s="1"/>
  <c r="J41" i="23"/>
  <c r="J35" i="4" s="1"/>
  <c r="J37" i="23"/>
  <c r="J31" i="4" s="1"/>
  <c r="J43" i="23"/>
  <c r="J39" i="23"/>
  <c r="J33" i="4" s="1"/>
  <c r="G29" i="23"/>
  <c r="G23" i="4" s="1"/>
  <c r="D35" i="23"/>
  <c r="D29" i="4" s="1"/>
  <c r="AF22" i="23"/>
  <c r="W22" i="4"/>
  <c r="O9" i="12"/>
  <c r="O10" i="12" s="1"/>
  <c r="C14" i="4"/>
  <c r="D14" i="4"/>
  <c r="E14" i="4"/>
  <c r="F14" i="4"/>
  <c r="G14" i="4"/>
  <c r="H14" i="4"/>
  <c r="I14" i="4"/>
  <c r="J14" i="4"/>
  <c r="C15" i="4"/>
  <c r="D15" i="4"/>
  <c r="E15" i="4"/>
  <c r="F15" i="4"/>
  <c r="G15" i="4"/>
  <c r="H15" i="4"/>
  <c r="I15" i="4"/>
  <c r="J15" i="4"/>
  <c r="C16" i="4"/>
  <c r="D16" i="4"/>
  <c r="E16" i="4"/>
  <c r="F16" i="4"/>
  <c r="G16" i="4"/>
  <c r="H16" i="4"/>
  <c r="I16" i="4"/>
  <c r="J16" i="4"/>
  <c r="C17" i="4"/>
  <c r="E17" i="4"/>
  <c r="F17" i="4"/>
  <c r="G17" i="4"/>
  <c r="H17" i="4"/>
  <c r="I17" i="4"/>
  <c r="J17" i="4"/>
  <c r="C18" i="4"/>
  <c r="D18" i="4"/>
  <c r="E18" i="4"/>
  <c r="F18" i="4"/>
  <c r="G18" i="4"/>
  <c r="H18" i="4"/>
  <c r="I18" i="4"/>
  <c r="J18" i="4"/>
  <c r="C19" i="4"/>
  <c r="D19" i="4"/>
  <c r="E19" i="4"/>
  <c r="F19" i="4"/>
  <c r="G19" i="4"/>
  <c r="H19" i="4"/>
  <c r="I19" i="4"/>
  <c r="J19" i="4"/>
  <c r="C20" i="4"/>
  <c r="D20" i="4"/>
  <c r="E20" i="4"/>
  <c r="F20" i="4"/>
  <c r="G20" i="4"/>
  <c r="H20" i="4"/>
  <c r="I20" i="4"/>
  <c r="J20" i="4"/>
  <c r="R36" i="1"/>
  <c r="Q14" i="4" s="1"/>
  <c r="S36" i="1"/>
  <c r="R14" i="4" s="1"/>
  <c r="R37" i="1"/>
  <c r="Q15" i="4" s="1"/>
  <c r="Q38" i="1"/>
  <c r="P16" i="4" s="1"/>
  <c r="R38" i="1"/>
  <c r="Q16" i="4" s="1"/>
  <c r="Q39" i="1"/>
  <c r="P17" i="4" s="1"/>
  <c r="R39" i="1"/>
  <c r="Q17" i="4" s="1"/>
  <c r="S39" i="1"/>
  <c r="R17" i="4" s="1"/>
  <c r="Q40" i="1"/>
  <c r="P18" i="4" s="1"/>
  <c r="R40" i="1"/>
  <c r="Q18" i="4" s="1"/>
  <c r="S40" i="1"/>
  <c r="R18" i="4" s="1"/>
  <c r="Q41" i="1"/>
  <c r="P19" i="4" s="1"/>
  <c r="R41" i="1"/>
  <c r="Q19" i="4" s="1"/>
  <c r="Q42" i="1"/>
  <c r="P20" i="4" s="1"/>
  <c r="R42" i="1"/>
  <c r="Q20" i="4" s="1"/>
  <c r="Q43" i="1"/>
  <c r="R43" i="1"/>
  <c r="S43" i="1"/>
  <c r="B14" i="4"/>
  <c r="B15" i="4"/>
  <c r="B16" i="4"/>
  <c r="B17" i="4"/>
  <c r="B18" i="4"/>
  <c r="B19" i="4"/>
  <c r="B20" i="4"/>
  <c r="B4" i="4"/>
  <c r="B62" i="4" s="1"/>
  <c r="A52" i="1"/>
  <c r="C7" i="4"/>
  <c r="H52" i="1"/>
  <c r="G52" i="1"/>
  <c r="F52" i="1"/>
  <c r="E4" i="4"/>
  <c r="C11" i="4"/>
  <c r="I8" i="4"/>
  <c r="E11" i="4"/>
  <c r="P39" i="1"/>
  <c r="O17" i="4" s="1"/>
  <c r="Q28" i="1"/>
  <c r="R28" i="1"/>
  <c r="R27" i="1"/>
  <c r="AG52" i="1" s="1"/>
  <c r="W45" i="23"/>
  <c r="K4" i="23"/>
  <c r="K52" i="23" s="1"/>
  <c r="L4" i="23"/>
  <c r="L27" i="23" s="1"/>
  <c r="AU56" i="23"/>
  <c r="O56" i="23"/>
  <c r="X56" i="1"/>
  <c r="U56" i="23"/>
  <c r="Z56" i="23"/>
  <c r="AC56" i="23"/>
  <c r="O56" i="1"/>
  <c r="V56" i="23"/>
  <c r="Y56" i="1"/>
  <c r="P56" i="23"/>
  <c r="AZ56" i="1"/>
  <c r="AQ56" i="1"/>
  <c r="N56" i="23"/>
  <c r="Q56" i="1"/>
  <c r="AM56" i="23"/>
  <c r="P56" i="1"/>
  <c r="AO56" i="1"/>
  <c r="AW56" i="1"/>
  <c r="AS56" i="1"/>
  <c r="AX56" i="1"/>
  <c r="AP56" i="1"/>
  <c r="AY56" i="1"/>
  <c r="X56" i="23"/>
  <c r="AT56" i="23"/>
  <c r="AA56" i="23"/>
  <c r="AS56" i="23"/>
  <c r="AV56" i="1"/>
  <c r="T56" i="1"/>
  <c r="Y56" i="23"/>
  <c r="AN56" i="1"/>
  <c r="AZ56" i="23"/>
  <c r="AV56" i="23"/>
  <c r="AM56" i="1"/>
  <c r="R56" i="23"/>
  <c r="AP56" i="23"/>
  <c r="AY56" i="23"/>
  <c r="R56" i="1"/>
  <c r="N56" i="1"/>
  <c r="V56" i="1"/>
  <c r="AN56" i="23"/>
  <c r="T56" i="23"/>
  <c r="AB56" i="23"/>
  <c r="AU56" i="1"/>
  <c r="AO56" i="23"/>
  <c r="S56" i="23"/>
  <c r="W56" i="23"/>
  <c r="BA56" i="23"/>
  <c r="Q56" i="23"/>
  <c r="AT56" i="1"/>
  <c r="AX56" i="23"/>
  <c r="AA56" i="1"/>
  <c r="U56" i="1"/>
  <c r="AQ56" i="23"/>
  <c r="AB56" i="1"/>
  <c r="AR56" i="1"/>
  <c r="Z56" i="1"/>
  <c r="AR56" i="23"/>
  <c r="BA56" i="1"/>
  <c r="AC56" i="1"/>
  <c r="S56" i="1"/>
  <c r="W56" i="1"/>
  <c r="AW56" i="23"/>
  <c r="F33" i="23" l="1"/>
  <c r="F27" i="4" s="1"/>
  <c r="D29" i="23"/>
  <c r="D23" i="4" s="1"/>
  <c r="G34" i="23"/>
  <c r="G28" i="4" s="1"/>
  <c r="C29" i="23"/>
  <c r="C23" i="4" s="1"/>
  <c r="I32" i="23"/>
  <c r="I26" i="4" s="1"/>
  <c r="C31" i="23"/>
  <c r="C25" i="4" s="1"/>
  <c r="AE42" i="23"/>
  <c r="O36" i="4" s="1"/>
  <c r="AI35" i="23"/>
  <c r="S29" i="4" s="1"/>
  <c r="AK34" i="23"/>
  <c r="U28" i="4" s="1"/>
  <c r="AG34" i="23"/>
  <c r="Q28" i="4" s="1"/>
  <c r="AI33" i="23"/>
  <c r="S27" i="4" s="1"/>
  <c r="AK32" i="23"/>
  <c r="U26" i="4" s="1"/>
  <c r="AG32" i="23"/>
  <c r="Q26" i="4" s="1"/>
  <c r="AI31" i="23"/>
  <c r="S25" i="4" s="1"/>
  <c r="AK30" i="23"/>
  <c r="U24" i="4" s="1"/>
  <c r="AG30" i="23"/>
  <c r="Q24" i="4" s="1"/>
  <c r="AI29" i="23"/>
  <c r="S23" i="4" s="1"/>
  <c r="AK28" i="23"/>
  <c r="AG28" i="23"/>
  <c r="AG47" i="23" s="1"/>
  <c r="AG48" i="23" s="1"/>
  <c r="AG54" i="23" s="1"/>
  <c r="AE36" i="23"/>
  <c r="O30" i="4" s="1"/>
  <c r="AL35" i="23"/>
  <c r="V29" i="4" s="1"/>
  <c r="AH35" i="23"/>
  <c r="R29" i="4" s="1"/>
  <c r="AJ34" i="23"/>
  <c r="T28" i="4" s="1"/>
  <c r="AF34" i="23"/>
  <c r="P28" i="4" s="1"/>
  <c r="AL33" i="23"/>
  <c r="V27" i="4" s="1"/>
  <c r="AH33" i="23"/>
  <c r="R27" i="4" s="1"/>
  <c r="AJ32" i="23"/>
  <c r="T26" i="4" s="1"/>
  <c r="AF32" i="23"/>
  <c r="P26" i="4" s="1"/>
  <c r="AL31" i="23"/>
  <c r="V25" i="4" s="1"/>
  <c r="AH31" i="23"/>
  <c r="R25" i="4" s="1"/>
  <c r="AJ30" i="23"/>
  <c r="T24" i="4" s="1"/>
  <c r="AF30" i="23"/>
  <c r="P24" i="4" s="1"/>
  <c r="AL29" i="23"/>
  <c r="V23" i="4" s="1"/>
  <c r="AH29" i="23"/>
  <c r="R23" i="4" s="1"/>
  <c r="AJ28" i="23"/>
  <c r="AF28" i="23"/>
  <c r="P22" i="4" s="1"/>
  <c r="AK35" i="23"/>
  <c r="AG35" i="23"/>
  <c r="Q29" i="4" s="1"/>
  <c r="AI34" i="23"/>
  <c r="S28" i="4" s="1"/>
  <c r="AK33" i="23"/>
  <c r="U27" i="4" s="1"/>
  <c r="AG33" i="23"/>
  <c r="Q27" i="4" s="1"/>
  <c r="AI32" i="23"/>
  <c r="S26" i="4" s="1"/>
  <c r="AK31" i="23"/>
  <c r="U25" i="4" s="1"/>
  <c r="AG31" i="23"/>
  <c r="Q25" i="4" s="1"/>
  <c r="AI30" i="23"/>
  <c r="S24" i="4" s="1"/>
  <c r="AK29" i="23"/>
  <c r="U23" i="4" s="1"/>
  <c r="AG29" i="23"/>
  <c r="Q23" i="4" s="1"/>
  <c r="AI28" i="23"/>
  <c r="M30" i="23"/>
  <c r="M24" i="4" s="1"/>
  <c r="AJ35" i="23"/>
  <c r="T29" i="4" s="1"/>
  <c r="AF35" i="23"/>
  <c r="P29" i="4" s="1"/>
  <c r="AL34" i="23"/>
  <c r="V28" i="4" s="1"/>
  <c r="AH34" i="23"/>
  <c r="R28" i="4" s="1"/>
  <c r="AJ33" i="23"/>
  <c r="AF33" i="23"/>
  <c r="P27" i="4" s="1"/>
  <c r="AL32" i="23"/>
  <c r="V26" i="4" s="1"/>
  <c r="AH32" i="23"/>
  <c r="R26" i="4" s="1"/>
  <c r="AJ31" i="23"/>
  <c r="T25" i="4" s="1"/>
  <c r="AF31" i="23"/>
  <c r="P25" i="4" s="1"/>
  <c r="AL30" i="23"/>
  <c r="V24" i="4" s="1"/>
  <c r="AH30" i="23"/>
  <c r="R24" i="4" s="1"/>
  <c r="AJ29" i="23"/>
  <c r="T23" i="4" s="1"/>
  <c r="AF29" i="23"/>
  <c r="P23" i="4" s="1"/>
  <c r="AL28" i="23"/>
  <c r="AH28" i="23"/>
  <c r="M34" i="23"/>
  <c r="M28" i="4" s="1"/>
  <c r="L29" i="23"/>
  <c r="L23" i="4" s="1"/>
  <c r="AE41" i="23"/>
  <c r="O35" i="4" s="1"/>
  <c r="AE33" i="23"/>
  <c r="O27" i="4" s="1"/>
  <c r="G28" i="23"/>
  <c r="J33" i="23"/>
  <c r="J27" i="4" s="1"/>
  <c r="E35" i="23"/>
  <c r="E29" i="4" s="1"/>
  <c r="G30" i="23"/>
  <c r="G24" i="4" s="1"/>
  <c r="E31" i="23"/>
  <c r="E25" i="4" s="1"/>
  <c r="H34" i="23"/>
  <c r="H28" i="4" s="1"/>
  <c r="L33" i="23"/>
  <c r="L27" i="4" s="1"/>
  <c r="K28" i="23"/>
  <c r="K22" i="4" s="1"/>
  <c r="AE40" i="23"/>
  <c r="O34" i="4" s="1"/>
  <c r="H29" i="23"/>
  <c r="H23" i="4" s="1"/>
  <c r="D33" i="23"/>
  <c r="D27" i="4" s="1"/>
  <c r="F29" i="23"/>
  <c r="F23" i="4" s="1"/>
  <c r="H31" i="23"/>
  <c r="H25" i="4" s="1"/>
  <c r="I35" i="23"/>
  <c r="I29" i="4" s="1"/>
  <c r="F31" i="23"/>
  <c r="F25" i="4" s="1"/>
  <c r="C34" i="23"/>
  <c r="C28" i="4" s="1"/>
  <c r="I29" i="23"/>
  <c r="I23" i="4" s="1"/>
  <c r="K32" i="23"/>
  <c r="K26" i="4" s="1"/>
  <c r="AE43" i="23"/>
  <c r="O37" i="4" s="1"/>
  <c r="AE39" i="23"/>
  <c r="O33" i="4" s="1"/>
  <c r="L34" i="23"/>
  <c r="L28" i="4" s="1"/>
  <c r="K33" i="23"/>
  <c r="K27" i="4" s="1"/>
  <c r="M31" i="23"/>
  <c r="M25" i="4" s="1"/>
  <c r="L30" i="23"/>
  <c r="L24" i="4" s="1"/>
  <c r="K29" i="23"/>
  <c r="AE29" i="23"/>
  <c r="O23" i="4" s="1"/>
  <c r="F35" i="23"/>
  <c r="F29" i="4" s="1"/>
  <c r="H32" i="23"/>
  <c r="H26" i="4" s="1"/>
  <c r="J34" i="23"/>
  <c r="J28" i="4" s="1"/>
  <c r="D30" i="23"/>
  <c r="D24" i="4" s="1"/>
  <c r="G35" i="23"/>
  <c r="G29" i="4" s="1"/>
  <c r="E30" i="23"/>
  <c r="E24" i="4" s="1"/>
  <c r="L35" i="23"/>
  <c r="L29" i="4" s="1"/>
  <c r="M32" i="23"/>
  <c r="M26" i="4" s="1"/>
  <c r="L31" i="23"/>
  <c r="L25" i="4" s="1"/>
  <c r="K30" i="23"/>
  <c r="K24" i="4" s="1"/>
  <c r="M28" i="23"/>
  <c r="M22" i="4" s="1"/>
  <c r="E34" i="23"/>
  <c r="E28" i="4" s="1"/>
  <c r="I31" i="23"/>
  <c r="I25" i="4" s="1"/>
  <c r="F34" i="23"/>
  <c r="F28" i="4" s="1"/>
  <c r="F28" i="23"/>
  <c r="F22" i="4" s="1"/>
  <c r="G31" i="23"/>
  <c r="E33" i="23"/>
  <c r="E27" i="4" s="1"/>
  <c r="C35" i="23"/>
  <c r="C29" i="4" s="1"/>
  <c r="J29" i="23"/>
  <c r="M35" i="23"/>
  <c r="M29" i="4" s="1"/>
  <c r="D32" i="23"/>
  <c r="D26" i="4" s="1"/>
  <c r="E28" i="23"/>
  <c r="J31" i="23"/>
  <c r="J25" i="4" s="1"/>
  <c r="H33" i="23"/>
  <c r="H27" i="4" s="1"/>
  <c r="I34" i="23"/>
  <c r="I28" i="4" s="1"/>
  <c r="F30" i="23"/>
  <c r="F24" i="4" s="1"/>
  <c r="F32" i="23"/>
  <c r="F26" i="4" s="1"/>
  <c r="I33" i="23"/>
  <c r="I27" i="4" s="1"/>
  <c r="C28" i="23"/>
  <c r="C22" i="4" s="1"/>
  <c r="K34" i="23"/>
  <c r="K28" i="4" s="1"/>
  <c r="I30" i="23"/>
  <c r="I24" i="4" s="1"/>
  <c r="G32" i="23"/>
  <c r="G26" i="4" s="1"/>
  <c r="H28" i="23"/>
  <c r="H22" i="4" s="1"/>
  <c r="G33" i="23"/>
  <c r="G27" i="4" s="1"/>
  <c r="I28" i="23"/>
  <c r="I22" i="4" s="1"/>
  <c r="C30" i="23"/>
  <c r="C24" i="4" s="1"/>
  <c r="E32" i="23"/>
  <c r="E26" i="4" s="1"/>
  <c r="J35" i="23"/>
  <c r="J29" i="4" s="1"/>
  <c r="C32" i="23"/>
  <c r="C26" i="4" s="1"/>
  <c r="H35" i="23"/>
  <c r="H29" i="4" s="1"/>
  <c r="D28" i="23"/>
  <c r="J30" i="23"/>
  <c r="J24" i="4" s="1"/>
  <c r="C33" i="23"/>
  <c r="C27" i="4" s="1"/>
  <c r="E29" i="23"/>
  <c r="E23" i="4" s="1"/>
  <c r="H30" i="23"/>
  <c r="H24" i="4" s="1"/>
  <c r="J32" i="23"/>
  <c r="J26" i="4" s="1"/>
  <c r="D34" i="23"/>
  <c r="D28" i="4" s="1"/>
  <c r="D31" i="23"/>
  <c r="D25" i="4" s="1"/>
  <c r="K35" i="23"/>
  <c r="K29" i="4" s="1"/>
  <c r="M33" i="23"/>
  <c r="M27" i="4" s="1"/>
  <c r="L32" i="23"/>
  <c r="L26" i="4" s="1"/>
  <c r="K31" i="23"/>
  <c r="K25" i="4" s="1"/>
  <c r="M29" i="23"/>
  <c r="M23" i="4" s="1"/>
  <c r="L28" i="23"/>
  <c r="L22" i="4" s="1"/>
  <c r="AE35" i="23"/>
  <c r="O29" i="4" s="1"/>
  <c r="Q52" i="1"/>
  <c r="K4" i="4"/>
  <c r="K62" i="4" s="1"/>
  <c r="L4" i="4"/>
  <c r="L55" i="4" s="1"/>
  <c r="AA57" i="1"/>
  <c r="W57" i="1"/>
  <c r="S57" i="1"/>
  <c r="O57" i="1"/>
  <c r="Z57" i="1"/>
  <c r="V57" i="1"/>
  <c r="R57" i="1"/>
  <c r="N57" i="1"/>
  <c r="AC57" i="1"/>
  <c r="Y57" i="1"/>
  <c r="U57" i="1"/>
  <c r="Q57" i="1"/>
  <c r="AB57" i="1"/>
  <c r="X57" i="1"/>
  <c r="T57" i="1"/>
  <c r="P57" i="1"/>
  <c r="R33" i="1"/>
  <c r="Q11" i="4" s="1"/>
  <c r="Q30" i="1"/>
  <c r="P8" i="4" s="1"/>
  <c r="R31" i="1"/>
  <c r="Q9" i="4" s="1"/>
  <c r="T35" i="1"/>
  <c r="S13" i="4" s="1"/>
  <c r="W34" i="1"/>
  <c r="V12" i="4" s="1"/>
  <c r="V33" i="1"/>
  <c r="U11" i="4" s="1"/>
  <c r="U32" i="1"/>
  <c r="T10" i="4" s="1"/>
  <c r="T31" i="1"/>
  <c r="S9" i="4" s="1"/>
  <c r="W30" i="1"/>
  <c r="V8" i="4" s="1"/>
  <c r="V29" i="1"/>
  <c r="U7" i="4" s="1"/>
  <c r="U28" i="1"/>
  <c r="Q34" i="1"/>
  <c r="P12" i="4" s="1"/>
  <c r="P42" i="1"/>
  <c r="O20" i="4" s="1"/>
  <c r="F12" i="4"/>
  <c r="R35" i="1"/>
  <c r="Q13" i="4" s="1"/>
  <c r="Q33" i="1"/>
  <c r="P11" i="4" s="1"/>
  <c r="R34" i="1"/>
  <c r="Q12" i="4" s="1"/>
  <c r="W35" i="1"/>
  <c r="V13" i="4" s="1"/>
  <c r="V34" i="1"/>
  <c r="U12" i="4" s="1"/>
  <c r="U33" i="1"/>
  <c r="T11" i="4" s="1"/>
  <c r="T32" i="1"/>
  <c r="S10" i="4" s="1"/>
  <c r="W31" i="1"/>
  <c r="V9" i="4" s="1"/>
  <c r="V30" i="1"/>
  <c r="U8" i="4" s="1"/>
  <c r="U29" i="1"/>
  <c r="T28" i="1"/>
  <c r="S6" i="4" s="1"/>
  <c r="V35" i="1"/>
  <c r="U13" i="4" s="1"/>
  <c r="U34" i="1"/>
  <c r="T12" i="4" s="1"/>
  <c r="T33" i="1"/>
  <c r="S11" i="4" s="1"/>
  <c r="W32" i="1"/>
  <c r="V10" i="4" s="1"/>
  <c r="V31" i="1"/>
  <c r="U9" i="4" s="1"/>
  <c r="U30" i="1"/>
  <c r="T8" i="4" s="1"/>
  <c r="T29" i="1"/>
  <c r="S7" i="4" s="1"/>
  <c r="W28" i="1"/>
  <c r="S33" i="1"/>
  <c r="R11" i="4" s="1"/>
  <c r="U35" i="1"/>
  <c r="T13" i="4" s="1"/>
  <c r="T34" i="1"/>
  <c r="S12" i="4" s="1"/>
  <c r="W33" i="1"/>
  <c r="V11" i="4" s="1"/>
  <c r="V32" i="1"/>
  <c r="U10" i="4" s="1"/>
  <c r="U31" i="1"/>
  <c r="T9" i="4" s="1"/>
  <c r="T30" i="1"/>
  <c r="S8" i="4" s="1"/>
  <c r="W29" i="1"/>
  <c r="V7" i="4" s="1"/>
  <c r="V28" i="1"/>
  <c r="M11" i="4"/>
  <c r="L6" i="4"/>
  <c r="P38" i="1"/>
  <c r="O16" i="4" s="1"/>
  <c r="P40" i="1"/>
  <c r="O18" i="4" s="1"/>
  <c r="J12" i="4"/>
  <c r="L10" i="4"/>
  <c r="P41" i="1"/>
  <c r="O19" i="4" s="1"/>
  <c r="G12" i="4"/>
  <c r="E10" i="4"/>
  <c r="G8" i="4"/>
  <c r="F8" i="4"/>
  <c r="P32" i="1"/>
  <c r="O10" i="4" s="1"/>
  <c r="P43" i="1"/>
  <c r="O21" i="4" s="1"/>
  <c r="G13" i="4"/>
  <c r="J8" i="4"/>
  <c r="K9" i="4"/>
  <c r="B11" i="4"/>
  <c r="F7" i="4"/>
  <c r="I11" i="4"/>
  <c r="I12" i="4"/>
  <c r="E8" i="4"/>
  <c r="F10" i="4"/>
  <c r="J11" i="4"/>
  <c r="J7" i="4"/>
  <c r="J6" i="4"/>
  <c r="L11" i="4"/>
  <c r="K10" i="4"/>
  <c r="M8" i="4"/>
  <c r="H11" i="4"/>
  <c r="H13" i="4"/>
  <c r="E13" i="4"/>
  <c r="H8" i="4"/>
  <c r="J10" i="4"/>
  <c r="L12" i="4"/>
  <c r="K11" i="4"/>
  <c r="M9" i="4"/>
  <c r="L8" i="4"/>
  <c r="K7" i="4"/>
  <c r="F11" i="4"/>
  <c r="C13" i="4"/>
  <c r="H10" i="4"/>
  <c r="F13" i="4"/>
  <c r="D11" i="4"/>
  <c r="D13" i="4"/>
  <c r="H12" i="4"/>
  <c r="G7" i="4"/>
  <c r="J13" i="4"/>
  <c r="J9" i="4"/>
  <c r="L13" i="4"/>
  <c r="K12" i="4"/>
  <c r="M10" i="4"/>
  <c r="L9" i="4"/>
  <c r="K8" i="4"/>
  <c r="M6" i="4"/>
  <c r="P6" i="4"/>
  <c r="AJ6" i="4"/>
  <c r="AF6" i="4"/>
  <c r="AB6" i="4"/>
  <c r="X6" i="4"/>
  <c r="T6" i="4"/>
  <c r="Q6" i="4"/>
  <c r="J22" i="4"/>
  <c r="AE6" i="4"/>
  <c r="AA6" i="4"/>
  <c r="AH22" i="4"/>
  <c r="AD22" i="4"/>
  <c r="Z22" i="4"/>
  <c r="AH6" i="4"/>
  <c r="AD6" i="4"/>
  <c r="AK22" i="4"/>
  <c r="AG22" i="4"/>
  <c r="AC22" i="4"/>
  <c r="Y22" i="4"/>
  <c r="G22" i="4"/>
  <c r="AK6" i="4"/>
  <c r="AG6" i="4"/>
  <c r="AC6" i="4"/>
  <c r="Y6" i="4"/>
  <c r="AJ22" i="4"/>
  <c r="AF22" i="4"/>
  <c r="AB22" i="4"/>
  <c r="X22" i="4"/>
  <c r="AI4" i="33"/>
  <c r="AY22" i="33" s="1"/>
  <c r="AH4" i="33"/>
  <c r="AX22" i="33" s="1"/>
  <c r="AJ4" i="33"/>
  <c r="AZ22" i="33" s="1"/>
  <c r="AF4" i="33"/>
  <c r="AV27" i="33" s="1"/>
  <c r="AV52" i="33" s="1"/>
  <c r="AB4" i="33"/>
  <c r="AR27" i="33" s="1"/>
  <c r="AR52" i="33" s="1"/>
  <c r="X4" i="33"/>
  <c r="AN45" i="33" s="1"/>
  <c r="T4" i="33"/>
  <c r="AJ22" i="33" s="1"/>
  <c r="S9" i="12"/>
  <c r="S10" i="12" s="1"/>
  <c r="N9" i="12"/>
  <c r="N10" i="12" s="1"/>
  <c r="M9" i="12"/>
  <c r="M10" i="12" s="1"/>
  <c r="I9" i="12"/>
  <c r="I10" i="12" s="1"/>
  <c r="P9" i="12"/>
  <c r="P10" i="12" s="1"/>
  <c r="S35" i="1"/>
  <c r="R13" i="4" s="1"/>
  <c r="G10" i="4"/>
  <c r="D12" i="4"/>
  <c r="I9" i="4"/>
  <c r="S41" i="1"/>
  <c r="R19" i="4" s="1"/>
  <c r="S37" i="1"/>
  <c r="R15" i="4" s="1"/>
  <c r="R29" i="1"/>
  <c r="P37" i="1"/>
  <c r="O15" i="4" s="1"/>
  <c r="Q29" i="1"/>
  <c r="B12" i="4"/>
  <c r="B13" i="4"/>
  <c r="C12" i="4"/>
  <c r="G9" i="4"/>
  <c r="I10" i="4"/>
  <c r="E9" i="4"/>
  <c r="S42" i="1"/>
  <c r="R20" i="4" s="1"/>
  <c r="S38" i="1"/>
  <c r="R16" i="4" s="1"/>
  <c r="S34" i="1"/>
  <c r="R12" i="4" s="1"/>
  <c r="E55" i="4"/>
  <c r="E62" i="4"/>
  <c r="K9" i="12"/>
  <c r="K10" i="12" s="1"/>
  <c r="P21" i="4"/>
  <c r="I52" i="23"/>
  <c r="R4" i="33"/>
  <c r="AD4" i="33"/>
  <c r="Z4" i="33"/>
  <c r="X21" i="4"/>
  <c r="AD37" i="4"/>
  <c r="Z37" i="4"/>
  <c r="V37" i="4"/>
  <c r="R37" i="4"/>
  <c r="K37" i="4"/>
  <c r="I45" i="23"/>
  <c r="AK4" i="33"/>
  <c r="AG4" i="33"/>
  <c r="AC4" i="33"/>
  <c r="U4" i="33"/>
  <c r="R21" i="4"/>
  <c r="Q21" i="4"/>
  <c r="AE4" i="33"/>
  <c r="AA4" i="33"/>
  <c r="S4" i="33"/>
  <c r="C27" i="23"/>
  <c r="C52" i="23" s="1"/>
  <c r="I27" i="23"/>
  <c r="AD21" i="4"/>
  <c r="AB21" i="4"/>
  <c r="Z21" i="4"/>
  <c r="V21" i="4"/>
  <c r="T21" i="4"/>
  <c r="B21" i="4"/>
  <c r="AE37" i="23"/>
  <c r="O31" i="4" s="1"/>
  <c r="AE34" i="23"/>
  <c r="O28" i="4" s="1"/>
  <c r="AE38" i="23"/>
  <c r="AB37" i="4"/>
  <c r="T37" i="4"/>
  <c r="B38" i="23"/>
  <c r="F37" i="4"/>
  <c r="AA37" i="4"/>
  <c r="AB46" i="23"/>
  <c r="AB53" i="23" s="1"/>
  <c r="AH37" i="4"/>
  <c r="L37" i="4"/>
  <c r="X37" i="4"/>
  <c r="P37" i="4"/>
  <c r="S46" i="23"/>
  <c r="S53" i="23" s="1"/>
  <c r="W37" i="4"/>
  <c r="S37" i="4"/>
  <c r="J37" i="4"/>
  <c r="H37" i="4"/>
  <c r="M37" i="4"/>
  <c r="AK37" i="4"/>
  <c r="Q4" i="4"/>
  <c r="R62" i="4" s="1"/>
  <c r="H7" i="22"/>
  <c r="Z4" i="1"/>
  <c r="A44" i="22"/>
  <c r="H22" i="22"/>
  <c r="H19" i="22"/>
  <c r="H15" i="22"/>
  <c r="N4" i="23"/>
  <c r="N22" i="23" s="1"/>
  <c r="H25" i="22"/>
  <c r="H21" i="22"/>
  <c r="U27" i="23"/>
  <c r="H18" i="22"/>
  <c r="AF27" i="23"/>
  <c r="AF52" i="23" s="1"/>
  <c r="Y45" i="23"/>
  <c r="H20" i="22"/>
  <c r="H17" i="22"/>
  <c r="X45" i="23"/>
  <c r="H23" i="22"/>
  <c r="V52" i="23"/>
  <c r="S45" i="23"/>
  <c r="H16" i="22"/>
  <c r="A49" i="22"/>
  <c r="J4" i="23"/>
  <c r="J45" i="23" s="1"/>
  <c r="W22" i="23"/>
  <c r="T27" i="23"/>
  <c r="M4" i="23"/>
  <c r="M27" i="23" s="1"/>
  <c r="H10" i="22"/>
  <c r="P52" i="23"/>
  <c r="H13" i="22"/>
  <c r="O27" i="23"/>
  <c r="H12" i="22"/>
  <c r="H11" i="22"/>
  <c r="L52" i="1"/>
  <c r="H9" i="22"/>
  <c r="H8" i="22"/>
  <c r="AE32" i="23"/>
  <c r="AE31" i="23"/>
  <c r="O25" i="4" s="1"/>
  <c r="AE30" i="23"/>
  <c r="O24" i="4" s="1"/>
  <c r="B33" i="23"/>
  <c r="B27" i="4" s="1"/>
  <c r="P46" i="23"/>
  <c r="P53" i="23" s="1"/>
  <c r="B28" i="23"/>
  <c r="B30" i="23"/>
  <c r="B24" i="4" s="1"/>
  <c r="B34" i="23"/>
  <c r="B28" i="4" s="1"/>
  <c r="B35" i="23"/>
  <c r="AQ46" i="23"/>
  <c r="AQ53" i="23" s="1"/>
  <c r="AE28" i="23"/>
  <c r="B31" i="23"/>
  <c r="B25" i="4" s="1"/>
  <c r="B29" i="23"/>
  <c r="B23" i="4" s="1"/>
  <c r="X47" i="23"/>
  <c r="X48" i="23" s="1"/>
  <c r="X54" i="23" s="1"/>
  <c r="T47" i="23"/>
  <c r="T48" i="23" s="1"/>
  <c r="T54" i="23" s="1"/>
  <c r="AC46" i="23"/>
  <c r="AC53" i="23" s="1"/>
  <c r="Y47" i="23"/>
  <c r="Y48" i="23" s="1"/>
  <c r="Y54" i="23" s="1"/>
  <c r="Z27" i="23"/>
  <c r="R32" i="1"/>
  <c r="Q32" i="1"/>
  <c r="P10" i="4" s="1"/>
  <c r="D4" i="4"/>
  <c r="Y46" i="23"/>
  <c r="Y53" i="23" s="1"/>
  <c r="O47" i="23"/>
  <c r="O48" i="23" s="1"/>
  <c r="O54" i="23" s="1"/>
  <c r="AB47" i="23"/>
  <c r="AB48" i="23" s="1"/>
  <c r="AB54" i="23" s="1"/>
  <c r="P29" i="1"/>
  <c r="O7" i="4" s="1"/>
  <c r="B27" i="23"/>
  <c r="B52" i="23" s="1"/>
  <c r="K45" i="23"/>
  <c r="Z45" i="23"/>
  <c r="E27" i="23"/>
  <c r="E52" i="23" s="1"/>
  <c r="R30" i="1"/>
  <c r="Q8" i="4" s="1"/>
  <c r="B7" i="4"/>
  <c r="Q35" i="1"/>
  <c r="P13" i="4" s="1"/>
  <c r="Q31" i="1"/>
  <c r="P9" i="4" s="1"/>
  <c r="H22" i="23"/>
  <c r="AA23" i="4"/>
  <c r="AR47" i="23"/>
  <c r="AR48" i="23" s="1"/>
  <c r="AR54" i="23" s="1"/>
  <c r="N47" i="23"/>
  <c r="N48" i="23" s="1"/>
  <c r="N54" i="23" s="1"/>
  <c r="AP47" i="23"/>
  <c r="AP48" i="23" s="1"/>
  <c r="AP54" i="23" s="1"/>
  <c r="P47" i="23"/>
  <c r="P48" i="23" s="1"/>
  <c r="P54" i="23" s="1"/>
  <c r="AC47" i="23"/>
  <c r="AC48" i="23" s="1"/>
  <c r="AC54" i="23" s="1"/>
  <c r="Q46" i="23"/>
  <c r="Q53" i="23" s="1"/>
  <c r="Q37" i="1"/>
  <c r="F22" i="23"/>
  <c r="AV46" i="23"/>
  <c r="AV53" i="23" s="1"/>
  <c r="U46" i="23"/>
  <c r="U53" i="23" s="1"/>
  <c r="W46" i="23"/>
  <c r="W53" i="23" s="1"/>
  <c r="AT47" i="23"/>
  <c r="AT48" i="23" s="1"/>
  <c r="AT54" i="23" s="1"/>
  <c r="T46" i="23"/>
  <c r="T53" i="23" s="1"/>
  <c r="Q47" i="23"/>
  <c r="Q48" i="23" s="1"/>
  <c r="Q54" i="23" s="1"/>
  <c r="P36" i="1"/>
  <c r="H45" i="23"/>
  <c r="BA47" i="23"/>
  <c r="BA48" i="23" s="1"/>
  <c r="BA54" i="23" s="1"/>
  <c r="AQ47" i="23"/>
  <c r="AQ48" i="23" s="1"/>
  <c r="AQ54" i="23" s="1"/>
  <c r="W47" i="23"/>
  <c r="W48" i="23" s="1"/>
  <c r="W54" i="23" s="1"/>
  <c r="AA46" i="23"/>
  <c r="AA53" i="23" s="1"/>
  <c r="X46" i="23"/>
  <c r="X53" i="23" s="1"/>
  <c r="U47" i="23"/>
  <c r="U48" i="23" s="1"/>
  <c r="U54" i="23" s="1"/>
  <c r="S47" i="23"/>
  <c r="S48" i="23" s="1"/>
  <c r="S54" i="23" s="1"/>
  <c r="AB23" i="4"/>
  <c r="AR46" i="23"/>
  <c r="AR53" i="23" s="1"/>
  <c r="AN47" i="23"/>
  <c r="AN48" i="23" s="1"/>
  <c r="AN54" i="23" s="1"/>
  <c r="V46" i="23"/>
  <c r="V53" i="23" s="1"/>
  <c r="S31" i="1"/>
  <c r="R9" i="4" s="1"/>
  <c r="V22" i="4"/>
  <c r="X27" i="4"/>
  <c r="AB27" i="4"/>
  <c r="U29" i="4"/>
  <c r="AZ46" i="23"/>
  <c r="AZ53" i="23" s="1"/>
  <c r="AV47" i="23"/>
  <c r="AV48" i="23" s="1"/>
  <c r="AV54" i="23" s="1"/>
  <c r="AS46" i="23"/>
  <c r="AS53" i="23" s="1"/>
  <c r="R47" i="23"/>
  <c r="R48" i="23" s="1"/>
  <c r="R54" i="23" s="1"/>
  <c r="N46" i="23"/>
  <c r="N53" i="23" s="1"/>
  <c r="T27" i="4"/>
  <c r="AN46" i="23"/>
  <c r="AN53" i="23" s="1"/>
  <c r="AO47" i="23"/>
  <c r="AO48" i="23" s="1"/>
  <c r="AO54" i="23" s="1"/>
  <c r="AZ47" i="23"/>
  <c r="AZ48" i="23" s="1"/>
  <c r="AZ54" i="23" s="1"/>
  <c r="AW46" i="23"/>
  <c r="AW53" i="23" s="1"/>
  <c r="Z47" i="23"/>
  <c r="Z48" i="23" s="1"/>
  <c r="Z54" i="23" s="1"/>
  <c r="AW47" i="23"/>
  <c r="AW48" i="23" s="1"/>
  <c r="AW54" i="23" s="1"/>
  <c r="BA46" i="23"/>
  <c r="BA53" i="23" s="1"/>
  <c r="AX57" i="1"/>
  <c r="AT57" i="1"/>
  <c r="AP57" i="1"/>
  <c r="Z57" i="23"/>
  <c r="V57" i="23"/>
  <c r="R57" i="23"/>
  <c r="N57" i="23"/>
  <c r="AZ57" i="23"/>
  <c r="AW57" i="23"/>
  <c r="AS57" i="23"/>
  <c r="AO57" i="23"/>
  <c r="BA57" i="1"/>
  <c r="AW57" i="1"/>
  <c r="AS57" i="1"/>
  <c r="AO57" i="1"/>
  <c r="AC57" i="23"/>
  <c r="Y57" i="23"/>
  <c r="U57" i="23"/>
  <c r="Q57" i="23"/>
  <c r="AY57" i="23"/>
  <c r="AV57" i="23"/>
  <c r="AR57" i="23"/>
  <c r="AN57" i="23"/>
  <c r="AZ57" i="1"/>
  <c r="AV57" i="1"/>
  <c r="AR57" i="1"/>
  <c r="AN57" i="1"/>
  <c r="AB57" i="23"/>
  <c r="X57" i="23"/>
  <c r="T57" i="23"/>
  <c r="P57" i="23"/>
  <c r="AU57" i="23"/>
  <c r="AQ57" i="23"/>
  <c r="AM57" i="23"/>
  <c r="AY57" i="1"/>
  <c r="AU57" i="1"/>
  <c r="AQ57" i="1"/>
  <c r="AM57" i="1"/>
  <c r="AA57" i="23"/>
  <c r="W57" i="23"/>
  <c r="S57" i="23"/>
  <c r="O57" i="23"/>
  <c r="BA57" i="23"/>
  <c r="AX57" i="23"/>
  <c r="AT57" i="23"/>
  <c r="AP57" i="23"/>
  <c r="J21" i="4"/>
  <c r="E37" i="4"/>
  <c r="M21" i="4"/>
  <c r="S28" i="1"/>
  <c r="AJ37" i="4"/>
  <c r="AG37" i="4"/>
  <c r="S30" i="1"/>
  <c r="R8" i="4" s="1"/>
  <c r="L21" i="4"/>
  <c r="AG21" i="4"/>
  <c r="AC21" i="4"/>
  <c r="Y21" i="4"/>
  <c r="U21" i="4"/>
  <c r="AI37" i="4"/>
  <c r="AF37" i="4"/>
  <c r="S29" i="1"/>
  <c r="R7" i="4" s="1"/>
  <c r="D21" i="4"/>
  <c r="C37" i="4"/>
  <c r="I37" i="4"/>
  <c r="K21" i="4"/>
  <c r="AE37" i="4"/>
  <c r="Q36" i="1"/>
  <c r="P14" i="4" s="1"/>
  <c r="S32" i="1"/>
  <c r="C21" i="4"/>
  <c r="B37" i="4"/>
  <c r="D37" i="4"/>
  <c r="G37" i="4"/>
  <c r="P34" i="1"/>
  <c r="O12" i="4" s="1"/>
  <c r="P35" i="1"/>
  <c r="O13" i="4" s="1"/>
  <c r="P33" i="1"/>
  <c r="O11" i="4" s="1"/>
  <c r="P30" i="1"/>
  <c r="O8" i="4" s="1"/>
  <c r="B9" i="4"/>
  <c r="P31" i="1"/>
  <c r="O9" i="4" s="1"/>
  <c r="X47" i="1"/>
  <c r="X48" i="1" s="1"/>
  <c r="AM54" i="1" s="1"/>
  <c r="O54" i="1"/>
  <c r="Z54" i="1"/>
  <c r="X54" i="1"/>
  <c r="Y46" i="1"/>
  <c r="AN53" i="1" s="1"/>
  <c r="R54" i="1"/>
  <c r="V54" i="1"/>
  <c r="AA54" i="1"/>
  <c r="X53" i="1"/>
  <c r="Q53" i="1"/>
  <c r="Z46" i="1"/>
  <c r="AO53" i="1" s="1"/>
  <c r="Q54" i="1"/>
  <c r="X7" i="4"/>
  <c r="AI46" i="1"/>
  <c r="AX53" i="1" s="1"/>
  <c r="S53" i="1"/>
  <c r="O53" i="1"/>
  <c r="N54" i="1"/>
  <c r="Y54" i="1"/>
  <c r="Y47" i="1"/>
  <c r="Y48" i="1" s="1"/>
  <c r="AN54" i="1" s="1"/>
  <c r="P54" i="1"/>
  <c r="B8" i="4"/>
  <c r="D9" i="4"/>
  <c r="AC47" i="1"/>
  <c r="AC48" i="1" s="1"/>
  <c r="AR54" i="1" s="1"/>
  <c r="AI6" i="4"/>
  <c r="AJ47" i="1"/>
  <c r="AJ48" i="1" s="1"/>
  <c r="AY54" i="1" s="1"/>
  <c r="AJ46" i="1"/>
  <c r="AY53" i="1" s="1"/>
  <c r="AB46" i="1"/>
  <c r="AQ53" i="1" s="1"/>
  <c r="AB47" i="1"/>
  <c r="AB48" i="1" s="1"/>
  <c r="AQ54" i="1" s="1"/>
  <c r="X46" i="1"/>
  <c r="AM53" i="1" s="1"/>
  <c r="V53" i="1"/>
  <c r="R53" i="1"/>
  <c r="AC53" i="1"/>
  <c r="AC54" i="1"/>
  <c r="AA46" i="1"/>
  <c r="AP53" i="1" s="1"/>
  <c r="AA47" i="1"/>
  <c r="AA48" i="1" s="1"/>
  <c r="AP54" i="1" s="1"/>
  <c r="Z6" i="4"/>
  <c r="AB54" i="1"/>
  <c r="Z53" i="1"/>
  <c r="N53" i="1"/>
  <c r="P53" i="1"/>
  <c r="P28" i="1"/>
  <c r="C8" i="4"/>
  <c r="C9" i="4"/>
  <c r="D7" i="4"/>
  <c r="AD47" i="1"/>
  <c r="AD48" i="1" s="1"/>
  <c r="AS54" i="1" s="1"/>
  <c r="AC46" i="1"/>
  <c r="AR53" i="1" s="1"/>
  <c r="Y12" i="4"/>
  <c r="X11" i="4"/>
  <c r="AI47" i="1"/>
  <c r="AI48" i="1" s="1"/>
  <c r="AX54" i="1" s="1"/>
  <c r="S54" i="1"/>
  <c r="AF9" i="4"/>
  <c r="AG46" i="1"/>
  <c r="AV53" i="1" s="1"/>
  <c r="AG47" i="1"/>
  <c r="AG48" i="1" s="1"/>
  <c r="AV54" i="1" s="1"/>
  <c r="AE46" i="1"/>
  <c r="AT53" i="1" s="1"/>
  <c r="U53" i="1"/>
  <c r="T53" i="1"/>
  <c r="AE47" i="1"/>
  <c r="AE48" i="1" s="1"/>
  <c r="AT54" i="1" s="1"/>
  <c r="AB53" i="1"/>
  <c r="Z47" i="1"/>
  <c r="Z48" i="1" s="1"/>
  <c r="AO54" i="1" s="1"/>
  <c r="U54" i="1"/>
  <c r="T54" i="1"/>
  <c r="W6" i="4"/>
  <c r="AH46" i="1"/>
  <c r="AW53" i="1" s="1"/>
  <c r="AG11" i="4"/>
  <c r="AH47" i="1"/>
  <c r="AH48" i="1" s="1"/>
  <c r="AW54" i="1" s="1"/>
  <c r="AD46" i="1"/>
  <c r="AS53" i="1" s="1"/>
  <c r="AH21" i="4"/>
  <c r="AE21" i="4"/>
  <c r="G21" i="4"/>
  <c r="AK21" i="4"/>
  <c r="I21" i="4"/>
  <c r="F21" i="4"/>
  <c r="AJ21" i="4"/>
  <c r="H21" i="4"/>
  <c r="E21" i="4"/>
  <c r="AI21" i="4"/>
  <c r="AF21" i="4"/>
  <c r="L52" i="23"/>
  <c r="W27" i="23"/>
  <c r="E7" i="4"/>
  <c r="D17" i="4"/>
  <c r="H9" i="4"/>
  <c r="C4" i="4"/>
  <c r="A47" i="22"/>
  <c r="I47" i="23"/>
  <c r="I48" i="23" s="1"/>
  <c r="I54" i="23" s="1"/>
  <c r="G27" i="23"/>
  <c r="G52" i="23" s="1"/>
  <c r="AA53" i="1"/>
  <c r="AA47" i="23"/>
  <c r="AA48" i="23" s="1"/>
  <c r="AA54" i="23" s="1"/>
  <c r="O46" i="23"/>
  <c r="O53" i="23" s="1"/>
  <c r="A50" i="22"/>
  <c r="H50" i="22" s="1"/>
  <c r="Z46" i="23"/>
  <c r="Z53" i="23" s="1"/>
  <c r="R46" i="23"/>
  <c r="R53" i="23" s="1"/>
  <c r="AS47" i="23"/>
  <c r="AS48" i="23" s="1"/>
  <c r="AS54" i="23" s="1"/>
  <c r="AO46" i="23"/>
  <c r="AO53" i="23" s="1"/>
  <c r="K27" i="23"/>
  <c r="W52" i="23"/>
  <c r="I7" i="4"/>
  <c r="D52" i="1"/>
  <c r="D22" i="23"/>
  <c r="D45" i="23"/>
  <c r="D27" i="23"/>
  <c r="D52" i="23" s="1"/>
  <c r="Y53" i="1"/>
  <c r="AM47" i="23"/>
  <c r="AM48" i="23" s="1"/>
  <c r="AM54" i="23" s="1"/>
  <c r="AT46" i="23"/>
  <c r="AT53" i="23" s="1"/>
  <c r="AL46" i="23"/>
  <c r="AL53" i="23" s="1"/>
  <c r="AU47" i="23"/>
  <c r="AU48" i="23" s="1"/>
  <c r="AU54" i="23" s="1"/>
  <c r="AL46" i="1"/>
  <c r="BA53" i="1" s="1"/>
  <c r="AF46" i="1"/>
  <c r="AU53" i="1" s="1"/>
  <c r="V47" i="23"/>
  <c r="V48" i="23" s="1"/>
  <c r="V54" i="23" s="1"/>
  <c r="AC27" i="23"/>
  <c r="F45" i="23"/>
  <c r="AF47" i="1"/>
  <c r="AF48" i="1" s="1"/>
  <c r="AU54" i="1" s="1"/>
  <c r="AL47" i="1"/>
  <c r="AL48" i="1" s="1"/>
  <c r="BA54" i="1" s="1"/>
  <c r="AX47" i="23"/>
  <c r="AX48" i="23" s="1"/>
  <c r="AX54" i="23" s="1"/>
  <c r="AM46" i="23"/>
  <c r="AM53" i="23" s="1"/>
  <c r="AY46" i="23"/>
  <c r="AY53" i="23" s="1"/>
  <c r="AI22" i="4"/>
  <c r="AY47" i="23"/>
  <c r="AY48" i="23" s="1"/>
  <c r="AY54" i="23" s="1"/>
  <c r="AP46" i="23"/>
  <c r="AP53" i="23" s="1"/>
  <c r="E22" i="23"/>
  <c r="AK47" i="1"/>
  <c r="AK48" i="1" s="1"/>
  <c r="AZ54" i="1" s="1"/>
  <c r="AK46" i="1"/>
  <c r="AZ53" i="1" s="1"/>
  <c r="W54" i="1"/>
  <c r="W53" i="1"/>
  <c r="AU46" i="23"/>
  <c r="AU53" i="23" s="1"/>
  <c r="AH30" i="4"/>
  <c r="AX46" i="23"/>
  <c r="AX53" i="23" s="1"/>
  <c r="G22" i="23"/>
  <c r="K22" i="23"/>
  <c r="AB27" i="23"/>
  <c r="Z52" i="23"/>
  <c r="L45" i="23"/>
  <c r="AE22" i="23"/>
  <c r="AB45" i="23"/>
  <c r="AG22" i="23"/>
  <c r="AB22" i="23"/>
  <c r="B22" i="23"/>
  <c r="C22" i="23"/>
  <c r="L22" i="23"/>
  <c r="AG27" i="23"/>
  <c r="AG52" i="23" s="1"/>
  <c r="AE27" i="23"/>
  <c r="AE52" i="23" s="1"/>
  <c r="B52" i="1"/>
  <c r="K52" i="1"/>
  <c r="F4" i="4"/>
  <c r="N52" i="1"/>
  <c r="E52" i="1"/>
  <c r="Q27" i="1"/>
  <c r="AF52" i="1" s="1"/>
  <c r="H4" i="4"/>
  <c r="I4" i="4"/>
  <c r="G4" i="4"/>
  <c r="C52" i="1"/>
  <c r="O4" i="4"/>
  <c r="P45" i="1"/>
  <c r="P4" i="4"/>
  <c r="Q45" i="1"/>
  <c r="P27" i="1"/>
  <c r="AE52" i="1" s="1"/>
  <c r="I52" i="1"/>
  <c r="B55" i="4"/>
  <c r="H9" i="12"/>
  <c r="H10" i="12" s="1"/>
  <c r="G9" i="12"/>
  <c r="G10" i="12" s="1"/>
  <c r="E9" i="12"/>
  <c r="E10" i="12" s="1"/>
  <c r="E74" i="4"/>
  <c r="B74" i="4"/>
  <c r="T9" i="12"/>
  <c r="T10" i="12" s="1"/>
  <c r="F9" i="12"/>
  <c r="F10" i="12" s="1"/>
  <c r="L9" i="12"/>
  <c r="L10" i="12" s="1"/>
  <c r="J9" i="12"/>
  <c r="J10" i="12" s="1"/>
  <c r="R9" i="12"/>
  <c r="R10" i="12" s="1"/>
  <c r="AI56" i="23"/>
  <c r="H56" i="1"/>
  <c r="B56" i="1"/>
  <c r="C56" i="1"/>
  <c r="J56" i="23"/>
  <c r="I56" i="1"/>
  <c r="M56" i="23"/>
  <c r="AF56" i="23"/>
  <c r="G56" i="23"/>
  <c r="D56" i="1"/>
  <c r="AK56" i="23"/>
  <c r="AH56" i="1"/>
  <c r="B56" i="23"/>
  <c r="H56" i="23"/>
  <c r="F56" i="23"/>
  <c r="M78" i="4"/>
  <c r="AI56" i="1"/>
  <c r="AG56" i="1"/>
  <c r="AH56" i="23"/>
  <c r="AG56" i="23"/>
  <c r="G56" i="1"/>
  <c r="I56" i="23"/>
  <c r="AJ56" i="1"/>
  <c r="AL56" i="23"/>
  <c r="AE56" i="23"/>
  <c r="E56" i="23"/>
  <c r="C56" i="23"/>
  <c r="AF56" i="1"/>
  <c r="AK56" i="1"/>
  <c r="K56" i="23"/>
  <c r="L56" i="1"/>
  <c r="L56" i="23"/>
  <c r="F56" i="1"/>
  <c r="AL56" i="1"/>
  <c r="AE56" i="1"/>
  <c r="AJ56" i="23"/>
  <c r="K56" i="1"/>
  <c r="M56" i="1"/>
  <c r="D56" i="23"/>
  <c r="J56" i="1"/>
  <c r="E56" i="1"/>
  <c r="AH46" i="23" l="1"/>
  <c r="AH53" i="23" s="1"/>
  <c r="AI47" i="23"/>
  <c r="AI48" i="23" s="1"/>
  <c r="AI54" i="23" s="1"/>
  <c r="AK46" i="23"/>
  <c r="AK53" i="23" s="1"/>
  <c r="AL47" i="23"/>
  <c r="AL48" i="23" s="1"/>
  <c r="AL54" i="23" s="1"/>
  <c r="AF46" i="23"/>
  <c r="AF53" i="23" s="1"/>
  <c r="AJ46" i="23"/>
  <c r="AJ53" i="23" s="1"/>
  <c r="AH47" i="23"/>
  <c r="AH48" i="23" s="1"/>
  <c r="AH54" i="23" s="1"/>
  <c r="AJ47" i="23"/>
  <c r="AJ48" i="23" s="1"/>
  <c r="AJ54" i="23" s="1"/>
  <c r="Q22" i="4"/>
  <c r="L62" i="4"/>
  <c r="V46" i="1"/>
  <c r="AK53" i="1" s="1"/>
  <c r="L74" i="4"/>
  <c r="H2" i="12" s="1"/>
  <c r="AI46" i="23"/>
  <c r="AI53" i="23" s="1"/>
  <c r="AK47" i="23"/>
  <c r="AK48" i="23" s="1"/>
  <c r="AK54" i="23" s="1"/>
  <c r="I46" i="23"/>
  <c r="I53" i="23" s="1"/>
  <c r="AF47" i="23"/>
  <c r="AF48" i="23" s="1"/>
  <c r="AF54" i="23" s="1"/>
  <c r="AG46" i="23"/>
  <c r="AG53" i="23" s="1"/>
  <c r="R22" i="4"/>
  <c r="K55" i="4"/>
  <c r="U6" i="4"/>
  <c r="D47" i="23"/>
  <c r="D48" i="23" s="1"/>
  <c r="D54" i="23" s="1"/>
  <c r="J46" i="23"/>
  <c r="J53" i="23" s="1"/>
  <c r="K74" i="4"/>
  <c r="G2" i="12" s="1"/>
  <c r="V47" i="1"/>
  <c r="V48" i="1" s="1"/>
  <c r="AK54" i="1" s="1"/>
  <c r="H47" i="23"/>
  <c r="H48" i="23" s="1"/>
  <c r="H54" i="23" s="1"/>
  <c r="AK57" i="23"/>
  <c r="AH57" i="23"/>
  <c r="AL57" i="23"/>
  <c r="AI57" i="23"/>
  <c r="AF57" i="23"/>
  <c r="AJ57" i="23"/>
  <c r="AG57" i="23"/>
  <c r="U22" i="4"/>
  <c r="S22" i="4"/>
  <c r="S56" i="4" s="1"/>
  <c r="S75" i="4" s="1"/>
  <c r="T22" i="4"/>
  <c r="J47" i="23"/>
  <c r="J48" i="23" s="1"/>
  <c r="J54" i="23" s="1"/>
  <c r="F47" i="23"/>
  <c r="F48" i="23" s="1"/>
  <c r="F54" i="23" s="1"/>
  <c r="M47" i="23"/>
  <c r="M48" i="23" s="1"/>
  <c r="M54" i="23" s="1"/>
  <c r="E57" i="23"/>
  <c r="D57" i="23"/>
  <c r="H57" i="23"/>
  <c r="C57" i="23"/>
  <c r="G57" i="23"/>
  <c r="L57" i="23"/>
  <c r="I57" i="23"/>
  <c r="J57" i="23"/>
  <c r="F57" i="23"/>
  <c r="M57" i="23"/>
  <c r="K57" i="23"/>
  <c r="F46" i="23"/>
  <c r="F53" i="23" s="1"/>
  <c r="C47" i="23"/>
  <c r="C48" i="23" s="1"/>
  <c r="C54" i="23" s="1"/>
  <c r="G47" i="23"/>
  <c r="G48" i="23" s="1"/>
  <c r="G54" i="23" s="1"/>
  <c r="C46" i="23"/>
  <c r="C53" i="23" s="1"/>
  <c r="E47" i="23"/>
  <c r="E48" i="23" s="1"/>
  <c r="E54" i="23" s="1"/>
  <c r="X63" i="4"/>
  <c r="X64" i="4" s="1"/>
  <c r="L46" i="23"/>
  <c r="L53" i="23" s="1"/>
  <c r="K47" i="23"/>
  <c r="K48" i="23" s="1"/>
  <c r="K54" i="23" s="1"/>
  <c r="D22" i="4"/>
  <c r="E22" i="4"/>
  <c r="G25" i="4"/>
  <c r="H46" i="23"/>
  <c r="H53" i="23" s="1"/>
  <c r="L47" i="23"/>
  <c r="L48" i="23" s="1"/>
  <c r="L54" i="23" s="1"/>
  <c r="AF63" i="4"/>
  <c r="AF64" i="4" s="1"/>
  <c r="D46" i="23"/>
  <c r="D53" i="23" s="1"/>
  <c r="E46" i="23"/>
  <c r="E53" i="23" s="1"/>
  <c r="K46" i="23"/>
  <c r="K53" i="23" s="1"/>
  <c r="G46" i="23"/>
  <c r="G53" i="23" s="1"/>
  <c r="M46" i="23"/>
  <c r="M53" i="23" s="1"/>
  <c r="J23" i="4"/>
  <c r="J57" i="4" s="1"/>
  <c r="J58" i="4" s="1"/>
  <c r="J76" i="4" s="1"/>
  <c r="K23" i="4"/>
  <c r="U46" i="1"/>
  <c r="AJ53" i="1" s="1"/>
  <c r="M4" i="4"/>
  <c r="M62" i="4" s="1"/>
  <c r="V52" i="1"/>
  <c r="O52" i="1"/>
  <c r="S52" i="1"/>
  <c r="J4" i="4"/>
  <c r="J74" i="4" s="1"/>
  <c r="F2" i="12" s="1"/>
  <c r="Z4" i="4"/>
  <c r="AA62" i="4" s="1"/>
  <c r="AP22" i="1"/>
  <c r="U47" i="1"/>
  <c r="U48" i="1" s="1"/>
  <c r="AJ54" i="1" s="1"/>
  <c r="AK63" i="4"/>
  <c r="AK64" i="4" s="1"/>
  <c r="W47" i="1"/>
  <c r="W48" i="1" s="1"/>
  <c r="AL54" i="1" s="1"/>
  <c r="AI57" i="1"/>
  <c r="AJ57" i="1"/>
  <c r="AL57" i="1"/>
  <c r="AK57" i="1"/>
  <c r="T46" i="1"/>
  <c r="AI53" i="1" s="1"/>
  <c r="T47" i="1"/>
  <c r="T48" i="1" s="1"/>
  <c r="AI54" i="1" s="1"/>
  <c r="J54" i="1"/>
  <c r="T7" i="4"/>
  <c r="V6" i="4"/>
  <c r="W63" i="4" s="1"/>
  <c r="W64" i="4" s="1"/>
  <c r="W46" i="1"/>
  <c r="AL53" i="1" s="1"/>
  <c r="K54" i="1"/>
  <c r="L53" i="1"/>
  <c r="M54" i="1"/>
  <c r="J53" i="1"/>
  <c r="AD63" i="4"/>
  <c r="AD64" i="4" s="1"/>
  <c r="K57" i="1"/>
  <c r="M57" i="1"/>
  <c r="L57" i="1"/>
  <c r="J57" i="1"/>
  <c r="F53" i="1"/>
  <c r="L54" i="1"/>
  <c r="K53" i="1"/>
  <c r="AE63" i="4"/>
  <c r="AE64" i="4" s="1"/>
  <c r="L7" i="4"/>
  <c r="L63" i="4" s="1"/>
  <c r="L64" i="4" s="1"/>
  <c r="AH63" i="4"/>
  <c r="AH64" i="4" s="1"/>
  <c r="M53" i="1"/>
  <c r="K6" i="4"/>
  <c r="M63" i="4"/>
  <c r="M64" i="4" s="1"/>
  <c r="Q47" i="1"/>
  <c r="Q48" i="1" s="1"/>
  <c r="AF54" i="1" s="1"/>
  <c r="Y57" i="4"/>
  <c r="Y58" i="4" s="1"/>
  <c r="AL63" i="4"/>
  <c r="AL64" i="4" s="1"/>
  <c r="D6" i="4"/>
  <c r="R6" i="4"/>
  <c r="AY45" i="33"/>
  <c r="AR45" i="33"/>
  <c r="C6" i="4"/>
  <c r="AB63" i="4"/>
  <c r="AB64" i="4" s="1"/>
  <c r="B22" i="4"/>
  <c r="AY27" i="33"/>
  <c r="AY52" i="33" s="1"/>
  <c r="AR22" i="33"/>
  <c r="I6" i="4"/>
  <c r="P7" i="4"/>
  <c r="E6" i="4"/>
  <c r="H6" i="4"/>
  <c r="F6" i="4"/>
  <c r="O6" i="4"/>
  <c r="B6" i="4"/>
  <c r="G6" i="4"/>
  <c r="Q7" i="4"/>
  <c r="AG63" i="4"/>
  <c r="AG64" i="4" s="1"/>
  <c r="Y63" i="4"/>
  <c r="Y64" i="4" s="1"/>
  <c r="AC63" i="4"/>
  <c r="AC64" i="4" s="1"/>
  <c r="AI63" i="4"/>
  <c r="AI64" i="4" s="1"/>
  <c r="AA63" i="4"/>
  <c r="AA64" i="4" s="1"/>
  <c r="AJ63" i="4"/>
  <c r="AJ64" i="4" s="1"/>
  <c r="N63" i="4"/>
  <c r="N64" i="4" s="1"/>
  <c r="AC56" i="4"/>
  <c r="Z63" i="4"/>
  <c r="Z64" i="4" s="1"/>
  <c r="AX27" i="33"/>
  <c r="AX52" i="33" s="1"/>
  <c r="AZ27" i="33"/>
  <c r="AZ52" i="33" s="1"/>
  <c r="H47" i="22"/>
  <c r="H49" i="22"/>
  <c r="H44" i="22"/>
  <c r="AX45" i="33"/>
  <c r="AV45" i="33"/>
  <c r="A46" i="22"/>
  <c r="H46" i="22" s="1"/>
  <c r="AD4" i="1"/>
  <c r="AT22" i="1" s="1"/>
  <c r="AJ27" i="33"/>
  <c r="AJ52" i="33" s="1"/>
  <c r="AV22" i="33"/>
  <c r="AZ45" i="33"/>
  <c r="A34" i="22"/>
  <c r="H34" i="22" s="1"/>
  <c r="A35" i="22"/>
  <c r="H35" i="22" s="1"/>
  <c r="AE4" i="1"/>
  <c r="AF27" i="1" s="1"/>
  <c r="AU52" i="1" s="1"/>
  <c r="AJ45" i="33"/>
  <c r="A38" i="22"/>
  <c r="H38" i="22" s="1"/>
  <c r="AN27" i="33"/>
  <c r="AN52" i="33" s="1"/>
  <c r="A42" i="22"/>
  <c r="H42" i="22" s="1"/>
  <c r="AN22" i="33"/>
  <c r="AD4" i="23"/>
  <c r="AT22" i="23" s="1"/>
  <c r="A40" i="22"/>
  <c r="H40" i="22" s="1"/>
  <c r="I54" i="1"/>
  <c r="F54" i="1"/>
  <c r="G54" i="1"/>
  <c r="E54" i="1"/>
  <c r="R46" i="1"/>
  <c r="AG53" i="1" s="1"/>
  <c r="E53" i="1"/>
  <c r="R47" i="1"/>
  <c r="R48" i="1" s="1"/>
  <c r="AG54" i="1" s="1"/>
  <c r="I53" i="1"/>
  <c r="Q74" i="4"/>
  <c r="A51" i="22"/>
  <c r="H51" i="22" s="1"/>
  <c r="AE4" i="23"/>
  <c r="AU27" i="23" s="1"/>
  <c r="AU52" i="23" s="1"/>
  <c r="Y52" i="1"/>
  <c r="Y27" i="23"/>
  <c r="Y52" i="23"/>
  <c r="Z4" i="23"/>
  <c r="AP45" i="23" s="1"/>
  <c r="A45" i="22"/>
  <c r="H45" i="22" s="1"/>
  <c r="M57" i="4"/>
  <c r="M58" i="4" s="1"/>
  <c r="M76" i="4" s="1"/>
  <c r="AH56" i="4"/>
  <c r="AG56" i="4"/>
  <c r="H57" i="1"/>
  <c r="G57" i="1"/>
  <c r="F57" i="1"/>
  <c r="I57" i="1"/>
  <c r="E57" i="1"/>
  <c r="H7" i="4"/>
  <c r="G53" i="1"/>
  <c r="H53" i="1"/>
  <c r="H54" i="1"/>
  <c r="G11" i="4"/>
  <c r="F9" i="4"/>
  <c r="AF57" i="4"/>
  <c r="AF58" i="4" s="1"/>
  <c r="X56" i="4"/>
  <c r="I13" i="4"/>
  <c r="I57" i="4" s="1"/>
  <c r="I58" i="4" s="1"/>
  <c r="I76" i="4" s="1"/>
  <c r="E12" i="4"/>
  <c r="I55" i="4"/>
  <c r="I62" i="4"/>
  <c r="N62" i="4"/>
  <c r="S22" i="23"/>
  <c r="W4" i="1"/>
  <c r="W4" i="33"/>
  <c r="AS22" i="33"/>
  <c r="AS45" i="33"/>
  <c r="AS27" i="33"/>
  <c r="AS52" i="33" s="1"/>
  <c r="AP45" i="33"/>
  <c r="AP27" i="33"/>
  <c r="AP52" i="33" s="1"/>
  <c r="AP22" i="33"/>
  <c r="AK57" i="4"/>
  <c r="AK58" i="4" s="1"/>
  <c r="X57" i="4"/>
  <c r="X58" i="4" s="1"/>
  <c r="AD57" i="4"/>
  <c r="AD58" i="4" s="1"/>
  <c r="AB56" i="4"/>
  <c r="O55" i="4"/>
  <c r="P62" i="4"/>
  <c r="F55" i="4"/>
  <c r="F62" i="4"/>
  <c r="W56" i="4"/>
  <c r="W57" i="4"/>
  <c r="W58" i="4" s="1"/>
  <c r="AQ27" i="33"/>
  <c r="AQ52" i="33" s="1"/>
  <c r="AQ22" i="33"/>
  <c r="AQ45" i="33"/>
  <c r="AW22" i="33"/>
  <c r="AW27" i="33"/>
  <c r="AW52" i="33" s="1"/>
  <c r="AW45" i="33"/>
  <c r="AT45" i="33"/>
  <c r="AT27" i="33"/>
  <c r="AT52" i="33" s="1"/>
  <c r="AT22" i="33"/>
  <c r="Y56" i="4"/>
  <c r="AG57" i="4"/>
  <c r="AG58" i="4" s="1"/>
  <c r="AB57" i="4"/>
  <c r="AB58" i="4" s="1"/>
  <c r="AE57" i="4"/>
  <c r="AE58" i="4" s="1"/>
  <c r="AJ56" i="4"/>
  <c r="P55" i="4"/>
  <c r="Q62" i="4"/>
  <c r="G55" i="4"/>
  <c r="G62" i="4"/>
  <c r="H74" i="4"/>
  <c r="H62" i="4"/>
  <c r="AU27" i="33"/>
  <c r="AU52" i="33" s="1"/>
  <c r="AU22" i="33"/>
  <c r="AU45" i="33"/>
  <c r="AK22" i="33"/>
  <c r="AK45" i="33"/>
  <c r="AK27" i="33"/>
  <c r="AK52" i="33" s="1"/>
  <c r="BA22" i="33"/>
  <c r="BA45" i="33"/>
  <c r="BA27" i="33"/>
  <c r="BA52" i="33" s="1"/>
  <c r="AH45" i="33"/>
  <c r="AH27" i="33"/>
  <c r="AH52" i="33" s="1"/>
  <c r="AH22" i="33"/>
  <c r="AC57" i="4"/>
  <c r="AC58" i="4" s="1"/>
  <c r="AK56" i="4"/>
  <c r="M56" i="4"/>
  <c r="M75" i="4" s="1"/>
  <c r="AH57" i="4"/>
  <c r="AH58" i="4" s="1"/>
  <c r="AA57" i="4"/>
  <c r="AA58" i="4" s="1"/>
  <c r="AE56" i="4"/>
  <c r="AF56" i="4"/>
  <c r="AJ57" i="4"/>
  <c r="AJ58" i="4" s="1"/>
  <c r="C74" i="4"/>
  <c r="C62" i="4"/>
  <c r="Z56" i="4"/>
  <c r="Z57" i="4"/>
  <c r="Z58" i="4" s="1"/>
  <c r="AI56" i="4"/>
  <c r="AI57" i="4"/>
  <c r="AI58" i="4" s="1"/>
  <c r="D55" i="4"/>
  <c r="D62" i="4"/>
  <c r="AI27" i="33"/>
  <c r="AI52" i="33" s="1"/>
  <c r="AI22" i="33"/>
  <c r="AI45" i="33"/>
  <c r="Y4" i="23"/>
  <c r="AO45" i="23" s="1"/>
  <c r="Y4" i="33"/>
  <c r="A36" i="22"/>
  <c r="H36" i="22" s="1"/>
  <c r="V4" i="33"/>
  <c r="AD56" i="4"/>
  <c r="AA56" i="4"/>
  <c r="Q55" i="4"/>
  <c r="V4" i="1"/>
  <c r="O32" i="4"/>
  <c r="Q10" i="4"/>
  <c r="B32" i="4"/>
  <c r="H55" i="4"/>
  <c r="R10" i="4"/>
  <c r="O14" i="4"/>
  <c r="P15" i="4"/>
  <c r="V4" i="23"/>
  <c r="AL45" i="23" s="1"/>
  <c r="N52" i="23"/>
  <c r="P52" i="1"/>
  <c r="AA45" i="1"/>
  <c r="V4" i="4"/>
  <c r="V55" i="4" s="1"/>
  <c r="Y22" i="23"/>
  <c r="AA27" i="1"/>
  <c r="AP52" i="1" s="1"/>
  <c r="S27" i="23"/>
  <c r="Z52" i="1"/>
  <c r="W4" i="23"/>
  <c r="AM22" i="23" s="1"/>
  <c r="B10" i="4"/>
  <c r="A32" i="22"/>
  <c r="H32" i="22" s="1"/>
  <c r="D13" i="28"/>
  <c r="D9" i="28"/>
  <c r="D5" i="28"/>
  <c r="D14" i="28"/>
  <c r="D10" i="28"/>
  <c r="D6" i="28"/>
  <c r="D15" i="28"/>
  <c r="D11" i="28"/>
  <c r="D7" i="28"/>
  <c r="D3" i="28"/>
  <c r="D12" i="28"/>
  <c r="D8" i="28"/>
  <c r="D4" i="28"/>
  <c r="M79" i="4"/>
  <c r="O26" i="4"/>
  <c r="Q46" i="1"/>
  <c r="AF53" i="1" s="1"/>
  <c r="A37" i="22"/>
  <c r="H37" i="22" s="1"/>
  <c r="AF4" i="23"/>
  <c r="AV22" i="23" s="1"/>
  <c r="AI4" i="23"/>
  <c r="AY22" i="23" s="1"/>
  <c r="U4" i="1"/>
  <c r="AK22" i="1" s="1"/>
  <c r="T52" i="1"/>
  <c r="T22" i="23"/>
  <c r="AJ4" i="1"/>
  <c r="AI4" i="1"/>
  <c r="AY22" i="1" s="1"/>
  <c r="M52" i="1"/>
  <c r="AC52" i="23"/>
  <c r="V45" i="23"/>
  <c r="V27" i="23"/>
  <c r="J52" i="1"/>
  <c r="AH4" i="1"/>
  <c r="AX22" i="1" s="1"/>
  <c r="A48" i="22"/>
  <c r="H48" i="22" s="1"/>
  <c r="S4" i="1"/>
  <c r="AI22" i="1" s="1"/>
  <c r="A33" i="22"/>
  <c r="H33" i="22" s="1"/>
  <c r="S4" i="23"/>
  <c r="AB52" i="1"/>
  <c r="AC4" i="1"/>
  <c r="AS22" i="1" s="1"/>
  <c r="A43" i="22"/>
  <c r="H43" i="22" s="1"/>
  <c r="U52" i="23"/>
  <c r="AC4" i="23"/>
  <c r="AS27" i="23" s="1"/>
  <c r="AS52" i="23" s="1"/>
  <c r="R27" i="23"/>
  <c r="R52" i="23"/>
  <c r="O22" i="23"/>
  <c r="R22" i="23"/>
  <c r="S52" i="23"/>
  <c r="R45" i="23"/>
  <c r="AF4" i="1"/>
  <c r="U22" i="23"/>
  <c r="AA4" i="23"/>
  <c r="A41" i="22"/>
  <c r="H41" i="22" s="1"/>
  <c r="W52" i="1"/>
  <c r="X52" i="1"/>
  <c r="Y4" i="1"/>
  <c r="AO22" i="1" s="1"/>
  <c r="A39" i="22"/>
  <c r="H39" i="22" s="1"/>
  <c r="C55" i="4"/>
  <c r="O52" i="23"/>
  <c r="V22" i="23"/>
  <c r="U45" i="23"/>
  <c r="AJ4" i="23"/>
  <c r="AZ27" i="23" s="1"/>
  <c r="AZ52" i="23" s="1"/>
  <c r="O45" i="23"/>
  <c r="T52" i="23"/>
  <c r="T45" i="23"/>
  <c r="U4" i="23"/>
  <c r="AK22" i="23" s="1"/>
  <c r="AA4" i="1"/>
  <c r="AQ22" i="1" s="1"/>
  <c r="X27" i="23"/>
  <c r="X22" i="23"/>
  <c r="X52" i="23"/>
  <c r="N27" i="23"/>
  <c r="N45" i="23"/>
  <c r="J22" i="23"/>
  <c r="J52" i="23"/>
  <c r="J27" i="23"/>
  <c r="R4" i="1"/>
  <c r="AH22" i="1" s="1"/>
  <c r="R4" i="23"/>
  <c r="AH22" i="23" s="1"/>
  <c r="U52" i="1"/>
  <c r="AH4" i="23"/>
  <c r="AX45" i="23" s="1"/>
  <c r="R52" i="1"/>
  <c r="Q45" i="23"/>
  <c r="Q27" i="23"/>
  <c r="P22" i="23"/>
  <c r="P27" i="23"/>
  <c r="Q22" i="23"/>
  <c r="P45" i="23"/>
  <c r="M52" i="23"/>
  <c r="M22" i="23"/>
  <c r="M45" i="23"/>
  <c r="L2" i="12"/>
  <c r="Q52" i="23"/>
  <c r="B46" i="23"/>
  <c r="B53" i="23" s="1"/>
  <c r="B55" i="23" s="1"/>
  <c r="AE46" i="23"/>
  <c r="AE53" i="23" s="1"/>
  <c r="AE55" i="23" s="1"/>
  <c r="AE47" i="23"/>
  <c r="AE48" i="23" s="1"/>
  <c r="AE54" i="23" s="1"/>
  <c r="B47" i="23"/>
  <c r="B48" i="23" s="1"/>
  <c r="B54" i="23" s="1"/>
  <c r="B57" i="23"/>
  <c r="R59" i="23" s="1"/>
  <c r="R60" i="23" s="1"/>
  <c r="AE57" i="23"/>
  <c r="AM59" i="23" s="1"/>
  <c r="AM60" i="23" s="1"/>
  <c r="B29" i="4"/>
  <c r="O22" i="4"/>
  <c r="S47" i="1"/>
  <c r="S48" i="1" s="1"/>
  <c r="AH54" i="1" s="1"/>
  <c r="AG57" i="1"/>
  <c r="D74" i="4"/>
  <c r="M2" i="12"/>
  <c r="S46" i="1"/>
  <c r="AH53" i="1" s="1"/>
  <c r="J2" i="12"/>
  <c r="C54" i="1"/>
  <c r="G74" i="4"/>
  <c r="D57" i="1"/>
  <c r="AH57" i="1"/>
  <c r="AF57" i="1"/>
  <c r="AE57" i="1"/>
  <c r="C57" i="1"/>
  <c r="D10" i="4"/>
  <c r="C10" i="4"/>
  <c r="B57" i="1"/>
  <c r="C53" i="1"/>
  <c r="B53" i="1"/>
  <c r="AA55" i="1" s="1"/>
  <c r="B54" i="1"/>
  <c r="D53" i="1"/>
  <c r="P47" i="1"/>
  <c r="P48" i="1" s="1"/>
  <c r="AE54" i="1" s="1"/>
  <c r="P46" i="1"/>
  <c r="AE53" i="1" s="1"/>
  <c r="AE55" i="1" s="1"/>
  <c r="D54" i="1"/>
  <c r="D8" i="4"/>
  <c r="X4" i="23"/>
  <c r="X4" i="1"/>
  <c r="AN22" i="1" s="1"/>
  <c r="AG4" i="1"/>
  <c r="AW22" i="1" s="1"/>
  <c r="AG4" i="23"/>
  <c r="AB4" i="23"/>
  <c r="AB4" i="1"/>
  <c r="AR22" i="1" s="1"/>
  <c r="AC52" i="1"/>
  <c r="AA45" i="23"/>
  <c r="AA52" i="23"/>
  <c r="AA27" i="23"/>
  <c r="AA22" i="23"/>
  <c r="AA52" i="1"/>
  <c r="T4" i="1"/>
  <c r="AJ22" i="1" s="1"/>
  <c r="T4" i="23"/>
  <c r="AK4" i="1"/>
  <c r="BA22" i="1" s="1"/>
  <c r="AK4" i="23"/>
  <c r="AC45" i="23"/>
  <c r="AC22" i="23"/>
  <c r="F74" i="4"/>
  <c r="I74" i="4"/>
  <c r="O74" i="4"/>
  <c r="P74" i="4"/>
  <c r="AD2" i="12"/>
  <c r="S78" i="4"/>
  <c r="P78" i="4"/>
  <c r="R78" i="4"/>
  <c r="T78" i="4"/>
  <c r="U78" i="4"/>
  <c r="Q78" i="4"/>
  <c r="V78" i="4"/>
  <c r="J78" i="4"/>
  <c r="B78" i="4"/>
  <c r="E78" i="4"/>
  <c r="L78" i="4"/>
  <c r="F78" i="4"/>
  <c r="C78" i="4"/>
  <c r="O78" i="4"/>
  <c r="H78" i="4"/>
  <c r="I78" i="4"/>
  <c r="K78" i="4"/>
  <c r="D78" i="4"/>
  <c r="G78" i="4"/>
  <c r="U63" i="4" l="1"/>
  <c r="U64" i="4" s="1"/>
  <c r="U56" i="4"/>
  <c r="U75" i="4" s="1"/>
  <c r="J62" i="4"/>
  <c r="T56" i="4"/>
  <c r="T75" i="4" s="1"/>
  <c r="T63" i="4"/>
  <c r="T64" i="4" s="1"/>
  <c r="S57" i="4"/>
  <c r="S58" i="4" s="1"/>
  <c r="S76" i="4" s="1"/>
  <c r="L56" i="4"/>
  <c r="L75" i="4" s="1"/>
  <c r="H3" i="12" s="1"/>
  <c r="J55" i="4"/>
  <c r="C63" i="4"/>
  <c r="C64" i="4" s="1"/>
  <c r="V63" i="4"/>
  <c r="V64" i="4" s="1"/>
  <c r="U57" i="4"/>
  <c r="U58" i="4" s="1"/>
  <c r="U76" i="4" s="1"/>
  <c r="M74" i="4"/>
  <c r="I2" i="12" s="1"/>
  <c r="I3" i="12" s="1"/>
  <c r="U79" i="4"/>
  <c r="S79" i="4"/>
  <c r="W55" i="23"/>
  <c r="K57" i="4"/>
  <c r="K58" i="4" s="1"/>
  <c r="K76" i="4" s="1"/>
  <c r="G4" i="12" s="1"/>
  <c r="J79" i="4"/>
  <c r="J56" i="4"/>
  <c r="J75" i="4" s="1"/>
  <c r="F3" i="12" s="1"/>
  <c r="J63" i="4"/>
  <c r="J64" i="4" s="1"/>
  <c r="K63" i="4"/>
  <c r="K64" i="4" s="1"/>
  <c r="N55" i="23"/>
  <c r="C55" i="23"/>
  <c r="R55" i="23"/>
  <c r="F55" i="23"/>
  <c r="P55" i="23"/>
  <c r="M55" i="4"/>
  <c r="Z55" i="4"/>
  <c r="F63" i="4"/>
  <c r="F64" i="4" s="1"/>
  <c r="AK62" i="4"/>
  <c r="AZ22" i="1"/>
  <c r="V56" i="4"/>
  <c r="V75" i="4" s="1"/>
  <c r="AF45" i="1"/>
  <c r="AU22" i="1"/>
  <c r="W45" i="1"/>
  <c r="AL22" i="1"/>
  <c r="V57" i="4"/>
  <c r="V58" i="4" s="1"/>
  <c r="V76" i="4" s="1"/>
  <c r="X45" i="1"/>
  <c r="AM22" i="1"/>
  <c r="AG62" i="4"/>
  <c r="AV22" i="1"/>
  <c r="AB55" i="1"/>
  <c r="S55" i="1"/>
  <c r="X55" i="1"/>
  <c r="Y55" i="1"/>
  <c r="Z55" i="1"/>
  <c r="O55" i="1"/>
  <c r="T55" i="1"/>
  <c r="O59" i="1"/>
  <c r="O60" i="1" s="1"/>
  <c r="O61" i="1" s="1"/>
  <c r="S59" i="1"/>
  <c r="S60" i="1" s="1"/>
  <c r="S61" i="1" s="1"/>
  <c r="W59" i="1"/>
  <c r="W60" i="1" s="1"/>
  <c r="W61" i="1" s="1"/>
  <c r="AA59" i="1"/>
  <c r="AA60" i="1" s="1"/>
  <c r="AA61" i="1" s="1"/>
  <c r="V59" i="1"/>
  <c r="V60" i="1" s="1"/>
  <c r="V61" i="1" s="1"/>
  <c r="P59" i="1"/>
  <c r="P60" i="1" s="1"/>
  <c r="P61" i="1" s="1"/>
  <c r="T59" i="1"/>
  <c r="T60" i="1" s="1"/>
  <c r="T61" i="1" s="1"/>
  <c r="X59" i="1"/>
  <c r="X60" i="1" s="1"/>
  <c r="X61" i="1" s="1"/>
  <c r="AB59" i="1"/>
  <c r="AB60" i="1" s="1"/>
  <c r="AB61" i="1" s="1"/>
  <c r="N59" i="1"/>
  <c r="N60" i="1" s="1"/>
  <c r="N61" i="1" s="1"/>
  <c r="Q59" i="1"/>
  <c r="Q60" i="1" s="1"/>
  <c r="Q61" i="1" s="1"/>
  <c r="U59" i="1"/>
  <c r="U60" i="1" s="1"/>
  <c r="U61" i="1" s="1"/>
  <c r="Y59" i="1"/>
  <c r="Y60" i="1" s="1"/>
  <c r="Y61" i="1" s="1"/>
  <c r="AC59" i="1"/>
  <c r="AC60" i="1" s="1"/>
  <c r="AC61" i="1" s="1"/>
  <c r="R59" i="1"/>
  <c r="R60" i="1" s="1"/>
  <c r="R61" i="1" s="1"/>
  <c r="Z59" i="1"/>
  <c r="Z60" i="1" s="1"/>
  <c r="Z61" i="1" s="1"/>
  <c r="R55" i="1"/>
  <c r="Q55" i="1"/>
  <c r="V55" i="1"/>
  <c r="AC55" i="1"/>
  <c r="U55" i="1"/>
  <c r="P55" i="1"/>
  <c r="W55" i="1"/>
  <c r="N55" i="1"/>
  <c r="T79" i="4"/>
  <c r="V79" i="4"/>
  <c r="S63" i="4"/>
  <c r="S64" i="4" s="1"/>
  <c r="T57" i="4"/>
  <c r="T58" i="4" s="1"/>
  <c r="T76" i="4" s="1"/>
  <c r="K56" i="4"/>
  <c r="K75" i="4" s="1"/>
  <c r="G3" i="12" s="1"/>
  <c r="L57" i="4"/>
  <c r="L58" i="4" s="1"/>
  <c r="L76" i="4" s="1"/>
  <c r="H4" i="12" s="1"/>
  <c r="K79" i="4"/>
  <c r="L79" i="4"/>
  <c r="I63" i="4"/>
  <c r="I64" i="4" s="1"/>
  <c r="AH55" i="1"/>
  <c r="H56" i="4"/>
  <c r="H75" i="4" s="1"/>
  <c r="G55" i="1"/>
  <c r="AF55" i="1"/>
  <c r="AZ55" i="23"/>
  <c r="AX55" i="23"/>
  <c r="AH55" i="23"/>
  <c r="AM55" i="23"/>
  <c r="AQ55" i="23"/>
  <c r="AS55" i="23"/>
  <c r="AO55" i="1"/>
  <c r="AR55" i="1"/>
  <c r="AY55" i="23"/>
  <c r="AN55" i="23"/>
  <c r="AY55" i="1"/>
  <c r="AJ55" i="1"/>
  <c r="AB55" i="23"/>
  <c r="AG55" i="1"/>
  <c r="AO55" i="23"/>
  <c r="AI55" i="1"/>
  <c r="AU55" i="23"/>
  <c r="AW55" i="23"/>
  <c r="AX55" i="1"/>
  <c r="AV55" i="1"/>
  <c r="AP55" i="23"/>
  <c r="AK55" i="1"/>
  <c r="AL55" i="1"/>
  <c r="AF55" i="23"/>
  <c r="AL55" i="23"/>
  <c r="AI55" i="23"/>
  <c r="AG55" i="23"/>
  <c r="BA55" i="23"/>
  <c r="AT55" i="1"/>
  <c r="AZ55" i="1"/>
  <c r="AV55" i="23"/>
  <c r="AW55" i="1"/>
  <c r="AR55" i="23"/>
  <c r="AQ55" i="1"/>
  <c r="BA55" i="1"/>
  <c r="AU55" i="1"/>
  <c r="AJ55" i="23"/>
  <c r="AN55" i="1"/>
  <c r="AM55" i="1"/>
  <c r="AS55" i="1"/>
  <c r="AK55" i="23"/>
  <c r="AP55" i="1"/>
  <c r="AT55" i="23"/>
  <c r="D63" i="4"/>
  <c r="D64" i="4" s="1"/>
  <c r="B63" i="4"/>
  <c r="B64" i="4" s="1"/>
  <c r="P63" i="4"/>
  <c r="P64" i="4" s="1"/>
  <c r="G56" i="4"/>
  <c r="G75" i="4" s="1"/>
  <c r="H57" i="4"/>
  <c r="H58" i="4" s="1"/>
  <c r="H76" i="4" s="1"/>
  <c r="H63" i="4"/>
  <c r="H64" i="4" s="1"/>
  <c r="Q63" i="4"/>
  <c r="Q64" i="4" s="1"/>
  <c r="G63" i="4"/>
  <c r="G64" i="4" s="1"/>
  <c r="E63" i="4"/>
  <c r="E64" i="4" s="1"/>
  <c r="R63" i="4"/>
  <c r="R64" i="4" s="1"/>
  <c r="V55" i="23"/>
  <c r="U55" i="23"/>
  <c r="AA55" i="23"/>
  <c r="AZ45" i="23"/>
  <c r="AO27" i="23"/>
  <c r="AO52" i="23" s="1"/>
  <c r="X27" i="1"/>
  <c r="AM52" i="1" s="1"/>
  <c r="AO22" i="23"/>
  <c r="AE27" i="1"/>
  <c r="AT52" i="1" s="1"/>
  <c r="AT45" i="23"/>
  <c r="AL27" i="23"/>
  <c r="AL52" i="23" s="1"/>
  <c r="I56" i="4"/>
  <c r="I75" i="4" s="1"/>
  <c r="AF62" i="4"/>
  <c r="AP27" i="23"/>
  <c r="AP52" i="23" s="1"/>
  <c r="AD55" i="4"/>
  <c r="AE45" i="1"/>
  <c r="W4" i="4"/>
  <c r="X62" i="4" s="1"/>
  <c r="F4" i="12"/>
  <c r="AJ27" i="1"/>
  <c r="AY52" i="1" s="1"/>
  <c r="AU22" i="23"/>
  <c r="L4" i="12"/>
  <c r="AT27" i="23"/>
  <c r="AT52" i="23" s="1"/>
  <c r="AP22" i="23"/>
  <c r="AU45" i="23"/>
  <c r="AJ62" i="4"/>
  <c r="V45" i="1"/>
  <c r="AL22" i="23"/>
  <c r="W27" i="1"/>
  <c r="AL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L45" i="33"/>
  <c r="AL27" i="33"/>
  <c r="AL52" i="33" s="1"/>
  <c r="AL22" i="33"/>
  <c r="D57" i="4"/>
  <c r="D58" i="4" s="1"/>
  <c r="D76" i="4" s="1"/>
  <c r="AM27" i="33"/>
  <c r="AM52" i="33" s="1"/>
  <c r="AM22" i="33"/>
  <c r="AM45" i="33"/>
  <c r="O57" i="4"/>
  <c r="O58" i="4" s="1"/>
  <c r="O76" i="4" s="1"/>
  <c r="C57" i="4"/>
  <c r="C58" i="4" s="1"/>
  <c r="C76" i="4" s="1"/>
  <c r="Q2" i="12"/>
  <c r="P2" i="12"/>
  <c r="P4" i="12" s="1"/>
  <c r="Q56" i="4"/>
  <c r="Q75" i="4" s="1"/>
  <c r="O56" i="4"/>
  <c r="O75" i="4" s="1"/>
  <c r="T77" i="4" s="1"/>
  <c r="C56" i="4"/>
  <c r="C75" i="4" s="1"/>
  <c r="R2" i="12"/>
  <c r="V74" i="4"/>
  <c r="Z2" i="12" s="1"/>
  <c r="W62" i="4"/>
  <c r="AO22" i="33"/>
  <c r="AO45" i="33"/>
  <c r="AO27" i="33"/>
  <c r="AO52" i="33" s="1"/>
  <c r="P56" i="4"/>
  <c r="R57" i="4"/>
  <c r="R58" i="4" s="1"/>
  <c r="R76" i="4" s="1"/>
  <c r="Q57" i="4"/>
  <c r="Q58" i="4" s="1"/>
  <c r="Q76" i="4" s="1"/>
  <c r="Q79" i="4"/>
  <c r="P79" i="4"/>
  <c r="R79" i="4"/>
  <c r="AK45" i="1"/>
  <c r="AG27" i="1"/>
  <c r="AV52" i="1" s="1"/>
  <c r="AV45" i="23"/>
  <c r="U4" i="4"/>
  <c r="AG45" i="1"/>
  <c r="AK27" i="1"/>
  <c r="AZ52" i="1" s="1"/>
  <c r="AI27" i="1"/>
  <c r="AX52" i="1" s="1"/>
  <c r="F2" i="27"/>
  <c r="F4" i="27" s="1"/>
  <c r="AZ22" i="23"/>
  <c r="AI45" i="1"/>
  <c r="O2" i="12"/>
  <c r="AV27" i="23"/>
  <c r="AV52" i="23" s="1"/>
  <c r="AS22" i="23"/>
  <c r="V27" i="1"/>
  <c r="AK52" i="1" s="1"/>
  <c r="AM27" i="23"/>
  <c r="AM52" i="23" s="1"/>
  <c r="AM45" i="23"/>
  <c r="C79" i="4"/>
  <c r="D79" i="4"/>
  <c r="K15" i="28"/>
  <c r="K13" i="28"/>
  <c r="K11" i="28"/>
  <c r="K9" i="28"/>
  <c r="L14" i="28"/>
  <c r="L12" i="28"/>
  <c r="L10" i="28"/>
  <c r="L8" i="28"/>
  <c r="L15" i="28"/>
  <c r="L13" i="28"/>
  <c r="L11" i="28"/>
  <c r="L9" i="28"/>
  <c r="K14" i="28"/>
  <c r="K12" i="28"/>
  <c r="K10" i="28"/>
  <c r="K8" i="28"/>
  <c r="L55" i="23"/>
  <c r="X55" i="23"/>
  <c r="D55" i="23"/>
  <c r="H55" i="23"/>
  <c r="K55" i="23"/>
  <c r="S55" i="23"/>
  <c r="AC55" i="23"/>
  <c r="J55" i="23"/>
  <c r="Z55" i="23"/>
  <c r="W59" i="23"/>
  <c r="M55" i="23"/>
  <c r="G55" i="23"/>
  <c r="T55" i="23"/>
  <c r="Q55" i="23"/>
  <c r="E55" i="23"/>
  <c r="Y55" i="23"/>
  <c r="I55" i="23"/>
  <c r="O55" i="23"/>
  <c r="AQ59" i="23"/>
  <c r="AQ60" i="23" s="1"/>
  <c r="AV59" i="23"/>
  <c r="AV60" i="23" s="1"/>
  <c r="AH59" i="23"/>
  <c r="AH60" i="23" s="1"/>
  <c r="O79" i="4"/>
  <c r="B79" i="4"/>
  <c r="B64" i="23"/>
  <c r="AM61" i="23"/>
  <c r="R61" i="23"/>
  <c r="L59" i="23"/>
  <c r="L60" i="23" s="1"/>
  <c r="F59" i="23"/>
  <c r="F60" i="23" s="1"/>
  <c r="V59" i="23"/>
  <c r="V60" i="23" s="1"/>
  <c r="AS59" i="23"/>
  <c r="AS60" i="23" s="1"/>
  <c r="AX59" i="23"/>
  <c r="AX60" i="23" s="1"/>
  <c r="AN59" i="23"/>
  <c r="AN60" i="23" s="1"/>
  <c r="AG59" i="23"/>
  <c r="AG60" i="23" s="1"/>
  <c r="AW59" i="23"/>
  <c r="AW60" i="23" s="1"/>
  <c r="AL59" i="23"/>
  <c r="AL60" i="23" s="1"/>
  <c r="AF59" i="23"/>
  <c r="AF60" i="23" s="1"/>
  <c r="AU59" i="23"/>
  <c r="AU60" i="23" s="1"/>
  <c r="AB59" i="23"/>
  <c r="AB60" i="23" s="1"/>
  <c r="AJ59" i="23"/>
  <c r="AJ60" i="23" s="1"/>
  <c r="AK59" i="23"/>
  <c r="AK60" i="23" s="1"/>
  <c r="BA59" i="23"/>
  <c r="BA60" i="23" s="1"/>
  <c r="AP59" i="23"/>
  <c r="AP60" i="23" s="1"/>
  <c r="AI59" i="23"/>
  <c r="AI60" i="23" s="1"/>
  <c r="AY59" i="23"/>
  <c r="AY60" i="23" s="1"/>
  <c r="O59" i="23"/>
  <c r="O60" i="23" s="1"/>
  <c r="Q59" i="23"/>
  <c r="Q60" i="23" s="1"/>
  <c r="AR59" i="23"/>
  <c r="AR60" i="23" s="1"/>
  <c r="AO59" i="23"/>
  <c r="AO60" i="23" s="1"/>
  <c r="AZ59" i="23"/>
  <c r="AZ60" i="23" s="1"/>
  <c r="AT59" i="23"/>
  <c r="AT60" i="23" s="1"/>
  <c r="B65" i="23"/>
  <c r="AH55" i="4"/>
  <c r="AX22" i="23"/>
  <c r="AJ45" i="1"/>
  <c r="AY45" i="23"/>
  <c r="AX27" i="23"/>
  <c r="AX52" i="23" s="1"/>
  <c r="AY27" i="23"/>
  <c r="AY52" i="23" s="1"/>
  <c r="N2" i="12"/>
  <c r="AH45" i="23"/>
  <c r="AD62" i="4"/>
  <c r="AD27" i="1"/>
  <c r="AS52" i="1" s="1"/>
  <c r="AD45" i="1"/>
  <c r="S4" i="4"/>
  <c r="T62" i="4" s="1"/>
  <c r="T45" i="1"/>
  <c r="T27" i="1"/>
  <c r="AI52" i="1" s="1"/>
  <c r="AQ27" i="23"/>
  <c r="AQ52" i="23" s="1"/>
  <c r="AQ22" i="23"/>
  <c r="AQ45" i="23"/>
  <c r="AB45" i="1"/>
  <c r="AB27" i="1"/>
  <c r="AQ52" i="1" s="1"/>
  <c r="S2" i="12"/>
  <c r="S4" i="12" s="1"/>
  <c r="AS45" i="23"/>
  <c r="AK27" i="23"/>
  <c r="AK52" i="23" s="1"/>
  <c r="AK45" i="23"/>
  <c r="Z27" i="1"/>
  <c r="AO52" i="1" s="1"/>
  <c r="Y4" i="4"/>
  <c r="Z62" i="4" s="1"/>
  <c r="Z45" i="1"/>
  <c r="AI45" i="23"/>
  <c r="AI27" i="23"/>
  <c r="AI52" i="23" s="1"/>
  <c r="AI22" i="23"/>
  <c r="AA4" i="4"/>
  <c r="S45" i="1"/>
  <c r="R4" i="4"/>
  <c r="S62" i="4" s="1"/>
  <c r="S27" i="1"/>
  <c r="AH52" i="1" s="1"/>
  <c r="AH27" i="23"/>
  <c r="AH52" i="23" s="1"/>
  <c r="C59" i="23"/>
  <c r="C60" i="23" s="1"/>
  <c r="P59" i="23"/>
  <c r="P60" i="23" s="1"/>
  <c r="U59" i="23"/>
  <c r="U60" i="23" s="1"/>
  <c r="Z59" i="23"/>
  <c r="Z60" i="23" s="1"/>
  <c r="S59" i="23"/>
  <c r="S60" i="23" s="1"/>
  <c r="T59" i="23"/>
  <c r="T60" i="23" s="1"/>
  <c r="N59" i="23"/>
  <c r="N60" i="23" s="1"/>
  <c r="E59" i="23"/>
  <c r="E60" i="23" s="1"/>
  <c r="J59" i="23"/>
  <c r="J60" i="23" s="1"/>
  <c r="K59" i="23"/>
  <c r="D59" i="23"/>
  <c r="I59" i="23"/>
  <c r="I60" i="23" s="1"/>
  <c r="Y59" i="23"/>
  <c r="Y60" i="23" s="1"/>
  <c r="AE59" i="23"/>
  <c r="AE60" i="23" s="1"/>
  <c r="AA59" i="23"/>
  <c r="AA60" i="23" s="1"/>
  <c r="G59" i="23"/>
  <c r="G60" i="23" s="1"/>
  <c r="H59" i="23"/>
  <c r="H60" i="23" s="1"/>
  <c r="X59" i="23"/>
  <c r="X60" i="23" s="1"/>
  <c r="M59" i="23"/>
  <c r="M60" i="23" s="1"/>
  <c r="AC59" i="23"/>
  <c r="AC60" i="23" s="1"/>
  <c r="C55" i="1"/>
  <c r="H55" i="1"/>
  <c r="F55" i="1"/>
  <c r="I55" i="1"/>
  <c r="L55" i="1"/>
  <c r="J55" i="1"/>
  <c r="D55" i="1"/>
  <c r="K55" i="1"/>
  <c r="E55" i="1"/>
  <c r="AE59" i="1"/>
  <c r="AE60" i="1" s="1"/>
  <c r="J59" i="1"/>
  <c r="J60" i="1" s="1"/>
  <c r="F59" i="1"/>
  <c r="F60" i="1" s="1"/>
  <c r="M59" i="1"/>
  <c r="M60" i="1" s="1"/>
  <c r="I59" i="1"/>
  <c r="I60" i="1" s="1"/>
  <c r="E59" i="1"/>
  <c r="E60" i="1" s="1"/>
  <c r="L59" i="1"/>
  <c r="L60" i="1" s="1"/>
  <c r="H59" i="1"/>
  <c r="H60" i="1" s="1"/>
  <c r="D59" i="1"/>
  <c r="D60" i="1" s="1"/>
  <c r="K59" i="1"/>
  <c r="K60" i="1" s="1"/>
  <c r="C59" i="1"/>
  <c r="C60" i="1" s="1"/>
  <c r="G59" i="1"/>
  <c r="G60" i="1" s="1"/>
  <c r="M55" i="1"/>
  <c r="AZ59" i="1"/>
  <c r="AZ60" i="1" s="1"/>
  <c r="AV59" i="1"/>
  <c r="AV60" i="1" s="1"/>
  <c r="AR59" i="1"/>
  <c r="AR60" i="1" s="1"/>
  <c r="AN59" i="1"/>
  <c r="AN60" i="1" s="1"/>
  <c r="AJ59" i="1"/>
  <c r="AJ60" i="1" s="1"/>
  <c r="AF59" i="1"/>
  <c r="AF60" i="1" s="1"/>
  <c r="AY59" i="1"/>
  <c r="AY60" i="1" s="1"/>
  <c r="AU59" i="1"/>
  <c r="AU60" i="1" s="1"/>
  <c r="AQ59" i="1"/>
  <c r="AQ60" i="1" s="1"/>
  <c r="AM59" i="1"/>
  <c r="AM60" i="1" s="1"/>
  <c r="AI59" i="1"/>
  <c r="AI60" i="1" s="1"/>
  <c r="AX59" i="1"/>
  <c r="AX60" i="1" s="1"/>
  <c r="AT59" i="1"/>
  <c r="AT60" i="1" s="1"/>
  <c r="AP59" i="1"/>
  <c r="AP60" i="1" s="1"/>
  <c r="AL59" i="1"/>
  <c r="AL60" i="1" s="1"/>
  <c r="AH59" i="1"/>
  <c r="AH60" i="1" s="1"/>
  <c r="AO59" i="1"/>
  <c r="AO60" i="1" s="1"/>
  <c r="BA59" i="1"/>
  <c r="BA60" i="1" s="1"/>
  <c r="AK59" i="1"/>
  <c r="AK60" i="1" s="1"/>
  <c r="AS59" i="1"/>
  <c r="AS60" i="1" s="1"/>
  <c r="AW59" i="1"/>
  <c r="AW60" i="1" s="1"/>
  <c r="AG59" i="1"/>
  <c r="AG60" i="1" s="1"/>
  <c r="B65" i="1"/>
  <c r="B64" i="1"/>
  <c r="B55" i="1"/>
  <c r="AR45" i="23"/>
  <c r="AR27" i="23"/>
  <c r="AR52" i="23" s="1"/>
  <c r="AR22" i="23"/>
  <c r="AW22" i="23"/>
  <c r="AW27" i="23"/>
  <c r="AW52" i="23" s="1"/>
  <c r="AW45" i="23"/>
  <c r="AN45" i="23"/>
  <c r="AN27" i="23"/>
  <c r="AN52" i="23" s="1"/>
  <c r="AN22" i="23"/>
  <c r="AH62" i="4"/>
  <c r="AH45" i="1"/>
  <c r="AH27" i="1"/>
  <c r="AW52" i="1" s="1"/>
  <c r="Y27" i="1"/>
  <c r="AN52" i="1" s="1"/>
  <c r="Y45" i="1"/>
  <c r="X4" i="4"/>
  <c r="Y62" i="4" s="1"/>
  <c r="AC45" i="1"/>
  <c r="AC62" i="4"/>
  <c r="AC27" i="1"/>
  <c r="AR52" i="1" s="1"/>
  <c r="AJ27" i="23"/>
  <c r="AJ52" i="23" s="1"/>
  <c r="AJ45" i="23"/>
  <c r="AJ22" i="23"/>
  <c r="BA22" i="23"/>
  <c r="BA27" i="23"/>
  <c r="BA52" i="23" s="1"/>
  <c r="BA45" i="23"/>
  <c r="U27" i="1"/>
  <c r="AJ52" i="1" s="1"/>
  <c r="U45" i="1"/>
  <c r="T4" i="4"/>
  <c r="U62" i="4" s="1"/>
  <c r="AL62" i="4"/>
  <c r="AL27" i="1"/>
  <c r="BA52" i="1" s="1"/>
  <c r="AL45" i="1"/>
  <c r="AF55" i="4"/>
  <c r="D60" i="23"/>
  <c r="K60" i="23"/>
  <c r="AJ55" i="4" l="1"/>
  <c r="N4" i="12"/>
  <c r="Q4" i="12"/>
  <c r="I4" i="12"/>
  <c r="M4" i="12"/>
  <c r="J3" i="12"/>
  <c r="O4" i="12"/>
  <c r="R4" i="12"/>
  <c r="J4" i="12"/>
  <c r="R80" i="4"/>
  <c r="AA2" i="12"/>
  <c r="AH2" i="12"/>
  <c r="J80" i="4"/>
  <c r="W60" i="23"/>
  <c r="W61" i="23" s="1"/>
  <c r="W55" i="4"/>
  <c r="AE55" i="4"/>
  <c r="AE62" i="4"/>
  <c r="AI55" i="4"/>
  <c r="B80" i="4"/>
  <c r="P75" i="4"/>
  <c r="B5" i="27" s="1"/>
  <c r="O81" i="4"/>
  <c r="AI62" i="4"/>
  <c r="AE2" i="12"/>
  <c r="AB62" i="4"/>
  <c r="U74" i="4"/>
  <c r="Y2" i="12" s="1"/>
  <c r="V62" i="4"/>
  <c r="B6" i="12"/>
  <c r="B6" i="27"/>
  <c r="AH61" i="23"/>
  <c r="AV61" i="23"/>
  <c r="AQ61" i="23"/>
  <c r="U55" i="4"/>
  <c r="F3" i="27"/>
  <c r="V77" i="4"/>
  <c r="U77" i="4"/>
  <c r="O77" i="4"/>
  <c r="S77" i="4"/>
  <c r="Q77" i="4"/>
  <c r="R77" i="4"/>
  <c r="T81" i="4"/>
  <c r="U81" i="4"/>
  <c r="P81" i="4"/>
  <c r="V81" i="4"/>
  <c r="S81" i="4"/>
  <c r="Q81" i="4"/>
  <c r="R81" i="4"/>
  <c r="B86" i="4"/>
  <c r="B87" i="4"/>
  <c r="B75" i="4"/>
  <c r="M81" i="4"/>
  <c r="J81" i="4"/>
  <c r="K81" i="4"/>
  <c r="L81" i="4"/>
  <c r="M61" i="23"/>
  <c r="AA61" i="23"/>
  <c r="I61" i="23"/>
  <c r="E61" i="23"/>
  <c r="S61" i="23"/>
  <c r="P61" i="23"/>
  <c r="AT61" i="23"/>
  <c r="Q61" i="23"/>
  <c r="AP61" i="23"/>
  <c r="AB61" i="23"/>
  <c r="AW61" i="23"/>
  <c r="AS61" i="23"/>
  <c r="X61" i="23"/>
  <c r="D61" i="23"/>
  <c r="C61" i="23"/>
  <c r="AZ61" i="23"/>
  <c r="O61" i="23"/>
  <c r="BA61" i="23"/>
  <c r="AU61" i="23"/>
  <c r="AG61" i="23"/>
  <c r="V61" i="23"/>
  <c r="AO61" i="23"/>
  <c r="AY61" i="23"/>
  <c r="AK61" i="23"/>
  <c r="AF61" i="23"/>
  <c r="AN61" i="23"/>
  <c r="F61" i="23"/>
  <c r="H61" i="23"/>
  <c r="K61" i="23"/>
  <c r="N61" i="23"/>
  <c r="Z61" i="23"/>
  <c r="AC61" i="23"/>
  <c r="G61" i="23"/>
  <c r="Y61" i="23"/>
  <c r="J61" i="23"/>
  <c r="T61" i="23"/>
  <c r="U61" i="23"/>
  <c r="AR61" i="23"/>
  <c r="AI61" i="23"/>
  <c r="AJ61" i="23"/>
  <c r="AL61" i="23"/>
  <c r="AX61" i="23"/>
  <c r="L61" i="23"/>
  <c r="AS61" i="1"/>
  <c r="AX61" i="1"/>
  <c r="AN61" i="1"/>
  <c r="D61" i="1"/>
  <c r="AK61" i="1"/>
  <c r="AI61" i="1"/>
  <c r="AY61" i="1"/>
  <c r="G61" i="1"/>
  <c r="M61" i="1"/>
  <c r="BA61" i="1"/>
  <c r="AP61" i="1"/>
  <c r="AM61" i="1"/>
  <c r="AV61" i="1"/>
  <c r="L61" i="1"/>
  <c r="AW61" i="1"/>
  <c r="AO61" i="1"/>
  <c r="AT61" i="1"/>
  <c r="AQ61" i="1"/>
  <c r="AJ61" i="1"/>
  <c r="AZ61" i="1"/>
  <c r="E61" i="1"/>
  <c r="F61" i="1"/>
  <c r="AU61" i="1"/>
  <c r="K61" i="1"/>
  <c r="I61" i="1"/>
  <c r="J61" i="1"/>
  <c r="AL61" i="1"/>
  <c r="AR61" i="1"/>
  <c r="H61" i="1"/>
  <c r="AA55" i="4"/>
  <c r="O3" i="12"/>
  <c r="R3" i="12"/>
  <c r="S3" i="12"/>
  <c r="N3" i="12"/>
  <c r="M3" i="12"/>
  <c r="L3" i="12"/>
  <c r="Y55" i="4"/>
  <c r="AC2" i="12"/>
  <c r="S55" i="4"/>
  <c r="S74" i="4"/>
  <c r="W2" i="12" s="1"/>
  <c r="AC55" i="4"/>
  <c r="AG2" i="12"/>
  <c r="R55" i="4"/>
  <c r="R74" i="4"/>
  <c r="P3" i="12"/>
  <c r="Q3" i="12"/>
  <c r="K2" i="12"/>
  <c r="K4" i="12" s="1"/>
  <c r="B4" i="27"/>
  <c r="B4" i="12"/>
  <c r="AE61" i="1"/>
  <c r="AG61" i="1"/>
  <c r="AF61" i="1"/>
  <c r="C61" i="1"/>
  <c r="AH61" i="1"/>
  <c r="X55" i="4"/>
  <c r="AB2" i="12"/>
  <c r="AG55" i="4"/>
  <c r="AF2" i="12"/>
  <c r="AB55" i="4"/>
  <c r="T55" i="4"/>
  <c r="T74" i="4"/>
  <c r="AK55" i="4"/>
  <c r="B5" i="12" l="1"/>
  <c r="AD4" i="12"/>
  <c r="AB4" i="12"/>
  <c r="P77" i="4"/>
  <c r="AE4" i="12"/>
  <c r="Z4" i="12"/>
  <c r="W4" i="12"/>
  <c r="AG4" i="12"/>
  <c r="AC4" i="12"/>
  <c r="AH4" i="12"/>
  <c r="AF4" i="12"/>
  <c r="Y4" i="12"/>
  <c r="AA4" i="12"/>
  <c r="I81" i="4"/>
  <c r="F3" i="28" s="1"/>
  <c r="F81" i="4"/>
  <c r="G81" i="4"/>
  <c r="H81" i="4"/>
  <c r="D81" i="4"/>
  <c r="D83" i="4" s="1"/>
  <c r="E81" i="4"/>
  <c r="C81" i="4"/>
  <c r="K77" i="4"/>
  <c r="E5" i="28" s="1"/>
  <c r="J77" i="4"/>
  <c r="E4" i="28" s="1"/>
  <c r="G77" i="4"/>
  <c r="F77" i="4"/>
  <c r="L77" i="4"/>
  <c r="E6" i="28" s="1"/>
  <c r="B77" i="4"/>
  <c r="B2" i="27"/>
  <c r="G6" i="27" s="1"/>
  <c r="M77" i="4"/>
  <c r="E7" i="28" s="1"/>
  <c r="I77" i="4"/>
  <c r="E3" i="28"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V83" i="4"/>
  <c r="T83" i="4"/>
  <c r="M83" i="4"/>
  <c r="P83" i="4"/>
  <c r="U83" i="4"/>
  <c r="F83" i="4"/>
  <c r="S5" i="12"/>
  <c r="Q83" i="4"/>
  <c r="K83" i="4"/>
  <c r="J83" i="4"/>
  <c r="R83" i="4"/>
  <c r="S83" i="4"/>
  <c r="O83" i="4"/>
  <c r="AE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J11" i="28"/>
  <c r="I6" i="28"/>
  <c r="J9" i="28"/>
  <c r="I8" i="28"/>
  <c r="F14"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F7" i="28"/>
  <c r="J15" i="28"/>
  <c r="AI2" i="12"/>
  <c r="AI4" i="12" s="1"/>
  <c r="X2" i="12"/>
  <c r="X4" i="12" s="1"/>
  <c r="Q5" i="12" l="1"/>
  <c r="R5" i="12"/>
  <c r="P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G9" i="22" s="1"/>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G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I12" i="22" l="1"/>
  <c r="I15" i="22"/>
  <c r="I32" i="22"/>
  <c r="K32" i="22" s="1"/>
  <c r="L3" i="28" s="1"/>
  <c r="I9" i="22"/>
  <c r="K9" i="22" s="1"/>
  <c r="M9" i="22" s="1"/>
  <c r="I35" i="22"/>
  <c r="K35" i="22" s="1"/>
  <c r="I33" i="22"/>
  <c r="K33" i="22" s="1"/>
  <c r="N33" i="22" s="1"/>
  <c r="G12" i="22"/>
  <c r="K14" i="22"/>
  <c r="M14" i="22" s="1"/>
  <c r="G15" i="22"/>
  <c r="M32" i="22"/>
  <c r="I36" i="22"/>
  <c r="K36" i="22" s="1"/>
  <c r="N36" i="22" s="1"/>
  <c r="I34" i="22"/>
  <c r="K34" i="22" s="1"/>
  <c r="L5" i="28" s="1"/>
  <c r="G10" i="22"/>
  <c r="I10" i="22" s="1"/>
  <c r="M35" i="22"/>
  <c r="K6" i="28"/>
  <c r="N35" i="22"/>
  <c r="L6" i="28"/>
  <c r="K25" i="22"/>
  <c r="M25" i="22" s="1"/>
  <c r="K7" i="22"/>
  <c r="M7" i="22" s="1"/>
  <c r="I14" i="22"/>
  <c r="I24" i="22"/>
  <c r="K18" i="22"/>
  <c r="M18" i="22" s="1"/>
  <c r="K19" i="22"/>
  <c r="M19" i="22" s="1"/>
  <c r="I18" i="22"/>
  <c r="K16" i="22"/>
  <c r="M16" i="22" s="1"/>
  <c r="I19" i="22"/>
  <c r="G24" i="22"/>
  <c r="G22" i="22"/>
  <c r="K21" i="22"/>
  <c r="M21" i="22" s="1"/>
  <c r="G11" i="22"/>
  <c r="I11" i="22" s="1"/>
  <c r="I25" i="22"/>
  <c r="I7" i="22"/>
  <c r="G3" i="28" s="1"/>
  <c r="G13" i="22"/>
  <c r="K26" i="22"/>
  <c r="M26" i="22" s="1"/>
  <c r="I17" i="22"/>
  <c r="I26" i="22"/>
  <c r="G17" i="22"/>
  <c r="K13" i="22"/>
  <c r="M13" i="22" s="1"/>
  <c r="I16" i="22"/>
  <c r="G20" i="22"/>
  <c r="K8" i="22"/>
  <c r="M8" i="22" s="1"/>
  <c r="K23" i="22"/>
  <c r="M23" i="22" s="1"/>
  <c r="I21" i="22"/>
  <c r="K22" i="22"/>
  <c r="M22" i="22" s="1"/>
  <c r="I8" i="22"/>
  <c r="G4" i="28" s="1"/>
  <c r="I23" i="22"/>
  <c r="K20" i="22"/>
  <c r="M20" i="22" s="1"/>
  <c r="N15" i="22"/>
  <c r="N12" i="22"/>
  <c r="N24" i="22"/>
  <c r="N17" i="22"/>
  <c r="L2" i="28"/>
  <c r="N32" i="22"/>
  <c r="K3" i="28"/>
  <c r="K2" i="28"/>
  <c r="G2" i="28"/>
  <c r="G13" i="28"/>
  <c r="G14" i="28"/>
  <c r="G8" i="28"/>
  <c r="G11" i="28"/>
  <c r="G12" i="28"/>
  <c r="G9" i="28"/>
  <c r="G15" i="28"/>
  <c r="G5" i="28"/>
  <c r="G10" i="28"/>
  <c r="H15" i="28"/>
  <c r="H12" i="28"/>
  <c r="H9" i="28"/>
  <c r="H14" i="28"/>
  <c r="H10" i="28"/>
  <c r="H13" i="28"/>
  <c r="H11" i="28"/>
  <c r="H8" i="28"/>
  <c r="H2" i="28"/>
  <c r="M33" i="22" l="1"/>
  <c r="L4" i="28"/>
  <c r="K4" i="28"/>
  <c r="G7" i="28"/>
  <c r="K11" i="22"/>
  <c r="M11" i="22" s="1"/>
  <c r="N14" i="22"/>
  <c r="M36" i="22"/>
  <c r="L7" i="28"/>
  <c r="H5" i="28"/>
  <c r="K7" i="28"/>
  <c r="N34" i="22"/>
  <c r="M34" i="22"/>
  <c r="H7" i="28"/>
  <c r="K5" i="28"/>
  <c r="H3" i="28"/>
  <c r="K10" i="22"/>
  <c r="G6" i="28"/>
  <c r="N25" i="22"/>
  <c r="N18" i="22"/>
  <c r="H4" i="28"/>
  <c r="N20" i="22"/>
  <c r="N26" i="22"/>
  <c r="N13" i="22"/>
  <c r="N19" i="22"/>
  <c r="N7" i="22"/>
  <c r="N8" i="22"/>
  <c r="N16" i="22"/>
  <c r="N21" i="22"/>
  <c r="N9" i="22"/>
  <c r="N23" i="22"/>
  <c r="N22" i="22"/>
  <c r="N11" i="22" l="1"/>
  <c r="H6" i="28"/>
  <c r="N10" i="22"/>
  <c r="M10"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<sst xmlns="http://schemas.openxmlformats.org/spreadsheetml/2006/main" count="7589" uniqueCount="4400">
  <si>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</si>
  <si>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</si>
  <si>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</si>
  <si>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</si>
  <si>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</si>
  <si>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</si>
  <si>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</si>
  <si>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</si>
  <si>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</si>
  <si>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</si>
  <si>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</si>
  <si>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</si>
  <si>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</si>
  <si>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</si>
  <si>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</si>
  <si>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</si>
  <si>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</si>
  <si>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</si>
  <si>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</si>
  <si>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</si>
  <si>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</si>
  <si>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</si>
  <si>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</si>
  <si>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</si>
  <si>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</si>
  <si>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</si>
  <si>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</si>
  <si>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</si>
  <si>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</si>
  <si>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</si>
  <si>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</si>
  <si>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</si>
  <si>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</si>
  <si>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</si>
  <si>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</si>
  <si>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</si>
  <si>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</si>
  <si>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</si>
  <si>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</si>
  <si>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</si>
  <si>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</si>
  <si>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</si>
  <si>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</si>
  <si>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</si>
  <si>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</si>
  <si>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</si>
  <si>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</si>
  <si>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</si>
  <si>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</si>
  <si>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</si>
  <si>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</si>
  <si>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</si>
  <si>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</si>
  <si>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</si>
  <si>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</si>
  <si>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</si>
  <si>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</si>
  <si>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</si>
  <si>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</si>
  <si>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</si>
  <si>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</si>
  <si>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</si>
  <si>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</si>
  <si>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</si>
  <si>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</si>
  <si>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</si>
  <si>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</si>
  <si>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</si>
  <si>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</si>
  <si>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</si>
  <si>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</si>
  <si>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</si>
  <si>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</si>
  <si>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</si>
  <si>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</si>
  <si>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</si>
  <si>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</si>
  <si>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</si>
  <si>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</si>
  <si>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</si>
  <si>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</si>
  <si>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</si>
  <si>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</si>
  <si>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</si>
  <si>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</si>
  <si>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</si>
  <si>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</si>
  <si>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</si>
  <si>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</si>
  <si>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</si>
  <si>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</si>
  <si>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</si>
  <si>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</si>
  <si>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</si>
  <si>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</si>
  <si>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</si>
  <si>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</si>
  <si>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</si>
  <si>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</si>
  <si>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</si>
  <si>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</si>
  <si>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</si>
  <si>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</si>
  <si>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</si>
  <si>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</si>
  <si>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</si>
  <si>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</si>
  <si>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</si>
  <si>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</si>
  <si>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</si>
  <si>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</si>
  <si>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</si>
  <si>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</si>
  <si>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</si>
  <si>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</si>
  <si>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</si>
  <si>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</si>
  <si>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</si>
  <si>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</si>
  <si>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</si>
  <si>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</si>
  <si>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</si>
  <si>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</si>
  <si>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</si>
  <si>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</si>
  <si>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</si>
  <si>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</si>
  <si>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</si>
  <si>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</si>
  <si>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</si>
  <si>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</si>
  <si>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</si>
  <si>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</si>
  <si>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</si>
  <si>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</si>
  <si>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</si>
  <si>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</si>
  <si>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</si>
  <si>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</si>
  <si>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</si>
  <si>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</si>
  <si>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</si>
  <si>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</si>
  <si>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</si>
  <si>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</si>
  <si>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</si>
  <si>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</si>
  <si>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</si>
  <si>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</si>
  <si>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</si>
  <si>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</si>
  <si>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</si>
  <si>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</si>
  <si>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</si>
  <si>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</si>
  <si>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</si>
  <si>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</si>
  <si>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</si>
  <si>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</si>
  <si>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</si>
  <si>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</si>
  <si>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</si>
  <si>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</si>
  <si>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</si>
  <si>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</si>
  <si>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</si>
  <si>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Triphénylphosphate-0,18mg/L</t>
  </si>
  <si>
    <t>Triphénylphosphate-0,26mg/L</t>
  </si>
  <si>
    <t>Triphénylphosphate-0,4mg/L</t>
  </si>
  <si>
    <t>Triphénylphosphate-0,89mg/L</t>
  </si>
  <si>
    <t>Triphénylphosphate-0,59mg/L</t>
  </si>
  <si>
    <t>Triphénylphosphate</t>
  </si>
  <si>
    <t>\\192.168.24.208\images\R&amp;D\Coralie\Triphenylphosphate\2021-CHG-CBA-TRIPHENYLP\plaque 1/@01 TS/A1_01- exclu.tif</t>
  </si>
  <si>
    <t xml:space="preserve">\\192.168.24.208\images\R&amp;D\Coralie\Triphenylphosphate\2021-CHG-CBA-TRIPHENYLP\plaque 1/@01 TS/A1_02.tif </t>
  </si>
  <si>
    <t xml:space="preserve"> 9062.9258 </t>
  </si>
  <si>
    <t xml:space="preserve"> 76.9189 </t>
  </si>
  <si>
    <t xml:space="preserve">\\192.168.24.208\images\R&amp;D\Coralie\Triphenylphosphate\2021-CHG-CBA-TRIPHENYLP\plaque 1/@01 TS/A1_03.tif </t>
  </si>
  <si>
    <t xml:space="preserve"> 9560.4134 </t>
  </si>
  <si>
    <t xml:space="preserve"> 79.6335 </t>
  </si>
  <si>
    <t xml:space="preserve">\\192.168.24.208\images\R&amp;D\Coralie\Triphenylphosphate\2021-CHG-CBA-TRIPHENYLP\plaque 1/@01 TS/B1_01.tif </t>
  </si>
  <si>
    <t xml:space="preserve"> 3828.4913 </t>
  </si>
  <si>
    <t xml:space="preserve"> 69.1695 </t>
  </si>
  <si>
    <t>\\192.168.24.208\images\R&amp;D\Coralie\Triphenylphosphate\2021-CHG-CBA-TRIPHENYLP\plaque 1/@01 TS/B1_02- exclu.tif</t>
  </si>
  <si>
    <t xml:space="preserve">\\192.168.24.208\images\R&amp;D\Coralie\Triphenylphosphate\2021-CHG-CBA-TRIPHENYLP\plaque 1/@01 TS/B1_03.tif </t>
  </si>
  <si>
    <t xml:space="preserve"> 4434.1284 </t>
  </si>
  <si>
    <t xml:space="preserve"> 67.7951 </t>
  </si>
  <si>
    <t xml:space="preserve">\\192.168.24.208\images\R&amp;D\Coralie\Triphenylphosphate\2021-CHG-CBA-TRIPHENYLP\plaque 1/@01 TS/C1_01.tif </t>
  </si>
  <si>
    <t xml:space="preserve"> 2638.8471 </t>
  </si>
  <si>
    <t xml:space="preserve"> 67.082 </t>
  </si>
  <si>
    <t xml:space="preserve">\\192.168.24.208\images\R&amp;D\Coralie\Triphenylphosphate\2021-CHG-CBA-TRIPHENYLP\plaque 1/@01 TS/C1_02.tif </t>
  </si>
  <si>
    <t xml:space="preserve"> 735.4164 </t>
  </si>
  <si>
    <t xml:space="preserve"> 63.6765 </t>
  </si>
  <si>
    <t xml:space="preserve">\\192.168.24.208\images\R&amp;D\Coralie\Triphenylphosphate\2021-CHG-CBA-TRIPHENYLP\plaque 1/@01 TS/C1_03.tif </t>
  </si>
  <si>
    <t xml:space="preserve"> 4866.7263 </t>
  </si>
  <si>
    <t xml:space="preserve"> 67.4933 </t>
  </si>
  <si>
    <t xml:space="preserve">\\192.168.24.208\images\R&amp;D\Coralie\Triphenylphosphate\2021-CHG-CBA-TRIPHENYLP\plaque 1/@01 TS/D1_01.tif </t>
  </si>
  <si>
    <t xml:space="preserve"> 11615.2534 </t>
  </si>
  <si>
    <t xml:space="preserve"> 74.4115 </t>
  </si>
  <si>
    <t xml:space="preserve">\\192.168.24.208\images\R&amp;D\Coralie\Triphenylphosphate\2021-CHG-CBA-TRIPHENYLP\plaque 1/@01 TS/D1_02.tif </t>
  </si>
  <si>
    <t xml:space="preserve"> 3201.2244 </t>
  </si>
  <si>
    <t xml:space="preserve"> 65.9662 </t>
  </si>
  <si>
    <t>\\192.168.24.208\images\R&amp;D\Coralie\Triphenylphosphate\2021-CHG-CBA-TRIPHENYLP\plaque 1/@01 TS/D1_03- exclu.tif</t>
  </si>
  <si>
    <t xml:space="preserve">\\192.168.24.208\images\R&amp;D\Coralie\Triphenylphosphate\2021-CHG-CBA-TRIPHENYLP\plaque 1/@01 TS/E1_01.tif </t>
  </si>
  <si>
    <t xml:space="preserve"> 6597.1179 </t>
  </si>
  <si>
    <t xml:space="preserve"> 68.3639 </t>
  </si>
  <si>
    <t xml:space="preserve">\\192.168.24.208\images\R&amp;D\Coralie\Triphenylphosphate\2021-CHG-CBA-TRIPHENYLP\plaque 1/@01 TS/E1_02.tif </t>
  </si>
  <si>
    <t xml:space="preserve"> 3633.8223 </t>
  </si>
  <si>
    <t xml:space="preserve"> 64.4762 </t>
  </si>
  <si>
    <t>\\192.168.24.208\images\R&amp;D\Coralie\Triphenylphosphate\2021-CHG-CBA-TRIPHENYLP\plaque 1/@01 TS/E1_03- exclu.tif</t>
  </si>
  <si>
    <t xml:space="preserve">\\192.168.24.208\images\R&amp;D\Coralie\Triphenylphosphate\2021-CHG-CBA-TRIPHENYLP\plaque 1/@01 TS/F1_01.tif </t>
  </si>
  <si>
    <t xml:space="preserve"> 12329.0399 </t>
  </si>
  <si>
    <t xml:space="preserve"> 71.5526 </t>
  </si>
  <si>
    <t xml:space="preserve">\\192.168.24.208\images\R&amp;D\Coralie\Triphenylphosphate\2021-CHG-CBA-TRIPHENYLP\plaque 1/@01 TS/F1_02.tif </t>
  </si>
  <si>
    <t xml:space="preserve"> 12631.8585 </t>
  </si>
  <si>
    <t xml:space="preserve"> 71.5959 </t>
  </si>
  <si>
    <t>\\192.168.24.208\images\R&amp;D\Coralie\Triphenylphosphate\2021-CHG-CBA-TRIPHENYLP\plaque 1/@01 TS/F1_03- exclu.tif</t>
  </si>
  <si>
    <t xml:space="preserve">\\192.168.24.208\images\R&amp;D\Coralie\Triphenylphosphate\2021-CHG-CBA-TRIPHENYLP\plaque 1/@01 TS/G1_01.tif </t>
  </si>
  <si>
    <t xml:space="preserve"> 6056.3705 </t>
  </si>
  <si>
    <t xml:space="preserve"> 67.525 </t>
  </si>
  <si>
    <t xml:space="preserve">\\192.168.24.208\images\R&amp;D\Coralie\Triphenylphosphate\2021-CHG-CBA-TRIPHENYLP\plaque 1/@01 TS/G1_02.tif </t>
  </si>
  <si>
    <t xml:space="preserve"> 2768.6265 </t>
  </si>
  <si>
    <t xml:space="preserve"> 65.0078 </t>
  </si>
  <si>
    <t xml:space="preserve">\\192.168.24.208\images\R&amp;D\Coralie\Triphenylphosphate\2021-CHG-CBA-TRIPHENYLP\plaque 1/@01 TS/G1_03.tif </t>
  </si>
  <si>
    <t xml:space="preserve"> 4823.4665 </t>
  </si>
  <si>
    <t xml:space="preserve"> 70.0628 </t>
  </si>
  <si>
    <t xml:space="preserve">\\192.168.24.208\images\R&amp;D\Coralie\Triphenylphosphate\2021-CHG-CBA-TRIPHENYLP\plaque 1/@01 TS/H1_01.tif </t>
  </si>
  <si>
    <t xml:space="preserve"> 5796.8118 </t>
  </si>
  <si>
    <t xml:space="preserve"> 70.2836 </t>
  </si>
  <si>
    <t xml:space="preserve">\\192.168.24.208\images\R&amp;D\Coralie\Triphenylphosphate\2021-CHG-CBA-TRIPHENYLP\plaque 1/@01 TS/H1_02.tif </t>
  </si>
  <si>
    <t xml:space="preserve"> 1925.0606 </t>
  </si>
  <si>
    <t xml:space="preserve"> 67.6404 </t>
  </si>
  <si>
    <t xml:space="preserve">\\192.168.24.208\images\R&amp;D\Coralie\Triphenylphosphate\2021-CHG-CBA-TRIPHENYLP\plaque 1/@01 TS/H1_03.tif </t>
  </si>
  <si>
    <t xml:space="preserve"> 3655.4522 </t>
  </si>
  <si>
    <t xml:space="preserve"> 67.2544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</si>
  <si>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</si>
  <si>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</si>
  <si>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</si>
  <si>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</si>
  <si>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</si>
  <si>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</si>
  <si>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</si>
  <si>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\\192.168.24.208\images\R&amp;D\Coralie\Triphenylphosphate\2021-CHG-CBA-TRIPHENYLP\plaque 1/@01 TS/ </t>
  </si>
  <si>
    <t xml:space="preserve"> 69.2368 </t>
  </si>
  <si>
    <t xml:space="preserve"> 5.948 </t>
  </si>
  <si>
    <t xml:space="preserve"> 388801.792 </t>
  </si>
  <si>
    <t xml:space="preserve"> 319828.217 </t>
  </si>
  <si>
    <t xml:space="preserve">file name </t>
  </si>
  <si>
    <t xml:space="preserve">\\192.168.24.208\images\R&amp;D\Coralie\Triphenylphosphate\2021-CHG-CBA-TRIPHENYLP\plaque 1/@02 EE2 34/A2_01.tif </t>
  </si>
  <si>
    <t xml:space="preserve"> 6186.1499 </t>
  </si>
  <si>
    <t xml:space="preserve"> 68.9301 </t>
  </si>
  <si>
    <t xml:space="preserve">\\192.168.24.208\images\R&amp;D\Coralie\Triphenylphosphate\2021-CHG-CBA-TRIPHENYLP\plaque 1/@02 EE2 34/A2_02.tif </t>
  </si>
  <si>
    <t xml:space="preserve"> 7267.6446 </t>
  </si>
  <si>
    <t xml:space="preserve"> 71.8125 </t>
  </si>
  <si>
    <t xml:space="preserve">\\192.168.24.208\images\R&amp;D\Coralie\Triphenylphosphate\2021-CHG-CBA-TRIPHENYLP\plaque 1/@02 EE2 34/A2_03.tif </t>
  </si>
  <si>
    <t xml:space="preserve"> 4390.8686 </t>
  </si>
  <si>
    <t xml:space="preserve"> 66.2118 </t>
  </si>
  <si>
    <t xml:space="preserve">\\192.168.24.208\images\R&amp;D\Coralie\Triphenylphosphate\2021-CHG-CBA-TRIPHENYLP\plaque 1/@02 EE2 34/B2_01.tif </t>
  </si>
  <si>
    <t xml:space="preserve"> 10490.4989 </t>
  </si>
  <si>
    <t xml:space="preserve"> 72.6928 </t>
  </si>
  <si>
    <t>\\192.168.24.208\images\R&amp;D\Coralie\Triphenylphosphate\2021-CHG-CBA-TRIPHENYLP\plaque 1/@02 EE2 34/B2_02- exclu.tif</t>
  </si>
  <si>
    <t xml:space="preserve">\\192.168.24.208\images\R&amp;D\Coralie\Triphenylphosphate\2021-CHG-CBA-TRIPHENYLP\plaque 1/@02 EE2 34/B2_03.tif </t>
  </si>
  <si>
    <t xml:space="preserve"> 8067.9507 </t>
  </si>
  <si>
    <t xml:space="preserve"> 69.1609 </t>
  </si>
  <si>
    <t xml:space="preserve">\\192.168.24.208\images\R&amp;D\Coralie\Triphenylphosphate\2021-CHG-CBA-TRIPHENYLP\plaque 1/@02 EE2 34/C2_01.tif </t>
  </si>
  <si>
    <t xml:space="preserve"> 5493.9932 </t>
  </si>
  <si>
    <t xml:space="preserve"> 71.9331 </t>
  </si>
  <si>
    <t xml:space="preserve">\\192.168.24.208\images\R&amp;D\Coralie\Triphenylphosphate\2021-CHG-CBA-TRIPHENYLP\plaque 1/@02 EE2 34/C2_02.tif </t>
  </si>
  <si>
    <t xml:space="preserve"> 1773.6514 </t>
  </si>
  <si>
    <t xml:space="preserve"> 67.4634 </t>
  </si>
  <si>
    <t xml:space="preserve">\\192.168.24.208\images\R&amp;D\Coralie\Triphenylphosphate\2021-CHG-CBA-TRIPHENYLP\plaque 1/@02 EE2 34/C2_03.tif </t>
  </si>
  <si>
    <t xml:space="preserve"> 2898.4059 </t>
  </si>
  <si>
    <t xml:space="preserve"> 65.4851 </t>
  </si>
  <si>
    <t xml:space="preserve">\\192.168.24.208\images\R&amp;D\Coralie\Triphenylphosphate\2021-CHG-CBA-TRIPHENYLP\plaque 1/@02 EE2 34/D2_01.tif </t>
  </si>
  <si>
    <t xml:space="preserve"> 3244.4842 </t>
  </si>
  <si>
    <t xml:space="preserve"> 63.8 </t>
  </si>
  <si>
    <t xml:space="preserve">\\192.168.24.208\images\R&amp;D\Coralie\Triphenylphosphate\2021-CHG-CBA-TRIPHENYLP\plaque 1/@02 EE2 34/D2_02.tif </t>
  </si>
  <si>
    <t xml:space="preserve"> 10122.7907 </t>
  </si>
  <si>
    <t xml:space="preserve"> 70.0833 </t>
  </si>
  <si>
    <t xml:space="preserve">\\192.168.24.208\images\R&amp;D\Coralie\Triphenylphosphate\2021-CHG-CBA-TRIPHENYLP\plaque 1/@02 EE2 34/D2_03.tif </t>
  </si>
  <si>
    <t xml:space="preserve"> 3439.1532 </t>
  </si>
  <si>
    <t xml:space="preserve"> 63.8365 </t>
  </si>
  <si>
    <t xml:space="preserve">\\192.168.24.208\images\R&amp;D\Coralie\Triphenylphosphate\2021-CHG-CBA-TRIPHENYLP\plaque 1/@02 EE2 34/E2_01.tif </t>
  </si>
  <si>
    <t xml:space="preserve"> 1427.573 </t>
  </si>
  <si>
    <t xml:space="preserve"> 66.1364 </t>
  </si>
  <si>
    <t xml:space="preserve">\\192.168.24.208\images\R&amp;D\Coralie\Triphenylphosphate\2021-CHG-CBA-TRIPHENYLP\plaque 1/@02 EE2 34/E2_02.tif </t>
  </si>
  <si>
    <t xml:space="preserve"> 1168.0143 </t>
  </si>
  <si>
    <t xml:space="preserve"> 64.537 </t>
  </si>
  <si>
    <t xml:space="preserve">\\192.168.24.208\images\R&amp;D\Coralie\Triphenylphosphate\2021-CHG-CBA-TRIPHENYLP\plaque 1/@02 EE2 34/E2_03.tif </t>
  </si>
  <si>
    <t xml:space="preserve"> 2098.0998 </t>
  </si>
  <si>
    <t xml:space="preserve"> 67.5361 </t>
  </si>
  <si>
    <t>\\192.168.24.208\images\R&amp;D\Coralie\Triphenylphosphate\2021-CHG-CBA-TRIPHENYLP\plaque 1/@02 EE2 34/F2_01- exclu.tif</t>
  </si>
  <si>
    <t>\\192.168.24.208\images\R&amp;D\Coralie\Triphenylphosphate\2021-CHG-CBA-TRIPHENYLP\plaque 1/@02 EE2 34/F2_02- exclu.tif</t>
  </si>
  <si>
    <t>\\192.168.24.208\images\R&amp;D\Coralie\Triphenylphosphate\2021-CHG-CBA-TRIPHENYLP\plaque 1/@02 EE2 34/F2_03- exclu.tif</t>
  </si>
  <si>
    <t xml:space="preserve">\\192.168.24.208\images\R&amp;D\Coralie\Triphenylphosphate\2021-CHG-CBA-TRIPHENYLP\plaque 1/@02 EE2 34/G2_01.tif </t>
  </si>
  <si>
    <t xml:space="preserve"> 886.8257 </t>
  </si>
  <si>
    <t xml:space="preserve"> 63.9756 </t>
  </si>
  <si>
    <t xml:space="preserve">\\192.168.24.208\images\R&amp;D\Coralie\Triphenylphosphate\2021-CHG-CBA-TRIPHENYLP\plaque 1/@02 EE2 34/G2_02.tif </t>
  </si>
  <si>
    <t xml:space="preserve"> 7808.392 </t>
  </si>
  <si>
    <t xml:space="preserve"> 89.0914 </t>
  </si>
  <si>
    <t xml:space="preserve">\\192.168.24.208\images\R&amp;D\Coralie\Triphenylphosphate\2021-CHG-CBA-TRIPHENYLP\plaque 1/@02 EE2 34/G2_03.tif </t>
  </si>
  <si>
    <t xml:space="preserve"> 6748.5271 </t>
  </si>
  <si>
    <t xml:space="preserve"> 72.0449 </t>
  </si>
  <si>
    <t xml:space="preserve">\\192.168.24.208\images\R&amp;D\Coralie\Triphenylphosphate\2021-CHG-CBA-TRIPHENYLP\plaque 1/@02 EE2 34/H2_01.tif </t>
  </si>
  <si>
    <t xml:space="preserve"> 9473.8938 </t>
  </si>
  <si>
    <t xml:space="preserve"> 87.0594 </t>
  </si>
  <si>
    <t xml:space="preserve">\\192.168.24.208\images\R&amp;D\Coralie\Triphenylphosphate\2021-CHG-CBA-TRIPHENYLP\plaque 1/@02 EE2 34/H2_02.tif </t>
  </si>
  <si>
    <t xml:space="preserve"> 10901.4669 </t>
  </si>
  <si>
    <t xml:space="preserve"> 83.9821 </t>
  </si>
  <si>
    <t xml:space="preserve">\\192.168.24.208\images\R&amp;D\Coralie\Triphenylphosphate\2021-CHG-CBA-TRIPHENYLP\plaque 1/@02 EE2 34/H2_03.tif </t>
  </si>
  <si>
    <t xml:space="preserve"> 10425.6092 </t>
  </si>
  <si>
    <t xml:space="preserve"> 81.7656 </t>
  </si>
  <si>
    <t xml:space="preserve">\\192.168.24.208\images\R&amp;D\Coralie\Triphenylphosphate\2021-CHG-CBA-TRIPHENYLP\plaque 1/@02 EE2 34/ </t>
  </si>
  <si>
    <t xml:space="preserve"> 70.0797 </t>
  </si>
  <si>
    <t xml:space="preserve"> 7.747 </t>
  </si>
  <si>
    <t xml:space="preserve"> 364642.208 </t>
  </si>
  <si>
    <t xml:space="preserve"> 299980.713 </t>
  </si>
  <si>
    <t xml:space="preserve">\\192.168.24.208\images\R&amp;D\Coralie\Triphenylphosphate\2021-CHG-CBA-TRIPHENYLP\plaque 1/@03 EE2 51/A3_01.tif </t>
  </si>
  <si>
    <t xml:space="preserve"> 13021.1966 </t>
  </si>
  <si>
    <t xml:space="preserve"> 71.8472 </t>
  </si>
  <si>
    <t xml:space="preserve">\\192.168.24.208\images\R&amp;D\Coralie\Triphenylphosphate\2021-CHG-CBA-TRIPHENYLP\plaque 1/@03 EE2 51/A3_02.tif </t>
  </si>
  <si>
    <t xml:space="preserve"> 15205.8159 </t>
  </si>
  <si>
    <t xml:space="preserve"> 70.3528 </t>
  </si>
  <si>
    <t xml:space="preserve">\\192.168.24.208\images\R&amp;D\Coralie\Triphenylphosphate\2021-CHG-CBA-TRIPHENYLP\plaque 1/@03 EE2 51/A3_03.tif </t>
  </si>
  <si>
    <t xml:space="preserve"> 10771.6875 </t>
  </si>
  <si>
    <t xml:space="preserve"> 66.8976 </t>
  </si>
  <si>
    <t xml:space="preserve">\\192.168.24.208\images\R&amp;D\Coralie\Triphenylphosphate\2021-CHG-CBA-TRIPHENYLP\plaque 1/@03 EE2 51/B3_01.tif </t>
  </si>
  <si>
    <t xml:space="preserve"> 9452.264 </t>
  </si>
  <si>
    <t xml:space="preserve"> 75.6247 </t>
  </si>
  <si>
    <t xml:space="preserve">\\192.168.24.208\images\R&amp;D\Coralie\Triphenylphosphate\2021-CHG-CBA-TRIPHENYLP\plaque 1/@03 EE2 51/B3_02.tif </t>
  </si>
  <si>
    <t xml:space="preserve"> 5320.9541 </t>
  </si>
  <si>
    <t xml:space="preserve"> 68.4309 </t>
  </si>
  <si>
    <t xml:space="preserve">\\192.168.24.208\images\R&amp;D\Coralie\Triphenylphosphate\2021-CHG-CBA-TRIPHENYLP\plaque 1/@03 EE2 51/B3_03.tif </t>
  </si>
  <si>
    <t xml:space="preserve"> 8435.6589 </t>
  </si>
  <si>
    <t xml:space="preserve"> 73.8282 </t>
  </si>
  <si>
    <t>\\192.168.24.208\images\R&amp;D\Coralie\Triphenylphosphate\2021-CHG-CBA-TRIPHENYLP\plaque 1/@03 EE2 51/C3_01- exclu.tif</t>
  </si>
  <si>
    <t xml:space="preserve">\\192.168.24.208\images\R&amp;D\Coralie\Triphenylphosphate\2021-CHG-CBA-TRIPHENYLP\plaque 1/@03 EE2 51/C3_02.tif </t>
  </si>
  <si>
    <t xml:space="preserve"> 2249.509 </t>
  </si>
  <si>
    <t xml:space="preserve"> 64.5096 </t>
  </si>
  <si>
    <t xml:space="preserve">\\192.168.24.208\images\R&amp;D\Coralie\Triphenylphosphate\2021-CHG-CBA-TRIPHENYLP\plaque 1/@03 EE2 51/C3_03.tif </t>
  </si>
  <si>
    <t xml:space="preserve"> 10836.5772 </t>
  </si>
  <si>
    <t xml:space="preserve"> 71.3134 </t>
  </si>
  <si>
    <t xml:space="preserve">\\192.168.24.208\images\R&amp;D\Coralie\Triphenylphosphate\2021-CHG-CBA-TRIPHENYLP\plaque 1/@03 EE2 51/D3_01.tif </t>
  </si>
  <si>
    <t xml:space="preserve"> 11593.6235 </t>
  </si>
  <si>
    <t xml:space="preserve"> 78.8713 </t>
  </si>
  <si>
    <t xml:space="preserve">\\192.168.24.208\images\R&amp;D\Coralie\Triphenylphosphate\2021-CHG-CBA-TRIPHENYLP\plaque 1/@03 EE2 51/D3_02.tif </t>
  </si>
  <si>
    <t xml:space="preserve"> 12004.5915 </t>
  </si>
  <si>
    <t xml:space="preserve"> 77.9063 </t>
  </si>
  <si>
    <t xml:space="preserve">\\192.168.24.208\images\R&amp;D\Coralie\Triphenylphosphate\2021-CHG-CBA-TRIPHENYLP\plaque 1/@03 EE2 51/D3_03.tif </t>
  </si>
  <si>
    <t xml:space="preserve"> 12047.8513 </t>
  </si>
  <si>
    <t xml:space="preserve"> 82.3088 </t>
  </si>
  <si>
    <t xml:space="preserve">\\192.168.24.208\images\R&amp;D\Coralie\Triphenylphosphate\2021-CHG-CBA-TRIPHENYLP\plaque 1/@03 EE2 51/E3_01.tif </t>
  </si>
  <si>
    <t xml:space="preserve"> 7894.9115 </t>
  </si>
  <si>
    <t xml:space="preserve"> 72.0055 </t>
  </si>
  <si>
    <t xml:space="preserve">\\192.168.24.208\images\R&amp;D\Coralie\Triphenylphosphate\2021-CHG-CBA-TRIPHENYLP\plaque 1/@03 EE2 51/E3_02.tif </t>
  </si>
  <si>
    <t xml:space="preserve"> 8738.4774 </t>
  </si>
  <si>
    <t xml:space="preserve"> 82.0916 </t>
  </si>
  <si>
    <t xml:space="preserve">\\192.168.24.208\images\R&amp;D\Coralie\Triphenylphosphate\2021-CHG-CBA-TRIPHENYLP\plaque 1/@03 EE2 51/E3_03.tif </t>
  </si>
  <si>
    <t xml:space="preserve"> 65.311 </t>
  </si>
  <si>
    <t xml:space="preserve">\\192.168.24.208\images\R&amp;D\Coralie\Triphenylphosphate\2021-CHG-CBA-TRIPHENYLP\plaque 1/@03 EE2 51/F3_01.tif </t>
  </si>
  <si>
    <t xml:space="preserve"> 9084.5557 </t>
  </si>
  <si>
    <t xml:space="preserve"> 74.0095 </t>
  </si>
  <si>
    <t xml:space="preserve">\\192.168.24.208\images\R&amp;D\Coralie\Triphenylphosphate\2021-CHG-CBA-TRIPHENYLP\plaque 1/@03 EE2 51/F3_02.tif </t>
  </si>
  <si>
    <t xml:space="preserve"> 9755.0825 </t>
  </si>
  <si>
    <t xml:space="preserve"> 73.2993 </t>
  </si>
  <si>
    <t xml:space="preserve">\\192.168.24.208\images\R&amp;D\Coralie\Triphenylphosphate\2021-CHG-CBA-TRIPHENYLP\plaque 1/@03 EE2 51/F3_03.tif </t>
  </si>
  <si>
    <t xml:space="preserve"> 8976.4063 </t>
  </si>
  <si>
    <t xml:space="preserve"> 73.4651 </t>
  </si>
  <si>
    <t>\\192.168.24.208\images\R&amp;D\Coralie\Triphenylphosphate\2021-CHG-CBA-TRIPHENYLP\plaque 1/@03 EE2 51/G3_01- exclu.tif</t>
  </si>
  <si>
    <t>\\192.168.24.208\images\R&amp;D\Coralie\Triphenylphosphate\2021-CHG-CBA-TRIPHENYLP\plaque 1/@03 EE2 51/G3_02- exclu.tif</t>
  </si>
  <si>
    <t>\\192.168.24.208\images\R&amp;D\Coralie\Triphenylphosphate\2021-CHG-CBA-TRIPHENYLP\plaque 1/@03 EE2 51/G3_03- exclu.tif</t>
  </si>
  <si>
    <t xml:space="preserve">\\192.168.24.208\images\R&amp;D\Coralie\Triphenylphosphate\2021-CHG-CBA-TRIPHENYLP\plaque 1/@03 EE2 51/H3_01.tif </t>
  </si>
  <si>
    <t xml:space="preserve"> 2076.4699 </t>
  </si>
  <si>
    <t xml:space="preserve"> 67.3958 </t>
  </si>
  <si>
    <t xml:space="preserve">\\192.168.24.208\images\R&amp;D\Coralie\Triphenylphosphate\2021-CHG-CBA-TRIPHENYLP\plaque 1/@03 EE2 51/H3_02.tif </t>
  </si>
  <si>
    <t xml:space="preserve"> 3157.9646 </t>
  </si>
  <si>
    <t xml:space="preserve">\\192.168.24.208\images\R&amp;D\Coralie\Triphenylphosphate\2021-CHG-CBA-TRIPHENYLP\plaque 1/@03 EE2 51/H3_03.tif </t>
  </si>
  <si>
    <t xml:space="preserve"> 68.7532 </t>
  </si>
  <si>
    <t xml:space="preserve">\\192.168.24.208\images\R&amp;D\Coralie\Triphenylphosphate\2021-CHG-CBA-TRIPHENYLP\plaque 1/@03 EE2 51/ </t>
  </si>
  <si>
    <t xml:space="preserve"> 73.4543 </t>
  </si>
  <si>
    <t xml:space="preserve"> 6.2655 </t>
  </si>
  <si>
    <t xml:space="preserve"> 668529.625 </t>
  </si>
  <si>
    <t xml:space="preserve"> 293732.362 </t>
  </si>
  <si>
    <t xml:space="preserve">\\192.168.24.208\images\R&amp;D\Coralie\Triphenylphosphate\2021-CHG-CBA-TRIPHENYLP\plaque 1/@04 EE2 76/A4_01.tif </t>
  </si>
  <si>
    <t xml:space="preserve"> 10274.1999 </t>
  </si>
  <si>
    <t xml:space="preserve"> 73.9242 </t>
  </si>
  <si>
    <t xml:space="preserve">\\192.168.24.208\images\R&amp;D\Coralie\Triphenylphosphate\2021-CHG-CBA-TRIPHENYLP\plaque 1/@04 EE2 76/A4_02.tif </t>
  </si>
  <si>
    <t xml:space="preserve"> 64.7727 </t>
  </si>
  <si>
    <t xml:space="preserve">\\192.168.24.208\images\R&amp;D\Coralie\Triphenylphosphate\2021-CHG-CBA-TRIPHENYLP\plaque 1/@04 EE2 76/A4_03.tif </t>
  </si>
  <si>
    <t xml:space="preserve"> 8284.2496 </t>
  </si>
  <si>
    <t xml:space="preserve"> 69.248 </t>
  </si>
  <si>
    <t xml:space="preserve">\\192.168.24.208\images\R&amp;D\Coralie\Triphenylphosphate\2021-CHG-CBA-TRIPHENYLP\plaque 1/@04 EE2 76/B4_01.tif </t>
  </si>
  <si>
    <t xml:space="preserve"> 65.1857 </t>
  </si>
  <si>
    <t xml:space="preserve">\\192.168.24.208\images\R&amp;D\Coralie\Triphenylphosphate\2021-CHG-CBA-TRIPHENYLP\plaque 1/@04 EE2 76/B4_02.tif </t>
  </si>
  <si>
    <t xml:space="preserve"> 6337.5591 </t>
  </si>
  <si>
    <t xml:space="preserve"> 63.802 </t>
  </si>
  <si>
    <t xml:space="preserve">\\192.168.24.208\images\R&amp;D\Coralie\Triphenylphosphate\2021-CHG-CBA-TRIPHENYLP\plaque 1/@04 EE2 76/B4_03.tif </t>
  </si>
  <si>
    <t xml:space="preserve"> 8457.2888 </t>
  </si>
  <si>
    <t xml:space="preserve"> 65.3146 </t>
  </si>
  <si>
    <t xml:space="preserve">\\192.168.24.208\images\R&amp;D\Coralie\Triphenylphosphate\2021-CHG-CBA-TRIPHENYLP\plaque 1/@04 EE2 76/C4_01.tif </t>
  </si>
  <si>
    <t xml:space="preserve"> 12545.3389 </t>
  </si>
  <si>
    <t xml:space="preserve"> 69.3931 </t>
  </si>
  <si>
    <t xml:space="preserve">\\192.168.24.208\images\R&amp;D\Coralie\Triphenylphosphate\2021-CHG-CBA-TRIPHENYLP\plaque 1/@04 EE2 76/C4_02.tif </t>
  </si>
  <si>
    <t xml:space="preserve"> 12783.2677 </t>
  </si>
  <si>
    <t xml:space="preserve"> 72.8393 </t>
  </si>
  <si>
    <t xml:space="preserve">\\192.168.24.208\images\R&amp;D\Coralie\Triphenylphosphate\2021-CHG-CBA-TRIPHENYLP\plaque 1/@04 EE2 76/C4_03.tif </t>
  </si>
  <si>
    <t xml:space="preserve"> 75.6021 </t>
  </si>
  <si>
    <t xml:space="preserve">\\192.168.24.208\images\R&amp;D\Coralie\Triphenylphosphate\2021-CHG-CBA-TRIPHENYLP\plaque 1/@04 EE2 76/D4_01.tif </t>
  </si>
  <si>
    <t xml:space="preserve"> 11571.9936 </t>
  </si>
  <si>
    <t xml:space="preserve"> 65.4692 </t>
  </si>
  <si>
    <t xml:space="preserve">\\192.168.24.208\images\R&amp;D\Coralie\Triphenylphosphate\2021-CHG-CBA-TRIPHENYLP\plaque 1/@04 EE2 76/D4_02.tif </t>
  </si>
  <si>
    <t xml:space="preserve"> 13042.8265 </t>
  </si>
  <si>
    <t xml:space="preserve"> 68.2687 </t>
  </si>
  <si>
    <t xml:space="preserve">\\192.168.24.208\images\R&amp;D\Coralie\Triphenylphosphate\2021-CHG-CBA-TRIPHENYLP\plaque 1/@04 EE2 76/D4_03.tif </t>
  </si>
  <si>
    <t xml:space="preserve"> 13215.8656 </t>
  </si>
  <si>
    <t xml:space="preserve"> 69.5057 </t>
  </si>
  <si>
    <t xml:space="preserve">\\192.168.24.208\images\R&amp;D\Coralie\Triphenylphosphate\2021-CHG-CBA-TRIPHENYLP\plaque 1/@04 EE2 76/E4_01.tif </t>
  </si>
  <si>
    <t xml:space="preserve"> 4239.4593 </t>
  </si>
  <si>
    <t xml:space="preserve"> 65.801 </t>
  </si>
  <si>
    <t xml:space="preserve">\\192.168.24.208\images\R&amp;D\Coralie\Triphenylphosphate\2021-CHG-CBA-TRIPHENYLP\plaque 1/@04 EE2 76/E4_02.tif </t>
  </si>
  <si>
    <t xml:space="preserve"> 2725.3667 </t>
  </si>
  <si>
    <t xml:space="preserve"> 63.6825 </t>
  </si>
  <si>
    <t xml:space="preserve">\\192.168.24.208\images\R&amp;D\Coralie\Triphenylphosphate\2021-CHG-CBA-TRIPHENYLP\plaque 1/@04 EE2 76/E4_03.tif </t>
  </si>
  <si>
    <t xml:space="preserve"> 3136.3347 </t>
  </si>
  <si>
    <t xml:space="preserve"> 65.5862 </t>
  </si>
  <si>
    <t>\\192.168.24.208\images\R&amp;D\Coralie\Triphenylphosphate\2021-CHG-CBA-TRIPHENYLP\plaque 1/@04 EE2 76/F4_01- exclu.tif</t>
  </si>
  <si>
    <t>\\192.168.24.208\images\R&amp;D\Coralie\Triphenylphosphate\2021-CHG-CBA-TRIPHENYLP\plaque 1/@04 EE2 76/F4_02- exclu.tif</t>
  </si>
  <si>
    <t>\\192.168.24.208\images\R&amp;D\Coralie\Triphenylphosphate\2021-CHG-CBA-TRIPHENYLP\plaque 1/@04 EE2 76/F4_03- exclu.tif</t>
  </si>
  <si>
    <t>\\192.168.24.208\images\R&amp;D\Coralie\Triphenylphosphate\2021-CHG-CBA-TRIPHENYLP\plaque 1/@04 EE2 76/G4_01- exclu.tif</t>
  </si>
  <si>
    <t>\\192.168.24.208\images\R&amp;D\Coralie\Triphenylphosphate\2021-CHG-CBA-TRIPHENYLP\plaque 1/@04 EE2 76/G4_02- exclu.tif</t>
  </si>
  <si>
    <t>\\192.168.24.208\images\R&amp;D\Coralie\Triphenylphosphate\2021-CHG-CBA-TRIPHENYLP\plaque 1/@04 EE2 76/G4_03- exclu.tif</t>
  </si>
  <si>
    <t>\\192.168.24.208\images\R&amp;D\Coralie\Triphenylphosphate\2021-CHG-CBA-TRIPHENYLP\plaque 1/@04 EE2 76/H4_01- exclu.tif</t>
  </si>
  <si>
    <t xml:space="preserve">\\192.168.24.208\images\R&amp;D\Coralie\Triphenylphosphate\2021-CHG-CBA-TRIPHENYLP\plaque 1/@04 EE2 76/H4_02.tif </t>
  </si>
  <si>
    <t xml:space="preserve"> 4001.5305 </t>
  </si>
  <si>
    <t xml:space="preserve"> 65.3405 </t>
  </si>
  <si>
    <t xml:space="preserve">\\192.168.24.208\images\R&amp;D\Coralie\Triphenylphosphate\2021-CHG-CBA-TRIPHENYLP\plaque 1/@04 EE2 76/H4_03.tif </t>
  </si>
  <si>
    <t xml:space="preserve"> 3071.445 </t>
  </si>
  <si>
    <t xml:space="preserve"> 64.4014 </t>
  </si>
  <si>
    <t xml:space="preserve">\\192.168.24.208\images\R&amp;D\Coralie\Triphenylphosphate\2021-CHG-CBA-TRIPHENYLP\plaque 1/@04 EE2 76/ </t>
  </si>
  <si>
    <t xml:space="preserve"> 71.5914 </t>
  </si>
  <si>
    <t xml:space="preserve"> 8.3638 </t>
  </si>
  <si>
    <t xml:space="preserve"> 655637.25 </t>
  </si>
  <si>
    <t xml:space="preserve"> 359257.534 </t>
  </si>
  <si>
    <t xml:space="preserve">\\192.168.24.208\images\R&amp;D\Coralie\Triphenylphosphate\2021-CHG-CBA-TRIPHENYLP\plaque 1/@05 EE2 114/A5_01.tif </t>
  </si>
  <si>
    <t xml:space="preserve"> 19228.9763 </t>
  </si>
  <si>
    <t xml:space="preserve"> 66.1496 </t>
  </si>
  <si>
    <t xml:space="preserve">\\192.168.24.208\images\R&amp;D\Coralie\Triphenylphosphate\2021-CHG-CBA-TRIPHENYLP\plaque 1/@05 EE2 114/A5_02.tif </t>
  </si>
  <si>
    <t xml:space="preserve"> 18125.8517 </t>
  </si>
  <si>
    <t xml:space="preserve"> 66.1456 </t>
  </si>
  <si>
    <t xml:space="preserve">\\192.168.24.208\images\R&amp;D\Coralie\Triphenylphosphate\2021-CHG-CBA-TRIPHENYLP\plaque 1/@05 EE2 114/A5_03.tif </t>
  </si>
  <si>
    <t xml:space="preserve"> 63.9888 </t>
  </si>
  <si>
    <t xml:space="preserve">\\192.168.24.208\images\R&amp;D\Coralie\Triphenylphosphate\2021-CHG-CBA-TRIPHENYLP\plaque 1/@05 EE2 114/B5_01.tif </t>
  </si>
  <si>
    <t xml:space="preserve"> 51673.8183 </t>
  </si>
  <si>
    <t xml:space="preserve"> 70.8288 </t>
  </si>
  <si>
    <t xml:space="preserve">\\192.168.24.208\images\R&amp;D\Coralie\Triphenylphosphate\2021-CHG-CBA-TRIPHENYLP\plaque 1/@05 EE2 114/B5_02.tif </t>
  </si>
  <si>
    <t xml:space="preserve"> 54247.7757 </t>
  </si>
  <si>
    <t xml:space="preserve"> 72.8262 </t>
  </si>
  <si>
    <t xml:space="preserve">\\192.168.24.208\images\R&amp;D\Coralie\Triphenylphosphate\2021-CHG-CBA-TRIPHENYLP\plaque 1/@05 EE2 114/B5_03.tif </t>
  </si>
  <si>
    <t xml:space="preserve"> 50332.7648 </t>
  </si>
  <si>
    <t xml:space="preserve"> 73.3464 </t>
  </si>
  <si>
    <t xml:space="preserve">\\192.168.24.208\images\R&amp;D\Coralie\Triphenylphosphate\2021-CHG-CBA-TRIPHENYLP\plaque 1/@05 EE2 114/C5_01.tif </t>
  </si>
  <si>
    <t xml:space="preserve"> 5753.552 </t>
  </si>
  <si>
    <t xml:space="preserve"> 64.1805 </t>
  </si>
  <si>
    <t xml:space="preserve">\\192.168.24.208\images\R&amp;D\Coralie\Triphenylphosphate\2021-CHG-CBA-TRIPHENYLP\plaque 1/@05 EE2 114/C5_02.tif </t>
  </si>
  <si>
    <t xml:space="preserve"> 16244.0509 </t>
  </si>
  <si>
    <t xml:space="preserve"> 73.229 </t>
  </si>
  <si>
    <t xml:space="preserve">\\192.168.24.208\images\R&amp;D\Coralie\Triphenylphosphate\2021-CHG-CBA-TRIPHENYLP\plaque 1/@05 EE2 114/C5_03.tif </t>
  </si>
  <si>
    <t xml:space="preserve"> 6921.5663 </t>
  </si>
  <si>
    <t xml:space="preserve"> 66.5687 </t>
  </si>
  <si>
    <t xml:space="preserve">\\192.168.24.208\images\R&amp;D\Coralie\Triphenylphosphate\2021-CHG-CBA-TRIPHENYLP\plaque 1/@05 EE2 114/D5_01.tif </t>
  </si>
  <si>
    <t xml:space="preserve"> 16157.5313 </t>
  </si>
  <si>
    <t xml:space="preserve"> 66.1553 </t>
  </si>
  <si>
    <t xml:space="preserve">\\192.168.24.208\images\R&amp;D\Coralie\Triphenylphosphate\2021-CHG-CBA-TRIPHENYLP\plaque 1/@05 EE2 114/D5_02.tif </t>
  </si>
  <si>
    <t xml:space="preserve"> 19575.0546 </t>
  </si>
  <si>
    <t xml:space="preserve"> 66.1713 </t>
  </si>
  <si>
    <t xml:space="preserve">\\192.168.24.208\images\R&amp;D\Coralie\Triphenylphosphate\2021-CHG-CBA-TRIPHENYLP\plaque 1/@05 EE2 114/D5_03.tif </t>
  </si>
  <si>
    <t xml:space="preserve"> 12350.6698 </t>
  </si>
  <si>
    <t xml:space="preserve"> 65.0841 </t>
  </si>
  <si>
    <t xml:space="preserve">\\192.168.24.208\images\R&amp;D\Coralie\Triphenylphosphate\2021-CHG-CBA-TRIPHENYLP\plaque 1/@05 EE2 114/E5_01.tif </t>
  </si>
  <si>
    <t xml:space="preserve"> 36230.0735 </t>
  </si>
  <si>
    <t xml:space="preserve"> 69.3976 </t>
  </si>
  <si>
    <t xml:space="preserve">\\192.168.24.208\images\R&amp;D\Coralie\Triphenylphosphate\2021-CHG-CBA-TRIPHENYLP\plaque 1/@05 EE2 114/E5_02.tif </t>
  </si>
  <si>
    <t xml:space="preserve"> 30519.7813 </t>
  </si>
  <si>
    <t xml:space="preserve"> 68.5245 </t>
  </si>
  <si>
    <t xml:space="preserve">\\192.168.24.208\images\R&amp;D\Coralie\Triphenylphosphate\2021-CHG-CBA-TRIPHENYLP\plaque 1/@05 EE2 114/E5_03.tif </t>
  </si>
  <si>
    <t xml:space="preserve"> 35970.5148 </t>
  </si>
  <si>
    <t xml:space="preserve"> 68.7138 </t>
  </si>
  <si>
    <t xml:space="preserve">\\192.168.24.208\images\R&amp;D\Coralie\Triphenylphosphate\2021-CHG-CBA-TRIPHENYLP\plaque 1/@05 EE2 114/F5_01.tif </t>
  </si>
  <si>
    <t xml:space="preserve"> 4607.1676 </t>
  </si>
  <si>
    <t xml:space="preserve"> 64.2535 </t>
  </si>
  <si>
    <t xml:space="preserve">\\192.168.24.208\images\R&amp;D\Coralie\Triphenylphosphate\2021-CHG-CBA-TRIPHENYLP\plaque 1/@05 EE2 114/F5_02.tif </t>
  </si>
  <si>
    <t xml:space="preserve"> 3417.5234 </t>
  </si>
  <si>
    <t xml:space="preserve"> 64.3987 </t>
  </si>
  <si>
    <t xml:space="preserve">\\192.168.24.208\images\R&amp;D\Coralie\Triphenylphosphate\2021-CHG-CBA-TRIPHENYLP\plaque 1/@05 EE2 114/F5_03.tif </t>
  </si>
  <si>
    <t xml:space="preserve"> 3763.6017 </t>
  </si>
  <si>
    <t xml:space="preserve"> 63.7989 </t>
  </si>
  <si>
    <t xml:space="preserve">\\192.168.24.208\images\R&amp;D\Coralie\Triphenylphosphate\2021-CHG-CBA-TRIPHENYLP\plaque 1/@05 EE2 114/G5_01.tif </t>
  </si>
  <si>
    <t xml:space="preserve"> 37873.9455 </t>
  </si>
  <si>
    <t xml:space="preserve"> 70.0891 </t>
  </si>
  <si>
    <t xml:space="preserve">\\192.168.24.208\images\R&amp;D\Coralie\Triphenylphosphate\2021-CHG-CBA-TRIPHENYLP\plaque 1/@05 EE2 114/G5_02.tif </t>
  </si>
  <si>
    <t xml:space="preserve"> 31536.3864 </t>
  </si>
  <si>
    <t xml:space="preserve"> 69.1324 </t>
  </si>
  <si>
    <t xml:space="preserve">\\192.168.24.208\images\R&amp;D\Coralie\Triphenylphosphate\2021-CHG-CBA-TRIPHENYLP\plaque 1/@05 EE2 114/G5_03.tif </t>
  </si>
  <si>
    <t xml:space="preserve"> 30714.4504 </t>
  </si>
  <si>
    <t xml:space="preserve"> 68.0275 </t>
  </si>
  <si>
    <t xml:space="preserve">\\192.168.24.208\images\R&amp;D\Coralie\Triphenylphosphate\2021-CHG-CBA-TRIPHENYLP\plaque 1/@05 EE2 114/H5_01.tif </t>
  </si>
  <si>
    <t xml:space="preserve"> 68.6198 </t>
  </si>
  <si>
    <t xml:space="preserve">\\192.168.24.208\images\R&amp;D\Coralie\Triphenylphosphate\2021-CHG-CBA-TRIPHENYLP\plaque 1/@05 EE2 114/H5_02.tif </t>
  </si>
  <si>
    <t xml:space="preserve"> 17801.4033 </t>
  </si>
  <si>
    <t xml:space="preserve"> 69.1762 </t>
  </si>
  <si>
    <t xml:space="preserve">\\192.168.24.208\images\R&amp;D\Coralie\Triphenylphosphate\2021-CHG-CBA-TRIPHENYLP\plaque 1/@05 EE2 114/H5_03.tif </t>
  </si>
  <si>
    <t xml:space="preserve"> 32509.7316 </t>
  </si>
  <si>
    <t xml:space="preserve"> 78.7046 </t>
  </si>
  <si>
    <t xml:space="preserve">\\192.168.24.208\images\R&amp;D\Coralie\Triphenylphosphate\2021-CHG-CBA-TRIPHENYLP\plaque 1/@05 EE2 114/ </t>
  </si>
  <si>
    <t xml:space="preserve"> 68.2296 </t>
  </si>
  <si>
    <t xml:space="preserve"> 3.6724 </t>
  </si>
  <si>
    <t xml:space="preserve"> 1648752.17 </t>
  </si>
  <si>
    <t xml:space="preserve"> 1126650.66 </t>
  </si>
  <si>
    <t xml:space="preserve">\\192.168.24.208\images\R&amp;D\Coralie\Triphenylphosphate\2021-CHG-CBA-TRIPHENYLP\plaque 1/@06 EE2 171/A6_01.tif </t>
  </si>
  <si>
    <t xml:space="preserve"> 37419.7177 </t>
  </si>
  <si>
    <t xml:space="preserve"> 68.9971 </t>
  </si>
  <si>
    <t xml:space="preserve">\\192.168.24.208\images\R&amp;D\Coralie\Triphenylphosphate\2021-CHG-CBA-TRIPHENYLP\plaque 1/@06 EE2 171/A6_02.tif </t>
  </si>
  <si>
    <t xml:space="preserve"> 34824.1304 </t>
  </si>
  <si>
    <t xml:space="preserve"> 68.036 </t>
  </si>
  <si>
    <t xml:space="preserve">\\192.168.24.208\images\R&amp;D\Coralie\Triphenylphosphate\2021-CHG-CBA-TRIPHENYLP\plaque 1/@06 EE2 171/A6_03.tif </t>
  </si>
  <si>
    <t xml:space="preserve"> 31860.8348 </t>
  </si>
  <si>
    <t xml:space="preserve"> 67.4739 </t>
  </si>
  <si>
    <t xml:space="preserve">\\192.168.24.208\images\R&amp;D\Coralie\Triphenylphosphate\2021-CHG-CBA-TRIPHENYLP\plaque 1/@06 EE2 171/B6_01.tif </t>
  </si>
  <si>
    <t xml:space="preserve"> 33396.5573 </t>
  </si>
  <si>
    <t xml:space="preserve"> 87.1846 </t>
  </si>
  <si>
    <t xml:space="preserve">\\192.168.24.208\images\R&amp;D\Coralie\Triphenylphosphate\2021-CHG-CBA-TRIPHENYLP\plaque 1/@06 EE2 171/B6_02.tif </t>
  </si>
  <si>
    <t xml:space="preserve"> 36814.0807 </t>
  </si>
  <si>
    <t xml:space="preserve"> 82.4818 </t>
  </si>
  <si>
    <t xml:space="preserve">\\192.168.24.208\images\R&amp;D\Coralie\Triphenylphosphate\2021-CHG-CBA-TRIPHENYLP\plaque 1/@06 EE2 171/B6_03.tif </t>
  </si>
  <si>
    <t xml:space="preserve"> 79.1996 </t>
  </si>
  <si>
    <t xml:space="preserve">\\192.168.24.208\images\R&amp;D\Coralie\Triphenylphosphate\2021-CHG-CBA-TRIPHENYLP\plaque 1/@06 EE2 171/C6_01.tif </t>
  </si>
  <si>
    <t xml:space="preserve"> 52214.5656 </t>
  </si>
  <si>
    <t xml:space="preserve"> 77.2245 </t>
  </si>
  <si>
    <t xml:space="preserve">\\192.168.24.208\images\R&amp;D\Coralie\Triphenylphosphate\2021-CHG-CBA-TRIPHENYLP\plaque 1/@06 EE2 171/C6_02.tif </t>
  </si>
  <si>
    <t xml:space="preserve"> 47412.729 </t>
  </si>
  <si>
    <t xml:space="preserve"> 75.286 </t>
  </si>
  <si>
    <t xml:space="preserve">\\192.168.24.208\images\R&amp;D\Coralie\Triphenylphosphate\2021-CHG-CBA-TRIPHENYLP\plaque 1/@06 EE2 171/C6_03.tif </t>
  </si>
  <si>
    <t xml:space="preserve"> 50376.0246 </t>
  </si>
  <si>
    <t xml:space="preserve"> 76.4813 </t>
  </si>
  <si>
    <t xml:space="preserve">\\192.168.24.208\images\R&amp;D\Coralie\Triphenylphosphate\2021-CHG-CBA-TRIPHENYLP\plaque 1/@06 EE2 171/D6_01.tif </t>
  </si>
  <si>
    <t xml:space="preserve"> 58638.6443 </t>
  </si>
  <si>
    <t xml:space="preserve"> 74.6282 </t>
  </si>
  <si>
    <t xml:space="preserve">\\192.168.24.208\images\R&amp;D\Coralie\Triphenylphosphate\2021-CHG-CBA-TRIPHENYLP\plaque 1/@06 EE2 171/D6_02.tif </t>
  </si>
  <si>
    <t xml:space="preserve"> 56086.3168 </t>
  </si>
  <si>
    <t xml:space="preserve"> 70.7358 </t>
  </si>
  <si>
    <t xml:space="preserve">\\192.168.24.208\images\R&amp;D\Coralie\Triphenylphosphate\2021-CHG-CBA-TRIPHENYLP\plaque 1/@06 EE2 171/D6_03.tif </t>
  </si>
  <si>
    <t xml:space="preserve"> 55523.9395 </t>
  </si>
  <si>
    <t xml:space="preserve"> 69.8524 </t>
  </si>
  <si>
    <t xml:space="preserve">\\192.168.24.208\images\R&amp;D\Coralie\Triphenylphosphate\2021-CHG-CBA-TRIPHENYLP\plaque 1/@06 EE2 171/E6_01.tif </t>
  </si>
  <si>
    <t xml:space="preserve"> 22343.6812 </t>
  </si>
  <si>
    <t xml:space="preserve"> 66.9952 </t>
  </si>
  <si>
    <t xml:space="preserve">\\192.168.24.208\images\R&amp;D\Coralie\Triphenylphosphate\2021-CHG-CBA-TRIPHENYLP\plaque 1/@06 EE2 171/E6_02.tif </t>
  </si>
  <si>
    <t xml:space="preserve"> 20526.77 </t>
  </si>
  <si>
    <t xml:space="preserve"> 66.8188 </t>
  </si>
  <si>
    <t xml:space="preserve">\\192.168.24.208\images\R&amp;D\Coralie\Triphenylphosphate\2021-CHG-CBA-TRIPHENYLP\plaque 1/@06 EE2 171/E6_03.tif </t>
  </si>
  <si>
    <t xml:space="preserve"> 25220.4571 </t>
  </si>
  <si>
    <t xml:space="preserve"> 68.0943 </t>
  </si>
  <si>
    <t xml:space="preserve">\\192.168.24.208\images\R&amp;D\Coralie\Triphenylphosphate\2021-CHG-CBA-TRIPHENYLP\plaque 1/@06 EE2 171/F6_01.tif </t>
  </si>
  <si>
    <t xml:space="preserve"> 32920.6996 </t>
  </si>
  <si>
    <t xml:space="preserve"> 77.4126 </t>
  </si>
  <si>
    <t xml:space="preserve">\\192.168.24.208\images\R&amp;D\Coralie\Triphenylphosphate\2021-CHG-CBA-TRIPHENYLP\plaque 1/@06 EE2 171/F6_02.tif </t>
  </si>
  <si>
    <t xml:space="preserve"> 34694.351 </t>
  </si>
  <si>
    <t xml:space="preserve"> 75.5536 </t>
  </si>
  <si>
    <t xml:space="preserve">\\192.168.24.208\images\R&amp;D\Coralie\Triphenylphosphate\2021-CHG-CBA-TRIPHENYLP\plaque 1/@06 EE2 171/F6_03.tif </t>
  </si>
  <si>
    <t xml:space="preserve"> 29589.6959 </t>
  </si>
  <si>
    <t xml:space="preserve"> 74.992 </t>
  </si>
  <si>
    <t xml:space="preserve">\\192.168.24.208\images\R&amp;D\Coralie\Triphenylphosphate\2021-CHG-CBA-TRIPHENYLP\plaque 1/@06 EE2 171/G6_01.tif </t>
  </si>
  <si>
    <t xml:space="preserve"> 9365.7444 </t>
  </si>
  <si>
    <t xml:space="preserve"> 65.8845 </t>
  </si>
  <si>
    <t xml:space="preserve">\\192.168.24.208\images\R&amp;D\Coralie\Triphenylphosphate\2021-CHG-CBA-TRIPHENYLP\plaque 1/@06 EE2 171/G6_02.tif </t>
  </si>
  <si>
    <t xml:space="preserve"> 8176.1002 </t>
  </si>
  <si>
    <t xml:space="preserve"> 67.1349 </t>
  </si>
  <si>
    <t xml:space="preserve">\\192.168.24.208\images\R&amp;D\Coralie\Triphenylphosphate\2021-CHG-CBA-TRIPHENYLP\plaque 1/@06 EE2 171/G6_03.tif </t>
  </si>
  <si>
    <t xml:space="preserve"> 14492.0294 </t>
  </si>
  <si>
    <t xml:space="preserve"> 67.1552 </t>
  </si>
  <si>
    <t xml:space="preserve">\\192.168.24.208\images\R&amp;D\Coralie\Triphenylphosphate\2021-CHG-CBA-TRIPHENYLP\plaque 1/@06 EE2 171/H6_01.tif </t>
  </si>
  <si>
    <t xml:space="preserve"> 40036.935 </t>
  </si>
  <si>
    <t xml:space="preserve"> 83.1529 </t>
  </si>
  <si>
    <t xml:space="preserve">\\192.168.24.208\images\R&amp;D\Coralie\Triphenylphosphate\2021-CHG-CBA-TRIPHENYLP\plaque 1/@06 EE2 171/H6_02.tif </t>
  </si>
  <si>
    <t xml:space="preserve"> 39647.5969 </t>
  </si>
  <si>
    <t xml:space="preserve"> 82.9853 </t>
  </si>
  <si>
    <t xml:space="preserve">\\192.168.24.208\images\R&amp;D\Coralie\Triphenylphosphate\2021-CHG-CBA-TRIPHENYLP\plaque 1/@06 EE2 171/H6_03.tif </t>
  </si>
  <si>
    <t xml:space="preserve"> 44124.985 </t>
  </si>
  <si>
    <t xml:space="preserve"> 69.8711 </t>
  </si>
  <si>
    <t xml:space="preserve">\\192.168.24.208\images\R&amp;D\Coralie\Triphenylphosphate\2021-CHG-CBA-TRIPHENYLP\plaque 1/@06 EE2 171/ </t>
  </si>
  <si>
    <t xml:space="preserve"> 73.4847 </t>
  </si>
  <si>
    <t xml:space="preserve"> 6.2833 </t>
  </si>
  <si>
    <t xml:space="preserve"> 2641275.04 </t>
  </si>
  <si>
    <t xml:space="preserve"> 1092750.74 </t>
  </si>
  <si>
    <t xml:space="preserve">\\192.168.24.208\images\R&amp;D\Coralie\Triphenylphosphate\2021-CHG-CBA-TRIPHENYLP\plaque 1/@07 EE2 488/A7_01.tif </t>
  </si>
  <si>
    <t xml:space="preserve"> 83166.9448 </t>
  </si>
  <si>
    <t xml:space="preserve"> 99.9025 </t>
  </si>
  <si>
    <t xml:space="preserve">\\192.168.24.208\images\R&amp;D\Coralie\Triphenylphosphate\2021-CHG-CBA-TRIPHENYLP\plaque 1/@07 EE2 488/A7_02.tif </t>
  </si>
  <si>
    <t xml:space="preserve"> 79511.4927 </t>
  </si>
  <si>
    <t xml:space="preserve"> 98.2456 </t>
  </si>
  <si>
    <t xml:space="preserve">\\192.168.24.208\images\R&amp;D\Coralie\Triphenylphosphate\2021-CHG-CBA-TRIPHENYLP\plaque 1/@07 EE2 488/A7_03.tif </t>
  </si>
  <si>
    <t xml:space="preserve"> 86022.0909 </t>
  </si>
  <si>
    <t xml:space="preserve"> 98.4011 </t>
  </si>
  <si>
    <t xml:space="preserve">\\192.168.24.208\images\R&amp;D\Coralie\Triphenylphosphate\2021-CHG-CBA-TRIPHENYLP\plaque 1/@07 EE2 488/B7_01.tif </t>
  </si>
  <si>
    <t xml:space="preserve"> 59330.801 </t>
  </si>
  <si>
    <t xml:space="preserve"> 97.731 </t>
  </si>
  <si>
    <t xml:space="preserve">\\192.168.24.208\images\R&amp;D\Coralie\Triphenylphosphate\2021-CHG-CBA-TRIPHENYLP\plaque 1/@07 EE2 488/B7_02.tif </t>
  </si>
  <si>
    <t xml:space="preserve"> 56843.3631 </t>
  </si>
  <si>
    <t xml:space="preserve"> 98.6267 </t>
  </si>
  <si>
    <t xml:space="preserve">\\192.168.24.208\images\R&amp;D\Coralie\Triphenylphosphate\2021-CHG-CBA-TRIPHENYLP\plaque 1/@07 EE2 488/B7_03.tif </t>
  </si>
  <si>
    <t xml:space="preserve"> 68545.1361 </t>
  </si>
  <si>
    <t xml:space="preserve"> 94.1606 </t>
  </si>
  <si>
    <t xml:space="preserve">\\192.168.24.208\images\R&amp;D\Coralie\Triphenylphosphate\2021-CHG-CBA-TRIPHENYLP\plaque 1/@07 EE2 488/C7_01.tif </t>
  </si>
  <si>
    <t xml:space="preserve"> 65906.2889 </t>
  </si>
  <si>
    <t xml:space="preserve"> 100.4503 </t>
  </si>
  <si>
    <t xml:space="preserve">\\192.168.24.208\images\R&amp;D\Coralie\Triphenylphosphate\2021-CHG-CBA-TRIPHENYLP\plaque 1/@07 EE2 488/C7_02.tif </t>
  </si>
  <si>
    <t xml:space="preserve"> 59958.0679 </t>
  </si>
  <si>
    <t xml:space="preserve"> 102.3405 </t>
  </si>
  <si>
    <t xml:space="preserve">\\192.168.24.208\images\R&amp;D\Coralie\Triphenylphosphate\2021-CHG-CBA-TRIPHENYLP\plaque 1/@07 EE2 488/C7_03.tif </t>
  </si>
  <si>
    <t xml:space="preserve"> 63656.7799 </t>
  </si>
  <si>
    <t xml:space="preserve"> 103.2446 </t>
  </si>
  <si>
    <t xml:space="preserve">\\192.168.24.208\images\R&amp;D\Coralie\Triphenylphosphate\2021-CHG-CBA-TRIPHENYLP\plaque 1/@07 EE2 488/D7_01.tif </t>
  </si>
  <si>
    <t xml:space="preserve"> 75012.4746 </t>
  </si>
  <si>
    <t xml:space="preserve"> 92.9432 </t>
  </si>
  <si>
    <t xml:space="preserve">\\192.168.24.208\images\R&amp;D\Coralie\Triphenylphosphate\2021-CHG-CBA-TRIPHENYLP\plaque 1/@07 EE2 488/D7_02.tif </t>
  </si>
  <si>
    <t xml:space="preserve"> 74147.2788 </t>
  </si>
  <si>
    <t xml:space="preserve"> 92.6651 </t>
  </si>
  <si>
    <t xml:space="preserve">\\192.168.24.208\images\R&amp;D\Coralie\Triphenylphosphate\2021-CHG-CBA-TRIPHENYLP\plaque 1/@07 EE2 488/D7_03.tif </t>
  </si>
  <si>
    <t xml:space="preserve"> 76937.5352 </t>
  </si>
  <si>
    <t xml:space="preserve"> 92.5294 </t>
  </si>
  <si>
    <t xml:space="preserve">\\192.168.24.208\images\R&amp;D\Coralie\Triphenylphosphate\2021-CHG-CBA-TRIPHENYLP\plaque 1/@07 EE2 488/E7_01.tif </t>
  </si>
  <si>
    <t xml:space="preserve"> 43627.4975 </t>
  </si>
  <si>
    <t xml:space="preserve"> 97.7605 </t>
  </si>
  <si>
    <t xml:space="preserve">\\192.168.24.208\images\R&amp;D\Coralie\Triphenylphosphate\2021-CHG-CBA-TRIPHENYLP\plaque 1/@07 EE2 488/E7_02.tif </t>
  </si>
  <si>
    <t xml:space="preserve"> 40383.0133 </t>
  </si>
  <si>
    <t xml:space="preserve"> 100.1639 </t>
  </si>
  <si>
    <t xml:space="preserve">\\192.168.24.208\images\R&amp;D\Coralie\Triphenylphosphate\2021-CHG-CBA-TRIPHENYLP\plaque 1/@07 EE2 488/E7_03.tif </t>
  </si>
  <si>
    <t xml:space="preserve"> 55740.2385 </t>
  </si>
  <si>
    <t xml:space="preserve"> 87.2433 </t>
  </si>
  <si>
    <t xml:space="preserve">\\192.168.24.208\images\R&amp;D\Coralie\Triphenylphosphate\2021-CHG-CBA-TRIPHENYLP\plaque 1/@07 EE2 488/F7_01.tif </t>
  </si>
  <si>
    <t xml:space="preserve"> 45379.5189 </t>
  </si>
  <si>
    <t xml:space="preserve"> 96.2602 </t>
  </si>
  <si>
    <t xml:space="preserve">\\192.168.24.208\images\R&amp;D\Coralie\Triphenylphosphate\2021-CHG-CBA-TRIPHENYLP\plaque 1/@07 EE2 488/F7_02.tif </t>
  </si>
  <si>
    <t xml:space="preserve"> 43389.5686 </t>
  </si>
  <si>
    <t xml:space="preserve"> 97.9671 </t>
  </si>
  <si>
    <t xml:space="preserve">\\192.168.24.208\images\R&amp;D\Coralie\Triphenylphosphate\2021-CHG-CBA-TRIPHENYLP\plaque 1/@07 EE2 488/F7_03.tif </t>
  </si>
  <si>
    <t xml:space="preserve"> 47066.6507 </t>
  </si>
  <si>
    <t xml:space="preserve"> 93.9476 </t>
  </si>
  <si>
    <t xml:space="preserve">\\192.168.24.208\images\R&amp;D\Coralie\Triphenylphosphate\2021-CHG-CBA-TRIPHENYLP\plaque 1/@07 EE2 488/G7_01.tif </t>
  </si>
  <si>
    <t xml:space="preserve"> 52820.2027 </t>
  </si>
  <si>
    <t xml:space="preserve"> 97.1441 </t>
  </si>
  <si>
    <t xml:space="preserve">\\192.168.24.208\images\R&amp;D\Coralie\Triphenylphosphate\2021-CHG-CBA-TRIPHENYLP\plaque 1/@07 EE2 488/G7_02.tif </t>
  </si>
  <si>
    <t xml:space="preserve"> 59503.8401 </t>
  </si>
  <si>
    <t xml:space="preserve"> 94.1618 </t>
  </si>
  <si>
    <t xml:space="preserve">\\192.168.24.208\images\R&amp;D\Coralie\Triphenylphosphate\2021-CHG-CBA-TRIPHENYLP\plaque 1/@07 EE2 488/G7_03.tif </t>
  </si>
  <si>
    <t xml:space="preserve"> 48991.7113 </t>
  </si>
  <si>
    <t xml:space="preserve"> 96.5448 </t>
  </si>
  <si>
    <t xml:space="preserve">\\192.168.24.208\images\R&amp;D\Coralie\Triphenylphosphate\2021-CHG-CBA-TRIPHENYLP\plaque 1/@07 EE2 488/H7_01.tif </t>
  </si>
  <si>
    <t xml:space="preserve"> 62380.6161 </t>
  </si>
  <si>
    <t xml:space="preserve"> 93.2021 </t>
  </si>
  <si>
    <t xml:space="preserve">\\192.168.24.208\images\R&amp;D\Coralie\Triphenylphosphate\2021-CHG-CBA-TRIPHENYLP\plaque 1/@07 EE2 488/H7_02.tif </t>
  </si>
  <si>
    <t xml:space="preserve"> 64392.1963 </t>
  </si>
  <si>
    <t xml:space="preserve"> 92.433 </t>
  </si>
  <si>
    <t xml:space="preserve">\\192.168.24.208\images\R&amp;D\Coralie\Triphenylphosphate\2021-CHG-CBA-TRIPHENYLP\plaque 1/@07 EE2 488/H7_03.tif </t>
  </si>
  <si>
    <t xml:space="preserve"> 62250.8367 </t>
  </si>
  <si>
    <t xml:space="preserve"> 92.6894 </t>
  </si>
  <si>
    <t xml:space="preserve">\\192.168.24.208\images\R&amp;D\Coralie\Triphenylphosphate\2021-CHG-CBA-TRIPHENYLP\plaque 1/@07 EE2 488/ </t>
  </si>
  <si>
    <t xml:space="preserve"> 96.2816 </t>
  </si>
  <si>
    <t xml:space="preserve"> 3.7543 </t>
  </si>
  <si>
    <t xml:space="preserve"> 5914501.88 </t>
  </si>
  <si>
    <t xml:space="preserve"> 1277779.46 </t>
  </si>
  <si>
    <t xml:space="preserve">\\192.168.24.208\images\R&amp;D\Coralie\Triphenylphosphate\2021-CHG-CBA-TRIPHENYLP\plaque 1/@08 TRIPHENYLP 0.18/A8_01.tif </t>
  </si>
  <si>
    <t xml:space="preserve"> 3266.1141 </t>
  </si>
  <si>
    <t xml:space="preserve"> 67.9536 </t>
  </si>
  <si>
    <t xml:space="preserve">\\192.168.24.208\images\R&amp;D\Coralie\Triphenylphosphate\2021-CHG-CBA-TRIPHENYLP\plaque 1/@08 TRIPHENYLP 0.18/A8_02.tif </t>
  </si>
  <si>
    <t xml:space="preserve"> 5018.1356 </t>
  </si>
  <si>
    <t xml:space="preserve"> 67.7931 </t>
  </si>
  <si>
    <t xml:space="preserve">\\192.168.24.208\images\R&amp;D\Coralie\Triphenylphosphate\2021-CHG-CBA-TRIPHENYLP\plaque 1/@08 TRIPHENYLP 0.18/A8_03.tif </t>
  </si>
  <si>
    <t xml:space="preserve"> 4499.0181 </t>
  </si>
  <si>
    <t xml:space="preserve"> 69.8077 </t>
  </si>
  <si>
    <t xml:space="preserve">\\192.168.24.208\images\R&amp;D\Coralie\Triphenylphosphate\2021-CHG-CBA-TRIPHENYLP\plaque 1/@08 TRIPHENYLP 0.18/B8_01.tif </t>
  </si>
  <si>
    <t xml:space="preserve"> 7570.4631 </t>
  </si>
  <si>
    <t xml:space="preserve"> 74.3857 </t>
  </si>
  <si>
    <t xml:space="preserve">\\192.168.24.208\images\R&amp;D\Coralie\Triphenylphosphate\2021-CHG-CBA-TRIPHENYLP\plaque 1/@08 TRIPHENYLP 0.18/B8_02.tif </t>
  </si>
  <si>
    <t xml:space="preserve"> 9430.6341 </t>
  </si>
  <si>
    <t xml:space="preserve"> 73.5367 </t>
  </si>
  <si>
    <t xml:space="preserve">\\192.168.24.208\images\R&amp;D\Coralie\Triphenylphosphate\2021-CHG-CBA-TRIPHENYLP\plaque 1/@08 TRIPHENYLP 0.18/B8_03.tif </t>
  </si>
  <si>
    <t xml:space="preserve"> 73.7831 </t>
  </si>
  <si>
    <t xml:space="preserve">\\192.168.24.208\images\R&amp;D\Coralie\Triphenylphosphate\2021-CHG-CBA-TRIPHENYLP\plaque 1/@08 TRIPHENYLP 0.18/C8_01.tif </t>
  </si>
  <si>
    <t xml:space="preserve"> 692.1566 </t>
  </si>
  <si>
    <t xml:space="preserve"> 63.6875 </t>
  </si>
  <si>
    <t>\\192.168.24.208\images\R&amp;D\Coralie\Triphenylphosphate\2021-CHG-CBA-TRIPHENYLP\plaque 1/@08 TRIPHENYLP 0.18/C8_02- exclu.tif</t>
  </si>
  <si>
    <t xml:space="preserve">\\192.168.24.208\images\R&amp;D\Coralie\Triphenylphosphate\2021-CHG-CBA-TRIPHENYLP\plaque 1/@08 TRIPHENYLP 0.18/C8_03.tif </t>
  </si>
  <si>
    <t xml:space="preserve"> 410.968 </t>
  </si>
  <si>
    <t xml:space="preserve"> 63.8421 </t>
  </si>
  <si>
    <t xml:space="preserve">\\192.168.24.208\images\R&amp;D\Coralie\Triphenylphosphate\2021-CHG-CBA-TRIPHENYLP\plaque 1/@08 TRIPHENYLP 0.18/D8_01.tif </t>
  </si>
  <si>
    <t xml:space="preserve"> 9192.7052 </t>
  </si>
  <si>
    <t xml:space="preserve"> 69.4518 </t>
  </si>
  <si>
    <t xml:space="preserve">\\192.168.24.208\images\R&amp;D\Coralie\Triphenylphosphate\2021-CHG-CBA-TRIPHENYLP\plaque 1/@08 TRIPHENYLP 0.18/D8_02.tif </t>
  </si>
  <si>
    <t xml:space="preserve"> 8998.0362 </t>
  </si>
  <si>
    <t xml:space="preserve"> 71.2019 </t>
  </si>
  <si>
    <t xml:space="preserve">\\192.168.24.208\images\R&amp;D\Coralie\Triphenylphosphate\2021-CHG-CBA-TRIPHENYLP\plaque 1/@08 TRIPHENYLP 0.18/D8_03.tif </t>
  </si>
  <si>
    <t xml:space="preserve"> 69.9802 </t>
  </si>
  <si>
    <t xml:space="preserve">\\192.168.24.208\images\R&amp;D\Coralie\Triphenylphosphate\2021-CHG-CBA-TRIPHENYLP\plaque 1/@08 TRIPHENYLP 0.18/E8_01.tif </t>
  </si>
  <si>
    <t xml:space="preserve"> 3979.9006 </t>
  </si>
  <si>
    <t xml:space="preserve"> 66.3207 </t>
  </si>
  <si>
    <t>\\192.168.24.208\images\R&amp;D\Coralie\Triphenylphosphate\2021-CHG-CBA-TRIPHENYLP\plaque 1/@08 TRIPHENYLP 0.18/E8_02- exclu.tif</t>
  </si>
  <si>
    <t xml:space="preserve">\\192.168.24.208\images\R&amp;D\Coralie\Triphenylphosphate\2021-CHG-CBA-TRIPHENYLP\plaque 1/@08 TRIPHENYLP 0.18/E8_03.tif </t>
  </si>
  <si>
    <t xml:space="preserve"> 5126.285 </t>
  </si>
  <si>
    <t xml:space="preserve"> 69.5654 </t>
  </si>
  <si>
    <t xml:space="preserve">\\192.168.24.208\images\R&amp;D\Coralie\Triphenylphosphate\2021-CHG-CBA-TRIPHENYLP\plaque 1/@08 TRIPHENYLP 0.18/F8_01.tif </t>
  </si>
  <si>
    <t xml:space="preserve"> 5147.9149 </t>
  </si>
  <si>
    <t xml:space="preserve"> 71.0672 </t>
  </si>
  <si>
    <t xml:space="preserve">\\192.168.24.208\images\R&amp;D\Coralie\Triphenylphosphate\2021-CHG-CBA-TRIPHENYLP\plaque 1/@08 TRIPHENYLP 0.18/F8_02.tif </t>
  </si>
  <si>
    <t xml:space="preserve"> 5277.6943 </t>
  </si>
  <si>
    <t xml:space="preserve"> 68.418 </t>
  </si>
  <si>
    <t xml:space="preserve">\\192.168.24.208\images\R&amp;D\Coralie\Triphenylphosphate\2021-CHG-CBA-TRIPHENYLP\plaque 1/@08 TRIPHENYLP 0.18/F8_03.tif </t>
  </si>
  <si>
    <t xml:space="preserve"> 4023.1604 </t>
  </si>
  <si>
    <t xml:space="preserve"> 67.9355 </t>
  </si>
  <si>
    <t xml:space="preserve">\\192.168.24.208\images\R&amp;D\Coralie\Triphenylphosphate\2021-CHG-CBA-TRIPHENYLP\plaque 1/@08 TRIPHENYLP 0.18/G8_01.tif </t>
  </si>
  <si>
    <t xml:space="preserve"> 6294.2993 </t>
  </si>
  <si>
    <t xml:space="preserve"> 71.7251 </t>
  </si>
  <si>
    <t xml:space="preserve">\\192.168.24.208\images\R&amp;D\Coralie\Triphenylphosphate\2021-CHG-CBA-TRIPHENYLP\plaque 1/@08 TRIPHENYLP 0.18/G8_02.tif </t>
  </si>
  <si>
    <t xml:space="preserve"> 627.2669 </t>
  </si>
  <si>
    <t xml:space="preserve"> 63.4483 </t>
  </si>
  <si>
    <t xml:space="preserve">\\192.168.24.208\images\R&amp;D\Coralie\Triphenylphosphate\2021-CHG-CBA-TRIPHENYLP\plaque 1/@08 TRIPHENYLP 0.18/G8_03.tif </t>
  </si>
  <si>
    <t xml:space="preserve"> 1708.7617 </t>
  </si>
  <si>
    <t xml:space="preserve"> 65.6076 </t>
  </si>
  <si>
    <t xml:space="preserve">\\192.168.24.208\images\R&amp;D\Coralie\Triphenylphosphate\2021-CHG-CBA-TRIPHENYLP\plaque 1/@08 TRIPHENYLP 0.18/H8_01.tif </t>
  </si>
  <si>
    <t xml:space="preserve"> 1881.8008 </t>
  </si>
  <si>
    <t xml:space="preserve"> 67.092 </t>
  </si>
  <si>
    <t xml:space="preserve">\\192.168.24.208\images\R&amp;D\Coralie\Triphenylphosphate\2021-CHG-CBA-TRIPHENYLP\plaque 1/@08 TRIPHENYLP 0.18/H8_02.tif </t>
  </si>
  <si>
    <t xml:space="preserve"> 1687.1318 </t>
  </si>
  <si>
    <t xml:space="preserve"> 68.3077 </t>
  </si>
  <si>
    <t xml:space="preserve">\\192.168.24.208\images\R&amp;D\Coralie\Triphenylphosphate\2021-CHG-CBA-TRIPHENYLP\plaque 1/@08 TRIPHENYLP 0.18/H8_03.tif </t>
  </si>
  <si>
    <t xml:space="preserve"> 4304.349 </t>
  </si>
  <si>
    <t xml:space="preserve"> 67.1307 </t>
  </si>
  <si>
    <t xml:space="preserve">\\192.168.24.208\images\R&amp;D\Coralie\Triphenylphosphate\2021-CHG-CBA-TRIPHENYLP\plaque 1/@08 TRIPHENYLP 0.18/ </t>
  </si>
  <si>
    <t xml:space="preserve"> 68.3088 </t>
  </si>
  <si>
    <t xml:space="preserve"> 3.3391 </t>
  </si>
  <si>
    <t xml:space="preserve"> 321849.167 </t>
  </si>
  <si>
    <t xml:space="preserve"> 236409.399 </t>
  </si>
  <si>
    <t xml:space="preserve">\\192.168.24.208\images\R&amp;D\Coralie\Triphenylphosphate\2021-CHG-CBA-TRIPHENYLP\plaque 1/@09 TRIPHENYLP 0.26/A9_01.tif </t>
  </si>
  <si>
    <t xml:space="preserve"> 7678.6126 </t>
  </si>
  <si>
    <t xml:space="preserve"> 73.7042 </t>
  </si>
  <si>
    <t xml:space="preserve">\\192.168.24.208\images\R&amp;D\Coralie\Triphenylphosphate\2021-CHG-CBA-TRIPHENYLP\plaque 1/@09 TRIPHENYLP 0.26/A9_02.tif </t>
  </si>
  <si>
    <t xml:space="preserve"> 14924.6273 </t>
  </si>
  <si>
    <t xml:space="preserve"> 72.5043 </t>
  </si>
  <si>
    <t xml:space="preserve">\\192.168.24.208\images\R&amp;D\Coralie\Triphenylphosphate\2021-CHG-CBA-TRIPHENYLP\plaque 1/@09 TRIPHENYLP 0.26/A9_03.tif </t>
  </si>
  <si>
    <t xml:space="preserve"> 15011.1469 </t>
  </si>
  <si>
    <t xml:space="preserve"> 69.3429 </t>
  </si>
  <si>
    <t xml:space="preserve">\\192.168.24.208\images\R&amp;D\Coralie\Triphenylphosphate\2021-CHG-CBA-TRIPHENYLP\plaque 1/@09 TRIPHENYLP 0.26/B9_01.tif </t>
  </si>
  <si>
    <t xml:space="preserve"> 64.6146 </t>
  </si>
  <si>
    <t xml:space="preserve">\\192.168.24.208\images\R&amp;D\Coralie\Triphenylphosphate\2021-CHG-CBA-TRIPHENYLP\plaque 1/@09 TRIPHENYLP 0.26/B9_02.tif </t>
  </si>
  <si>
    <t xml:space="preserve"> 67.5477 </t>
  </si>
  <si>
    <t xml:space="preserve">\\192.168.24.208\images\R&amp;D\Coralie\Triphenylphosphate\2021-CHG-CBA-TRIPHENYLP\plaque 1/@09 TRIPHENYLP 0.26/B9_03.tif </t>
  </si>
  <si>
    <t xml:space="preserve"> 2054.84 </t>
  </si>
  <si>
    <t xml:space="preserve"> 64.1158 </t>
  </si>
  <si>
    <t xml:space="preserve">\\192.168.24.208\images\R&amp;D\Coralie\Triphenylphosphate\2021-CHG-CBA-TRIPHENYLP\plaque 1/@09 TRIPHENYLP 0.26/C9_01.tif </t>
  </si>
  <si>
    <t xml:space="preserve"> 5688.6623 </t>
  </si>
  <si>
    <t xml:space="preserve"> 68.1141 </t>
  </si>
  <si>
    <t xml:space="preserve">\\192.168.24.208\images\R&amp;D\Coralie\Triphenylphosphate\2021-CHG-CBA-TRIPHENYLP\plaque 1/@09 TRIPHENYLP 0.26/C9_02.tif </t>
  </si>
  <si>
    <t xml:space="preserve"> 1341.0535 </t>
  </si>
  <si>
    <t xml:space="preserve"> 66.1452 </t>
  </si>
  <si>
    <t xml:space="preserve">\\192.168.24.208\images\R&amp;D\Coralie\Triphenylphosphate\2021-CHG-CBA-TRIPHENYLP\plaque 1/@09 TRIPHENYLP 0.26/C9_03.tif </t>
  </si>
  <si>
    <t xml:space="preserve"> 584.0072 </t>
  </si>
  <si>
    <t xml:space="preserve"> 63.8889 </t>
  </si>
  <si>
    <t xml:space="preserve">\\192.168.24.208\images\R&amp;D\Coralie\Triphenylphosphate\2021-CHG-CBA-TRIPHENYLP\plaque 1/@09 TRIPHENYLP 0.26/D9_01.tif </t>
  </si>
  <si>
    <t xml:space="preserve"> 2357.6585 </t>
  </si>
  <si>
    <t xml:space="preserve"> 65.7798 </t>
  </si>
  <si>
    <t xml:space="preserve">\\192.168.24.208\images\R&amp;D\Coralie\Triphenylphosphate\2021-CHG-CBA-TRIPHENYLP\plaque 1/@09 TRIPHENYLP 0.26/D9_02.tif </t>
  </si>
  <si>
    <t xml:space="preserve"> 454.2278 </t>
  </si>
  <si>
    <t xml:space="preserve"> 63.8095 </t>
  </si>
  <si>
    <t xml:space="preserve">\\192.168.24.208\images\R&amp;D\Coralie\Triphenylphosphate\2021-CHG-CBA-TRIPHENYLP\plaque 1/@09 TRIPHENYLP 0.26/D9_03.tif </t>
  </si>
  <si>
    <t xml:space="preserve"> 65.4828 </t>
  </si>
  <si>
    <t xml:space="preserve">\\192.168.24.208\images\R&amp;D\Coralie\Triphenylphosphate\2021-CHG-CBA-TRIPHENYLP\plaque 1/@09 TRIPHENYLP 0.26/E9_01.tif </t>
  </si>
  <si>
    <t xml:space="preserve"> 10793.3174 </t>
  </si>
  <si>
    <t xml:space="preserve"> 74.1303 </t>
  </si>
  <si>
    <t xml:space="preserve">\\192.168.24.208\images\R&amp;D\Coralie\Triphenylphosphate\2021-CHG-CBA-TRIPHENYLP\plaque 1/@09 TRIPHENYLP 0.26/E9_02.tif </t>
  </si>
  <si>
    <t xml:space="preserve"> 7613.7229 </t>
  </si>
  <si>
    <t xml:space="preserve"> 72.4631 </t>
  </si>
  <si>
    <t xml:space="preserve">\\192.168.24.208\images\R&amp;D\Coralie\Triphenylphosphate\2021-CHG-CBA-TRIPHENYLP\plaque 1/@09 TRIPHENYLP 0.26/E9_03.tif </t>
  </si>
  <si>
    <t xml:space="preserve"> 9409.0042 </t>
  </si>
  <si>
    <t xml:space="preserve"> 70.7287 </t>
  </si>
  <si>
    <t xml:space="preserve">\\192.168.24.208\images\R&amp;D\Coralie\Triphenylphosphate\2021-CHG-CBA-TRIPHENYLP\plaque 1/@09 TRIPHENYLP 0.26/F9_01.tif </t>
  </si>
  <si>
    <t xml:space="preserve"> 15422.1149 </t>
  </si>
  <si>
    <t xml:space="preserve"> 86.4278 </t>
  </si>
  <si>
    <t xml:space="preserve">\\192.168.24.208\images\R&amp;D\Coralie\Triphenylphosphate\2021-CHG-CBA-TRIPHENYLP\plaque 1/@09 TRIPHENYLP 0.26/F9_02.tif </t>
  </si>
  <si>
    <t xml:space="preserve"> 71.7863 </t>
  </si>
  <si>
    <t xml:space="preserve">\\192.168.24.208\images\R&amp;D\Coralie\Triphenylphosphate\2021-CHG-CBA-TRIPHENYLP\plaque 1/@09 TRIPHENYLP 0.26/F9_03.tif </t>
  </si>
  <si>
    <t xml:space="preserve"> 18991.0475 </t>
  </si>
  <si>
    <t xml:space="preserve"> 88.3793 </t>
  </si>
  <si>
    <t xml:space="preserve">\\192.168.24.208\images\R&amp;D\Coralie\Triphenylphosphate\2021-CHG-CBA-TRIPHENYLP\plaque 1/@09 TRIPHENYLP 0.26/G9_01.tif </t>
  </si>
  <si>
    <t xml:space="preserve"> 12610.2286 </t>
  </si>
  <si>
    <t xml:space="preserve"> 83.307 </t>
  </si>
  <si>
    <t>\\192.168.24.208\images\R&amp;D\Coralie\Triphenylphosphate\2021-CHG-CBA-TRIPHENYLP\plaque 1/@09 TRIPHENYLP 0.26/G9_02- exclu.tif</t>
  </si>
  <si>
    <t xml:space="preserve">\\192.168.24.208\images\R&amp;D\Coralie\Triphenylphosphate\2021-CHG-CBA-TRIPHENYLP\plaque 1/@09 TRIPHENYLP 0.26/G9_03.tif </t>
  </si>
  <si>
    <t xml:space="preserve"> 80.1718 </t>
  </si>
  <si>
    <t xml:space="preserve">\\192.168.24.208\images\R&amp;D\Coralie\Triphenylphosphate\2021-CHG-CBA-TRIPHENYLP\plaque 1/@09 TRIPHENYLP 0.26/H9_01.tif </t>
  </si>
  <si>
    <t xml:space="preserve"> 6640.3777 </t>
  </si>
  <si>
    <t xml:space="preserve"> 66.7394 </t>
  </si>
  <si>
    <t xml:space="preserve">\\192.168.24.208\images\R&amp;D\Coralie\Triphenylphosphate\2021-CHG-CBA-TRIPHENYLP\plaque 1/@09 TRIPHENYLP 0.26/H9_02.tif </t>
  </si>
  <si>
    <t xml:space="preserve"> 8132.8404 </t>
  </si>
  <si>
    <t xml:space="preserve"> 67.1543 </t>
  </si>
  <si>
    <t xml:space="preserve">\\192.168.24.208\images\R&amp;D\Coralie\Triphenylphosphate\2021-CHG-CBA-TRIPHENYLP\plaque 1/@09 TRIPHENYLP 0.26/H9_03.tif </t>
  </si>
  <si>
    <t xml:space="preserve"> 3720.3419 </t>
  </si>
  <si>
    <t xml:space="preserve"> 66.8256 </t>
  </si>
  <si>
    <t xml:space="preserve">\\192.168.24.208\images\R&amp;D\Coralie\Triphenylphosphate\2021-CHG-CBA-TRIPHENYLP\plaque 1/@09 TRIPHENYLP 0.26/ </t>
  </si>
  <si>
    <t xml:space="preserve"> 71.7017 </t>
  </si>
  <si>
    <t xml:space="preserve"> 7.8276 </t>
  </si>
  <si>
    <t xml:space="preserve"> 575073.958 </t>
  </si>
  <si>
    <t xml:space="preserve"> 460679.763 </t>
  </si>
  <si>
    <t xml:space="preserve">\\192.168.24.208\images\R&amp;D\Coralie\Triphenylphosphate\2021-CHG-CBA-TRIPHENYLP\plaque 1/@10 TRIPHENYLP 0.4/A10_01.tif </t>
  </si>
  <si>
    <t xml:space="preserve"> 8327.5094 </t>
  </si>
  <si>
    <t xml:space="preserve"> 72.0831 </t>
  </si>
  <si>
    <t xml:space="preserve">\\192.168.24.208\images\R&amp;D\Coralie\Triphenylphosphate\2021-CHG-CBA-TRIPHENYLP\plaque 1/@10 TRIPHENYLP 0.4/A10_02.tif </t>
  </si>
  <si>
    <t xml:space="preserve"> 8630.328 </t>
  </si>
  <si>
    <t xml:space="preserve"> 71.3609 </t>
  </si>
  <si>
    <t xml:space="preserve">\\192.168.24.208\images\R&amp;D\Coralie\Triphenylphosphate\2021-CHG-CBA-TRIPHENYLP\plaque 1/@10 TRIPHENYLP 0.4/A10_03.tif </t>
  </si>
  <si>
    <t xml:space="preserve"> 8111.2105 </t>
  </si>
  <si>
    <t xml:space="preserve"> 69.5093 </t>
  </si>
  <si>
    <t xml:space="preserve">\\192.168.24.208\images\R&amp;D\Coralie\Triphenylphosphate\2021-CHG-CBA-TRIPHENYLP\plaque 1/@10 TRIPHENYLP 0.4/B10_01.tif </t>
  </si>
  <si>
    <t xml:space="preserve"> 6229.4097 </t>
  </si>
  <si>
    <t xml:space="preserve"> 73.7292 </t>
  </si>
  <si>
    <t xml:space="preserve">\\192.168.24.208\images\R&amp;D\Coralie\Triphenylphosphate\2021-CHG-CBA-TRIPHENYLP\plaque 1/@10 TRIPHENYLP 0.4/B10_02.tif </t>
  </si>
  <si>
    <t xml:space="preserve"> 1600.6122 </t>
  </si>
  <si>
    <t xml:space="preserve"> 65.3243 </t>
  </si>
  <si>
    <t xml:space="preserve">\\192.168.24.208\images\R&amp;D\Coralie\Triphenylphosphate\2021-CHG-CBA-TRIPHENYLP\plaque 1/@10 TRIPHENYLP 0.4/B10_03.tif </t>
  </si>
  <si>
    <t xml:space="preserve"> 1968.3204 </t>
  </si>
  <si>
    <t xml:space="preserve"> 66.1209 </t>
  </si>
  <si>
    <t xml:space="preserve">\\192.168.24.208\images\R&amp;D\Coralie\Triphenylphosphate\2021-CHG-CBA-TRIPHENYLP\plaque 1/@10 TRIPHENYLP 0.4/C10_01.tif </t>
  </si>
  <si>
    <t xml:space="preserve"> 8933.1465 </t>
  </si>
  <si>
    <t xml:space="preserve"> 68.4528 </t>
  </si>
  <si>
    <t xml:space="preserve">\\192.168.24.208\images\R&amp;D\Coralie\Triphenylphosphate\2021-CHG-CBA-TRIPHENYLP\plaque 1/@10 TRIPHENYLP 0.4/C10_02.tif </t>
  </si>
  <si>
    <t xml:space="preserve"> 6272.6694 </t>
  </si>
  <si>
    <t xml:space="preserve"> 67.4897 </t>
  </si>
  <si>
    <t xml:space="preserve">\\192.168.24.208\images\R&amp;D\Coralie\Triphenylphosphate\2021-CHG-CBA-TRIPHENYLP\plaque 1/@10 TRIPHENYLP 0.4/C10_03.tif </t>
  </si>
  <si>
    <t xml:space="preserve"> 9041.296 </t>
  </si>
  <si>
    <t xml:space="preserve"> 69.7943 </t>
  </si>
  <si>
    <t xml:space="preserve">\\192.168.24.208\images\R&amp;D\Coralie\Triphenylphosphate\2021-CHG-CBA-TRIPHENYLP\plaque 1/@10 TRIPHENYLP 0.4/D10_01.tif </t>
  </si>
  <si>
    <t xml:space="preserve"> 11463.8442 </t>
  </si>
  <si>
    <t xml:space="preserve"> 75.2717 </t>
  </si>
  <si>
    <t xml:space="preserve">\\192.168.24.208\images\R&amp;D\Coralie\Triphenylphosphate\2021-CHG-CBA-TRIPHENYLP\plaque 1/@10 TRIPHENYLP 0.4/D10_02.tif </t>
  </si>
  <si>
    <t xml:space="preserve"> 10966.3566 </t>
  </si>
  <si>
    <t xml:space="preserve"> 72.0473 </t>
  </si>
  <si>
    <t xml:space="preserve">\\192.168.24.208\images\R&amp;D\Coralie\Triphenylphosphate\2021-CHG-CBA-TRIPHENYLP\plaque 1/@10 TRIPHENYLP 0.4/D10_03.tif </t>
  </si>
  <si>
    <t xml:space="preserve"> 11680.1431 </t>
  </si>
  <si>
    <t xml:space="preserve"> 73.1704 </t>
  </si>
  <si>
    <t xml:space="preserve">\\192.168.24.208\images\R&amp;D\Coralie\Triphenylphosphate\2021-CHG-CBA-TRIPHENYLP\plaque 1/@10 TRIPHENYLP 0.4/E10_01.tif </t>
  </si>
  <si>
    <t xml:space="preserve"> 14189.2109 </t>
  </si>
  <si>
    <t xml:space="preserve"> 65.6768 </t>
  </si>
  <si>
    <t xml:space="preserve">\\192.168.24.208\images\R&amp;D\Coralie\Triphenylphosphate\2021-CHG-CBA-TRIPHENYLP\plaque 1/@10 TRIPHENYLP 0.4/E10_02.tif </t>
  </si>
  <si>
    <t xml:space="preserve"> 11874.8122 </t>
  </si>
  <si>
    <t xml:space="preserve"> 65.6867 </t>
  </si>
  <si>
    <t xml:space="preserve">\\192.168.24.208\images\R&amp;D\Coralie\Triphenylphosphate\2021-CHG-CBA-TRIPHENYLP\plaque 1/@10 TRIPHENYLP 0.4/E10_03.tif </t>
  </si>
  <si>
    <t xml:space="preserve"> 9625.3031 </t>
  </si>
  <si>
    <t xml:space="preserve"> 66.3191 </t>
  </si>
  <si>
    <t xml:space="preserve">\\192.168.24.208\images\R&amp;D\Coralie\Triphenylphosphate\2021-CHG-CBA-TRIPHENYLP\plaque 1/@10 TRIPHENYLP 0.4/F10_01.tif </t>
  </si>
  <si>
    <t xml:space="preserve"> 8089.5806 </t>
  </si>
  <si>
    <t xml:space="preserve"> 66.7299 </t>
  </si>
  <si>
    <t xml:space="preserve">\\192.168.24.208\images\R&amp;D\Coralie\Triphenylphosphate\2021-CHG-CBA-TRIPHENYLP\plaque 1/@10 TRIPHENYLP 0.4/F10_02.tif </t>
  </si>
  <si>
    <t xml:space="preserve"> 7656.9827 </t>
  </si>
  <si>
    <t xml:space="preserve"> 66.0169 </t>
  </si>
  <si>
    <t xml:space="preserve">\\192.168.24.208\images\R&amp;D\Coralie\Triphenylphosphate\2021-CHG-CBA-TRIPHENYLP\plaque 1/@10 TRIPHENYLP 0.4/F10_03.tif </t>
  </si>
  <si>
    <t xml:space="preserve"> 9517.1536 </t>
  </si>
  <si>
    <t xml:space="preserve"> 65.6227 </t>
  </si>
  <si>
    <t xml:space="preserve">\\192.168.24.208\images\R&amp;D\Coralie\Triphenylphosphate\2021-CHG-CBA-TRIPHENYLP\plaque 1/@10 TRIPHENYLP 0.4/G10_01.tif </t>
  </si>
  <si>
    <t xml:space="preserve"> 25934.2437 </t>
  </si>
  <si>
    <t xml:space="preserve"> 73.6797 </t>
  </si>
  <si>
    <t xml:space="preserve">\\192.168.24.208\images\R&amp;D\Coralie\Triphenylphosphate\2021-CHG-CBA-TRIPHENYLP\plaque 1/@10 TRIPHENYLP 0.4/G10_02.tif </t>
  </si>
  <si>
    <t xml:space="preserve"> 20548.3999 </t>
  </si>
  <si>
    <t xml:space="preserve"> 85.0768 </t>
  </si>
  <si>
    <t xml:space="preserve">\\192.168.24.208\images\R&amp;D\Coralie\Triphenylphosphate\2021-CHG-CBA-TRIPHENYLP\plaque 1/@10 TRIPHENYLP 0.4/G10_03.tif </t>
  </si>
  <si>
    <t xml:space="preserve"> 20937.738 </t>
  </si>
  <si>
    <t xml:space="preserve"> 70.5362 </t>
  </si>
  <si>
    <t>\\192.168.24.208\images\R&amp;D\Coralie\Triphenylphosphate\2021-CHG-CBA-TRIPHENYLP\plaque 1/@10 TRIPHENYLP 0.4/H10_01- exclu.tif</t>
  </si>
  <si>
    <t>\\192.168.24.208\images\R&amp;D\Coralie\Triphenylphosphate\2021-CHG-CBA-TRIPHENYLP\plaque 1/@10 TRIPHENYLP 0.4/H10_02- exclu.tif</t>
  </si>
  <si>
    <t>\\192.168.24.208\images\R&amp;D\Coralie\Triphenylphosphate\2021-CHG-CBA-TRIPHENYLP\plaque 1/@10 TRIPHENYLP 0.4/H10_03- exclu.tif</t>
  </si>
  <si>
    <t xml:space="preserve">\\192.168.24.208\images\R&amp;D\Coralie\Triphenylphosphate\2021-CHG-CBA-TRIPHENYLP\plaque 1/@10 TRIPHENYLP 0.4/ </t>
  </si>
  <si>
    <t xml:space="preserve"> 69.307 </t>
  </si>
  <si>
    <t xml:space="preserve"> 4.7769 </t>
  </si>
  <si>
    <t xml:space="preserve"> 659990.25 </t>
  </si>
  <si>
    <t xml:space="preserve"> 493575.665 </t>
  </si>
  <si>
    <t xml:space="preserve">\\192.168.24.208\images\R&amp;D\Coralie\Triphenylphosphate\2021-CHG-CBA-TRIPHENYLP\plaque 1/@11 TRIPHENYLP 0.59/A11_01.tif </t>
  </si>
  <si>
    <t xml:space="preserve"> 70.8959 </t>
  </si>
  <si>
    <t xml:space="preserve">\\192.168.24.208\images\R&amp;D\Coralie\Triphenylphosphate\2021-CHG-CBA-TRIPHENYLP\plaque 1/@11 TRIPHENYLP 0.59/A11_02.tif </t>
  </si>
  <si>
    <t xml:space="preserve"> 4672.0572 </t>
  </si>
  <si>
    <t xml:space="preserve"> 66.4676 </t>
  </si>
  <si>
    <t xml:space="preserve">\\192.168.24.208\images\R&amp;D\Coralie\Triphenylphosphate\2021-CHG-CBA-TRIPHENYLP\plaque 1/@11 TRIPHENYLP 0.59/A11_03.tif </t>
  </si>
  <si>
    <t xml:space="preserve"> 64.3112 </t>
  </si>
  <si>
    <t xml:space="preserve">\\192.168.24.208\images\R&amp;D\Coralie\Triphenylphosphate\2021-CHG-CBA-TRIPHENYLP\plaque 1/@11 TRIPHENYLP 0.59/B11_01.tif </t>
  </si>
  <si>
    <t xml:space="preserve"> 22386.9409 </t>
  </si>
  <si>
    <t xml:space="preserve"> 71.3005 </t>
  </si>
  <si>
    <t xml:space="preserve">\\192.168.24.208\images\R&amp;D\Coralie\Triphenylphosphate\2021-CHG-CBA-TRIPHENYLP\plaque 1/@11 TRIPHENYLP 0.59/B11_02.tif </t>
  </si>
  <si>
    <t xml:space="preserve"> 22235.5317 </t>
  </si>
  <si>
    <t xml:space="preserve"> 67.4008 </t>
  </si>
  <si>
    <t xml:space="preserve">\\192.168.24.208\images\R&amp;D\Coralie\Triphenylphosphate\2021-CHG-CBA-TRIPHENYLP\plaque 1/@11 TRIPHENYLP 0.59/B11_03.tif </t>
  </si>
  <si>
    <t xml:space="preserve"> 17693.2538 </t>
  </si>
  <si>
    <t xml:space="preserve"> 66.9719 </t>
  </si>
  <si>
    <t xml:space="preserve">\\192.168.24.208\images\R&amp;D\Coralie\Triphenylphosphate\2021-CHG-CBA-TRIPHENYLP\plaque 1/@11 TRIPHENYLP 0.59/C11_01.tif </t>
  </si>
  <si>
    <t xml:space="preserve"> 6251.0395 </t>
  </si>
  <si>
    <t xml:space="preserve"> 63.9135 </t>
  </si>
  <si>
    <t xml:space="preserve">\\192.168.24.208\images\R&amp;D\Coralie\Triphenylphosphate\2021-CHG-CBA-TRIPHENYLP\plaque 1/@11 TRIPHENYLP 0.59/C11_02.tif </t>
  </si>
  <si>
    <t xml:space="preserve"> 11528.7338 </t>
  </si>
  <si>
    <t xml:space="preserve"> 68.4747 </t>
  </si>
  <si>
    <t xml:space="preserve">\\192.168.24.208\images\R&amp;D\Coralie\Triphenylphosphate\2021-CHG-CBA-TRIPHENYLP\plaque 1/@11 TRIPHENYLP 0.59/C11_03.tif </t>
  </si>
  <si>
    <t xml:space="preserve"> 17195.7662 </t>
  </si>
  <si>
    <t xml:space="preserve"> 69.3057 </t>
  </si>
  <si>
    <t xml:space="preserve">\\192.168.24.208\images\R&amp;D\Coralie\Triphenylphosphate\2021-CHG-CBA-TRIPHENYLP\plaque 1/@11 TRIPHENYLP 0.59/D11_01.tif </t>
  </si>
  <si>
    <t xml:space="preserve"> 41334.7286 </t>
  </si>
  <si>
    <t xml:space="preserve"> 80.887 </t>
  </si>
  <si>
    <t xml:space="preserve">\\192.168.24.208\images\R&amp;D\Coralie\Triphenylphosphate\2021-CHG-CBA-TRIPHENYLP\plaque 1/@11 TRIPHENYLP 0.59/D11_02.tif </t>
  </si>
  <si>
    <t xml:space="preserve"> 43973.5758 </t>
  </si>
  <si>
    <t xml:space="preserve"> 76.3743 </t>
  </si>
  <si>
    <t>\\192.168.24.208\images\R&amp;D\Coralie\Triphenylphosphate\2021-CHG-CBA-TRIPHENYLP\plaque 1/@11 TRIPHENYLP 0.59/D11_03- exclu.tif</t>
  </si>
  <si>
    <t xml:space="preserve">\\192.168.24.208\images\R&amp;D\Coralie\Triphenylphosphate\2021-CHG-CBA-TRIPHENYLP\plaque 1/@11 TRIPHENYLP 0.59/E11_01.tif </t>
  </si>
  <si>
    <t xml:space="preserve"> 38544.4722 </t>
  </si>
  <si>
    <t xml:space="preserve"> 69.8266 </t>
  </si>
  <si>
    <t xml:space="preserve">\\192.168.24.208\images\R&amp;D\Coralie\Triphenylphosphate\2021-CHG-CBA-TRIPHENYLP\plaque 1/@11 TRIPHENYLP 0.59/E11_02.tif </t>
  </si>
  <si>
    <t xml:space="preserve"> 34283.383 </t>
  </si>
  <si>
    <t xml:space="preserve"> 67.8259 </t>
  </si>
  <si>
    <t xml:space="preserve">\\192.168.24.208\images\R&amp;D\Coralie\Triphenylphosphate\2021-CHG-CBA-TRIPHENYLP\plaque 1/@11 TRIPHENYLP 0.59/E11_03.tif </t>
  </si>
  <si>
    <t xml:space="preserve"> 30346.7422 </t>
  </si>
  <si>
    <t xml:space="preserve"> 71.0428 </t>
  </si>
  <si>
    <t xml:space="preserve">\\192.168.24.208\images\R&amp;D\Coralie\Triphenylphosphate\2021-CHG-CBA-TRIPHENYLP\plaque 1/@11 TRIPHENYLP 0.59/F11_01.tif </t>
  </si>
  <si>
    <t xml:space="preserve"> 8262.6197 </t>
  </si>
  <si>
    <t xml:space="preserve"> 64.9869 </t>
  </si>
  <si>
    <t xml:space="preserve">\\192.168.24.208\images\R&amp;D\Coralie\Triphenylphosphate\2021-CHG-CBA-TRIPHENYLP\plaque 1/@11 TRIPHENYLP 0.59/F11_02.tif </t>
  </si>
  <si>
    <t xml:space="preserve"> 11442.2143 </t>
  </si>
  <si>
    <t xml:space="preserve"> 69.7958 </t>
  </si>
  <si>
    <t xml:space="preserve">\\192.168.24.208\images\R&amp;D\Coralie\Triphenylphosphate\2021-CHG-CBA-TRIPHENYLP\plaque 1/@11 TRIPHENYLP 0.59/F11_03.tif </t>
  </si>
  <si>
    <t xml:space="preserve"> 68.9946 </t>
  </si>
  <si>
    <t>\\192.168.24.208\images\R&amp;D\Coralie\Triphenylphosphate\2021-CHG-CBA-TRIPHENYLP\plaque 1/@11 TRIPHENYLP 0.59/G11_01- exclu.tif</t>
  </si>
  <si>
    <t>\\192.168.24.208\images\R&amp;D\Coralie\Triphenylphosphate\2021-CHG-CBA-TRIPHENYLP\plaque 1/@11 TRIPHENYLP 0.59/G11_02- exclu.tif</t>
  </si>
  <si>
    <t xml:space="preserve">\\192.168.24.208\images\R&amp;D\Coralie\Triphenylphosphate\2021-CHG-CBA-TRIPHENYLP\plaque 1/@11 TRIPHENYLP 0.59/G11_03.tif </t>
  </si>
  <si>
    <t xml:space="preserve"> 13561.9439 </t>
  </si>
  <si>
    <t xml:space="preserve"> 67.0367 </t>
  </si>
  <si>
    <t xml:space="preserve">\\192.168.24.208\images\R&amp;D\Coralie\Triphenylphosphate\2021-CHG-CBA-TRIPHENYLP\plaque 1/@11 TRIPHENYLP 0.59/H11_01.tif </t>
  </si>
  <si>
    <t xml:space="preserve"> 20115.802 </t>
  </si>
  <si>
    <t xml:space="preserve"> 66.1022 </t>
  </si>
  <si>
    <t xml:space="preserve">\\192.168.24.208\images\R&amp;D\Coralie\Triphenylphosphate\2021-CHG-CBA-TRIPHENYLP\plaque 1/@11 TRIPHENYLP 0.59/H11_02.tif </t>
  </si>
  <si>
    <t xml:space="preserve"> 13129.346 </t>
  </si>
  <si>
    <t xml:space="preserve"> 65.0395 </t>
  </si>
  <si>
    <t xml:space="preserve">\\192.168.24.208\images\R&amp;D\Coralie\Triphenylphosphate\2021-CHG-CBA-TRIPHENYLP\plaque 1/@11 TRIPHENYLP 0.59/H11_03.tif </t>
  </si>
  <si>
    <t xml:space="preserve"> 20223.9515 </t>
  </si>
  <si>
    <t xml:space="preserve"> 65.923 </t>
  </si>
  <si>
    <t xml:space="preserve">\\192.168.24.208\images\R&amp;D\Coralie\Triphenylphosphate\2021-CHG-CBA-TRIPHENYLP\plaque 1/@11 TRIPHENYLP 0.59/ </t>
  </si>
  <si>
    <t xml:space="preserve"> 68.7034 </t>
  </si>
  <si>
    <t xml:space="preserve"> 4.399 </t>
  </si>
  <si>
    <t xml:space="preserve"> 1311563.79 </t>
  </si>
  <si>
    <t xml:space="preserve"> 981556.241 </t>
  </si>
  <si>
    <t xml:space="preserve">\\192.168.24.208\images\R&amp;D\Coralie\Triphenylphosphate\2021-CHG-CBA-TRIPHENYLP\plaque 1/@12 TRIPHENYLP 0.89/A12_01.tif </t>
  </si>
  <si>
    <t xml:space="preserve"> 61537.0502 </t>
  </si>
  <si>
    <t xml:space="preserve"> 76.7026 </t>
  </si>
  <si>
    <t xml:space="preserve">\\192.168.24.208\images\R&amp;D\Coralie\Triphenylphosphate\2021-CHG-CBA-TRIPHENYLP\plaque 1/@12 TRIPHENYLP 0.89/A12_02.tif </t>
  </si>
  <si>
    <t xml:space="preserve"> 65992.8085 </t>
  </si>
  <si>
    <t xml:space="preserve"> 73.9826 </t>
  </si>
  <si>
    <t xml:space="preserve">\\192.168.24.208\images\R&amp;D\Coralie\Triphenylphosphate\2021-CHG-CBA-TRIPHENYLP\plaque 1/@12 TRIPHENYLP 0.89/A12_03.tif </t>
  </si>
  <si>
    <t xml:space="preserve"> 78083.9196 </t>
  </si>
  <si>
    <t xml:space="preserve"> 74.2249 </t>
  </si>
  <si>
    <t>\\192.168.24.208\images\R&amp;D\Coralie\Triphenylphosphate\2021-CHG-CBA-TRIPHENYLP\plaque 1/@12 TRIPHENYLP 0.89/B12_01- exclu.tif</t>
  </si>
  <si>
    <t>\\192.168.24.208\images\R&amp;D\Coralie\Triphenylphosphate\2021-CHG-CBA-TRIPHENYLP\plaque 1/@12 TRIPHENYLP 0.89/B12_02- exclu.tif</t>
  </si>
  <si>
    <t>\\192.168.24.208\images\R&amp;D\Coralie\Triphenylphosphate\2021-CHG-CBA-TRIPHENYLP\plaque 1/@12 TRIPHENYLP 0.89/B12_03- exclu.tif</t>
  </si>
  <si>
    <t xml:space="preserve">\\192.168.24.208\images\R&amp;D\Coralie\Triphenylphosphate\2021-CHG-CBA-TRIPHENYLP\plaque 1/@12 TRIPHENYLP 0.89/C12_01.tif </t>
  </si>
  <si>
    <t xml:space="preserve"> 75.4073 </t>
  </si>
  <si>
    <t>\\192.168.24.208\images\R&amp;D\Coralie\Triphenylphosphate\2021-CHG-CBA-TRIPHENYLP\plaque 1/@12 TRIPHENYLP 0.89/C12_02- exclu.tif</t>
  </si>
  <si>
    <t>\\192.168.24.208\images\R&amp;D\Coralie\Triphenylphosphate\2021-CHG-CBA-TRIPHENYLP\plaque 1/@12 TRIPHENYLP 0.89/C12_03- exclu.tif</t>
  </si>
  <si>
    <t xml:space="preserve">\\192.168.24.208\images\R&amp;D\Coralie\Triphenylphosphate\2021-CHG-CBA-TRIPHENYLP\plaque 1/@12 TRIPHENYLP 0.89/D12_01.tif </t>
  </si>
  <si>
    <t xml:space="preserve"> 17282.2858 </t>
  </si>
  <si>
    <t xml:space="preserve"> 67.781 </t>
  </si>
  <si>
    <t xml:space="preserve">\\192.168.24.208\images\R&amp;D\Coralie\Triphenylphosphate\2021-CHG-CBA-TRIPHENYLP\plaque 1/@12 TRIPHENYLP 0.89/D12_02.tif </t>
  </si>
  <si>
    <t xml:space="preserve"> 22603.2399 </t>
  </si>
  <si>
    <t xml:space="preserve"> 70.7933 </t>
  </si>
  <si>
    <t xml:space="preserve">\\192.168.24.208\images\R&amp;D\Coralie\Triphenylphosphate\2021-CHG-CBA-TRIPHENYLP\plaque 1/@12 TRIPHENYLP 0.89/D12_03.tif </t>
  </si>
  <si>
    <t xml:space="preserve"> 70.6259 </t>
  </si>
  <si>
    <t xml:space="preserve">\\192.168.24.208\images\R&amp;D\Coralie\Triphenylphosphate\2021-CHG-CBA-TRIPHENYLP\plaque 1/@12 TRIPHENYLP 0.89/E12_01.tif </t>
  </si>
  <si>
    <t xml:space="preserve"> 57470.63 </t>
  </si>
  <si>
    <t xml:space="preserve"> 70.0215 </t>
  </si>
  <si>
    <t xml:space="preserve">\\192.168.24.208\images\R&amp;D\Coralie\Triphenylphosphate\2021-CHG-CBA-TRIPHENYLP\plaque 1/@12 TRIPHENYLP 0.89/E12_02.tif </t>
  </si>
  <si>
    <t xml:space="preserve"> 72.2174 </t>
  </si>
  <si>
    <t xml:space="preserve">\\192.168.24.208\images\R&amp;D\Coralie\Triphenylphosphate\2021-CHG-CBA-TRIPHENYLP\plaque 1/@12 TRIPHENYLP 0.89/E12_03.tif </t>
  </si>
  <si>
    <t xml:space="preserve"> 56497.2848 </t>
  </si>
  <si>
    <t xml:space="preserve"> 69.1382 </t>
  </si>
  <si>
    <t xml:space="preserve">\\192.168.24.208\images\R&amp;D\Coralie\Triphenylphosphate\2021-CHG-CBA-TRIPHENYLP\plaque 1/@12 TRIPHENYLP 0.89/F12_01.tif </t>
  </si>
  <si>
    <t xml:space="preserve"> 33136.9986 </t>
  </si>
  <si>
    <t xml:space="preserve"> 80.7389 </t>
  </si>
  <si>
    <t xml:space="preserve">\\192.168.24.208\images\R&amp;D\Coralie\Triphenylphosphate\2021-CHG-CBA-TRIPHENYLP\plaque 1/@12 TRIPHENYLP 0.89/F12_02.tif </t>
  </si>
  <si>
    <t xml:space="preserve"> 85.1167 </t>
  </si>
  <si>
    <t xml:space="preserve">\\192.168.24.208\images\R&amp;D\Coralie\Triphenylphosphate\2021-CHG-CBA-TRIPHENYLP\plaque 1/@12 TRIPHENYLP 0.89/F12_03.tif </t>
  </si>
  <si>
    <t xml:space="preserve"> 47347.8393 </t>
  </si>
  <si>
    <t xml:space="preserve"> 79.6181 </t>
  </si>
  <si>
    <t>\\192.168.24.208\images\R&amp;D\Coralie\Triphenylphosphate\2021-CHG-CBA-TRIPHENYLP\plaque 1/@12 TRIPHENYLP 0.89/G12_01- exclu.tif</t>
  </si>
  <si>
    <t>\\192.168.24.208\images\R&amp;D\Coralie\Triphenylphosphate\2021-CHG-CBA-TRIPHENYLP\plaque 1/@12 TRIPHENYLP 0.89/G12_02- exclu.tif</t>
  </si>
  <si>
    <t>\\192.168.24.208\images\R&amp;D\Coralie\Triphenylphosphate\2021-CHG-CBA-TRIPHENYLP\plaque 1/@12 TRIPHENYLP 0.89/G12_03- exclu.tif</t>
  </si>
  <si>
    <t>\\192.168.24.208\images\R&amp;D\Coralie\Triphenylphosphate\2021-CHG-CBA-TRIPHENYLP\plaque 1/@12 TRIPHENYLP 0.89/H12_01- exclu.tif</t>
  </si>
  <si>
    <t>\\192.168.24.208\images\R&amp;D\Coralie\Triphenylphosphate\2021-CHG-CBA-TRIPHENYLP\plaque 1/@12 TRIPHENYLP 0.89/H12_02- exclu.tif</t>
  </si>
  <si>
    <t>\\192.168.24.208\images\R&amp;D\Coralie\Triphenylphosphate\2021-CHG-CBA-TRIPHENYLP\plaque 1/@12 TRIPHENYLP 0.89/H12_03- exclu.tif</t>
  </si>
  <si>
    <t xml:space="preserve">\\192.168.24.208\images\R&amp;D\Coralie\Triphenylphosphate\2021-CHG-CBA-TRIPHENYLP\plaque 1/@12 TRIPHENYLP 0.89/ </t>
  </si>
  <si>
    <t xml:space="preserve"> 70.0437 </t>
  </si>
  <si>
    <t xml:space="preserve"> 6.1287 </t>
  </si>
  <si>
    <t xml:space="preserve"> 1914918.08 </t>
  </si>
  <si>
    <t xml:space="preserve"> 1995216.47 </t>
  </si>
  <si>
    <t xml:space="preserve">\\192.168.24.208\images\R&amp;D\Coralie\Triphenylphosphate\2021-CHG-CBA-TRIPHENYLP\plaque 2/@01 TESTO/A1_01.tif </t>
  </si>
  <si>
    <t xml:space="preserve"> 74017.4994 </t>
  </si>
  <si>
    <t xml:space="preserve"> 78.109 </t>
  </si>
  <si>
    <t xml:space="preserve">\\192.168.24.208\images\R&amp;D\Coralie\Triphenylphosphate\2021-CHG-CBA-TRIPHENYLP\plaque 2/@01 TESTO/A1_02.tif </t>
  </si>
  <si>
    <t xml:space="preserve"> 78235.3289 </t>
  </si>
  <si>
    <t xml:space="preserve"> 76.9137 </t>
  </si>
  <si>
    <t xml:space="preserve">\\192.168.24.208\images\R&amp;D\Coralie\Triphenylphosphate\2021-CHG-CBA-TRIPHENYLP\plaque 2/@01 TESTO/A1_03.tif </t>
  </si>
  <si>
    <t xml:space="preserve"> 68739.8051 </t>
  </si>
  <si>
    <t xml:space="preserve"> 77.1381 </t>
  </si>
  <si>
    <t xml:space="preserve">\\192.168.24.208\images\R&amp;D\Coralie\Triphenylphosphate\2021-CHG-CBA-TRIPHENYLP\plaque 2/@01 TESTO/B1_01.tif </t>
  </si>
  <si>
    <t xml:space="preserve"> 48018.3661 </t>
  </si>
  <si>
    <t xml:space="preserve"> 70.9833 </t>
  </si>
  <si>
    <t xml:space="preserve">\\192.168.24.208\images\R&amp;D\Coralie\Triphenylphosphate\2021-CHG-CBA-TRIPHENYLP\plaque 2/@01 TESTO/B1_02.tif </t>
  </si>
  <si>
    <t xml:space="preserve"> 37116.8992 </t>
  </si>
  <si>
    <t xml:space="preserve"> 70.1101 </t>
  </si>
  <si>
    <t xml:space="preserve">\\192.168.24.208\images\R&amp;D\Coralie\Triphenylphosphate\2021-CHG-CBA-TRIPHENYLP\plaque 2/@01 TESTO/B1_03.tif </t>
  </si>
  <si>
    <t xml:space="preserve"> 44860.4015 </t>
  </si>
  <si>
    <t xml:space="preserve"> 70.2473 </t>
  </si>
  <si>
    <t xml:space="preserve">\\192.168.24.208\images\R&amp;D\Coralie\Triphenylphosphate\2021-CHG-CBA-TRIPHENYLP\plaque 2/@01 TESTO/C1_01.tif </t>
  </si>
  <si>
    <t xml:space="preserve"> 36468.0023 </t>
  </si>
  <si>
    <t xml:space="preserve"> 71.6364 </t>
  </si>
  <si>
    <t xml:space="preserve">\\192.168.24.208\images\R&amp;D\Coralie\Triphenylphosphate\2021-CHG-CBA-TRIPHENYLP\plaque 2/@01 TESTO/C1_02.tif </t>
  </si>
  <si>
    <t xml:space="preserve"> 43778.9067 </t>
  </si>
  <si>
    <t xml:space="preserve"> 70.4417 </t>
  </si>
  <si>
    <t xml:space="preserve">\\192.168.24.208\images\R&amp;D\Coralie\Triphenylphosphate\2021-CHG-CBA-TRIPHENYLP\plaque 2/@01 TESTO/C1_03.tif </t>
  </si>
  <si>
    <t xml:space="preserve"> 38436.3228 </t>
  </si>
  <si>
    <t xml:space="preserve"> 71.202 </t>
  </si>
  <si>
    <t xml:space="preserve">\\192.168.24.208\images\R&amp;D\Coralie\Triphenylphosphate\2021-CHG-CBA-TRIPHENYLP\plaque 2/@01 TESTO/D1_01.tif </t>
  </si>
  <si>
    <t xml:space="preserve"> 42070.1451 </t>
  </si>
  <si>
    <t xml:space="preserve"> 70.0761 </t>
  </si>
  <si>
    <t xml:space="preserve">\\192.168.24.208\images\R&amp;D\Coralie\Triphenylphosphate\2021-CHG-CBA-TRIPHENYLP\plaque 2/@01 TESTO/D1_02.tif </t>
  </si>
  <si>
    <t xml:space="preserve"> 70.292 </t>
  </si>
  <si>
    <t xml:space="preserve">\\192.168.24.208\images\R&amp;D\Coralie\Triphenylphosphate\2021-CHG-CBA-TRIPHENYLP\plaque 2/@01 TESTO/D1_03.tif </t>
  </si>
  <si>
    <t xml:space="preserve"> 38241.6537 </t>
  </si>
  <si>
    <t xml:space="preserve"> 69.8614 </t>
  </si>
  <si>
    <t xml:space="preserve">\\192.168.24.208\images\R&amp;D\Coralie\Triphenylphosphate\2021-CHG-CBA-TRIPHENYLP\plaque 2/@01 TESTO/E1_01.tif </t>
  </si>
  <si>
    <t xml:space="preserve"> 41291.4688 </t>
  </si>
  <si>
    <t xml:space="preserve"> 78.9853 </t>
  </si>
  <si>
    <t xml:space="preserve">\\192.168.24.208\images\R&amp;D\Coralie\Triphenylphosphate\2021-CHG-CBA-TRIPHENYLP\plaque 2/@01 TESTO/E1_02.tif </t>
  </si>
  <si>
    <t xml:space="preserve"> 39517.8175 </t>
  </si>
  <si>
    <t xml:space="preserve"> 78.977 </t>
  </si>
  <si>
    <t xml:space="preserve">\\192.168.24.208\images\R&amp;D\Coralie\Triphenylphosphate\2021-CHG-CBA-TRIPHENYLP\plaque 2/@01 TESTO/E1_03.tif </t>
  </si>
  <si>
    <t xml:space="preserve"> 77.5118 </t>
  </si>
  <si>
    <t xml:space="preserve">\\192.168.24.208\images\R&amp;D\Coralie\Triphenylphosphate\2021-CHG-CBA-TRIPHENYLP\plaque 2/@01 TESTO/F1_01.tif </t>
  </si>
  <si>
    <t xml:space="preserve"> 55026.4519 </t>
  </si>
  <si>
    <t xml:space="preserve"> 72.9222 </t>
  </si>
  <si>
    <t xml:space="preserve">\\192.168.24.208\images\R&amp;D\Coralie\Triphenylphosphate\2021-CHG-CBA-TRIPHENYLP\plaque 2/@01 TESTO/F1_02.tif </t>
  </si>
  <si>
    <t xml:space="preserve"> 55394.1601 </t>
  </si>
  <si>
    <t xml:space="preserve"> 73.7403 </t>
  </si>
  <si>
    <t xml:space="preserve">\\192.168.24.208\images\R&amp;D\Coralie\Triphenylphosphate\2021-CHG-CBA-TRIPHENYLP\plaque 2/@01 TESTO/F1_03.tif </t>
  </si>
  <si>
    <t xml:space="preserve"> 50635.5833 </t>
  </si>
  <si>
    <t xml:space="preserve"> 71.7826 </t>
  </si>
  <si>
    <t xml:space="preserve">\\192.168.24.208\images\R&amp;D\Coralie\Triphenylphosphate\2021-CHG-CBA-TRIPHENYLP\plaque 2/@01 TESTO/G1_01.tif </t>
  </si>
  <si>
    <t xml:space="preserve"> 20743.0689 </t>
  </si>
  <si>
    <t xml:space="preserve"> 70.316 </t>
  </si>
  <si>
    <t xml:space="preserve">\\192.168.24.208\images\R&amp;D\Coralie\Triphenylphosphate\2021-CHG-CBA-TRIPHENYLP\plaque 2/@01 TESTO/G1_02.tif </t>
  </si>
  <si>
    <t xml:space="preserve"> 20137.4319 </t>
  </si>
  <si>
    <t xml:space="preserve"> 73.1622 </t>
  </si>
  <si>
    <t xml:space="preserve">\\192.168.24.208\images\R&amp;D\Coralie\Triphenylphosphate\2021-CHG-CBA-TRIPHENYLP\plaque 2/@01 TESTO/G1_03.tif </t>
  </si>
  <si>
    <t xml:space="preserve"> 20029.2824 </t>
  </si>
  <si>
    <t xml:space="preserve"> 70.5497 </t>
  </si>
  <si>
    <t xml:space="preserve">\\192.168.24.208\images\R&amp;D\Coralie\Triphenylphosphate\2021-CHG-CBA-TRIPHENYLP\plaque 2/@01 TESTO/H1_01.tif </t>
  </si>
  <si>
    <t xml:space="preserve"> 53274.4305 </t>
  </si>
  <si>
    <t xml:space="preserve"> 75.7121 </t>
  </si>
  <si>
    <t xml:space="preserve">\\192.168.24.208\images\R&amp;D\Coralie\Triphenylphosphate\2021-CHG-CBA-TRIPHENYLP\plaque 2/@01 TESTO/H1_02.tif </t>
  </si>
  <si>
    <t xml:space="preserve"> 69475.2215 </t>
  </si>
  <si>
    <t xml:space="preserve"> 76.6242 </t>
  </si>
  <si>
    <t xml:space="preserve">\\192.168.24.208\images\R&amp;D\Coralie\Triphenylphosphate\2021-CHG-CBA-TRIPHENYLP\plaque 2/@01 TESTO/H1_03.tif </t>
  </si>
  <si>
    <t xml:space="preserve"> 58076.2671 </t>
  </si>
  <si>
    <t xml:space="preserve"> 74.2156 </t>
  </si>
  <si>
    <t xml:space="preserve">\\192.168.24.208\images\R&amp;D\Coralie\Triphenylphosphate\2021-CHG-CBA-TRIPHENYLP\plaque 2/@01 TESTO/ </t>
  </si>
  <si>
    <t xml:space="preserve"> 73.3963 </t>
  </si>
  <si>
    <t xml:space="preserve"> 3.2389 </t>
  </si>
  <si>
    <t xml:space="preserve"> 3441831.71 </t>
  </si>
  <si>
    <t xml:space="preserve"> 1255978.95 </t>
  </si>
  <si>
    <t xml:space="preserve">\\192.168.24.208\images\R&amp;D\Coralie\Triphenylphosphate\2021-CHG-CBA-TRIPHENYLP\plaque 2/@02 TESTO/A2_01.tif </t>
  </si>
  <si>
    <t xml:space="preserve"> 45812.1168 </t>
  </si>
  <si>
    <t xml:space="preserve"> 73.1681 </t>
  </si>
  <si>
    <t xml:space="preserve">\\192.168.24.208\images\R&amp;D\Coralie\Triphenylphosphate\2021-CHG-CBA-TRIPHENYLP\plaque 2/@02 TESTO/A2_02.tif </t>
  </si>
  <si>
    <t xml:space="preserve"> 44925.2911 </t>
  </si>
  <si>
    <t xml:space="preserve"> 72.4863 </t>
  </si>
  <si>
    <t xml:space="preserve">\\192.168.24.208\images\R&amp;D\Coralie\Triphenylphosphate\2021-CHG-CBA-TRIPHENYLP\plaque 2/@02 TESTO/A2_03.tif </t>
  </si>
  <si>
    <t xml:space="preserve"> 50700.473 </t>
  </si>
  <si>
    <t xml:space="preserve"> 73.6583 </t>
  </si>
  <si>
    <t xml:space="preserve">\\192.168.24.208\images\R&amp;D\Coralie\Triphenylphosphate\2021-CHG-CBA-TRIPHENYLP\plaque 2/@02 TESTO/B2_01.tif </t>
  </si>
  <si>
    <t xml:space="preserve"> 38155.1341 </t>
  </si>
  <si>
    <t xml:space="preserve"> 70.6497 </t>
  </si>
  <si>
    <t xml:space="preserve">\\192.168.24.208\images\R&amp;D\Coralie\Triphenylphosphate\2021-CHG-CBA-TRIPHENYLP\plaque 2/@02 TESTO/B2_02.tif </t>
  </si>
  <si>
    <t xml:space="preserve"> 43151.6398 </t>
  </si>
  <si>
    <t xml:space="preserve"> 71.1789 </t>
  </si>
  <si>
    <t xml:space="preserve">\\192.168.24.208\images\R&amp;D\Coralie\Triphenylphosphate\2021-CHG-CBA-TRIPHENYLP\plaque 2/@02 TESTO/B2_03.tif </t>
  </si>
  <si>
    <t xml:space="preserve"> 70.9288 </t>
  </si>
  <si>
    <t xml:space="preserve">\\192.168.24.208\images\R&amp;D\Coralie\Triphenylphosphate\2021-CHG-CBA-TRIPHENYLP\plaque 2/@02 TESTO/C2_01.tif </t>
  </si>
  <si>
    <t xml:space="preserve"> 51825.2275 </t>
  </si>
  <si>
    <t xml:space="preserve"> 72.9967 </t>
  </si>
  <si>
    <t xml:space="preserve">\\192.168.24.208\images\R&amp;D\Coralie\Triphenylphosphate\2021-CHG-CBA-TRIPHENYLP\plaque 2/@02 TESTO/C2_02.tif </t>
  </si>
  <si>
    <t xml:space="preserve"> 45249.7396 </t>
  </si>
  <si>
    <t xml:space="preserve"> 71.5268 </t>
  </si>
  <si>
    <t>\\192.168.24.208\images\R&amp;D\Coralie\Triphenylphosphate\2021-CHG-CBA-TRIPHENYLP\plaque 2/@02 TESTO/C2_03- exclu.tif</t>
  </si>
  <si>
    <t xml:space="preserve">\\192.168.24.208\images\R&amp;D\Coralie\Triphenylphosphate\2021-CHG-CBA-TRIPHENYLP\plaque 2/@02 TESTO/D2_01.tif </t>
  </si>
  <si>
    <t xml:space="preserve"> 50440.9143 </t>
  </si>
  <si>
    <t xml:space="preserve"> 70.566 </t>
  </si>
  <si>
    <t xml:space="preserve">\\192.168.24.208\images\R&amp;D\Coralie\Triphenylphosphate\2021-CHG-CBA-TRIPHENYLP\plaque 2/@02 TESTO/D2_02.tif </t>
  </si>
  <si>
    <t xml:space="preserve"> 45314.6292 </t>
  </si>
  <si>
    <t xml:space="preserve"> 70.2797 </t>
  </si>
  <si>
    <t xml:space="preserve">\\192.168.24.208\images\R&amp;D\Coralie\Triphenylphosphate\2021-CHG-CBA-TRIPHENYLP\plaque 2/@02 TESTO/D2_03.tif </t>
  </si>
  <si>
    <t xml:space="preserve"> 43065.1202 </t>
  </si>
  <si>
    <t xml:space="preserve"> 68.6052 </t>
  </si>
  <si>
    <t xml:space="preserve">\\192.168.24.208\images\R&amp;D\Coralie\Triphenylphosphate\2021-CHG-CBA-TRIPHENYLP\plaque 2/@02 TESTO/E2_01.tif </t>
  </si>
  <si>
    <t xml:space="preserve"> 52949.9821 </t>
  </si>
  <si>
    <t xml:space="preserve"> 78.2149 </t>
  </si>
  <si>
    <t xml:space="preserve">\\192.168.24.208\images\R&amp;D\Coralie\Triphenylphosphate\2021-CHG-CBA-TRIPHENYLP\plaque 2/@02 TESTO/E2_02.tif </t>
  </si>
  <si>
    <t xml:space="preserve"> 62986.2532 </t>
  </si>
  <si>
    <t xml:space="preserve"> 78.4698 </t>
  </si>
  <si>
    <t xml:space="preserve">\\192.168.24.208\images\R&amp;D\Coralie\Triphenylphosphate\2021-CHG-CBA-TRIPHENYLP\plaque 2/@02 TESTO/E2_03.tif </t>
  </si>
  <si>
    <t xml:space="preserve"> 54485.7046 </t>
  </si>
  <si>
    <t xml:space="preserve"> 78.052 </t>
  </si>
  <si>
    <t xml:space="preserve">\\192.168.24.208\images\R&amp;D\Coralie\Triphenylphosphate\2021-CHG-CBA-TRIPHENYLP\plaque 2/@02 TESTO/F2_01.tif </t>
  </si>
  <si>
    <t xml:space="preserve"> 47564.1383 </t>
  </si>
  <si>
    <t xml:space="preserve"> 75.9986 </t>
  </si>
  <si>
    <t xml:space="preserve">\\192.168.24.208\images\R&amp;D\Coralie\Triphenylphosphate\2021-CHG-CBA-TRIPHENYLP\plaque 2/@02 TESTO/F2_02.tif </t>
  </si>
  <si>
    <t xml:space="preserve"> 47845.3269 </t>
  </si>
  <si>
    <t xml:space="preserve"> 76.2685 </t>
  </si>
  <si>
    <t xml:space="preserve">\\192.168.24.208\images\R&amp;D\Coralie\Triphenylphosphate\2021-CHG-CBA-TRIPHENYLP\plaque 2/@02 TESTO/F2_03.tif </t>
  </si>
  <si>
    <t xml:space="preserve"> 50527.4339 </t>
  </si>
  <si>
    <t xml:space="preserve"> 75.6948 </t>
  </si>
  <si>
    <t>\\192.168.24.208\images\R&amp;D\Coralie\Triphenylphosphate\2021-CHG-CBA-TRIPHENYLP\plaque 2/@02 TESTO/G2_01- exclu.tif</t>
  </si>
  <si>
    <t xml:space="preserve">\\192.168.24.208\images\R&amp;D\Coralie\Triphenylphosphate\2021-CHG-CBA-TRIPHENYLP\plaque 2/@02 TESTO/G2_02.tif </t>
  </si>
  <si>
    <t xml:space="preserve"> 40339.7535 </t>
  </si>
  <si>
    <t xml:space="preserve"> 70.0257 </t>
  </si>
  <si>
    <t xml:space="preserve">\\192.168.24.208\images\R&amp;D\Coralie\Triphenylphosphate\2021-CHG-CBA-TRIPHENYLP\plaque 2/@02 TESTO/G2_03.tif </t>
  </si>
  <si>
    <t xml:space="preserve"> 40166.7143 </t>
  </si>
  <si>
    <t xml:space="preserve"> 73.8266 </t>
  </si>
  <si>
    <t xml:space="preserve">\\192.168.24.208\images\R&amp;D\Coralie\Triphenylphosphate\2021-CHG-CBA-TRIPHENYLP\plaque 2/@02 TESTO/H2_01.tif </t>
  </si>
  <si>
    <t xml:space="preserve"> 53144.6511 </t>
  </si>
  <si>
    <t xml:space="preserve"> 75.5389 </t>
  </si>
  <si>
    <t xml:space="preserve">\\192.168.24.208\images\R&amp;D\Coralie\Triphenylphosphate\2021-CHG-CBA-TRIPHENYLP\plaque 2/@02 TESTO/H2_02.tif </t>
  </si>
  <si>
    <t xml:space="preserve"> 51652.1884 </t>
  </si>
  <si>
    <t xml:space="preserve"> 74.7475 </t>
  </si>
  <si>
    <t xml:space="preserve">\\192.168.24.208\images\R&amp;D\Coralie\Triphenylphosphate\2021-CHG-CBA-TRIPHENYLP\plaque 2/@02 TESTO/H2_03.tif </t>
  </si>
  <si>
    <t xml:space="preserve"> 75.0218 </t>
  </si>
  <si>
    <t xml:space="preserve">\\192.168.24.208\images\R&amp;D\Coralie\Triphenylphosphate\2021-CHG-CBA-TRIPHENYLP\plaque 2/@02 TESTO/ </t>
  </si>
  <si>
    <t xml:space="preserve"> 73.1099 </t>
  </si>
  <si>
    <t xml:space="preserve"> 3.2842 </t>
  </si>
  <si>
    <t xml:space="preserve"> 3379210.42 </t>
  </si>
  <si>
    <t xml:space="preserve"> 776163.832 </t>
  </si>
  <si>
    <t xml:space="preserve">\\192.168.24.208\images\R&amp;D\Coralie\Triphenylphosphate\2021-CHG-CBA-TRIPHENYLP\plaque 2/@03 TESTO + EE2/A3_01.tif </t>
  </si>
  <si>
    <t xml:space="preserve"> 51457.5193 </t>
  </si>
  <si>
    <t xml:space="preserve"> 82.652 </t>
  </si>
  <si>
    <t xml:space="preserve">\\192.168.24.208\images\R&amp;D\Coralie\Triphenylphosphate\2021-CHG-CBA-TRIPHENYLP\plaque 2/@03 TESTO + EE2/A3_02.tif </t>
  </si>
  <si>
    <t xml:space="preserve"> 57643.6692 </t>
  </si>
  <si>
    <t xml:space="preserve"> 80.8765 </t>
  </si>
  <si>
    <t xml:space="preserve">\\192.168.24.208\images\R&amp;D\Coralie\Triphenylphosphate\2021-CHG-CBA-TRIPHENYLP\plaque 2/@03 TESTO + EE2/A3_03.tif </t>
  </si>
  <si>
    <t xml:space="preserve"> 59438.9504 </t>
  </si>
  <si>
    <t xml:space="preserve"> 80.4272 </t>
  </si>
  <si>
    <t xml:space="preserve">\\192.168.24.208\images\R&amp;D\Coralie\Triphenylphosphate\2021-CHG-CBA-TRIPHENYLP\plaque 2/@03 TESTO + EE2/B3_01.tif </t>
  </si>
  <si>
    <t xml:space="preserve"> 62402.246 </t>
  </si>
  <si>
    <t xml:space="preserve"> 77.6381 </t>
  </si>
  <si>
    <t xml:space="preserve">\\192.168.24.208\images\R&amp;D\Coralie\Triphenylphosphate\2021-CHG-CBA-TRIPHENYLP\plaque 2/@03 TESTO + EE2/B3_02.tif </t>
  </si>
  <si>
    <t xml:space="preserve"> 65625.1003 </t>
  </si>
  <si>
    <t xml:space="preserve"> 80.0946 </t>
  </si>
  <si>
    <t xml:space="preserve">\\192.168.24.208\images\R&amp;D\Coralie\Triphenylphosphate\2021-CHG-CBA-TRIPHENYLP\plaque 2/@03 TESTO + EE2/B3_03.tif </t>
  </si>
  <si>
    <t xml:space="preserve"> 66295.627 </t>
  </si>
  <si>
    <t xml:space="preserve"> 81.1044 </t>
  </si>
  <si>
    <t xml:space="preserve">\\192.168.24.208\images\R&amp;D\Coralie\Triphenylphosphate\2021-CHG-CBA-TRIPHENYLP\plaque 2/@03 TESTO + EE2/C3_01.tif </t>
  </si>
  <si>
    <t xml:space="preserve"> 76.8326 </t>
  </si>
  <si>
    <t xml:space="preserve">\\192.168.24.208\images\R&amp;D\Coralie\Triphenylphosphate\2021-CHG-CBA-TRIPHENYLP\plaque 2/@03 TESTO + EE2/C3_02.tif </t>
  </si>
  <si>
    <t xml:space="preserve"> 52690.4233 </t>
  </si>
  <si>
    <t xml:space="preserve"> 76.4963 </t>
  </si>
  <si>
    <t xml:space="preserve">\\192.168.24.208\images\R&amp;D\Coralie\Triphenylphosphate\2021-CHG-CBA-TRIPHENYLP\plaque 2/@03 TESTO + EE2/C3_03.tif </t>
  </si>
  <si>
    <t xml:space="preserve"> 47780.4372 </t>
  </si>
  <si>
    <t xml:space="preserve"> 76.2096 </t>
  </si>
  <si>
    <t xml:space="preserve">\\192.168.24.208\images\R&amp;D\Coralie\Triphenylphosphate\2021-CHG-CBA-TRIPHENYLP\plaque 2/@03 TESTO + EE2/D3_01.tif </t>
  </si>
  <si>
    <t xml:space="preserve"> 35191.8386 </t>
  </si>
  <si>
    <t xml:space="preserve"> 89.2348 </t>
  </si>
  <si>
    <t xml:space="preserve">\\192.168.24.208\images\R&amp;D\Coralie\Triphenylphosphate\2021-CHG-CBA-TRIPHENYLP\plaque 2/@03 TESTO + EE2/D3_02.tif </t>
  </si>
  <si>
    <t xml:space="preserve"> 84.1596 </t>
  </si>
  <si>
    <t xml:space="preserve">\\192.168.24.208\images\R&amp;D\Coralie\Triphenylphosphate\2021-CHG-CBA-TRIPHENYLP\plaque 2/@03 TESTO + EE2/D3_03.tif </t>
  </si>
  <si>
    <t xml:space="preserve"> 42610.8924 </t>
  </si>
  <si>
    <t xml:space="preserve"> 85.4264 </t>
  </si>
  <si>
    <t xml:space="preserve">\\192.168.24.208\images\R&amp;D\Coralie\Triphenylphosphate\2021-CHG-CBA-TRIPHENYLP\plaque 2/@03 TESTO + EE2/E3_01.tif </t>
  </si>
  <si>
    <t xml:space="preserve"> 33677.7459 </t>
  </si>
  <si>
    <t xml:space="preserve"> 74.7752 </t>
  </si>
  <si>
    <t xml:space="preserve">\\192.168.24.208\images\R&amp;D\Coralie\Triphenylphosphate\2021-CHG-CBA-TRIPHENYLP\plaque 2/@03 TESTO + EE2/E3_02.tif </t>
  </si>
  <si>
    <t xml:space="preserve"> 29135.4681 </t>
  </si>
  <si>
    <t xml:space="preserve"> 77.8263 </t>
  </si>
  <si>
    <t xml:space="preserve">\\192.168.24.208\images\R&amp;D\Coralie\Triphenylphosphate\2021-CHG-CBA-TRIPHENYLP\plaque 2/@03 TESTO + EE2/E3_03.tif </t>
  </si>
  <si>
    <t xml:space="preserve"> 35278.3581 </t>
  </si>
  <si>
    <t xml:space="preserve"> 75.1159 </t>
  </si>
  <si>
    <t xml:space="preserve">\\192.168.24.208\images\R&amp;D\Coralie\Triphenylphosphate\2021-CHG-CBA-TRIPHENYLP\plaque 2/@03 TESTO + EE2/F3_01.tif </t>
  </si>
  <si>
    <t xml:space="preserve"> 41204.9493 </t>
  </si>
  <si>
    <t xml:space="preserve"> 85.3864 </t>
  </si>
  <si>
    <t xml:space="preserve">\\192.168.24.208\images\R&amp;D\Coralie\Triphenylphosphate\2021-CHG-CBA-TRIPHENYLP\plaque 2/@03 TESTO + EE2/F3_02.tif </t>
  </si>
  <si>
    <t xml:space="preserve"> 38933.8103 </t>
  </si>
  <si>
    <t xml:space="preserve"> 90.1172 </t>
  </si>
  <si>
    <t xml:space="preserve">\\192.168.24.208\images\R&amp;D\Coralie\Triphenylphosphate\2021-CHG-CBA-TRIPHENYLP\plaque 2/@03 TESTO + EE2/F3_03.tif </t>
  </si>
  <si>
    <t xml:space="preserve"> 42156.6646 </t>
  </si>
  <si>
    <t xml:space="preserve"> 88.0518 </t>
  </si>
  <si>
    <t xml:space="preserve">\\192.168.24.208\images\R&amp;D\Coralie\Triphenylphosphate\2021-CHG-CBA-TRIPHENYLP\plaque 2/@03 TESTO + EE2/G3_01.tif </t>
  </si>
  <si>
    <t xml:space="preserve"> 41724.0667 </t>
  </si>
  <si>
    <t xml:space="preserve"> 85.2763 </t>
  </si>
  <si>
    <t xml:space="preserve">\\192.168.24.208\images\R&amp;D\Coralie\Triphenylphosphate\2021-CHG-CBA-TRIPHENYLP\plaque 2/@03 TESTO + EE2/G3_02.tif </t>
  </si>
  <si>
    <t xml:space="preserve"> 40426.2731 </t>
  </si>
  <si>
    <t xml:space="preserve"> 85.0107 </t>
  </si>
  <si>
    <t xml:space="preserve">\\192.168.24.208\images\R&amp;D\Coralie\Triphenylphosphate\2021-CHG-CBA-TRIPHENYLP\plaque 2/@03 TESTO + EE2/G3_03.tif </t>
  </si>
  <si>
    <t xml:space="preserve"> 38912.1804 </t>
  </si>
  <si>
    <t xml:space="preserve"> 84.8038 </t>
  </si>
  <si>
    <t xml:space="preserve">\\192.168.24.208\images\R&amp;D\Coralie\Triphenylphosphate\2021-CHG-CBA-TRIPHENYLP\plaque 2/@03 TESTO + EE2/H3_01.tif </t>
  </si>
  <si>
    <t xml:space="preserve"> 54593.854 </t>
  </si>
  <si>
    <t xml:space="preserve"> 74.0194 </t>
  </si>
  <si>
    <t xml:space="preserve">\\192.168.24.208\images\R&amp;D\Coralie\Triphenylphosphate\2021-CHG-CBA-TRIPHENYLP\plaque 2/@03 TESTO + EE2/H3_02.tif </t>
  </si>
  <si>
    <t xml:space="preserve"> 61364.0111 </t>
  </si>
  <si>
    <t xml:space="preserve"> 75.9626 </t>
  </si>
  <si>
    <t>\\192.168.24.208\images\R&amp;D\Coralie\Triphenylphosphate\2021-CHG-CBA-TRIPHENYLP\plaque 2/@03 TESTO + EE2/H3_03- exclu.tif</t>
  </si>
  <si>
    <t xml:space="preserve">\\192.168.24.208\images\R&amp;D\Coralie\Triphenylphosphate\2021-CHG-CBA-TRIPHENYLP\plaque 2/@03 TESTO + EE2/ </t>
  </si>
  <si>
    <t xml:space="preserve"> 80.8812 </t>
  </si>
  <si>
    <t xml:space="preserve"> 5.0448 </t>
  </si>
  <si>
    <t xml:space="preserve"> 3874344.08 </t>
  </si>
  <si>
    <t xml:space="preserve"> 813884.829 </t>
  </si>
  <si>
    <t>\\192.168.24.208\images\R&amp;D\Coralie\Triphenylphosphate\2021-CHG-CBA-TRIPHENYLP\plaque 2/@04 TESTO + FAD/A4_01- exclu.tif</t>
  </si>
  <si>
    <t xml:space="preserve">\\192.168.24.208\images\R&amp;D\Coralie\Triphenylphosphate\2021-CHG-CBA-TRIPHENYLP\plaque 2/@04 TESTO + FAD/A4_02.tif </t>
  </si>
  <si>
    <t xml:space="preserve"> 4261.0892 </t>
  </si>
  <si>
    <t xml:space="preserve"> 66.6853 </t>
  </si>
  <si>
    <t xml:space="preserve">\\192.168.24.208\images\R&amp;D\Coralie\Triphenylphosphate\2021-CHG-CBA-TRIPHENYLP\plaque 2/@04 TESTO + FAD/A4_03.tif </t>
  </si>
  <si>
    <t xml:space="preserve"> 67.7941 </t>
  </si>
  <si>
    <t xml:space="preserve">\\192.168.24.208\images\R&amp;D\Coralie\Triphenylphosphate\2021-CHG-CBA-TRIPHENYLP\plaque 2/@04 TESTO + FAD/B4_01.tif </t>
  </si>
  <si>
    <t xml:space="preserve"> 432.5979 </t>
  </si>
  <si>
    <t>\\192.168.24.208\images\R&amp;D\Coralie\Triphenylphosphate\2021-CHG-CBA-TRIPHENYLP\plaque 2/@04 TESTO + FAD/B4_02- exclu.tif</t>
  </si>
  <si>
    <t xml:space="preserve">\\192.168.24.208\images\R&amp;D\Coralie\Triphenylphosphate\2021-CHG-CBA-TRIPHENYLP\plaque 2/@04 TESTO + FAD/B4_03.tif </t>
  </si>
  <si>
    <t xml:space="preserve"> 670.5267 </t>
  </si>
  <si>
    <t xml:space="preserve">\\192.168.24.208\images\R&amp;D\Coralie\Triphenylphosphate\2021-CHG-CBA-TRIPHENYLP\plaque 2/@04 TESTO + FAD/C4_01.tif </t>
  </si>
  <si>
    <t xml:space="preserve"> 7029.7158 </t>
  </si>
  <si>
    <t xml:space="preserve"> 71.4 </t>
  </si>
  <si>
    <t xml:space="preserve">\\192.168.24.208\images\R&amp;D\Coralie\Triphenylphosphate\2021-CHG-CBA-TRIPHENYLP\plaque 2/@04 TESTO + FAD/C4_02.tif </t>
  </si>
  <si>
    <t xml:space="preserve"> 73.6536 </t>
  </si>
  <si>
    <t xml:space="preserve">\\192.168.24.208\images\R&amp;D\Coralie\Triphenylphosphate\2021-CHG-CBA-TRIPHENYLP\plaque 2/@04 TESTO + FAD/C4_03.tif </t>
  </si>
  <si>
    <t xml:space="preserve"> 5731.9221 </t>
  </si>
  <si>
    <t xml:space="preserve"> 70.6528 </t>
  </si>
  <si>
    <t xml:space="preserve">\\192.168.24.208\images\R&amp;D\Coralie\Triphenylphosphate\2021-CHG-CBA-TRIPHENYLP\plaque 2/@04 TESTO + FAD/D4_01.tif </t>
  </si>
  <si>
    <t xml:space="preserve"> 7873.2816 </t>
  </si>
  <si>
    <t xml:space="preserve"> 72.794 </t>
  </si>
  <si>
    <t xml:space="preserve">\\192.168.24.208\images\R&amp;D\Coralie\Triphenylphosphate\2021-CHG-CBA-TRIPHENYLP\plaque 2/@04 TESTO + FAD/D4_02.tif </t>
  </si>
  <si>
    <t xml:space="preserve"> 1860.1709 </t>
  </si>
  <si>
    <t xml:space="preserve"> 66.9884 </t>
  </si>
  <si>
    <t xml:space="preserve">\\192.168.24.208\images\R&amp;D\Coralie\Triphenylphosphate\2021-CHG-CBA-TRIPHENYLP\plaque 2/@04 TESTO + FAD/D4_03.tif </t>
  </si>
  <si>
    <t xml:space="preserve"> 7721.8724 </t>
  </si>
  <si>
    <t xml:space="preserve"> 74.1261 </t>
  </si>
  <si>
    <t xml:space="preserve">\\192.168.24.208\images\R&amp;D\Coralie\Triphenylphosphate\2021-CHG-CBA-TRIPHENYLP\plaque 2/@04 TESTO + FAD/E4_01.tif </t>
  </si>
  <si>
    <t xml:space="preserve"> 2162.9895 </t>
  </si>
  <si>
    <t xml:space="preserve"> 65.47 </t>
  </si>
  <si>
    <t xml:space="preserve">\\192.168.24.208\images\R&amp;D\Coralie\Triphenylphosphate\2021-CHG-CBA-TRIPHENYLP\plaque 2/@04 TESTO + FAD/E4_02.tif </t>
  </si>
  <si>
    <t xml:space="preserve"> 3395.8935 </t>
  </si>
  <si>
    <t xml:space="preserve"> 66.1338 </t>
  </si>
  <si>
    <t xml:space="preserve">\\192.168.24.208\images\R&amp;D\Coralie\Triphenylphosphate\2021-CHG-CBA-TRIPHENYLP\plaque 2/@04 TESTO + FAD/E4_03.tif </t>
  </si>
  <si>
    <t xml:space="preserve"> 2703.7368 </t>
  </si>
  <si>
    <t xml:space="preserve"> 66.456 </t>
  </si>
  <si>
    <t xml:space="preserve">\\192.168.24.208\images\R&amp;D\Coralie\Triphenylphosphate\2021-CHG-CBA-TRIPHENYLP\plaque 2/@04 TESTO + FAD/F4_01.tif </t>
  </si>
  <si>
    <t xml:space="preserve"> 843.5659 </t>
  </si>
  <si>
    <t xml:space="preserve"> 63.2051 </t>
  </si>
  <si>
    <t xml:space="preserve">\\192.168.24.208\images\R&amp;D\Coralie\Triphenylphosphate\2021-CHG-CBA-TRIPHENYLP\plaque 2/@04 TESTO + FAD/F4_02.tif </t>
  </si>
  <si>
    <t xml:space="preserve"> 1124.7545 </t>
  </si>
  <si>
    <t xml:space="preserve"> 62.0962 </t>
  </si>
  <si>
    <t xml:space="preserve">\\192.168.24.208\images\R&amp;D\Coralie\Triphenylphosphate\2021-CHG-CBA-TRIPHENYLP\plaque 2/@04 TESTO + FAD/F4_03.tif </t>
  </si>
  <si>
    <t xml:space="preserve"> 2984.9255 </t>
  </si>
  <si>
    <t xml:space="preserve"> 64.8116 </t>
  </si>
  <si>
    <t xml:space="preserve">\\192.168.24.208\images\R&amp;D\Coralie\Triphenylphosphate\2021-CHG-CBA-TRIPHENYLP\plaque 2/@04 TESTO + FAD/G4_01.tif </t>
  </si>
  <si>
    <t xml:space="preserve"> 5342.584 </t>
  </si>
  <si>
    <t xml:space="preserve"> 71.5182 </t>
  </si>
  <si>
    <t xml:space="preserve">\\192.168.24.208\images\R&amp;D\Coralie\Triphenylphosphate\2021-CHG-CBA-TRIPHENYLP\plaque 2/@04 TESTO + FAD/G4_02.tif </t>
  </si>
  <si>
    <t xml:space="preserve"> 6467.3385 </t>
  </si>
  <si>
    <t xml:space="preserve"> 69.5284 </t>
  </si>
  <si>
    <t>\\192.168.24.208\images\R&amp;D\Coralie\Triphenylphosphate\2021-CHG-CBA-TRIPHENYLP\plaque 2/@04 TESTO + FAD/G4_03- exclu.tif</t>
  </si>
  <si>
    <t xml:space="preserve">\\192.168.24.208\images\R&amp;D\Coralie\Triphenylphosphate\2021-CHG-CBA-TRIPHENYLP\plaque 2/@04 TESTO + FAD/H4_01.tif </t>
  </si>
  <si>
    <t xml:space="preserve"> 1189.6442 </t>
  </si>
  <si>
    <t xml:space="preserve"> 64.2 </t>
  </si>
  <si>
    <t xml:space="preserve">\\192.168.24.208\images\R&amp;D\Coralie\Triphenylphosphate\2021-CHG-CBA-TRIPHENYLP\plaque 2/@04 TESTO + FAD/H4_02.tif </t>
  </si>
  <si>
    <t xml:space="preserve"> 930.0855 </t>
  </si>
  <si>
    <t xml:space="preserve"> 63.907 </t>
  </si>
  <si>
    <t xml:space="preserve">\\192.168.24.208\images\R&amp;D\Coralie\Triphenylphosphate\2021-CHG-CBA-TRIPHENYLP\plaque 2/@04 TESTO + FAD/H4_03.tif </t>
  </si>
  <si>
    <t xml:space="preserve"> 65.7917 </t>
  </si>
  <si>
    <t xml:space="preserve">\\192.168.24.208\images\R&amp;D\Coralie\Triphenylphosphate\2021-CHG-CBA-TRIPHENYLP\plaque 2/@04 TESTO + FAD/ </t>
  </si>
  <si>
    <t xml:space="preserve"> 67.184 </t>
  </si>
  <si>
    <t xml:space="preserve"> 3.638 </t>
  </si>
  <si>
    <t xml:space="preserve"> 231122.667 </t>
  </si>
  <si>
    <t xml:space="preserve"> 182247.713 </t>
  </si>
  <si>
    <t xml:space="preserve">\\192.168.24.208\images\R&amp;D\Coralie\Triphenylphosphate\2021-CHG-CBA-TRIPHENYLP\plaque 2/@05 TRIPHENYLP 0.18 + TESTO/A5_01.tif </t>
  </si>
  <si>
    <t xml:space="preserve"> 49727.1278 </t>
  </si>
  <si>
    <t xml:space="preserve"> 76.3236 </t>
  </si>
  <si>
    <t xml:space="preserve">\\192.168.24.208\images\R&amp;D\Coralie\Triphenylphosphate\2021-CHG-CBA-TRIPHENYLP\plaque 2/@05 TRIPHENYLP 0.18 + TESTO/A5_02.tif </t>
  </si>
  <si>
    <t xml:space="preserve"> 51414.2595 </t>
  </si>
  <si>
    <t xml:space="preserve"> 76.9727 </t>
  </si>
  <si>
    <t xml:space="preserve">\\192.168.24.208\images\R&amp;D\Coralie\Triphenylphosphate\2021-CHG-CBA-TRIPHENYLP\plaque 2/@05 TRIPHENYLP 0.18 + TESTO/A5_03.tif </t>
  </si>
  <si>
    <t xml:space="preserve"> 52863.4625 </t>
  </si>
  <si>
    <t xml:space="preserve"> 77.7255 </t>
  </si>
  <si>
    <t xml:space="preserve">\\192.168.24.208\images\R&amp;D\Coralie\Triphenylphosphate\2021-CHG-CBA-TRIPHENYLP\plaque 2/@05 TRIPHENYLP 0.18 + TESTO/B5_01.tif </t>
  </si>
  <si>
    <t xml:space="preserve"> 58573.7547 </t>
  </si>
  <si>
    <t xml:space="preserve"> 77.5321 </t>
  </si>
  <si>
    <t xml:space="preserve">\\192.168.24.208\images\R&amp;D\Coralie\Triphenylphosphate\2021-CHG-CBA-TRIPHENYLP\plaque 2/@05 TRIPHENYLP 0.18 + TESTO/B5_02.tif </t>
  </si>
  <si>
    <t xml:space="preserve"> 72676.446 </t>
  </si>
  <si>
    <t xml:space="preserve"> 77.6074 </t>
  </si>
  <si>
    <t xml:space="preserve">\\192.168.24.208\images\R&amp;D\Coralie\Triphenylphosphate\2021-CHG-CBA-TRIPHENYLP\plaque 2/@05 TRIPHENYLP 0.18 + TESTO/B5_03.tif </t>
  </si>
  <si>
    <t xml:space="preserve"> 66144.2178 </t>
  </si>
  <si>
    <t xml:space="preserve"> 76.2312 </t>
  </si>
  <si>
    <t xml:space="preserve">\\192.168.24.208\images\R&amp;D\Coralie\Triphenylphosphate\2021-CHG-CBA-TRIPHENYLP\plaque 2/@05 TRIPHENYLP 0.18 + TESTO/C5_01.tif </t>
  </si>
  <si>
    <t xml:space="preserve"> 66360.5167 </t>
  </si>
  <si>
    <t xml:space="preserve"> 77.515 </t>
  </si>
  <si>
    <t xml:space="preserve">\\192.168.24.208\images\R&amp;D\Coralie\Triphenylphosphate\2021-CHG-CBA-TRIPHENYLP\plaque 2/@05 TRIPHENYLP 0.18 + TESTO/C5_02.tif </t>
  </si>
  <si>
    <t xml:space="preserve"> 62726.6944 </t>
  </si>
  <si>
    <t xml:space="preserve"> 76.5976 </t>
  </si>
  <si>
    <t xml:space="preserve">\\192.168.24.208\images\R&amp;D\Coralie\Triphenylphosphate\2021-CHG-CBA-TRIPHENYLP\plaque 2/@05 TRIPHENYLP 0.18 + TESTO/C5_03.tif </t>
  </si>
  <si>
    <t xml:space="preserve"> 66079.3281 </t>
  </si>
  <si>
    <t xml:space="preserve"> 78.0966 </t>
  </si>
  <si>
    <t xml:space="preserve">\\192.168.24.208\images\R&amp;D\Coralie\Triphenylphosphate\2021-CHG-CBA-TRIPHENYLP\plaque 2/@05 TRIPHENYLP 0.18 + TESTO/D5_01.tif </t>
  </si>
  <si>
    <t xml:space="preserve"> 41788.9564 </t>
  </si>
  <si>
    <t xml:space="preserve"> 82.2355 </t>
  </si>
  <si>
    <t xml:space="preserve">\\192.168.24.208\images\R&amp;D\Coralie\Triphenylphosphate\2021-CHG-CBA-TRIPHENYLP\plaque 2/@05 TRIPHENYLP 0.18 + TESTO/D5_02.tif </t>
  </si>
  <si>
    <t xml:space="preserve"> 52495.7543 </t>
  </si>
  <si>
    <t xml:space="preserve"> 80.9567 </t>
  </si>
  <si>
    <t xml:space="preserve">\\192.168.24.208\images\R&amp;D\Coralie\Triphenylphosphate\2021-CHG-CBA-TRIPHENYLP\plaque 2/@05 TRIPHENYLP 0.18 + TESTO/D5_03.tif </t>
  </si>
  <si>
    <t xml:space="preserve"> 40880.5008 </t>
  </si>
  <si>
    <t xml:space="preserve"> 82.2333 </t>
  </si>
  <si>
    <t xml:space="preserve">\\192.168.24.208\images\R&amp;D\Coralie\Triphenylphosphate\2021-CHG-CBA-TRIPHENYLP\plaque 2/@05 TRIPHENYLP 0.18 + TESTO/E5_01.tif </t>
  </si>
  <si>
    <t xml:space="preserve"> 58119.5269 </t>
  </si>
  <si>
    <t xml:space="preserve"> 72.3409 </t>
  </si>
  <si>
    <t xml:space="preserve">\\192.168.24.208\images\R&amp;D\Coralie\Triphenylphosphate\2021-CHG-CBA-TRIPHENYLP\plaque 2/@05 TRIPHENYLP 0.18 + TESTO/E5_02.tif </t>
  </si>
  <si>
    <t xml:space="preserve"> 57730.1888 </t>
  </si>
  <si>
    <t xml:space="preserve"> 77.9569 </t>
  </si>
  <si>
    <t xml:space="preserve">\\192.168.24.208\images\R&amp;D\Coralie\Triphenylphosphate\2021-CHG-CBA-TRIPHENYLP\plaque 2/@05 TRIPHENYLP 0.18 + TESTO/E5_03.tif </t>
  </si>
  <si>
    <t xml:space="preserve"> 56345.8755 </t>
  </si>
  <si>
    <t xml:space="preserve"> 78.1209 </t>
  </si>
  <si>
    <t xml:space="preserve">\\192.168.24.208\images\R&amp;D\Coralie\Triphenylphosphate\2021-CHG-CBA-TRIPHENYLP\plaque 2/@05 TRIPHENYLP 0.18 + TESTO/F5_01.tif </t>
  </si>
  <si>
    <t xml:space="preserve"> 54074.7366 </t>
  </si>
  <si>
    <t xml:space="preserve"> 87.2896 </t>
  </si>
  <si>
    <t>\\192.168.24.208\images\R&amp;D\Coralie\Triphenylphosphate\2021-CHG-CBA-TRIPHENYLP\plaque 2/@05 TRIPHENYLP 0.18 + TESTO/F5_02- exclu.tif</t>
  </si>
  <si>
    <t xml:space="preserve">\\192.168.24.208\images\R&amp;D\Coralie\Triphenylphosphate\2021-CHG-CBA-TRIPHENYLP\plaque 2/@05 TRIPHENYLP 0.18 + TESTO/F5_03.tif </t>
  </si>
  <si>
    <t xml:space="preserve"> 55891.6477 </t>
  </si>
  <si>
    <t xml:space="preserve"> 88.2144 </t>
  </si>
  <si>
    <t>\\192.168.24.208\images\R&amp;D\Coralie\Triphenylphosphate\2021-CHG-CBA-TRIPHENYLP\plaque 2/@05 TRIPHENYLP 0.18 + TESTO/G5_01- exclu.tif</t>
  </si>
  <si>
    <t xml:space="preserve">\\192.168.24.208\images\R&amp;D\Coralie\Triphenylphosphate\2021-CHG-CBA-TRIPHENYLP\plaque 2/@05 TRIPHENYLP 0.18 + TESTO/G5_02.tif </t>
  </si>
  <si>
    <t xml:space="preserve"> 36100.2941 </t>
  </si>
  <si>
    <t xml:space="preserve"> 81.2373 </t>
  </si>
  <si>
    <t xml:space="preserve">\\192.168.24.208\images\R&amp;D\Coralie\Triphenylphosphate\2021-CHG-CBA-TRIPHENYLP\plaque 2/@05 TRIPHENYLP 0.18 + TESTO/G5_03.tif </t>
  </si>
  <si>
    <t xml:space="preserve"> 35256.7282 </t>
  </si>
  <si>
    <t xml:space="preserve"> 83.4675 </t>
  </si>
  <si>
    <t xml:space="preserve">\\192.168.24.208\images\R&amp;D\Coralie\Triphenylphosphate\2021-CHG-CBA-TRIPHENYLP\plaque 2/@05 TRIPHENYLP 0.18 + TESTO/H5_01.tif </t>
  </si>
  <si>
    <t xml:space="preserve"> 37592.7569 </t>
  </si>
  <si>
    <t xml:space="preserve"> 72.6824 </t>
  </si>
  <si>
    <t xml:space="preserve">\\192.168.24.208\images\R&amp;D\Coralie\Triphenylphosphate\2021-CHG-CBA-TRIPHENYLP\plaque 2/@05 TRIPHENYLP 0.18 + TESTO/H5_02.tif </t>
  </si>
  <si>
    <t xml:space="preserve"> 39820.636 </t>
  </si>
  <si>
    <t xml:space="preserve"> 74.9473 </t>
  </si>
  <si>
    <t xml:space="preserve">\\192.168.24.208\images\R&amp;D\Coralie\Triphenylphosphate\2021-CHG-CBA-TRIPHENYLP\plaque 2/@05 TRIPHENYLP 0.18 + TESTO/H5_03.tif </t>
  </si>
  <si>
    <t xml:space="preserve"> 35581.1767 </t>
  </si>
  <si>
    <t xml:space="preserve"> 72.6723 </t>
  </si>
  <si>
    <t xml:space="preserve">\\192.168.24.208\images\R&amp;D\Coralie\Triphenylphosphate\2021-CHG-CBA-TRIPHENYLP\plaque 2/@05 TRIPHENYLP 0.18 + TESTO/ </t>
  </si>
  <si>
    <t xml:space="preserve"> 79.1488 </t>
  </si>
  <si>
    <t xml:space="preserve"> 4.6634 </t>
  </si>
  <si>
    <t xml:space="preserve"> 4069328.46 </t>
  </si>
  <si>
    <t xml:space="preserve"> 900605.134 </t>
  </si>
  <si>
    <t xml:space="preserve">\\192.168.24.208\images\R&amp;D\Coralie\Triphenylphosphate\2021-CHG-CBA-TRIPHENYLP\plaque 2/@06 TRIPHENYLP 0.26 + TESTO/A6_01.tif </t>
  </si>
  <si>
    <t xml:space="preserve"> 85.1657 </t>
  </si>
  <si>
    <t xml:space="preserve">\\192.168.24.208\images\R&amp;D\Coralie\Triphenylphosphate\2021-CHG-CBA-TRIPHENYLP\plaque 2/@06 TRIPHENYLP 0.26 + TESTO/A6_02.tif </t>
  </si>
  <si>
    <t xml:space="preserve"> 44362.9139 </t>
  </si>
  <si>
    <t xml:space="preserve"> 82.9907 </t>
  </si>
  <si>
    <t xml:space="preserve">\\192.168.24.208\images\R&amp;D\Coralie\Triphenylphosphate\2021-CHG-CBA-TRIPHENYLP\plaque 2/@06 TRIPHENYLP 0.26 + TESTO/A6_03.tif </t>
  </si>
  <si>
    <t xml:space="preserve"> 42870.4512 </t>
  </si>
  <si>
    <t xml:space="preserve"> 79.9183 </t>
  </si>
  <si>
    <t xml:space="preserve">\\192.168.24.208\images\R&amp;D\Coralie\Triphenylphosphate\2021-CHG-CBA-TRIPHENYLP\plaque 2/@06 TRIPHENYLP 0.26 + TESTO/B6_01.tif </t>
  </si>
  <si>
    <t xml:space="preserve"> 57384.1105 </t>
  </si>
  <si>
    <t xml:space="preserve"> 82.3554 </t>
  </si>
  <si>
    <t xml:space="preserve">\\192.168.24.208\images\R&amp;D\Coralie\Triphenylphosphate\2021-CHG-CBA-TRIPHENYLP\plaque 2/@06 TRIPHENYLP 0.26 + TESTO/B6_02.tif </t>
  </si>
  <si>
    <t xml:space="preserve"> 67809.7197 </t>
  </si>
  <si>
    <t xml:space="preserve"> 80.8781 </t>
  </si>
  <si>
    <t xml:space="preserve">\\192.168.24.208\images\R&amp;D\Coralie\Triphenylphosphate\2021-CHG-CBA-TRIPHENYLP\plaque 2/@06 TRIPHENYLP 0.26 + TESTO/B6_03.tif </t>
  </si>
  <si>
    <t xml:space="preserve"> 68112.5382 </t>
  </si>
  <si>
    <t xml:space="preserve"> 81.8076 </t>
  </si>
  <si>
    <t xml:space="preserve">\\192.168.24.208\images\R&amp;D\Coralie\Triphenylphosphate\2021-CHG-CBA-TRIPHENYLP\plaque 2/@06 TRIPHENYLP 0.26 + TESTO/C6_01.tif </t>
  </si>
  <si>
    <t xml:space="preserve"> 66793.1146 </t>
  </si>
  <si>
    <t xml:space="preserve"> 90.909 </t>
  </si>
  <si>
    <t xml:space="preserve">\\192.168.24.208\images\R&amp;D\Coralie\Triphenylphosphate\2021-CHG-CBA-TRIPHENYLP\plaque 2/@06 TRIPHENYLP 0.26 + TESTO/C6_02.tif </t>
  </si>
  <si>
    <t xml:space="preserve"> 89.8957 </t>
  </si>
  <si>
    <t xml:space="preserve">\\192.168.24.208\images\R&amp;D\Coralie\Triphenylphosphate\2021-CHG-CBA-TRIPHENYLP\plaque 2/@06 TRIPHENYLP 0.26 + TESTO/C6_03.tif </t>
  </si>
  <si>
    <t xml:space="preserve"> 61688.4595 </t>
  </si>
  <si>
    <t xml:space="preserve"> 90.3468 </t>
  </si>
  <si>
    <t xml:space="preserve">\\192.168.24.208\images\R&amp;D\Coralie\Triphenylphosphate\2021-CHG-CBA-TRIPHENYLP\plaque 2/@06 TRIPHENYLP 0.26 + TESTO/D6_01.tif </t>
  </si>
  <si>
    <t xml:space="preserve"> 53317.6903 </t>
  </si>
  <si>
    <t xml:space="preserve"> 70.8694 </t>
  </si>
  <si>
    <t xml:space="preserve">\\192.168.24.208\images\R&amp;D\Coralie\Triphenylphosphate\2021-CHG-CBA-TRIPHENYLP\plaque 2/@06 TRIPHENYLP 0.26 + TESTO/D6_02.tif </t>
  </si>
  <si>
    <t xml:space="preserve"> 55221.121 </t>
  </si>
  <si>
    <t xml:space="preserve"> 72.1116 </t>
  </si>
  <si>
    <t xml:space="preserve">\\192.168.24.208\images\R&amp;D\Coralie\Triphenylphosphate\2021-CHG-CBA-TRIPHENYLP\plaque 2/@06 TRIPHENYLP 0.26 + TESTO/D6_03.tif </t>
  </si>
  <si>
    <t xml:space="preserve"> 58530.4949 </t>
  </si>
  <si>
    <t xml:space="preserve"> 71.3544 </t>
  </si>
  <si>
    <t xml:space="preserve">\\192.168.24.208\images\R&amp;D\Coralie\Triphenylphosphate\2021-CHG-CBA-TRIPHENYLP\plaque 2/@06 TRIPHENYLP 0.26 + TESTO/E6_01.tif </t>
  </si>
  <si>
    <t xml:space="preserve"> 67571.7908 </t>
  </si>
  <si>
    <t xml:space="preserve"> 78.6969 </t>
  </si>
  <si>
    <t>\\192.168.24.208\images\R&amp;D\Coralie\Triphenylphosphate\2021-CHG-CBA-TRIPHENYLP\plaque 2/@06 TRIPHENYLP 0.26 + TESTO/E6_02- exclu.tif</t>
  </si>
  <si>
    <t xml:space="preserve">\\192.168.24.208\images\R&amp;D\Coralie\Triphenylphosphate\2021-CHG-CBA-TRIPHENYLP\plaque 2/@06 TRIPHENYLP 0.26 + TESTO/E6_03.tif </t>
  </si>
  <si>
    <t xml:space="preserve"> 64457.086 </t>
  </si>
  <si>
    <t xml:space="preserve"> 83.3356 </t>
  </si>
  <si>
    <t xml:space="preserve">\\192.168.24.208\images\R&amp;D\Coralie\Triphenylphosphate\2021-CHG-CBA-TRIPHENYLP\plaque 2/@06 TRIPHENYLP 0.26 + TESTO/F6_01.tif </t>
  </si>
  <si>
    <t xml:space="preserve"> 757.0463 </t>
  </si>
  <si>
    <t>\\192.168.24.208\images\R&amp;D\Coralie\Triphenylphosphate\2021-CHG-CBA-TRIPHENYLP\plaque 2/@06 TRIPHENYLP 0.26 + TESTO/F6_02- exclu.tif</t>
  </si>
  <si>
    <t xml:space="preserve">\\192.168.24.208\images\R&amp;D\Coralie\Triphenylphosphate\2021-CHG-CBA-TRIPHENYLP\plaque 2/@06 TRIPHENYLP 0.26 + TESTO/F6_03.tif </t>
  </si>
  <si>
    <t xml:space="preserve"> 281.1886 </t>
  </si>
  <si>
    <t xml:space="preserve"> 63.6923 </t>
  </si>
  <si>
    <t xml:space="preserve">\\192.168.24.208\images\R&amp;D\Coralie\Triphenylphosphate\2021-CHG-CBA-TRIPHENYLP\plaque 2/@06 TRIPHENYLP 0.26 + TESTO/G6_01.tif </t>
  </si>
  <si>
    <t xml:space="preserve"> 67204.0826 </t>
  </si>
  <si>
    <t xml:space="preserve"> 81.3048 </t>
  </si>
  <si>
    <t xml:space="preserve">\\192.168.24.208\images\R&amp;D\Coralie\Triphenylphosphate\2021-CHG-CBA-TRIPHENYLP\plaque 2/@06 TRIPHENYLP 0.26 + TESTO/G6_02.tif </t>
  </si>
  <si>
    <t xml:space="preserve"> 67160.8228 </t>
  </si>
  <si>
    <t xml:space="preserve"> 83.715 </t>
  </si>
  <si>
    <t xml:space="preserve">\\192.168.24.208\images\R&amp;D\Coralie\Triphenylphosphate\2021-CHG-CBA-TRIPHENYLP\plaque 2/@06 TRIPHENYLP 0.26 + TESTO/G6_03.tif </t>
  </si>
  <si>
    <t xml:space="preserve"> 65279.022 </t>
  </si>
  <si>
    <t xml:space="preserve"> 83.1557 </t>
  </si>
  <si>
    <t xml:space="preserve">\\192.168.24.208\images\R&amp;D\Coralie\Triphenylphosphate\2021-CHG-CBA-TRIPHENYLP\plaque 2/@06 TRIPHENYLP 0.26 + TESTO/H6_01.tif </t>
  </si>
  <si>
    <t xml:space="preserve"> 27989.0836 </t>
  </si>
  <si>
    <t xml:space="preserve"> 76.5471 </t>
  </si>
  <si>
    <t xml:space="preserve">\\192.168.24.208\images\R&amp;D\Coralie\Triphenylphosphate\2021-CHG-CBA-TRIPHENYLP\plaque 2/@06 TRIPHENYLP 0.26 + TESTO/H6_02.tif </t>
  </si>
  <si>
    <t xml:space="preserve"> 29178.7279 </t>
  </si>
  <si>
    <t xml:space="preserve"> 77.0971 </t>
  </si>
  <si>
    <t xml:space="preserve">\\192.168.24.208\images\R&amp;D\Coralie\Triphenylphosphate\2021-CHG-CBA-TRIPHENYLP\plaque 2/@06 TRIPHENYLP 0.26 + TESTO/H6_03.tif </t>
  </si>
  <si>
    <t xml:space="preserve"> 24485.0407 </t>
  </si>
  <si>
    <t xml:space="preserve"> 78.3048 </t>
  </si>
  <si>
    <t xml:space="preserve">\\192.168.24.208\images\R&amp;D\Coralie\Triphenylphosphate\2021-CHG-CBA-TRIPHENYLP\plaque 2/@06 TRIPHENYLP 0.26 + TESTO/ </t>
  </si>
  <si>
    <t xml:space="preserve"> 78.7363 </t>
  </si>
  <si>
    <t xml:space="preserve"> 7.9673 </t>
  </si>
  <si>
    <t xml:space="preserve"> 3908088.46 </t>
  </si>
  <si>
    <t xml:space="preserve"> 1910760.33 </t>
  </si>
  <si>
    <t xml:space="preserve">\\192.168.24.208\images\R&amp;D\Coralie\Triphenylphosphate\2021-CHG-CBA-TRIPHENYLP\plaque 2/@07 TRIPHENYLP 0.4 + TESTO/A7_01.tif </t>
  </si>
  <si>
    <t xml:space="preserve"> 54939.9324 </t>
  </si>
  <si>
    <t xml:space="preserve"> 90.8126 </t>
  </si>
  <si>
    <t xml:space="preserve">\\192.168.24.208\images\R&amp;D\Coralie\Triphenylphosphate\2021-CHG-CBA-TRIPHENYLP\plaque 2/@07 TRIPHENYLP 0.4 + TESTO/A7_02.tif </t>
  </si>
  <si>
    <t xml:space="preserve"> 64478.7159 </t>
  </si>
  <si>
    <t xml:space="preserve"> 85.732 </t>
  </si>
  <si>
    <t xml:space="preserve">\\192.168.24.208\images\R&amp;D\Coralie\Triphenylphosphate\2021-CHG-CBA-TRIPHENYLP\plaque 2/@07 TRIPHENYLP 0.4 + TESTO/A7_03.tif </t>
  </si>
  <si>
    <t xml:space="preserve"> 65798.1395 </t>
  </si>
  <si>
    <t xml:space="preserve"> 86.2541 </t>
  </si>
  <si>
    <t xml:space="preserve">\\192.168.24.208\images\R&amp;D\Coralie\Triphenylphosphate\2021-CHG-CBA-TRIPHENYLP\plaque 2/@07 TRIPHENYLP 0.4 + TESTO/B7_01.tif </t>
  </si>
  <si>
    <t xml:space="preserve"> 78408.368 </t>
  </si>
  <si>
    <t xml:space="preserve"> 86.829 </t>
  </si>
  <si>
    <t xml:space="preserve">\\192.168.24.208\images\R&amp;D\Coralie\Triphenylphosphate\2021-CHG-CBA-TRIPHENYLP\plaque 2/@07 TRIPHENYLP 0.4 + TESTO/B7_02.tif </t>
  </si>
  <si>
    <t xml:space="preserve"> 72243.8481 </t>
  </si>
  <si>
    <t xml:space="preserve"> 86.479 </t>
  </si>
  <si>
    <t xml:space="preserve">\\192.168.24.208\images\R&amp;D\Coralie\Triphenylphosphate\2021-CHG-CBA-TRIPHENYLP\plaque 2/@07 TRIPHENYLP 0.4 + TESTO/B7_03.tif </t>
  </si>
  <si>
    <t xml:space="preserve"> 63916.3386 </t>
  </si>
  <si>
    <t xml:space="preserve"> 90.068 </t>
  </si>
  <si>
    <t xml:space="preserve">\\192.168.24.208\images\R&amp;D\Coralie\Triphenylphosphate\2021-CHG-CBA-TRIPHENYLP\plaque 2/@07 TRIPHENYLP 0.4 + TESTO/C7_01.tif </t>
  </si>
  <si>
    <t xml:space="preserve"> 71140.7234 </t>
  </si>
  <si>
    <t xml:space="preserve"> 88.3889 </t>
  </si>
  <si>
    <t xml:space="preserve">\\192.168.24.208\images\R&amp;D\Coralie\Triphenylphosphate\2021-CHG-CBA-TRIPHENYLP\plaque 2/@07 TRIPHENYLP 0.4 + TESTO/C7_02.tif </t>
  </si>
  <si>
    <t xml:space="preserve"> 39474.5577 </t>
  </si>
  <si>
    <t xml:space="preserve"> 108.669 </t>
  </si>
  <si>
    <t xml:space="preserve">\\192.168.24.208\images\R&amp;D\Coralie\Triphenylphosphate\2021-CHG-CBA-TRIPHENYLP\plaque 2/@07 TRIPHENYLP 0.4 + TESTO/C7_03.tif </t>
  </si>
  <si>
    <t xml:space="preserve"> 46439.3838 </t>
  </si>
  <si>
    <t xml:space="preserve"> 105.4783 </t>
  </si>
  <si>
    <t xml:space="preserve">\\192.168.24.208\images\R&amp;D\Coralie\Triphenylphosphate\2021-CHG-CBA-TRIPHENYLP\plaque 2/@07 TRIPHENYLP 0.4 + TESTO/D7_01.tif </t>
  </si>
  <si>
    <t xml:space="preserve"> 82.4699 </t>
  </si>
  <si>
    <t>\\192.168.24.208\images\R&amp;D\Coralie\Triphenylphosphate\2021-CHG-CBA-TRIPHENYLP\plaque 2/@07 TRIPHENYLP 0.4 + TESTO/D7_02- exclu.tif</t>
  </si>
  <si>
    <t xml:space="preserve">\\192.168.24.208\images\R&amp;D\Coralie\Triphenylphosphate\2021-CHG-CBA-TRIPHENYLP\plaque 2/@07 TRIPHENYLP 0.4 + TESTO/D7_03.tif </t>
  </si>
  <si>
    <t xml:space="preserve"> 51111.441 </t>
  </si>
  <si>
    <t xml:space="preserve"> 84.2078 </t>
  </si>
  <si>
    <t xml:space="preserve">\\192.168.24.208\images\R&amp;D\Coralie\Triphenylphosphate\2021-CHG-CBA-TRIPHENYLP\plaque 2/@07 TRIPHENYLP 0.4 + TESTO/E7_01.tif </t>
  </si>
  <si>
    <t xml:space="preserve"> 55069.7117 </t>
  </si>
  <si>
    <t xml:space="preserve"> 82.7526 </t>
  </si>
  <si>
    <t xml:space="preserve">\\192.168.24.208\images\R&amp;D\Coralie\Triphenylphosphate\2021-CHG-CBA-TRIPHENYLP\plaque 2/@07 TRIPHENYLP 0.4 + TESTO/E7_02.tif </t>
  </si>
  <si>
    <t xml:space="preserve"> 84.6663 </t>
  </si>
  <si>
    <t xml:space="preserve">\\192.168.24.208\images\R&amp;D\Coralie\Triphenylphosphate\2021-CHG-CBA-TRIPHENYLP\plaque 2/@07 TRIPHENYLP 0.4 + TESTO/E7_03.tif </t>
  </si>
  <si>
    <t xml:space="preserve"> 52192.9357 </t>
  </si>
  <si>
    <t xml:space="preserve"> 85.5673 </t>
  </si>
  <si>
    <t xml:space="preserve">\\192.168.24.208\images\R&amp;D\Coralie\Triphenylphosphate\2021-CHG-CBA-TRIPHENYLP\plaque 2/@07 TRIPHENYLP 0.4 + TESTO/F7_01.tif </t>
  </si>
  <si>
    <t xml:space="preserve"> 42351.3337 </t>
  </si>
  <si>
    <t xml:space="preserve"> 90.2426 </t>
  </si>
  <si>
    <t xml:space="preserve">\\192.168.24.208\images\R&amp;D\Coralie\Triphenylphosphate\2021-CHG-CBA-TRIPHENYLP\plaque 2/@07 TRIPHENYLP 0.4 + TESTO/F7_02.tif </t>
  </si>
  <si>
    <t xml:space="preserve"> 47261.3198 </t>
  </si>
  <si>
    <t xml:space="preserve"> 89.065 </t>
  </si>
  <si>
    <t xml:space="preserve">\\192.168.24.208\images\R&amp;D\Coralie\Triphenylphosphate\2021-CHG-CBA-TRIPHENYLP\plaque 2/@07 TRIPHENYLP 0.4 + TESTO/F7_03.tif </t>
  </si>
  <si>
    <t xml:space="preserve"> 42329.7038 </t>
  </si>
  <si>
    <t xml:space="preserve"> 91.3418 </t>
  </si>
  <si>
    <t xml:space="preserve">\\192.168.24.208\images\R&amp;D\Coralie\Triphenylphosphate\2021-CHG-CBA-TRIPHENYLP\plaque 2/@07 TRIPHENYLP 0.4 + TESTO/G7_01.tif </t>
  </si>
  <si>
    <t xml:space="preserve"> 56410.7652 </t>
  </si>
  <si>
    <t xml:space="preserve"> 88.5548 </t>
  </si>
  <si>
    <t xml:space="preserve">\\192.168.24.208\images\R&amp;D\Coralie\Triphenylphosphate\2021-CHG-CBA-TRIPHENYLP\plaque 2/@07 TRIPHENYLP 0.4 + TESTO/G7_02.tif </t>
  </si>
  <si>
    <t xml:space="preserve"> 66555.1858 </t>
  </si>
  <si>
    <t xml:space="preserve"> 81.8369 </t>
  </si>
  <si>
    <t xml:space="preserve">\\192.168.24.208\images\R&amp;D\Coralie\Triphenylphosphate\2021-CHG-CBA-TRIPHENYLP\plaque 2/@07 TRIPHENYLP 0.4 + TESTO/G7_03.tif </t>
  </si>
  <si>
    <t xml:space="preserve"> 68026.0186 </t>
  </si>
  <si>
    <t xml:space="preserve"> 81.8531 </t>
  </si>
  <si>
    <t xml:space="preserve">\\192.168.24.208\images\R&amp;D\Coralie\Triphenylphosphate\2021-CHG-CBA-TRIPHENYLP\plaque 2/@07 TRIPHENYLP 0.4 + TESTO/H7_01.tif </t>
  </si>
  <si>
    <t xml:space="preserve"> 46482.6436 </t>
  </si>
  <si>
    <t xml:space="preserve"> 86.9888 </t>
  </si>
  <si>
    <t xml:space="preserve">\\192.168.24.208\images\R&amp;D\Coralie\Triphenylphosphate\2021-CHG-CBA-TRIPHENYLP\plaque 2/@07 TRIPHENYLP 0.4 + TESTO/H7_02.tif </t>
  </si>
  <si>
    <t xml:space="preserve"> 48580.7433 </t>
  </si>
  <si>
    <t xml:space="preserve"> 84.1661 </t>
  </si>
  <si>
    <t xml:space="preserve">\\192.168.24.208\images\R&amp;D\Coralie\Triphenylphosphate\2021-CHG-CBA-TRIPHENYLP\plaque 2/@07 TRIPHENYLP 0.4 + TESTO/H7_03.tif </t>
  </si>
  <si>
    <t xml:space="preserve"> 46677.3126 </t>
  </si>
  <si>
    <t xml:space="preserve"> 86.1293 </t>
  </si>
  <si>
    <t xml:space="preserve">\\192.168.24.208\images\R&amp;D\Coralie\Triphenylphosphate\2021-CHG-CBA-TRIPHENYLP\plaque 2/@07 TRIPHENYLP 0.4 + TESTO/ </t>
  </si>
  <si>
    <t xml:space="preserve"> 88.1826 </t>
  </si>
  <si>
    <t xml:space="preserve"> 6.4549 </t>
  </si>
  <si>
    <t xml:space="preserve"> 4786732.54 </t>
  </si>
  <si>
    <t xml:space="preserve"> 978666.714 </t>
  </si>
  <si>
    <t xml:space="preserve">\\192.168.24.208\images\R&amp;D\Coralie\Triphenylphosphate\2021-CHG-CBA-TRIPHENYLP\plaque 2/@08 TRIPHENYLP 0.59 + TESTO/A8_01.tif </t>
  </si>
  <si>
    <t xml:space="preserve"> 40469.5329 </t>
  </si>
  <si>
    <t xml:space="preserve"> 90.8926 </t>
  </si>
  <si>
    <t xml:space="preserve">\\192.168.24.208\images\R&amp;D\Coralie\Triphenylphosphate\2021-CHG-CBA-TRIPHENYLP\plaque 2/@08 TRIPHENYLP 0.59 + TESTO/A8_02.tif </t>
  </si>
  <si>
    <t xml:space="preserve"> 43692.3872 </t>
  </si>
  <si>
    <t xml:space="preserve"> 90.995 </t>
  </si>
  <si>
    <t xml:space="preserve">\\192.168.24.208\images\R&amp;D\Coralie\Triphenylphosphate\2021-CHG-CBA-TRIPHENYLP\plaque 2/@08 TRIPHENYLP 0.59 + TESTO/A8_03.tif </t>
  </si>
  <si>
    <t xml:space="preserve"> 44622.4726 </t>
  </si>
  <si>
    <t xml:space="preserve"> 84.7615 </t>
  </si>
  <si>
    <t xml:space="preserve">\\192.168.24.208\images\R&amp;D\Coralie\Triphenylphosphate\2021-CHG-CBA-TRIPHENYLP\plaque 2/@08 TRIPHENYLP 0.59 + TESTO/B8_01.tif </t>
  </si>
  <si>
    <t xml:space="preserve"> 80722.7668 </t>
  </si>
  <si>
    <t xml:space="preserve"> 85.8229 </t>
  </si>
  <si>
    <t xml:space="preserve">\\192.168.24.208\images\R&amp;D\Coralie\Triphenylphosphate\2021-CHG-CBA-TRIPHENYLP\plaque 2/@08 TRIPHENYLP 0.59 + TESTO/B8_02.tif </t>
  </si>
  <si>
    <t xml:space="preserve"> 78711.1866 </t>
  </si>
  <si>
    <t xml:space="preserve"> 86.8549 </t>
  </si>
  <si>
    <t xml:space="preserve">\\192.168.24.208\images\R&amp;D\Coralie\Triphenylphosphate\2021-CHG-CBA-TRIPHENYLP\plaque 2/@08 TRIPHENYLP 0.59 + TESTO/B8_03.tif </t>
  </si>
  <si>
    <t xml:space="preserve"> 70491.8266 </t>
  </si>
  <si>
    <t xml:space="preserve"> 84.348 </t>
  </si>
  <si>
    <t xml:space="preserve">\\192.168.24.208\images\R&amp;D\Coralie\Triphenylphosphate\2021-CHG-CBA-TRIPHENYLP\plaque 2/@08 TRIPHENYLP 0.59 + TESTO/C8_01.tif </t>
  </si>
  <si>
    <t xml:space="preserve"> 55783.4982 </t>
  </si>
  <si>
    <t xml:space="preserve"> 79.938 </t>
  </si>
  <si>
    <t xml:space="preserve">\\192.168.24.208\images\R&amp;D\Coralie\Triphenylphosphate\2021-CHG-CBA-TRIPHENYLP\plaque 2/@08 TRIPHENYLP 0.59 + TESTO/C8_02.tif </t>
  </si>
  <si>
    <t xml:space="preserve"> 58335.8258 </t>
  </si>
  <si>
    <t xml:space="preserve"> 82.8977 </t>
  </si>
  <si>
    <t xml:space="preserve">\\192.168.24.208\images\R&amp;D\Coralie\Triphenylphosphate\2021-CHG-CBA-TRIPHENYLP\plaque 2/@08 TRIPHENYLP 0.59 + TESTO/C8_03.tif </t>
  </si>
  <si>
    <t xml:space="preserve"> 54918.3025 </t>
  </si>
  <si>
    <t xml:space="preserve"> 81.948 </t>
  </si>
  <si>
    <t xml:space="preserve">\\192.168.24.208\images\R&amp;D\Coralie\Triphenylphosphate\2021-CHG-CBA-TRIPHENYLP\plaque 2/@08 TRIPHENYLP 0.59 + TESTO/D8_01.tif </t>
  </si>
  <si>
    <t xml:space="preserve"> 39301.5185 </t>
  </si>
  <si>
    <t xml:space="preserve"> 86.6004 </t>
  </si>
  <si>
    <t xml:space="preserve">\\192.168.24.208\images\R&amp;D\Coralie\Triphenylphosphate\2021-CHG-CBA-TRIPHENYLP\plaque 2/@08 TRIPHENYLP 0.59 + TESTO/D8_02.tif </t>
  </si>
  <si>
    <t xml:space="preserve"> 41118.4297 </t>
  </si>
  <si>
    <t xml:space="preserve"> 87.8033 </t>
  </si>
  <si>
    <t xml:space="preserve">\\192.168.24.208\images\R&amp;D\Coralie\Triphenylphosphate\2021-CHG-CBA-TRIPHENYLP\plaque 2/@08 TRIPHENYLP 0.59 + TESTO/D8_03.tif </t>
  </si>
  <si>
    <t xml:space="preserve"> 40988.6503 </t>
  </si>
  <si>
    <t xml:space="preserve"> 87.4929 </t>
  </si>
  <si>
    <t xml:space="preserve">\\192.168.24.208\images\R&amp;D\Coralie\Triphenylphosphate\2021-CHG-CBA-TRIPHENYLP\plaque 2/@08 TRIPHENYLP 0.59 + TESTO/E8_01.tif </t>
  </si>
  <si>
    <t xml:space="preserve"> 47369.4692 </t>
  </si>
  <si>
    <t xml:space="preserve"> 70.1516 </t>
  </si>
  <si>
    <t xml:space="preserve">\\192.168.24.208\images\R&amp;D\Coralie\Triphenylphosphate\2021-CHG-CBA-TRIPHENYLP\plaque 2/@08 TRIPHENYLP 0.59 + TESTO/E8_02.tif </t>
  </si>
  <si>
    <t xml:space="preserve"> 56389.1353 </t>
  </si>
  <si>
    <t xml:space="preserve"> 76.5432 </t>
  </si>
  <si>
    <t xml:space="preserve">\\192.168.24.208\images\R&amp;D\Coralie\Triphenylphosphate\2021-CHG-CBA-TRIPHENYLP\plaque 2/@08 TRIPHENYLP 0.59 + TESTO/E8_03.tif </t>
  </si>
  <si>
    <t xml:space="preserve"> 52409.2347 </t>
  </si>
  <si>
    <t xml:space="preserve"> 74.9175 </t>
  </si>
  <si>
    <t xml:space="preserve">\\192.168.24.208\images\R&amp;D\Coralie\Triphenylphosphate\2021-CHG-CBA-TRIPHENYLP\plaque 2/@08 TRIPHENYLP 0.59 + TESTO/F8_01.tif </t>
  </si>
  <si>
    <t xml:space="preserve"> 30627.9308 </t>
  </si>
  <si>
    <t xml:space="preserve"> 79.0664 </t>
  </si>
  <si>
    <t xml:space="preserve">\\192.168.24.208\images\R&amp;D\Coralie\Triphenylphosphate\2021-CHG-CBA-TRIPHENYLP\plaque 2/@08 TRIPHENYLP 0.59 + TESTO/F8_02.tif </t>
  </si>
  <si>
    <t xml:space="preserve"> 35170.2087 </t>
  </si>
  <si>
    <t xml:space="preserve"> 78.7817 </t>
  </si>
  <si>
    <t xml:space="preserve">\\192.168.24.208\images\R&amp;D\Coralie\Triphenylphosphate\2021-CHG-CBA-TRIPHENYLP\plaque 2/@08 TRIPHENYLP 0.59 + TESTO/F8_03.tif </t>
  </si>
  <si>
    <t xml:space="preserve"> 42026.8853 </t>
  </si>
  <si>
    <t xml:space="preserve"> 75.8286 </t>
  </si>
  <si>
    <t xml:space="preserve">\\192.168.24.208\images\R&amp;D\Coralie\Triphenylphosphate\2021-CHG-CBA-TRIPHENYLP\plaque 2/@08 TRIPHENYLP 0.59 + TESTO/G8_01.tif </t>
  </si>
  <si>
    <t xml:space="preserve"> 59547.0999 </t>
  </si>
  <si>
    <t xml:space="preserve"> 83.1104 </t>
  </si>
  <si>
    <t>\\192.168.24.208\images\R&amp;D\Coralie\Triphenylphosphate\2021-CHG-CBA-TRIPHENYLP\plaque 2/@08 TRIPHENYLP 0.59 + TESTO/G8_02- exclu.tif</t>
  </si>
  <si>
    <t>\\192.168.24.208\images\R&amp;D\Coralie\Triphenylphosphate\2021-CHG-CBA-TRIPHENYLP\plaque 2/@08 TRIPHENYLP 0.59 + TESTO/G8_03- exclu.tif</t>
  </si>
  <si>
    <t xml:space="preserve">\\192.168.24.208\images\R&amp;D\Coralie\Triphenylphosphate\2021-CHG-CBA-TRIPHENYLP\plaque 2/@08 TRIPHENYLP 0.59 + TESTO/H8_01.tif </t>
  </si>
  <si>
    <t xml:space="preserve"> 59114.502 </t>
  </si>
  <si>
    <t xml:space="preserve"> 90.2038 </t>
  </si>
  <si>
    <t xml:space="preserve">\\192.168.24.208\images\R&amp;D\Coralie\Triphenylphosphate\2021-CHG-CBA-TRIPHENYLP\plaque 2/@08 TRIPHENYLP 0.59 + TESTO/H8_02.tif </t>
  </si>
  <si>
    <t xml:space="preserve"> 52387.6048 </t>
  </si>
  <si>
    <t xml:space="preserve"> 93.9595 </t>
  </si>
  <si>
    <t xml:space="preserve">\\192.168.24.208\images\R&amp;D\Coralie\Triphenylphosphate\2021-CHG-CBA-TRIPHENYLP\plaque 2/@08 TRIPHENYLP 0.59 + TESTO/H8_03.tif </t>
  </si>
  <si>
    <t xml:space="preserve"> 62878.1037 </t>
  </si>
  <si>
    <t xml:space="preserve"> 88.4744 </t>
  </si>
  <si>
    <t xml:space="preserve">\\192.168.24.208\images\R&amp;D\Coralie\Triphenylphosphate\2021-CHG-CBA-TRIPHENYLP\plaque 2/@08 TRIPHENYLP 0.59 + TESTO/ </t>
  </si>
  <si>
    <t xml:space="preserve"> 83.6966 </t>
  </si>
  <si>
    <t xml:space="preserve"> 5.8135 </t>
  </si>
  <si>
    <t xml:space="preserve"> 4203456.5 </t>
  </si>
  <si>
    <t xml:space="preserve"> 1292520.17 </t>
  </si>
  <si>
    <t>\\192.168.24.208\images\R&amp;D\Coralie\Triphenylphosphate\2021-CHG-CBA-TRIPHENYLP\plaque 2/@09 TRIPHENYLP 0.89 + TESTO/A9_01- exclu.tif</t>
  </si>
  <si>
    <t xml:space="preserve">\\192.168.24.208\images\R&amp;D\Coralie\Triphenylphosphate\2021-CHG-CBA-TRIPHENYLP\plaque 2/@09 TRIPHENYLP 0.89 + TESTO/A9_02.tif </t>
  </si>
  <si>
    <t xml:space="preserve"> 75250.4034 </t>
  </si>
  <si>
    <t xml:space="preserve"> 83.7807 </t>
  </si>
  <si>
    <t xml:space="preserve">\\192.168.24.208\images\R&amp;D\Coralie\Triphenylphosphate\2021-CHG-CBA-TRIPHENYLP\plaque 2/@09 TRIPHENYLP 0.89 + TESTO/A9_03.tif </t>
  </si>
  <si>
    <t xml:space="preserve"> 65365.5416 </t>
  </si>
  <si>
    <t xml:space="preserve"> 82.3117 </t>
  </si>
  <si>
    <t>\\192.168.24.208\images\R&amp;D\Coralie\Triphenylphosphate\2021-CHG-CBA-TRIPHENYLP\plaque 2/@09 TRIPHENYLP 0.89 + TESTO/B9_01- exclu.tif</t>
  </si>
  <si>
    <t>\\192.168.24.208\images\R&amp;D\Coralie\Triphenylphosphate\2021-CHG-CBA-TRIPHENYLP\plaque 2/@09 TRIPHENYLP 0.89 + TESTO/B9_02- exclu.tif</t>
  </si>
  <si>
    <t xml:space="preserve">\\192.168.24.208\images\R&amp;D\Coralie\Triphenylphosphate\2021-CHG-CBA-TRIPHENYLP\plaque 2/@09 TRIPHENYLP 0.89 + TESTO/B9_03.tif </t>
  </si>
  <si>
    <t xml:space="preserve"> 38025.3548 </t>
  </si>
  <si>
    <t xml:space="preserve"> 88.876 </t>
  </si>
  <si>
    <t xml:space="preserve">\\192.168.24.208\images\R&amp;D\Coralie\Triphenylphosphate\2021-CHG-CBA-TRIPHENYLP\plaque 2/@09 TRIPHENYLP 0.89 + TESTO/C9_01.tif </t>
  </si>
  <si>
    <t xml:space="preserve"> 70362.0472 </t>
  </si>
  <si>
    <t xml:space="preserve"> 93.79 </t>
  </si>
  <si>
    <t xml:space="preserve">\\192.168.24.208\images\R&amp;D\Coralie\Triphenylphosphate\2021-CHG-CBA-TRIPHENYLP\plaque 2/@09 TRIPHENYLP 0.89 + TESTO/C9_02.tif </t>
  </si>
  <si>
    <t xml:space="preserve"> 77175.464 </t>
  </si>
  <si>
    <t xml:space="preserve"> 94.3543 </t>
  </si>
  <si>
    <t xml:space="preserve">\\192.168.24.208\images\R&amp;D\Coralie\Triphenylphosphate\2021-CHG-CBA-TRIPHENYLP\plaque 2/@09 TRIPHENYLP 0.89 + TESTO/C9_03.tif </t>
  </si>
  <si>
    <t xml:space="preserve"> 68177.4279 </t>
  </si>
  <si>
    <t xml:space="preserve"> 94.7389 </t>
  </si>
  <si>
    <t xml:space="preserve">\\192.168.24.208\images\R&amp;D\Coralie\Triphenylphosphate\2021-CHG-CBA-TRIPHENYLP\plaque 2/@09 TRIPHENYLP 0.89 + TESTO/D9_01.tif </t>
  </si>
  <si>
    <t xml:space="preserve"> 66100.958 </t>
  </si>
  <si>
    <t xml:space="preserve"> 93.9526 </t>
  </si>
  <si>
    <t>\\192.168.24.208\images\R&amp;D\Coralie\Triphenylphosphate\2021-CHG-CBA-TRIPHENYLP\plaque 2/@09 TRIPHENYLP 0.89 + TESTO/D9_02- exclu.tif</t>
  </si>
  <si>
    <t xml:space="preserve">\\192.168.24.208\images\R&amp;D\Coralie\Triphenylphosphate\2021-CHG-CBA-TRIPHENYLP\plaque 2/@09 TRIPHENYLP 0.89 + TESTO/D9_03.tif </t>
  </si>
  <si>
    <t xml:space="preserve"> 74601.5066 </t>
  </si>
  <si>
    <t xml:space="preserve"> 88.1586 </t>
  </si>
  <si>
    <t xml:space="preserve">\\192.168.24.208\images\R&amp;D\Coralie\Triphenylphosphate\2021-CHG-CBA-TRIPHENYLP\plaque 2/@09 TRIPHENYLP 0.89 + TESTO/E9_01.tif </t>
  </si>
  <si>
    <t xml:space="preserve"> 37938.8352 </t>
  </si>
  <si>
    <t xml:space="preserve"> 88.6853 </t>
  </si>
  <si>
    <t xml:space="preserve">\\192.168.24.208\images\R&amp;D\Coralie\Triphenylphosphate\2021-CHG-CBA-TRIPHENYLP\plaque 2/@09 TRIPHENYLP 0.89 + TESTO/E9_02.tif </t>
  </si>
  <si>
    <t xml:space="preserve"> 42524.3728 </t>
  </si>
  <si>
    <t xml:space="preserve"> 88.3001 </t>
  </si>
  <si>
    <t xml:space="preserve">\\192.168.24.208\images\R&amp;D\Coralie\Triphenylphosphate\2021-CHG-CBA-TRIPHENYLP\plaque 2/@09 TRIPHENYLP 0.89 + TESTO/E9_03.tif </t>
  </si>
  <si>
    <t xml:space="preserve"> 36987.1198 </t>
  </si>
  <si>
    <t xml:space="preserve"> 89.438 </t>
  </si>
  <si>
    <t xml:space="preserve">\\192.168.24.208\images\R&amp;D\Coralie\Triphenylphosphate\2021-CHG-CBA-TRIPHENYLP\plaque 2/@09 TRIPHENYLP 0.89 + TESTO/F9_01.tif </t>
  </si>
  <si>
    <t xml:space="preserve"> 46936.8713 </t>
  </si>
  <si>
    <t xml:space="preserve"> 103.5654 </t>
  </si>
  <si>
    <t xml:space="preserve">\\192.168.24.208\images\R&amp;D\Coralie\Triphenylphosphate\2021-CHG-CBA-TRIPHENYLP\plaque 2/@09 TRIPHENYLP 0.89 + TESTO/F9_02.tif </t>
  </si>
  <si>
    <t xml:space="preserve"> 65819.7694 </t>
  </si>
  <si>
    <t xml:space="preserve"> 96.0664 </t>
  </si>
  <si>
    <t xml:space="preserve">\\192.168.24.208\images\R&amp;D\Coralie\Triphenylphosphate\2021-CHG-CBA-TRIPHENYLP\plaque 2/@09 TRIPHENYLP 0.89 + TESTO/F9_03.tif </t>
  </si>
  <si>
    <t xml:space="preserve"> 57211.0713 </t>
  </si>
  <si>
    <t xml:space="preserve"> 95.9391 </t>
  </si>
  <si>
    <t xml:space="preserve">\\192.168.24.208\images\R&amp;D\Coralie\Triphenylphosphate\2021-CHG-CBA-TRIPHENYLP\plaque 2/@09 TRIPHENYLP 0.89 + TESTO/G9_01.tif </t>
  </si>
  <si>
    <t xml:space="preserve"> 59265.9113 </t>
  </si>
  <si>
    <t xml:space="preserve"> 83.5474 </t>
  </si>
  <si>
    <t xml:space="preserve">\\192.168.24.208\images\R&amp;D\Coralie\Triphenylphosphate\2021-CHG-CBA-TRIPHENYLP\plaque 2/@09 TRIPHENYLP 0.89 + TESTO/G9_02.tif </t>
  </si>
  <si>
    <t xml:space="preserve"> 57686.929 </t>
  </si>
  <si>
    <t xml:space="preserve"> 78.3622 </t>
  </si>
  <si>
    <t xml:space="preserve">\\192.168.24.208\images\R&amp;D\Coralie\Triphenylphosphate\2021-CHG-CBA-TRIPHENYLP\plaque 2/@09 TRIPHENYLP 0.89 + TESTO/G9_03.tif </t>
  </si>
  <si>
    <t xml:space="preserve"> 56151.2065 </t>
  </si>
  <si>
    <t xml:space="preserve"> 84.0358 </t>
  </si>
  <si>
    <t>\\192.168.24.208\images\R&amp;D\Coralie\Triphenylphosphate\2021-CHG-CBA-TRIPHENYLP\plaque 2/@09 TRIPHENYLP 0.89 + TESTO/H9_01- exclu.tif</t>
  </si>
  <si>
    <t xml:space="preserve">\\192.168.24.208\images\R&amp;D\Coralie\Triphenylphosphate\2021-CHG-CBA-TRIPHENYLP\plaque 2/@09 TRIPHENYLP 0.89 + TESTO/H9_02.tif </t>
  </si>
  <si>
    <t xml:space="preserve"> 48126.5155 </t>
  </si>
  <si>
    <t xml:space="preserve"> 99.9402 </t>
  </si>
  <si>
    <t xml:space="preserve">\\192.168.24.208\images\R&amp;D\Coralie\Triphenylphosphate\2021-CHG-CBA-TRIPHENYLP\plaque 2/@09 TRIPHENYLP 0.89 + TESTO/H9_03.tif </t>
  </si>
  <si>
    <t xml:space="preserve"> 45855.3766 </t>
  </si>
  <si>
    <t xml:space="preserve"> 98.9835 </t>
  </si>
  <si>
    <t xml:space="preserve">\\192.168.24.208\images\R&amp;D\Coralie\Triphenylphosphate\2021-CHG-CBA-TRIPHENYLP\plaque 2/@09 TRIPHENYLP 0.89 + TESTO/ </t>
  </si>
  <si>
    <t xml:space="preserve"> 87.6335 </t>
  </si>
  <si>
    <t xml:space="preserve"> 9.8694 </t>
  </si>
  <si>
    <t xml:space="preserve"> 4549964.5 </t>
  </si>
  <si>
    <t xml:space="preserve"> 1815590.56 </t>
  </si>
  <si>
    <t>Colonne1</t>
  </si>
  <si>
    <t>01 TS</t>
  </si>
  <si>
    <t>02 EE2 34</t>
  </si>
  <si>
    <t>03 EE2 51</t>
  </si>
  <si>
    <t>04 EE2 76</t>
  </si>
  <si>
    <t>05 EE2 114</t>
  </si>
  <si>
    <t>06 EE2 171</t>
  </si>
  <si>
    <t>07 EE2 488</t>
  </si>
  <si>
    <t>08 TRIPHENYLP 0.18</t>
  </si>
  <si>
    <t>09 TRIPHENYLP 0.26</t>
  </si>
  <si>
    <t>10 TRIPHENYLP 0.4</t>
  </si>
  <si>
    <t>11 TRIPHENYLP 0.59</t>
  </si>
  <si>
    <t>12 TRIPHENYLP 0.89</t>
  </si>
  <si>
    <t>01 TESTO</t>
  </si>
  <si>
    <t>02 TESTO</t>
  </si>
  <si>
    <t>03 TESTO + EE2</t>
  </si>
  <si>
    <t>04 TESTO + FAD</t>
  </si>
  <si>
    <t>05 TRIPHENYLP 0.18 + TESTO</t>
  </si>
  <si>
    <t>06 TRIPHENYLP 0.26 + TESTO</t>
  </si>
  <si>
    <t>07 TRIPHENYLP 0.4 + TESTO</t>
  </si>
  <si>
    <t>08 TRIPHENYLP 0.59 + TESTO</t>
  </si>
  <si>
    <t>09 TRIPHENYLP 0.89 + TESTO</t>
  </si>
  <si>
    <t>B</t>
  </si>
  <si>
    <t>C</t>
  </si>
  <si>
    <t>D</t>
  </si>
  <si>
    <t>E</t>
  </si>
  <si>
    <t>F</t>
  </si>
  <si>
    <t>G</t>
  </si>
  <si>
    <t>H</t>
  </si>
  <si>
    <t>Triphénylphosphate-0,18mg/L + Testostérone</t>
  </si>
  <si>
    <t>Triphénylphosphate-0,26mg/L + Testostérone</t>
  </si>
  <si>
    <t>Triphénylphosphate-0,4mg/L + Testostérone</t>
  </si>
  <si>
    <t>Triphénylphosphate-0,59mg/L + Testostérone</t>
  </si>
  <si>
    <t>Triphénylphosphate-0,89mg/L + Testostérone</t>
  </si>
  <si>
    <t>\\192.168.24.208\images\R&amp;D\Coralie\Triphenylphosphate\2021-CHG-CBA-TRIPHENYLP 2\plaque 1/@01 TS/A1_01- exclu.tif</t>
  </si>
  <si>
    <t xml:space="preserve">\\192.168.24.208\images\R&amp;D\Coralie\Triphenylphosphate\2021-CHG-CBA-TRIPHENYLP 2\plaque 1/@01 TS/A1_02.tif </t>
  </si>
  <si>
    <t xml:space="preserve"> 519.1175 </t>
  </si>
  <si>
    <t xml:space="preserve"> 63.9583 </t>
  </si>
  <si>
    <t>\\192.168.24.208\images\R&amp;D\Coralie\Triphenylphosphate\2021-CHG-CBA-TRIPHENYLP 2\plaque 1/@01 TS/A1_03- exclu.tif</t>
  </si>
  <si>
    <t xml:space="preserve">\\192.168.24.208\images\R&amp;D\Coralie\Triphenylphosphate\2021-CHG-CBA-TRIPHENYLP 2\plaque 1/@01 TS/B1_01.tif </t>
  </si>
  <si>
    <t xml:space="preserve"> 7051.3456 </t>
  </si>
  <si>
    <t xml:space="preserve"> 73.2822 </t>
  </si>
  <si>
    <t xml:space="preserve">\\192.168.24.208\images\R&amp;D\Coralie\Triphenylphosphate\2021-CHG-CBA-TRIPHENYLP 2\plaque 1/@01 TS/B1_02.tif </t>
  </si>
  <si>
    <t xml:space="preserve"> 5407.4737 </t>
  </si>
  <si>
    <t xml:space="preserve"> 70.388 </t>
  </si>
  <si>
    <t xml:space="preserve">\\192.168.24.208\images\R&amp;D\Coralie\Triphenylphosphate\2021-CHG-CBA-TRIPHENYLP 2\plaque 1/@01 TS/B1_03.tif </t>
  </si>
  <si>
    <t xml:space="preserve"> 69.0866 </t>
  </si>
  <si>
    <t xml:space="preserve">\\192.168.24.208\images\R&amp;D\Coralie\Triphenylphosphate\2021-CHG-CBA-TRIPHENYLP 2\plaque 1/@01 TS/C1_01.tif </t>
  </si>
  <si>
    <t xml:space="preserve"> 66.7315 </t>
  </si>
  <si>
    <t xml:space="preserve">\\192.168.24.208\images\R&amp;D\Coralie\Triphenylphosphate\2021-CHG-CBA-TRIPHENYLP 2\plaque 1/@01 TS/C1_02.tif </t>
  </si>
  <si>
    <t xml:space="preserve"> 3936.6408 </t>
  </si>
  <si>
    <t xml:space="preserve"> 66.011 </t>
  </si>
  <si>
    <t>\\192.168.24.208\images\R&amp;D\Coralie\Triphenylphosphate\2021-CHG-CBA-TRIPHENYLP 2\plaque 1/@01 TS/C1_03- exclu.tif</t>
  </si>
  <si>
    <t xml:space="preserve">\\192.168.24.208\images\R&amp;D\Coralie\Triphenylphosphate\2021-CHG-CBA-TRIPHENYLP 2\plaque 1/@01 TS/D1_01.tif </t>
  </si>
  <si>
    <t xml:space="preserve"> 10144.4206 </t>
  </si>
  <si>
    <t xml:space="preserve"> 67.6397 </t>
  </si>
  <si>
    <t xml:space="preserve">\\192.168.24.208\images\R&amp;D\Coralie\Triphenylphosphate\2021-CHG-CBA-TRIPHENYLP 2\plaque 1/@01 TS/D1_02.tif </t>
  </si>
  <si>
    <t xml:space="preserve"> 4477.3882 </t>
  </si>
  <si>
    <t xml:space="preserve"> 64.6425 </t>
  </si>
  <si>
    <t xml:space="preserve">\\192.168.24.208\images\R&amp;D\Coralie\Triphenylphosphate\2021-CHG-CBA-TRIPHENYLP 2\plaque 1/@01 TS/D1_03.tif </t>
  </si>
  <si>
    <t xml:space="preserve"> 7137.8652 </t>
  </si>
  <si>
    <t xml:space="preserve"> 65.0242 </t>
  </si>
  <si>
    <t xml:space="preserve">\\192.168.24.208\images\R&amp;D\Coralie\Triphenylphosphate\2021-CHG-CBA-TRIPHENYLP 2\plaque 1/@01 TS/E1_01.tif </t>
  </si>
  <si>
    <t xml:space="preserve"> 3179.5945 </t>
  </si>
  <si>
    <t xml:space="preserve"> 65.8435 </t>
  </si>
  <si>
    <t xml:space="preserve">\\192.168.24.208\images\R&amp;D\Coralie\Triphenylphosphate\2021-CHG-CBA-TRIPHENYLP 2\plaque 1/@01 TS/E1_02.tif </t>
  </si>
  <si>
    <t xml:space="preserve"> 2552.3276 </t>
  </si>
  <si>
    <t xml:space="preserve"> 68.4915 </t>
  </si>
  <si>
    <t xml:space="preserve">\\192.168.24.208\images\R&amp;D\Coralie\Triphenylphosphate\2021-CHG-CBA-TRIPHENYLP 2\plaque 1/@01 TS/E1_03.tif </t>
  </si>
  <si>
    <t xml:space="preserve"> 1946.6905 </t>
  </si>
  <si>
    <t xml:space="preserve"> 64.4556 </t>
  </si>
  <si>
    <t xml:space="preserve">\\192.168.24.208\images\R&amp;D\Coralie\Triphenylphosphate\2021-CHG-CBA-TRIPHENYLP 2\plaque 1/@01 TS/F1_01.tif </t>
  </si>
  <si>
    <t xml:space="preserve"> 1405.9432 </t>
  </si>
  <si>
    <t xml:space="preserve"> 62.5385 </t>
  </si>
  <si>
    <t xml:space="preserve">\\192.168.24.208\images\R&amp;D\Coralie\Triphenylphosphate\2021-CHG-CBA-TRIPHENYLP 2\plaque 1/@01 TS/F1_02.tif </t>
  </si>
  <si>
    <t xml:space="preserve"> 1449.2029 </t>
  </si>
  <si>
    <t xml:space="preserve"> 66.3433 </t>
  </si>
  <si>
    <t xml:space="preserve">\\192.168.24.208\images\R&amp;D\Coralie\Triphenylphosphate\2021-CHG-CBA-TRIPHENYLP 2\plaque 1/@01 TS/F1_03.tif </t>
  </si>
  <si>
    <t xml:space="preserve"> 64.9038 </t>
  </si>
  <si>
    <t xml:space="preserve">\\192.168.24.208\images\R&amp;D\Coralie\Triphenylphosphate\2021-CHG-CBA-TRIPHENYLP 2\plaque 1/@01 TS/G1_01.tif </t>
  </si>
  <si>
    <t xml:space="preserve"> 5256.0644 </t>
  </si>
  <si>
    <t xml:space="preserve"> 78.9877 </t>
  </si>
  <si>
    <t xml:space="preserve">\\192.168.24.208\images\R&amp;D\Coralie\Triphenylphosphate\2021-CHG-CBA-TRIPHENYLP 2\plaque 1/@01 TS/G1_02.tif </t>
  </si>
  <si>
    <t xml:space="preserve"> 3049.8151 </t>
  </si>
  <si>
    <t xml:space="preserve"> 66.2128 </t>
  </si>
  <si>
    <t xml:space="preserve">\\192.168.24.208\images\R&amp;D\Coralie\Triphenylphosphate\2021-CHG-CBA-TRIPHENYLP 2\plaque 1/@01 TS/G1_03.tif </t>
  </si>
  <si>
    <t xml:space="preserve"> 800.3061 </t>
  </si>
  <si>
    <t xml:space="preserve"> 63.7568 </t>
  </si>
  <si>
    <t xml:space="preserve">\\192.168.24.208\images\R&amp;D\Coralie\Triphenylphosphate\2021-CHG-CBA-TRIPHENYLP 2\plaque 1/@01 TS/H1_01.tif </t>
  </si>
  <si>
    <t xml:space="preserve"> 6813.4168 </t>
  </si>
  <si>
    <t xml:space="preserve"> 70.8476 </t>
  </si>
  <si>
    <t>\\192.168.24.208\images\R&amp;D\Coralie\Triphenylphosphate\2021-CHG-CBA-TRIPHENYLP 2\plaque 1/@01 TS/H1_02- exclu.tif</t>
  </si>
  <si>
    <t xml:space="preserve">\\192.168.24.208\images\R&amp;D\Coralie\Triphenylphosphate\2021-CHG-CBA-TRIPHENYLP 2\plaque 1/@01 TS/H1_03.tif </t>
  </si>
  <si>
    <t xml:space="preserve"> 69.9095 </t>
  </si>
  <si>
    <t xml:space="preserve">\\192.168.24.208\images\R&amp;D\Coralie\Triphenylphosphate\2021-CHG-CBA-TRIPHENYLP 2\plaque 1/@01 TS/ </t>
  </si>
  <si>
    <t xml:space="preserve"> 66.9518 </t>
  </si>
  <si>
    <t xml:space="preserve"> 3.746 </t>
  </si>
  <si>
    <t xml:space="preserve"> 244009.542 </t>
  </si>
  <si>
    <t xml:space="preserve"> 185008.09 </t>
  </si>
  <si>
    <t xml:space="preserve">\\192.168.24.208\images\R&amp;D\Coralie\Triphenylphosphate\2021-CHG-CBA-TRIPHENYLP 2\plaque 1/@02 EE2 34/A2_01.tif </t>
  </si>
  <si>
    <t xml:space="preserve"> 64.7623 </t>
  </si>
  <si>
    <t>\\192.168.24.208\images\R&amp;D\Coralie\Triphenylphosphate\2021-CHG-CBA-TRIPHENYLP 2\plaque 1/@02 EE2 34/A2_02- exclu.tif</t>
  </si>
  <si>
    <t>\\192.168.24.208\images\R&amp;D\Coralie\Triphenylphosphate\2021-CHG-CBA-TRIPHENYLP 2\plaque 1/@02 EE2 34/A2_03- exclu.tif</t>
  </si>
  <si>
    <t xml:space="preserve">\\192.168.24.208\images\R&amp;D\Coralie\Triphenylphosphate\2021-CHG-CBA-TRIPHENYLP 2\plaque 1/@02 EE2 34/B2_01.tif </t>
  </si>
  <si>
    <t xml:space="preserve"> 64.1461 </t>
  </si>
  <si>
    <t xml:space="preserve">\\192.168.24.208\images\R&amp;D\Coralie\Triphenylphosphate\2021-CHG-CBA-TRIPHENYLP 2\plaque 1/@02 EE2 34/B2_02.tif </t>
  </si>
  <si>
    <t xml:space="preserve"> 6488.9684 </t>
  </si>
  <si>
    <t xml:space="preserve"> 75.1567 </t>
  </si>
  <si>
    <t xml:space="preserve">\\192.168.24.208\images\R&amp;D\Coralie\Triphenylphosphate\2021-CHG-CBA-TRIPHENYLP 2\plaque 1/@02 EE2 34/B2_03.tif </t>
  </si>
  <si>
    <t xml:space="preserve"> 64.6164 </t>
  </si>
  <si>
    <t xml:space="preserve">\\192.168.24.208\images\R&amp;D\Coralie\Triphenylphosphate\2021-CHG-CBA-TRIPHENYLP 2\plaque 1/@02 EE2 34/C2_01.tif </t>
  </si>
  <si>
    <t xml:space="preserve"> 15573.5241 </t>
  </si>
  <si>
    <t xml:space="preserve"> 65.625 </t>
  </si>
  <si>
    <t xml:space="preserve">\\192.168.24.208\images\R&amp;D\Coralie\Triphenylphosphate\2021-CHG-CBA-TRIPHENYLP 2\plaque 1/@02 EE2 34/C2_02.tif </t>
  </si>
  <si>
    <t xml:space="preserve"> 15703.3035 </t>
  </si>
  <si>
    <t xml:space="preserve"> 66.1832 </t>
  </si>
  <si>
    <t xml:space="preserve">\\192.168.24.208\images\R&amp;D\Coralie\Triphenylphosphate\2021-CHG-CBA-TRIPHENYLP 2\plaque 1/@02 EE2 34/C2_03.tif </t>
  </si>
  <si>
    <t xml:space="preserve"> 11225.9153 </t>
  </si>
  <si>
    <t xml:space="preserve"> 65.8767 </t>
  </si>
  <si>
    <t xml:space="preserve">\\192.168.24.208\images\R&amp;D\Coralie\Triphenylphosphate\2021-CHG-CBA-TRIPHENYLP 2\plaque 1/@02 EE2 34/D2_01.tif </t>
  </si>
  <si>
    <t xml:space="preserve"> 1297.7937 </t>
  </si>
  <si>
    <t xml:space="preserve"> 63.6833 </t>
  </si>
  <si>
    <t xml:space="preserve">\\192.168.24.208\images\R&amp;D\Coralie\Triphenylphosphate\2021-CHG-CBA-TRIPHENYLP 2\plaque 1/@02 EE2 34/D2_02.tif </t>
  </si>
  <si>
    <t xml:space="preserve"> 1254.5339 </t>
  </si>
  <si>
    <t xml:space="preserve"> 63.8103 </t>
  </si>
  <si>
    <t xml:space="preserve">\\192.168.24.208\images\R&amp;D\Coralie\Triphenylphosphate\2021-CHG-CBA-TRIPHENYLP 2\plaque 1/@02 EE2 34/D2_03.tif </t>
  </si>
  <si>
    <t xml:space="preserve"> 63.5161 </t>
  </si>
  <si>
    <t xml:space="preserve">\\192.168.24.208\images\R&amp;D\Coralie\Triphenylphosphate\2021-CHG-CBA-TRIPHENYLP 2\plaque 1/@02 EE2 34/E2_01.tif </t>
  </si>
  <si>
    <t xml:space="preserve"> 67.8213 </t>
  </si>
  <si>
    <t xml:space="preserve">\\192.168.24.208\images\R&amp;D\Coralie\Triphenylphosphate\2021-CHG-CBA-TRIPHENYLP 2\plaque 1/@02 EE2 34/E2_02.tif </t>
  </si>
  <si>
    <t xml:space="preserve"> 5083.0252 </t>
  </si>
  <si>
    <t xml:space="preserve"> 67.4298 </t>
  </si>
  <si>
    <t xml:space="preserve">\\192.168.24.208\images\R&amp;D\Coralie\Triphenylphosphate\2021-CHG-CBA-TRIPHENYLP 2\plaque 1/@02 EE2 34/E2_03.tif </t>
  </si>
  <si>
    <t xml:space="preserve"> 63.194 </t>
  </si>
  <si>
    <t xml:space="preserve">\\192.168.24.208\images\R&amp;D\Coralie\Triphenylphosphate\2021-CHG-CBA-TRIPHENYLP 2\plaque 1/@02 EE2 34/F2_01.tif </t>
  </si>
  <si>
    <t xml:space="preserve"> 62.5063 </t>
  </si>
  <si>
    <t xml:space="preserve">\\192.168.24.208\images\R&amp;D\Coralie\Triphenylphosphate\2021-CHG-CBA-TRIPHENYLP 2\plaque 1/@02 EE2 34/F2_02.tif </t>
  </si>
  <si>
    <t xml:space="preserve"> 64.0397 </t>
  </si>
  <si>
    <t xml:space="preserve">\\192.168.24.208\images\R&amp;D\Coralie\Triphenylphosphate\2021-CHG-CBA-TRIPHENYLP 2\plaque 1/@02 EE2 34/F2_03.tif </t>
  </si>
  <si>
    <t xml:space="preserve"> 63.1868 </t>
  </si>
  <si>
    <t xml:space="preserve">\\192.168.24.208\images\R&amp;D\Coralie\Triphenylphosphate\2021-CHG-CBA-TRIPHENYLP 2\plaque 1/@02 EE2 34/G2_01.tif </t>
  </si>
  <si>
    <t xml:space="preserve"> 821.936 </t>
  </si>
  <si>
    <t xml:space="preserve"> 64.0263 </t>
  </si>
  <si>
    <t xml:space="preserve">\\192.168.24.208\images\R&amp;D\Coralie\Triphenylphosphate\2021-CHG-CBA-TRIPHENYLP 2\plaque 1/@02 EE2 34/G2_02.tif </t>
  </si>
  <si>
    <t xml:space="preserve"> 1319.4236 </t>
  </si>
  <si>
    <t xml:space="preserve"> 62.7541 </t>
  </si>
  <si>
    <t xml:space="preserve">\\192.168.24.208\images\R&amp;D\Coralie\Triphenylphosphate\2021-CHG-CBA-TRIPHENYLP 2\plaque 1/@02 EE2 34/G2_03.tif </t>
  </si>
  <si>
    <t xml:space="preserve"> 1038.2349 </t>
  </si>
  <si>
    <t xml:space="preserve"> 64.6667 </t>
  </si>
  <si>
    <t xml:space="preserve">\\192.168.24.208\images\R&amp;D\Coralie\Triphenylphosphate\2021-CHG-CBA-TRIPHENYLP 2\plaque 1/@02 EE2 34/H2_01.tif </t>
  </si>
  <si>
    <t xml:space="preserve"> 1730.3916 </t>
  </si>
  <si>
    <t xml:space="preserve"> 63.1875 </t>
  </si>
  <si>
    <t xml:space="preserve">\\192.168.24.208\images\R&amp;D\Coralie\Triphenylphosphate\2021-CHG-CBA-TRIPHENYLP 2\plaque 1/@02 EE2 34/H2_02.tif </t>
  </si>
  <si>
    <t xml:space="preserve"> 1081.4947 </t>
  </si>
  <si>
    <t xml:space="preserve"> 63.46 </t>
  </si>
  <si>
    <t xml:space="preserve">\\192.168.24.208\images\R&amp;D\Coralie\Triphenylphosphate\2021-CHG-CBA-TRIPHENYLP 2\plaque 1/@02 EE2 34/H2_03.tif </t>
  </si>
  <si>
    <t xml:space="preserve"> 346.0783 </t>
  </si>
  <si>
    <t xml:space="preserve"> 65.3125 </t>
  </si>
  <si>
    <t xml:space="preserve">\\192.168.24.208\images\R&amp;D\Coralie\Triphenylphosphate\2021-CHG-CBA-TRIPHENYLP 2\plaque 1/@02 EE2 34/ </t>
  </si>
  <si>
    <t xml:space="preserve"> 64.8413 </t>
  </si>
  <si>
    <t xml:space="preserve"> 2.5938 </t>
  </si>
  <si>
    <t xml:space="preserve"> 236357.042 </t>
  </si>
  <si>
    <t xml:space="preserve"> 293873.664 </t>
  </si>
  <si>
    <t xml:space="preserve">\\192.168.24.208\images\R&amp;D\Coralie\Triphenylphosphate\2021-CHG-CBA-TRIPHENYLP 2\plaque 1/@03 EE2 51/A3_01.tif </t>
  </si>
  <si>
    <t xml:space="preserve"> 14773.218 </t>
  </si>
  <si>
    <t xml:space="preserve"> 78.1332 </t>
  </si>
  <si>
    <t xml:space="preserve">\\192.168.24.208\images\R&amp;D\Coralie\Triphenylphosphate\2021-CHG-CBA-TRIPHENYLP 2\plaque 1/@03 EE2 51/A3_02.tif </t>
  </si>
  <si>
    <t xml:space="preserve"> 64.7733 </t>
  </si>
  <si>
    <t xml:space="preserve">\\192.168.24.208\images\R&amp;D\Coralie\Triphenylphosphate\2021-CHG-CBA-TRIPHENYLP 2\plaque 1/@03 EE2 51/A3_03.tif </t>
  </si>
  <si>
    <t xml:space="preserve"> 2314.3987 </t>
  </si>
  <si>
    <t xml:space="preserve"> 64.3458 </t>
  </si>
  <si>
    <t xml:space="preserve">\\192.168.24.208\images\R&amp;D\Coralie\Triphenylphosphate\2021-CHG-CBA-TRIPHENYLP 2\plaque 1/@03 EE2 51/B3_01.tif </t>
  </si>
  <si>
    <t xml:space="preserve"> 63.1538 </t>
  </si>
  <si>
    <t xml:space="preserve">\\192.168.24.208\images\R&amp;D\Coralie\Triphenylphosphate\2021-CHG-CBA-TRIPHENYLP 2\plaque 1/@03 EE2 51/B3_02.tif </t>
  </si>
  <si>
    <t xml:space="preserve"> 63.4516 </t>
  </si>
  <si>
    <t>\\192.168.24.208\images\R&amp;D\Coralie\Triphenylphosphate\2021-CHG-CBA-TRIPHENYLP 2\plaque 1/@03 EE2 51/B3_03- exclu.tif</t>
  </si>
  <si>
    <t xml:space="preserve">\\192.168.24.208\images\R&amp;D\Coralie\Triphenylphosphate\2021-CHG-CBA-TRIPHENYLP 2\plaque 1/@03 EE2 51/C3_01.tif </t>
  </si>
  <si>
    <t xml:space="preserve"> 605.637 </t>
  </si>
  <si>
    <t xml:space="preserve"> 64.5714 </t>
  </si>
  <si>
    <t xml:space="preserve">\\192.168.24.208\images\R&amp;D\Coralie\Triphenylphosphate\2021-CHG-CBA-TRIPHENYLP 2\plaque 1/@03 EE2 51/C3_02.tif </t>
  </si>
  <si>
    <t xml:space="preserve"> 64.8046 </t>
  </si>
  <si>
    <t xml:space="preserve">\\192.168.24.208\images\R&amp;D\Coralie\Triphenylphosphate\2021-CHG-CBA-TRIPHENYLP 2\plaque 1/@03 EE2 51/C3_03.tif </t>
  </si>
  <si>
    <t xml:space="preserve"> 62.9767 </t>
  </si>
  <si>
    <t xml:space="preserve">\\192.168.24.208\images\R&amp;D\Coralie\Triphenylphosphate\2021-CHG-CBA-TRIPHENYLP 2\plaque 1/@03 EE2 51/D3_01.tif </t>
  </si>
  <si>
    <t xml:space="preserve"> 4044.7903 </t>
  </si>
  <si>
    <t xml:space="preserve"> 64.9947 </t>
  </si>
  <si>
    <t xml:space="preserve">\\192.168.24.208\images\R&amp;D\Coralie\Triphenylphosphate\2021-CHG-CBA-TRIPHENYLP 2\plaque 1/@03 EE2 51/D3_02.tif </t>
  </si>
  <si>
    <t xml:space="preserve"> 5948.221 </t>
  </si>
  <si>
    <t xml:space="preserve"> 65.1564 </t>
  </si>
  <si>
    <t xml:space="preserve">\\192.168.24.208\images\R&amp;D\Coralie\Triphenylphosphate\2021-CHG-CBA-TRIPHENYLP 2\plaque 1/@03 EE2 51/D3_03.tif </t>
  </si>
  <si>
    <t xml:space="preserve"> 4152.9398 </t>
  </si>
  <si>
    <t xml:space="preserve"> 64.5729 </t>
  </si>
  <si>
    <t xml:space="preserve">\\192.168.24.208\images\R&amp;D\Coralie\Triphenylphosphate\2021-CHG-CBA-TRIPHENYLP 2\plaque 1/@03 EE2 51/E3_01.tif </t>
  </si>
  <si>
    <t xml:space="preserve"> 1016.605 </t>
  </si>
  <si>
    <t xml:space="preserve"> 65.0426 </t>
  </si>
  <si>
    <t xml:space="preserve">\\192.168.24.208\images\R&amp;D\Coralie\Triphenylphosphate\2021-CHG-CBA-TRIPHENYLP 2\plaque 1/@03 EE2 51/E3_02.tif </t>
  </si>
  <si>
    <t xml:space="preserve"> 67.0857 </t>
  </si>
  <si>
    <t xml:space="preserve">\\192.168.24.208\images\R&amp;D\Coralie\Triphenylphosphate\2021-CHG-CBA-TRIPHENYLP 2\plaque 1/@03 EE2 51/E3_03.tif </t>
  </si>
  <si>
    <t xml:space="preserve"> 908.4556 </t>
  </si>
  <si>
    <t xml:space="preserve"> 65.9762 </t>
  </si>
  <si>
    <t xml:space="preserve">\\192.168.24.208\images\R&amp;D\Coralie\Triphenylphosphate\2021-CHG-CBA-TRIPHENYLP 2\plaque 1/@03 EE2 51/F3_01.tif </t>
  </si>
  <si>
    <t xml:space="preserve"> 63.4889 </t>
  </si>
  <si>
    <t xml:space="preserve">\\192.168.24.208\images\R&amp;D\Coralie\Triphenylphosphate\2021-CHG-CBA-TRIPHENYLP 2\plaque 1/@03 EE2 51/F3_02.tif </t>
  </si>
  <si>
    <t xml:space="preserve"> 562.3773 </t>
  </si>
  <si>
    <t xml:space="preserve"> 63.3077 </t>
  </si>
  <si>
    <t xml:space="preserve">\\192.168.24.208\images\R&amp;D\Coralie\Triphenylphosphate\2021-CHG-CBA-TRIPHENYLP 2\plaque 1/@03 EE2 51/F3_03.tif </t>
  </si>
  <si>
    <t xml:space="preserve"> 951.7154 </t>
  </si>
  <si>
    <t xml:space="preserve"> 62.9091 </t>
  </si>
  <si>
    <t xml:space="preserve">\\192.168.24.208\images\R&amp;D\Coralie\Triphenylphosphate\2021-CHG-CBA-TRIPHENYLP 2\plaque 1/@03 EE2 51/G3_01.tif </t>
  </si>
  <si>
    <t xml:space="preserve"> 1903.4307 </t>
  </si>
  <si>
    <t xml:space="preserve"> 65.4773 </t>
  </si>
  <si>
    <t xml:space="preserve">\\192.168.24.208\images\R&amp;D\Coralie\Triphenylphosphate\2021-CHG-CBA-TRIPHENYLP 2\plaque 1/@03 EE2 51/G3_02.tif </t>
  </si>
  <si>
    <t xml:space="preserve"> 68.0854 </t>
  </si>
  <si>
    <t xml:space="preserve">\\192.168.24.208\images\R&amp;D\Coralie\Triphenylphosphate\2021-CHG-CBA-TRIPHENYLP 2\plaque 1/@03 EE2 51/G3_03.tif </t>
  </si>
  <si>
    <t xml:space="preserve"> 2682.1069 </t>
  </si>
  <si>
    <t xml:space="preserve"> 65.5242 </t>
  </si>
  <si>
    <t>\\192.168.24.208\images\R&amp;D\Coralie\Triphenylphosphate\2021-CHG-CBA-TRIPHENYLP 2\plaque 1/@03 EE2 51/H3_01- exclu.tif</t>
  </si>
  <si>
    <t>\\192.168.24.208\images\R&amp;D\Coralie\Triphenylphosphate\2021-CHG-CBA-TRIPHENYLP 2\plaque 1/@03 EE2 51/H3_02- exclu.tif</t>
  </si>
  <si>
    <t>\\192.168.24.208\images\R&amp;D\Coralie\Triphenylphosphate\2021-CHG-CBA-TRIPHENYLP 2\plaque 1/@03 EE2 51/H3_03- exclu.tif</t>
  </si>
  <si>
    <t xml:space="preserve">\\192.168.24.208\images\R&amp;D\Coralie\Triphenylphosphate\2021-CHG-CBA-TRIPHENYLP 2\plaque 1/@03 EE2 51/ </t>
  </si>
  <si>
    <t xml:space="preserve"> 65.1859 </t>
  </si>
  <si>
    <t xml:space="preserve"> 3.0444 </t>
  </si>
  <si>
    <t xml:space="preserve"> 155283.708 </t>
  </si>
  <si>
    <t xml:space="preserve"> 232095.468 </t>
  </si>
  <si>
    <t>\\192.168.24.208\images\R&amp;D\Coralie\Triphenylphosphate\2021-CHG-CBA-TRIPHENYLP 2\plaque 1/@04 EE2 76/A4_01- exclu.tif</t>
  </si>
  <si>
    <t xml:space="preserve">\\192.168.24.208\images\R&amp;D\Coralie\Triphenylphosphate\2021-CHG-CBA-TRIPHENYLP 2\plaque 1/@04 EE2 76/A4_02.tif </t>
  </si>
  <si>
    <t xml:space="preserve"> 68.9458 </t>
  </si>
  <si>
    <t xml:space="preserve">\\192.168.24.208\images\R&amp;D\Coralie\Triphenylphosphate\2021-CHG-CBA-TRIPHENYLP 2\plaque 1/@04 EE2 76/A4_03.tif </t>
  </si>
  <si>
    <t xml:space="preserve"> 4196.1996 </t>
  </si>
  <si>
    <t xml:space="preserve"> 63.5773 </t>
  </si>
  <si>
    <t>\\192.168.24.208\images\R&amp;D\Coralie\Triphenylphosphate\2021-CHG-CBA-TRIPHENYLP 2\plaque 1/@04 EE2 76/B4_01- exclu.tif</t>
  </si>
  <si>
    <t xml:space="preserve">\\192.168.24.208\images\R&amp;D\Coralie\Triphenylphosphate\2021-CHG-CBA-TRIPHENYLP 2\plaque 1/@04 EE2 76/B4_02.tif </t>
  </si>
  <si>
    <t xml:space="preserve"> 10468.869 </t>
  </si>
  <si>
    <t xml:space="preserve"> 68.3202 </t>
  </si>
  <si>
    <t xml:space="preserve">\\192.168.24.208\images\R&amp;D\Coralie\Triphenylphosphate\2021-CHG-CBA-TRIPHENYLP 2\plaque 1/@04 EE2 76/B4_03.tif </t>
  </si>
  <si>
    <t xml:space="preserve"> 68.0966 </t>
  </si>
  <si>
    <t>\\192.168.24.208\images\R&amp;D\Coralie\Triphenylphosphate\2021-CHG-CBA-TRIPHENYLP 2\plaque 1/@04 EE2 76/C4_01- exclu.tif</t>
  </si>
  <si>
    <t xml:space="preserve">\\192.168.24.208\images\R&amp;D\Coralie\Triphenylphosphate\2021-CHG-CBA-TRIPHENYLP 2\plaque 1/@04 EE2 76/C4_02.tif </t>
  </si>
  <si>
    <t xml:space="preserve"> 3222.8543 </t>
  </si>
  <si>
    <t xml:space="preserve"> 66.2752 </t>
  </si>
  <si>
    <t xml:space="preserve">\\192.168.24.208\images\R&amp;D\Coralie\Triphenylphosphate\2021-CHG-CBA-TRIPHENYLP 2\plaque 1/@04 EE2 76/C4_03.tif </t>
  </si>
  <si>
    <t xml:space="preserve"> 66.1829 </t>
  </si>
  <si>
    <t xml:space="preserve">\\192.168.24.208\images\R&amp;D\Coralie\Triphenylphosphate\2021-CHG-CBA-TRIPHENYLP 2\plaque 1/@04 EE2 76/D4_01.tif </t>
  </si>
  <si>
    <t xml:space="preserve"> 14405.5098 </t>
  </si>
  <si>
    <t xml:space="preserve"> 64.9234 </t>
  </si>
  <si>
    <t xml:space="preserve">\\192.168.24.208\images\R&amp;D\Coralie\Triphenylphosphate\2021-CHG-CBA-TRIPHENYLP 2\plaque 1/@04 EE2 76/D4_02.tif </t>
  </si>
  <si>
    <t xml:space="preserve"> 9538.7835 </t>
  </si>
  <si>
    <t xml:space="preserve"> 64.3061 </t>
  </si>
  <si>
    <t xml:space="preserve">\\192.168.24.208\images\R&amp;D\Coralie\Triphenylphosphate\2021-CHG-CBA-TRIPHENYLP 2\plaque 1/@04 EE2 76/D4_03.tif </t>
  </si>
  <si>
    <t xml:space="preserve"> 64.3089 </t>
  </si>
  <si>
    <t xml:space="preserve">\\192.168.24.208\images\R&amp;D\Coralie\Triphenylphosphate\2021-CHG-CBA-TRIPHENYLP 2\plaque 1/@04 EE2 76/E4_01.tif </t>
  </si>
  <si>
    <t xml:space="preserve"> 21911.0833 </t>
  </si>
  <si>
    <t xml:space="preserve"> 67.6555 </t>
  </si>
  <si>
    <t xml:space="preserve">\\192.168.24.208\images\R&amp;D\Coralie\Triphenylphosphate\2021-CHG-CBA-TRIPHENYLP 2\plaque 1/@04 EE2 76/E4_02.tif </t>
  </si>
  <si>
    <t xml:space="preserve"> 24117.3325 </t>
  </si>
  <si>
    <t xml:space="preserve"> 66.3103 </t>
  </si>
  <si>
    <t xml:space="preserve">\\192.168.24.208\images\R&amp;D\Coralie\Triphenylphosphate\2021-CHG-CBA-TRIPHENYLP 2\plaque 1/@04 EE2 76/E4_03.tif </t>
  </si>
  <si>
    <t xml:space="preserve"> 20764.6988 </t>
  </si>
  <si>
    <t xml:space="preserve">\\192.168.24.208\images\R&amp;D\Coralie\Triphenylphosphate\2021-CHG-CBA-TRIPHENYLP 2\plaque 1/@04 EE2 76/F4_01.tif </t>
  </si>
  <si>
    <t xml:space="preserve"> 68.8966 </t>
  </si>
  <si>
    <t xml:space="preserve">\\192.168.24.208\images\R&amp;D\Coralie\Triphenylphosphate\2021-CHG-CBA-TRIPHENYLP 2\plaque 1/@04 EE2 76/F4_02.tif </t>
  </si>
  <si>
    <t xml:space="preserve"> 5364.2139 </t>
  </si>
  <si>
    <t xml:space="preserve"> 65.875 </t>
  </si>
  <si>
    <t>\\192.168.24.208\images\R&amp;D\Coralie\Triphenylphosphate\2021-CHG-CBA-TRIPHENYLP 2\plaque 1/@04 EE2 76/F4_03- exclu.tif</t>
  </si>
  <si>
    <t xml:space="preserve">\\192.168.24.208\images\R&amp;D\Coralie\Triphenylphosphate\2021-CHG-CBA-TRIPHENYLP 2\plaque 1/@04 EE2 76/G4_01.tif </t>
  </si>
  <si>
    <t xml:space="preserve"> 67.8096 </t>
  </si>
  <si>
    <t xml:space="preserve">\\192.168.24.208\images\R&amp;D\Coralie\Triphenylphosphate\2021-CHG-CBA-TRIPHENYLP 2\plaque 1/@04 EE2 76/G4_02.tif </t>
  </si>
  <si>
    <t xml:space="preserve"> 66.5692 </t>
  </si>
  <si>
    <t xml:space="preserve">\\192.168.24.208\images\R&amp;D\Coralie\Triphenylphosphate\2021-CHG-CBA-TRIPHENYLP 2\plaque 1/@04 EE2 76/G4_03.tif </t>
  </si>
  <si>
    <t xml:space="preserve"> 7592.093 </t>
  </si>
  <si>
    <t xml:space="preserve"> 64.3362 </t>
  </si>
  <si>
    <t xml:space="preserve">\\192.168.24.208\images\R&amp;D\Coralie\Triphenylphosphate\2021-CHG-CBA-TRIPHENYLP 2\plaque 1/@04 EE2 76/H4_01.tif </t>
  </si>
  <si>
    <t xml:space="preserve"> 66.3327 </t>
  </si>
  <si>
    <t xml:space="preserve">\\192.168.24.208\images\R&amp;D\Coralie\Triphenylphosphate\2021-CHG-CBA-TRIPHENYLP 2\plaque 1/@04 EE2 76/H4_02.tif </t>
  </si>
  <si>
    <t xml:space="preserve"> 22797.9089 </t>
  </si>
  <si>
    <t xml:space="preserve"> 66.4383 </t>
  </si>
  <si>
    <t xml:space="preserve">\\192.168.24.208\images\R&amp;D\Coralie\Triphenylphosphate\2021-CHG-CBA-TRIPHENYLP 2\plaque 1/@04 EE2 76/H4_03.tif </t>
  </si>
  <si>
    <t xml:space="preserve"> 15119.2963 </t>
  </si>
  <si>
    <t xml:space="preserve"> 66.2031 </t>
  </si>
  <si>
    <t xml:space="preserve">\\192.168.24.208\images\R&amp;D\Coralie\Triphenylphosphate\2021-CHG-CBA-TRIPHENYLP 2\plaque 1/@04 EE2 76/ </t>
  </si>
  <si>
    <t xml:space="preserve"> 67.4201 </t>
  </si>
  <si>
    <t xml:space="preserve"> 5.272 </t>
  </si>
  <si>
    <t xml:space="preserve"> 812453.042 </t>
  </si>
  <si>
    <t xml:space="preserve"> 521584.167 </t>
  </si>
  <si>
    <t xml:space="preserve">\\192.168.24.208\images\R&amp;D\Coralie\Triphenylphosphate\2021-CHG-CBA-TRIPHENYLP 2\plaque 1/@05 EE2 114/A5_01.tif </t>
  </si>
  <si>
    <t xml:space="preserve"> 65.1943 </t>
  </si>
  <si>
    <t xml:space="preserve">\\192.168.24.208\images\R&amp;D\Coralie\Triphenylphosphate\2021-CHG-CBA-TRIPHENYLP 2\plaque 1/@05 EE2 114/A5_02.tif </t>
  </si>
  <si>
    <t xml:space="preserve"> 64.069 </t>
  </si>
  <si>
    <t xml:space="preserve">\\192.168.24.208\images\R&amp;D\Coralie\Triphenylphosphate\2021-CHG-CBA-TRIPHENYLP 2\plaque 1/@05 EE2 114/A5_03.tif </t>
  </si>
  <si>
    <t xml:space="preserve"> 1816.9111 </t>
  </si>
  <si>
    <t xml:space="preserve"> 64.6786 </t>
  </si>
  <si>
    <t>\\192.168.24.208\images\R&amp;D\Coralie\Triphenylphosphate\2021-CHG-CBA-TRIPHENYLP 2\plaque 1/@05 EE2 114/B5_01- exclu.tif</t>
  </si>
  <si>
    <t xml:space="preserve">\\192.168.24.208\images\R&amp;D\Coralie\Triphenylphosphate\2021-CHG-CBA-TRIPHENYLP 2\plaque 1/@05 EE2 114/B5_02.tif </t>
  </si>
  <si>
    <t xml:space="preserve"> 19099.197 </t>
  </si>
  <si>
    <t xml:space="preserve"> 68.0362 </t>
  </si>
  <si>
    <t xml:space="preserve">\\192.168.24.208\images\R&amp;D\Coralie\Triphenylphosphate\2021-CHG-CBA-TRIPHENYLP 2\plaque 1/@05 EE2 114/B5_03.tif </t>
  </si>
  <si>
    <t xml:space="preserve"> 20851.2184 </t>
  </si>
  <si>
    <t xml:space="preserve"> 68.5508 </t>
  </si>
  <si>
    <t xml:space="preserve">\\192.168.24.208\images\R&amp;D\Coralie\Triphenylphosphate\2021-CHG-CBA-TRIPHENYLP 2\plaque 1/@05 EE2 114/C5_01.tif </t>
  </si>
  <si>
    <t xml:space="preserve"> 57578.7795 </t>
  </si>
  <si>
    <t xml:space="preserve"> 70.4857 </t>
  </si>
  <si>
    <t xml:space="preserve">\\192.168.24.208\images\R&amp;D\Coralie\Triphenylphosphate\2021-CHG-CBA-TRIPHENYLP 2\plaque 1/@05 EE2 114/C5_02.tif </t>
  </si>
  <si>
    <t xml:space="preserve"> 50289.505 </t>
  </si>
  <si>
    <t xml:space="preserve"> 70.012 </t>
  </si>
  <si>
    <t xml:space="preserve">\\192.168.24.208\images\R&amp;D\Coralie\Triphenylphosphate\2021-CHG-CBA-TRIPHENYLP 2\plaque 1/@05 EE2 114/C5_03.tif </t>
  </si>
  <si>
    <t xml:space="preserve"> 50851.8823 </t>
  </si>
  <si>
    <t xml:space="preserve"> 70.3871 </t>
  </si>
  <si>
    <t xml:space="preserve">\\192.168.24.208\images\R&amp;D\Coralie\Triphenylphosphate\2021-CHG-CBA-TRIPHENYLP 2\plaque 1/@05 EE2 114/D5_01.tif </t>
  </si>
  <si>
    <t xml:space="preserve"> 63.9019 </t>
  </si>
  <si>
    <t>\\192.168.24.208\images\R&amp;D\Coralie\Triphenylphosphate\2021-CHG-CBA-TRIPHENYLP 2\plaque 1/@05 EE2 114/D5_02- exclu.tif</t>
  </si>
  <si>
    <t>\\192.168.24.208\images\R&amp;D\Coralie\Triphenylphosphate\2021-CHG-CBA-TRIPHENYLP 2\plaque 1/@05 EE2 114/D5_03- exclu.tif</t>
  </si>
  <si>
    <t xml:space="preserve">\\192.168.24.208\images\R&amp;D\Coralie\Triphenylphosphate\2021-CHG-CBA-TRIPHENYLP 2\plaque 1/@05 EE2 114/E5_01.tif </t>
  </si>
  <si>
    <t xml:space="preserve"> 13497.0542 </t>
  </si>
  <si>
    <t xml:space="preserve"> 65.9535 </t>
  </si>
  <si>
    <t>\\192.168.24.208\images\R&amp;D\Coralie\Triphenylphosphate\2021-CHG-CBA-TRIPHENYLP 2\plaque 1/@05 EE2 114/E5_02- exclu.tif</t>
  </si>
  <si>
    <t xml:space="preserve">\\192.168.24.208\images\R&amp;D\Coralie\Triphenylphosphate\2021-CHG-CBA-TRIPHENYLP 2\plaque 1/@05 EE2 114/E5_03.tif </t>
  </si>
  <si>
    <t xml:space="preserve"> 65.4396 </t>
  </si>
  <si>
    <t>\\192.168.24.208\images\R&amp;D\Coralie\Triphenylphosphate\2021-CHG-CBA-TRIPHENYLP 2\plaque 1/@05 EE2 114/F5_01- exclu.tif</t>
  </si>
  <si>
    <t xml:space="preserve">\\192.168.24.208\images\R&amp;D\Coralie\Triphenylphosphate\2021-CHG-CBA-TRIPHENYLP 2\plaque 1/@05 EE2 114/F5_02.tif </t>
  </si>
  <si>
    <t xml:space="preserve"> 44795.5118 </t>
  </si>
  <si>
    <t xml:space="preserve"> 79.5761 </t>
  </si>
  <si>
    <t xml:space="preserve">\\192.168.24.208\images\R&amp;D\Coralie\Triphenylphosphate\2021-CHG-CBA-TRIPHENYLP 2\plaque 1/@05 EE2 114/F5_03.tif </t>
  </si>
  <si>
    <t xml:space="preserve"> 24787.8592 </t>
  </si>
  <si>
    <t xml:space="preserve"> 82.1047 </t>
  </si>
  <si>
    <t>\\192.168.24.208\images\R&amp;D\Coralie\Triphenylphosphate\2021-CHG-CBA-TRIPHENYLP 2\plaque 1/@05 EE2 114/G5_01- exclu.tif</t>
  </si>
  <si>
    <t xml:space="preserve">\\192.168.24.208\images\R&amp;D\Coralie\Triphenylphosphate\2021-CHG-CBA-TRIPHENYLP 2\plaque 1/@05 EE2 114/G5_02.tif </t>
  </si>
  <si>
    <t xml:space="preserve"> 22213.9018 </t>
  </si>
  <si>
    <t xml:space="preserve"> 65.3476 </t>
  </si>
  <si>
    <t xml:space="preserve">\\192.168.24.208\images\R&amp;D\Coralie\Triphenylphosphate\2021-CHG-CBA-TRIPHENYLP 2\plaque 1/@05 EE2 114/G5_03.tif </t>
  </si>
  <si>
    <t xml:space="preserve"> 20980.9978 </t>
  </si>
  <si>
    <t xml:space="preserve"> 65.3907 </t>
  </si>
  <si>
    <t xml:space="preserve">\\192.168.24.208\images\R&amp;D\Coralie\Triphenylphosphate\2021-CHG-CBA-TRIPHENYLP 2\plaque 1/@05 EE2 114/H5_01.tif </t>
  </si>
  <si>
    <t xml:space="preserve"> 43432.8284 </t>
  </si>
  <si>
    <t xml:space="preserve"> 73.9213 </t>
  </si>
  <si>
    <t xml:space="preserve">\\192.168.24.208\images\R&amp;D\Coralie\Triphenylphosphate\2021-CHG-CBA-TRIPHENYLP 2\plaque 1/@05 EE2 114/H5_02.tif </t>
  </si>
  <si>
    <t xml:space="preserve"> 46655.6827 </t>
  </si>
  <si>
    <t xml:space="preserve"> 72.5619 </t>
  </si>
  <si>
    <t xml:space="preserve">\\192.168.24.208\images\R&amp;D\Coralie\Triphenylphosphate\2021-CHG-CBA-TRIPHENYLP 2\plaque 1/@05 EE2 114/H5_03.tif </t>
  </si>
  <si>
    <t xml:space="preserve"> 46114.9353 </t>
  </si>
  <si>
    <t xml:space="preserve"> 76.0188 </t>
  </si>
  <si>
    <t xml:space="preserve">\\192.168.24.208\images\R&amp;D\Coralie\Triphenylphosphate\2021-CHG-CBA-TRIPHENYLP 2\plaque 1/@05 EE2 114/ </t>
  </si>
  <si>
    <t xml:space="preserve"> 68.5312 </t>
  </si>
  <si>
    <t xml:space="preserve"> 5.1426 </t>
  </si>
  <si>
    <t xml:space="preserve"> 1738769.5 </t>
  </si>
  <si>
    <t xml:space="preserve"> 1326842.6 </t>
  </si>
  <si>
    <t xml:space="preserve">\\192.168.24.208\images\R&amp;D\Coralie\Triphenylphosphate\2021-CHG-CBA-TRIPHENYLP 2\plaque 1/@06 EE2 171/A6_01.tif </t>
  </si>
  <si>
    <t xml:space="preserve"> 44838.7716 </t>
  </si>
  <si>
    <t xml:space="preserve"> 71.6126 </t>
  </si>
  <si>
    <t xml:space="preserve">\\192.168.24.208\images\R&amp;D\Coralie\Triphenylphosphate\2021-CHG-CBA-TRIPHENYLP 2\plaque 1/@06 EE2 171/A6_02.tif </t>
  </si>
  <si>
    <t xml:space="preserve"> 47975.1063 </t>
  </si>
  <si>
    <t xml:space="preserve"> 75.3571 </t>
  </si>
  <si>
    <t xml:space="preserve">\\192.168.24.208\images\R&amp;D\Coralie\Triphenylphosphate\2021-CHG-CBA-TRIPHENYLP 2\plaque 1/@06 EE2 171/A6_03.tif </t>
  </si>
  <si>
    <t xml:space="preserve"> 46374.4941 </t>
  </si>
  <si>
    <t xml:space="preserve"> 76.111 </t>
  </si>
  <si>
    <t>\\192.168.24.208\images\R&amp;D\Coralie\Triphenylphosphate\2021-CHG-CBA-TRIPHENYLP 2\plaque 1/@06 EE2 171/B6_01- exclu.tif</t>
  </si>
  <si>
    <t>\\192.168.24.208\images\R&amp;D\Coralie\Triphenylphosphate\2021-CHG-CBA-TRIPHENYLP 2\plaque 1/@06 EE2 171/B6_02- exclu.tif</t>
  </si>
  <si>
    <t>\\192.168.24.208\images\R&amp;D\Coralie\Triphenylphosphate\2021-CHG-CBA-TRIPHENYLP 2\plaque 1/@06 EE2 171/B6_03- exclu.tif</t>
  </si>
  <si>
    <t xml:space="preserve">\\192.168.24.208\images\R&amp;D\Coralie\Triphenylphosphate\2021-CHG-CBA-TRIPHENYLP 2\plaque 1/@06 EE2 171/C6_01.tif </t>
  </si>
  <si>
    <t xml:space="preserve"> 47910.2166 </t>
  </si>
  <si>
    <t xml:space="preserve"> 73.4781 </t>
  </si>
  <si>
    <t xml:space="preserve">\\192.168.24.208\images\R&amp;D\Coralie\Triphenylphosphate\2021-CHG-CBA-TRIPHENYLP 2\plaque 1/@06 EE2 171/C6_02.tif </t>
  </si>
  <si>
    <t xml:space="preserve"> 49943.4267 </t>
  </si>
  <si>
    <t xml:space="preserve"> 73.0134 </t>
  </si>
  <si>
    <t xml:space="preserve">\\192.168.24.208\images\R&amp;D\Coralie\Triphenylphosphate\2021-CHG-CBA-TRIPHENYLP 2\plaque 1/@06 EE2 171/C6_03.tif </t>
  </si>
  <si>
    <t xml:space="preserve"> 38825.6609 </t>
  </si>
  <si>
    <t xml:space="preserve"> 74.2295 </t>
  </si>
  <si>
    <t xml:space="preserve">\\192.168.24.208\images\R&amp;D\Coralie\Triphenylphosphate\2021-CHG-CBA-TRIPHENYLP 2\plaque 1/@06 EE2 171/D6_01.tif </t>
  </si>
  <si>
    <t xml:space="preserve"> 46763.8322 </t>
  </si>
  <si>
    <t xml:space="preserve"> 80.8464 </t>
  </si>
  <si>
    <t xml:space="preserve">\\192.168.24.208\images\R&amp;D\Coralie\Triphenylphosphate\2021-CHG-CBA-TRIPHENYLP 2\plaque 1/@06 EE2 171/D6_02.tif </t>
  </si>
  <si>
    <t xml:space="preserve"> 45357.889 </t>
  </si>
  <si>
    <t xml:space="preserve"> 80.6481 </t>
  </si>
  <si>
    <t xml:space="preserve">\\192.168.24.208\images\R&amp;D\Coralie\Triphenylphosphate\2021-CHG-CBA-TRIPHENYLP 2\plaque 1/@06 EE2 171/D6_03.tif </t>
  </si>
  <si>
    <t xml:space="preserve"> 46071.6756 </t>
  </si>
  <si>
    <t xml:space="preserve"> 81.2934 </t>
  </si>
  <si>
    <t xml:space="preserve">\\192.168.24.208\images\R&amp;D\Coralie\Triphenylphosphate\2021-CHG-CBA-TRIPHENYLP 2\plaque 1/@06 EE2 171/E6_01.tif </t>
  </si>
  <si>
    <t xml:space="preserve"> 57167.8115 </t>
  </si>
  <si>
    <t xml:space="preserve"> 78.6216 </t>
  </si>
  <si>
    <t xml:space="preserve">\\192.168.24.208\images\R&amp;D\Coralie\Triphenylphosphate\2021-CHG-CBA-TRIPHENYLP 2\plaque 1/@06 EE2 171/E6_02.tif </t>
  </si>
  <si>
    <t xml:space="preserve"> 58984.7227 </t>
  </si>
  <si>
    <t xml:space="preserve"> 78.1863 </t>
  </si>
  <si>
    <t xml:space="preserve">\\192.168.24.208\images\R&amp;D\Coralie\Triphenylphosphate\2021-CHG-CBA-TRIPHENYLP 2\plaque 1/@06 EE2 171/E6_03.tif </t>
  </si>
  <si>
    <t xml:space="preserve"> 57275.961 </t>
  </si>
  <si>
    <t xml:space="preserve"> 78.4977 </t>
  </si>
  <si>
    <t xml:space="preserve">\\192.168.24.208\images\R&amp;D\Coralie\Triphenylphosphate\2021-CHG-CBA-TRIPHENYLP 2\plaque 1/@06 EE2 171/F6_01.tif </t>
  </si>
  <si>
    <t xml:space="preserve"> 47499.2486 </t>
  </si>
  <si>
    <t xml:space="preserve"> 72.9335 </t>
  </si>
  <si>
    <t xml:space="preserve">\\192.168.24.208\images\R&amp;D\Coralie\Triphenylphosphate\2021-CHG-CBA-TRIPHENYLP 2\plaque 1/@06 EE2 171/F6_02.tif </t>
  </si>
  <si>
    <t xml:space="preserve"> 71.1476 </t>
  </si>
  <si>
    <t>\\192.168.24.208\images\R&amp;D\Coralie\Triphenylphosphate\2021-CHG-CBA-TRIPHENYLP 2\plaque 1/@06 EE2 171/F6_03- exclu.tif</t>
  </si>
  <si>
    <t xml:space="preserve">\\192.168.24.208\images\R&amp;D\Coralie\Triphenylphosphate\2021-CHG-CBA-TRIPHENYLP 2\plaque 1/@06 EE2 171/G6_01.tif </t>
  </si>
  <si>
    <t xml:space="preserve"> 55134.6014 </t>
  </si>
  <si>
    <t xml:space="preserve"> 77.3711 </t>
  </si>
  <si>
    <t xml:space="preserve">\\192.168.24.208\images\R&amp;D\Coralie\Triphenylphosphate\2021-CHG-CBA-TRIPHENYLP 2\plaque 1/@06 EE2 171/G6_02.tif </t>
  </si>
  <si>
    <t xml:space="preserve"> 53771.918 </t>
  </si>
  <si>
    <t xml:space="preserve"> 77.5032 </t>
  </si>
  <si>
    <t xml:space="preserve">\\192.168.24.208\images\R&amp;D\Coralie\Triphenylphosphate\2021-CHG-CBA-TRIPHENYLP 2\plaque 1/@06 EE2 171/G6_03.tif </t>
  </si>
  <si>
    <t xml:space="preserve"> 48559.1134 </t>
  </si>
  <si>
    <t xml:space="preserve"> 76.6566 </t>
  </si>
  <si>
    <t xml:space="preserve">\\192.168.24.208\images\R&amp;D\Coralie\Triphenylphosphate\2021-CHG-CBA-TRIPHENYLP 2\plaque 1/@06 EE2 171/H6_01.tif </t>
  </si>
  <si>
    <t xml:space="preserve"> 56670.3239 </t>
  </si>
  <si>
    <t xml:space="preserve"> 71.9489 </t>
  </si>
  <si>
    <t xml:space="preserve">\\192.168.24.208\images\R&amp;D\Coralie\Triphenylphosphate\2021-CHG-CBA-TRIPHENYLP 2\plaque 1/@06 EE2 171/H6_02.tif </t>
  </si>
  <si>
    <t xml:space="preserve"> 53707.0284 </t>
  </si>
  <si>
    <t xml:space="preserve"> 71.6935 </t>
  </si>
  <si>
    <t xml:space="preserve">\\192.168.24.208\images\R&amp;D\Coralie\Triphenylphosphate\2021-CHG-CBA-TRIPHENYLP 2\plaque 1/@06 EE2 171/H6_03.tif </t>
  </si>
  <si>
    <t xml:space="preserve"> 50722.1029 </t>
  </si>
  <si>
    <t xml:space="preserve"> 71.3215 </t>
  </si>
  <si>
    <t xml:space="preserve">\\192.168.24.208\images\R&amp;D\Coralie\Triphenylphosphate\2021-CHG-CBA-TRIPHENYLP 2\plaque 1/@06 EE2 171/ </t>
  </si>
  <si>
    <t xml:space="preserve"> 74.1358 </t>
  </si>
  <si>
    <t xml:space="preserve"> 4.8566 </t>
  </si>
  <si>
    <t xml:space="preserve"> 3267265.83 </t>
  </si>
  <si>
    <t xml:space="preserve"> 1335719.11 </t>
  </si>
  <si>
    <t xml:space="preserve">\\192.168.24.208\images\R&amp;D\Coralie\Triphenylphosphate\2021-CHG-CBA-TRIPHENYLP 2\plaque 1/@07 EE2 488/A7_01.tif </t>
  </si>
  <si>
    <t xml:space="preserve"> 71162.3533 </t>
  </si>
  <si>
    <t xml:space="preserve"> 95.2182 </t>
  </si>
  <si>
    <t xml:space="preserve">\\192.168.24.208\images\R&amp;D\Coralie\Triphenylphosphate\2021-CHG-CBA-TRIPHENYLP 2\plaque 1/@07 EE2 488/A7_02.tif </t>
  </si>
  <si>
    <t xml:space="preserve"> 72114.0687 </t>
  </si>
  <si>
    <t xml:space="preserve"> 93.5663 </t>
  </si>
  <si>
    <t xml:space="preserve">\\192.168.24.208\images\R&amp;D\Coralie\Triphenylphosphate\2021-CHG-CBA-TRIPHENYLP 2\plaque 1/@07 EE2 488/A7_03.tif </t>
  </si>
  <si>
    <t xml:space="preserve"> 73368.6026 </t>
  </si>
  <si>
    <t xml:space="preserve"> 94.5321 </t>
  </si>
  <si>
    <t xml:space="preserve">\\192.168.24.208\images\R&amp;D\Coralie\Triphenylphosphate\2021-CHG-CBA-TRIPHENYLP 2\plaque 1/@07 EE2 488/B7_01.tif </t>
  </si>
  <si>
    <t xml:space="preserve"> 73152.3036 </t>
  </si>
  <si>
    <t xml:space="preserve"> 82.613 </t>
  </si>
  <si>
    <t xml:space="preserve">\\192.168.24.208\images\R&amp;D\Coralie\Triphenylphosphate\2021-CHG-CBA-TRIPHENYLP 2\plaque 1/@07 EE2 488/B7_02.tif </t>
  </si>
  <si>
    <t xml:space="preserve"> 82.8928 </t>
  </si>
  <si>
    <t xml:space="preserve">\\192.168.24.208\images\R&amp;D\Coralie\Triphenylphosphate\2021-CHG-CBA-TRIPHENYLP 2\plaque 1/@07 EE2 488/B7_03.tif </t>
  </si>
  <si>
    <t xml:space="preserve"> 68242.3176 </t>
  </si>
  <si>
    <t xml:space="preserve"> 83.3658 </t>
  </si>
  <si>
    <t xml:space="preserve">\\192.168.24.208\images\R&amp;D\Coralie\Triphenylphosphate\2021-CHG-CBA-TRIPHENYLP 2\plaque 1/@07 EE2 488/C7_01.tif </t>
  </si>
  <si>
    <t xml:space="preserve"> 38284.9135 </t>
  </si>
  <si>
    <t xml:space="preserve"> 94.1395 </t>
  </si>
  <si>
    <t xml:space="preserve">\\192.168.24.208\images\R&amp;D\Coralie\Triphenylphosphate\2021-CHG-CBA-TRIPHENYLP 2\plaque 1/@07 EE2 488/C7_02.tif </t>
  </si>
  <si>
    <t xml:space="preserve"> 37052.0095 </t>
  </si>
  <si>
    <t xml:space="preserve"> 92.6025 </t>
  </si>
  <si>
    <t xml:space="preserve">\\192.168.24.208\images\R&amp;D\Coralie\Triphenylphosphate\2021-CHG-CBA-TRIPHENYLP 2\plaque 1/@07 EE2 488/C7_03.tif </t>
  </si>
  <si>
    <t xml:space="preserve"> 94.7034 </t>
  </si>
  <si>
    <t xml:space="preserve">\\192.168.24.208\images\R&amp;D\Coralie\Triphenylphosphate\2021-CHG-CBA-TRIPHENYLP 2\plaque 1/@07 EE2 488/D7_01.tif </t>
  </si>
  <si>
    <t xml:space="preserve"> 86.34 </t>
  </si>
  <si>
    <t>\\192.168.24.208\images\R&amp;D\Coralie\Triphenylphosphate\2021-CHG-CBA-TRIPHENYLP 2\plaque 1/@07 EE2 488/D7_02- exclu.tif</t>
  </si>
  <si>
    <t xml:space="preserve">\\192.168.24.208\images\R&amp;D\Coralie\Triphenylphosphate\2021-CHG-CBA-TRIPHENYLP 2\plaque 1/@07 EE2 488/D7_03.tif </t>
  </si>
  <si>
    <t xml:space="preserve"> 51933.377 </t>
  </si>
  <si>
    <t xml:space="preserve"> 86.1391 </t>
  </si>
  <si>
    <t xml:space="preserve">\\192.168.24.208\images\R&amp;D\Coralie\Triphenylphosphate\2021-CHG-CBA-TRIPHENYLP 2\plaque 1/@07 EE2 488/E7_01.tif </t>
  </si>
  <si>
    <t xml:space="preserve"> 62012.9079 </t>
  </si>
  <si>
    <t xml:space="preserve"> 87.706 </t>
  </si>
  <si>
    <t xml:space="preserve">\\192.168.24.208\images\R&amp;D\Coralie\Triphenylphosphate\2021-CHG-CBA-TRIPHENYLP 2\plaque 1/@07 EE2 488/E7_02.tif </t>
  </si>
  <si>
    <t xml:space="preserve"> 57946.4877 </t>
  </si>
  <si>
    <t xml:space="preserve"> 87.8705 </t>
  </si>
  <si>
    <t xml:space="preserve">\\192.168.24.208\images\R&amp;D\Coralie\Triphenylphosphate\2021-CHG-CBA-TRIPHENYLP 2\plaque 1/@07 EE2 488/E7_03.tif </t>
  </si>
  <si>
    <t xml:space="preserve"> 62575.2852 </t>
  </si>
  <si>
    <t xml:space="preserve"> 87.5607 </t>
  </si>
  <si>
    <t xml:space="preserve">\\192.168.24.208\images\R&amp;D\Coralie\Triphenylphosphate\2021-CHG-CBA-TRIPHENYLP 2\plaque 1/@07 EE2 488/F7_01.tif </t>
  </si>
  <si>
    <t xml:space="preserve"> 79035.635 </t>
  </si>
  <si>
    <t xml:space="preserve"> 93.9891 </t>
  </si>
  <si>
    <t xml:space="preserve">\\192.168.24.208\images\R&amp;D\Coralie\Triphenylphosphate\2021-CHG-CBA-TRIPHENYLP 2\plaque 1/@07 EE2 488/F7_02.tif </t>
  </si>
  <si>
    <t xml:space="preserve"> 70578.3462 </t>
  </si>
  <si>
    <t xml:space="preserve"> 93.2605 </t>
  </si>
  <si>
    <t xml:space="preserve">\\192.168.24.208\images\R&amp;D\Coralie\Triphenylphosphate\2021-CHG-CBA-TRIPHENYLP 2\plaque 1/@07 EE2 488/F7_03.tif </t>
  </si>
  <si>
    <t xml:space="preserve"> 67874.6093 </t>
  </si>
  <si>
    <t xml:space="preserve"> 96.6087 </t>
  </si>
  <si>
    <t xml:space="preserve">\\192.168.24.208\images\R&amp;D\Coralie\Triphenylphosphate\2021-CHG-CBA-TRIPHENYLP 2\plaque 1/@07 EE2 488/G7_01.tif </t>
  </si>
  <si>
    <t xml:space="preserve"> 64608.4953 </t>
  </si>
  <si>
    <t xml:space="preserve"> 83.6224 </t>
  </si>
  <si>
    <t xml:space="preserve">\\192.168.24.208\images\R&amp;D\Coralie\Triphenylphosphate\2021-CHG-CBA-TRIPHENYLP 2\plaque 1/@07 EE2 488/G7_02.tif </t>
  </si>
  <si>
    <t xml:space="preserve"> 82.7748 </t>
  </si>
  <si>
    <t xml:space="preserve">\\192.168.24.208\images\R&amp;D\Coralie\Triphenylphosphate\2021-CHG-CBA-TRIPHENYLP 2\plaque 1/@07 EE2 488/G7_03.tif </t>
  </si>
  <si>
    <t xml:space="preserve"> 62769.9542 </t>
  </si>
  <si>
    <t xml:space="preserve"> 84.4618 </t>
  </si>
  <si>
    <t xml:space="preserve">\\192.168.24.208\images\R&amp;D\Coralie\Triphenylphosphate\2021-CHG-CBA-TRIPHENYLP 2\plaque 1/@07 EE2 488/H7_01.tif </t>
  </si>
  <si>
    <t xml:space="preserve"> 104.2035 </t>
  </si>
  <si>
    <t xml:space="preserve">\\192.168.24.208\images\R&amp;D\Coralie\Triphenylphosphate\2021-CHG-CBA-TRIPHENYLP 2\plaque 1/@07 EE2 488/H7_02.tif </t>
  </si>
  <si>
    <t xml:space="preserve"> 53533.9892 </t>
  </si>
  <si>
    <t xml:space="preserve"> 104.6844 </t>
  </si>
  <si>
    <t xml:space="preserve">\\192.168.24.208\images\R&amp;D\Coralie\Triphenylphosphate\2021-CHG-CBA-TRIPHENYLP 2\plaque 1/@07 EE2 488/H7_03.tif </t>
  </si>
  <si>
    <t xml:space="preserve"> 58270.9361 </t>
  </si>
  <si>
    <t xml:space="preserve"> 101.3422 </t>
  </si>
  <si>
    <t xml:space="preserve">\\192.168.24.208\images\R&amp;D\Coralie\Triphenylphosphate\2021-CHG-CBA-TRIPHENYLP 2\plaque 1/@07 EE2 488/ </t>
  </si>
  <si>
    <t xml:space="preserve"> 90.6835 </t>
  </si>
  <si>
    <t xml:space="preserve"> 6.8808 </t>
  </si>
  <si>
    <t xml:space="preserve"> 5507173.08 </t>
  </si>
  <si>
    <t xml:space="preserve"> 1084322.61 </t>
  </si>
  <si>
    <t xml:space="preserve">\\192.168.24.208\images\R&amp;D\Coralie\Triphenylphosphate\2021-CHG-CBA-TRIPHENYLP 2\plaque 1/@08 TriphenylP 0.18/A8_01.tif </t>
  </si>
  <si>
    <t xml:space="preserve"> 3028.1852 </t>
  </si>
  <si>
    <t xml:space="preserve"> 66.5357 </t>
  </si>
  <si>
    <t xml:space="preserve">\\192.168.24.208\images\R&amp;D\Coralie\Triphenylphosphate\2021-CHG-CBA-TRIPHENYLP 2\plaque 1/@08 TriphenylP 0.18/A8_02.tif </t>
  </si>
  <si>
    <t xml:space="preserve"> 6899.9364 </t>
  </si>
  <si>
    <t xml:space="preserve"> 68.0376 </t>
  </si>
  <si>
    <t xml:space="preserve">\\192.168.24.208\images\R&amp;D\Coralie\Triphenylphosphate\2021-CHG-CBA-TRIPHENYLP 2\plaque 1/@08 TriphenylP 0.18/A8_03.tif </t>
  </si>
  <si>
    <t xml:space="preserve"> 4693.6871 </t>
  </si>
  <si>
    <t xml:space="preserve"> 68.2166 </t>
  </si>
  <si>
    <t xml:space="preserve">\\192.168.24.208\images\R&amp;D\Coralie\Triphenylphosphate\2021-CHG-CBA-TRIPHENYLP 2\plaque 1/@08 TriphenylP 0.18/B8_01.tif </t>
  </si>
  <si>
    <t xml:space="preserve"> 66.3621 </t>
  </si>
  <si>
    <t xml:space="preserve">\\192.168.24.208\images\R&amp;D\Coralie\Triphenylphosphate\2021-CHG-CBA-TRIPHENYLP 2\plaque 1/@08 TriphenylP 0.18/B8_02.tif </t>
  </si>
  <si>
    <t xml:space="preserve"> 68.1519 </t>
  </si>
  <si>
    <t>\\192.168.24.208\images\R&amp;D\Coralie\Triphenylphosphate\2021-CHG-CBA-TRIPHENYLP 2\plaque 1/@08 TriphenylP 0.18/B8_03- exclu.tif</t>
  </si>
  <si>
    <t xml:space="preserve">\\192.168.24.208\images\R&amp;D\Coralie\Triphenylphosphate\2021-CHG-CBA-TRIPHENYLP 2\plaque 1/@08 TriphenylP 0.18/C8_01.tif </t>
  </si>
  <si>
    <t xml:space="preserve"> 65.3393 </t>
  </si>
  <si>
    <t xml:space="preserve">\\192.168.24.208\images\R&amp;D\Coralie\Triphenylphosphate\2021-CHG-CBA-TRIPHENYLP 2\plaque 1/@08 TriphenylP 0.18/C8_02.tif </t>
  </si>
  <si>
    <t xml:space="preserve"> 62.7477 </t>
  </si>
  <si>
    <t xml:space="preserve">\\192.168.24.208\images\R&amp;D\Coralie\Triphenylphosphate\2021-CHG-CBA-TRIPHENYLP 2\plaque 1/@08 TriphenylP 0.18/C8_03.tif </t>
  </si>
  <si>
    <t xml:space="preserve"> 6943.1962 </t>
  </si>
  <si>
    <t xml:space="preserve"> 65.8224 </t>
  </si>
  <si>
    <t xml:space="preserve">\\192.168.24.208\images\R&amp;D\Coralie\Triphenylphosphate\2021-CHG-CBA-TRIPHENYLP 2\plaque 1/@08 TriphenylP 0.18/D8_01.tif </t>
  </si>
  <si>
    <t xml:space="preserve"> 4974.8758 </t>
  </si>
  <si>
    <t xml:space="preserve"> 68.8217 </t>
  </si>
  <si>
    <t xml:space="preserve">\\192.168.24.208\images\R&amp;D\Coralie\Triphenylphosphate\2021-CHG-CBA-TRIPHENYLP 2\plaque 1/@08 TriphenylP 0.18/D8_02.tif </t>
  </si>
  <si>
    <t xml:space="preserve"> 71.0508 </t>
  </si>
  <si>
    <t xml:space="preserve">\\192.168.24.208\images\R&amp;D\Coralie\Triphenylphosphate\2021-CHG-CBA-TRIPHENYLP 2\plaque 1/@08 TriphenylP 0.18/D8_03.tif </t>
  </si>
  <si>
    <t xml:space="preserve"> 67.4636 </t>
  </si>
  <si>
    <t xml:space="preserve">\\192.168.24.208\images\R&amp;D\Coralie\Triphenylphosphate\2021-CHG-CBA-TRIPHENYLP 2\plaque 1/@08 TriphenylP 0.18/E8_01.tif </t>
  </si>
  <si>
    <t xml:space="preserve"> 4909.9861 </t>
  </si>
  <si>
    <t xml:space="preserve"> 72.5507 </t>
  </si>
  <si>
    <t xml:space="preserve">\\192.168.24.208\images\R&amp;D\Coralie\Triphenylphosphate\2021-CHG-CBA-TRIPHENYLP 2\plaque 1/@08 TriphenylP 0.18/E8_02.tif </t>
  </si>
  <si>
    <t xml:space="preserve"> 5818.4417 </t>
  </si>
  <si>
    <t xml:space="preserve"> 71.0446 </t>
  </si>
  <si>
    <t xml:space="preserve">\\192.168.24.208\images\R&amp;D\Coralie\Triphenylphosphate\2021-CHG-CBA-TRIPHENYLP 2\plaque 1/@08 TriphenylP 0.18/E8_03.tif </t>
  </si>
  <si>
    <t xml:space="preserve"> 67.1277 </t>
  </si>
  <si>
    <t xml:space="preserve">\\192.168.24.208\images\R&amp;D\Coralie\Triphenylphosphate\2021-CHG-CBA-TRIPHENYLP 2\plaque 1/@08 TriphenylP 0.18/F8_01.tif </t>
  </si>
  <si>
    <t xml:space="preserve"> 64.984 </t>
  </si>
  <si>
    <t xml:space="preserve">\\192.168.24.208\images\R&amp;D\Coralie\Triphenylphosphate\2021-CHG-CBA-TRIPHENYLP 2\plaque 1/@08 TriphenylP 0.18/F8_02.tif </t>
  </si>
  <si>
    <t xml:space="preserve"> 64.8551 </t>
  </si>
  <si>
    <t xml:space="preserve">\\192.168.24.208\images\R&amp;D\Coralie\Triphenylphosphate\2021-CHG-CBA-TRIPHENYLP 2\plaque 1/@08 TriphenylP 0.18/F8_03.tif </t>
  </si>
  <si>
    <t xml:space="preserve"> 11939.7018 </t>
  </si>
  <si>
    <t xml:space="preserve"> 66.6902 </t>
  </si>
  <si>
    <t xml:space="preserve">\\192.168.24.208\images\R&amp;D\Coralie\Triphenylphosphate\2021-CHG-CBA-TRIPHENYLP 2\plaque 1/@08 TriphenylP 0.18/G8_01.tif </t>
  </si>
  <si>
    <t xml:space="preserve"> 67.5187 </t>
  </si>
  <si>
    <t xml:space="preserve">\\192.168.24.208\images\R&amp;D\Coralie\Triphenylphosphate\2021-CHG-CBA-TRIPHENYLP 2\plaque 1/@08 TriphenylP 0.18/G8_02.tif </t>
  </si>
  <si>
    <t xml:space="preserve"> 66.5367 </t>
  </si>
  <si>
    <t xml:space="preserve">\\192.168.24.208\images\R&amp;D\Coralie\Triphenylphosphate\2021-CHG-CBA-TRIPHENYLP 2\plaque 1/@08 TriphenylP 0.18/G8_03.tif </t>
  </si>
  <si>
    <t xml:space="preserve"> 11507.1039 </t>
  </si>
  <si>
    <t xml:space="preserve"> 67.7594 </t>
  </si>
  <si>
    <t xml:space="preserve">\\192.168.24.208\images\R&amp;D\Coralie\Triphenylphosphate\2021-CHG-CBA-TRIPHENYLP 2\plaque 1/@08 TriphenylP 0.18/H8_01.tif </t>
  </si>
  <si>
    <t xml:space="preserve"> 6034.7406 </t>
  </si>
  <si>
    <t xml:space="preserve"> 69.4301 </t>
  </si>
  <si>
    <t xml:space="preserve">\\192.168.24.208\images\R&amp;D\Coralie\Triphenylphosphate\2021-CHG-CBA-TRIPHENYLP 2\plaque 1/@08 TriphenylP 0.18/H8_02.tif </t>
  </si>
  <si>
    <t xml:space="preserve"> 5429.1036 </t>
  </si>
  <si>
    <t xml:space="preserve"> 69.1235 </t>
  </si>
  <si>
    <t xml:space="preserve">\\192.168.24.208\images\R&amp;D\Coralie\Triphenylphosphate\2021-CHG-CBA-TRIPHENYLP 2\plaque 1/@08 TriphenylP 0.18/H8_03.tif </t>
  </si>
  <si>
    <t xml:space="preserve"> 63.5556 </t>
  </si>
  <si>
    <t xml:space="preserve">\\192.168.24.208\images\R&amp;D\Coralie\Triphenylphosphate\2021-CHG-CBA-TRIPHENYLP 2\plaque 1/@08 TriphenylP 0.18/ </t>
  </si>
  <si>
    <t xml:space="preserve"> 67.191 </t>
  </si>
  <si>
    <t xml:space="preserve"> 2.4869 </t>
  </si>
  <si>
    <t xml:space="preserve"> 405947.167 </t>
  </si>
  <si>
    <t xml:space="preserve"> 211196.019 </t>
  </si>
  <si>
    <t>\\192.168.24.208\images\R&amp;D\Coralie\Triphenylphosphate\2021-CHG-CBA-TRIPHENYLP 2\plaque 1/@09 TriphenylP 0.26/A9_01- exclu.tif</t>
  </si>
  <si>
    <t>\\192.168.24.208\images\R&amp;D\Coralie\Triphenylphosphate\2021-CHG-CBA-TRIPHENYLP 2\plaque 1/@09 TriphenylP 0.26/A9_02- exclu.tif</t>
  </si>
  <si>
    <t>\\192.168.24.208\images\R&amp;D\Coralie\Triphenylphosphate\2021-CHG-CBA-TRIPHENYLP 2\plaque 1/@09 TriphenylP 0.26/A9_03- exclu.tif</t>
  </si>
  <si>
    <t xml:space="preserve">\\192.168.24.208\images\R&amp;D\Coralie\Triphenylphosphate\2021-CHG-CBA-TRIPHENYLP 2\plaque 1/@09 TriphenylP 0.26/B9_01.tif </t>
  </si>
  <si>
    <t xml:space="preserve"> 63.7273 </t>
  </si>
  <si>
    <t xml:space="preserve">\\192.168.24.208\images\R&amp;D\Coralie\Triphenylphosphate\2021-CHG-CBA-TRIPHENYLP 2\plaque 1/@09 TriphenylP 0.26/B9_02.tif </t>
  </si>
  <si>
    <t xml:space="preserve">\\192.168.24.208\images\R&amp;D\Coralie\Triphenylphosphate\2021-CHG-CBA-TRIPHENYLP 2\plaque 1/@09 TriphenylP 0.26/B9_03.tif </t>
  </si>
  <si>
    <t xml:space="preserve">\\192.168.24.208\images\R&amp;D\Coralie\Triphenylphosphate\2021-CHG-CBA-TRIPHENYLP 2\plaque 1/@09 TriphenylP 0.26/C9_01.tif </t>
  </si>
  <si>
    <t xml:space="preserve"> 8154.4703 </t>
  </si>
  <si>
    <t xml:space="preserve"> 66.3793 </t>
  </si>
  <si>
    <t xml:space="preserve">\\192.168.24.208\images\R&amp;D\Coralie\Triphenylphosphate\2021-CHG-CBA-TRIPHENYLP 2\plaque 1/@09 TriphenylP 0.26/C9_02.tif </t>
  </si>
  <si>
    <t xml:space="preserve"> 72.0937 </t>
  </si>
  <si>
    <t xml:space="preserve">\\192.168.24.208\images\R&amp;D\Coralie\Triphenylphosphate\2021-CHG-CBA-TRIPHENYLP 2\plaque 1/@09 TriphenylP 0.26/C9_03.tif </t>
  </si>
  <si>
    <t xml:space="preserve"> 12393.9296 </t>
  </si>
  <si>
    <t xml:space="preserve"> 74.4782 </t>
  </si>
  <si>
    <t xml:space="preserve">\\192.168.24.208\images\R&amp;D\Coralie\Triphenylphosphate\2021-CHG-CBA-TRIPHENYLP 2\plaque 1/@09 TriphenylP 0.26/D9_01.tif </t>
  </si>
  <si>
    <t xml:space="preserve"> 4347.6088 </t>
  </si>
  <si>
    <t xml:space="preserve"> 76.791 </t>
  </si>
  <si>
    <t>\\192.168.24.208\images\R&amp;D\Coralie\Triphenylphosphate\2021-CHG-CBA-TRIPHENYLP 2\plaque 1/@09 TriphenylP 0.26/D9_02- exclu.tif</t>
  </si>
  <si>
    <t xml:space="preserve">\\192.168.24.208\images\R&amp;D\Coralie\Triphenylphosphate\2021-CHG-CBA-TRIPHENYLP 2\plaque 1/@09 TriphenylP 0.26/D9_03.tif </t>
  </si>
  <si>
    <t xml:space="preserve"> 1470.8328 </t>
  </si>
  <si>
    <t xml:space="preserve"> 64.6765 </t>
  </si>
  <si>
    <t xml:space="preserve">\\192.168.24.208\images\R&amp;D\Coralie\Triphenylphosphate\2021-CHG-CBA-TRIPHENYLP 2\plaque 1/@09 TriphenylP 0.26/E9_01.tif </t>
  </si>
  <si>
    <t xml:space="preserve">\\192.168.24.208\images\R&amp;D\Coralie\Triphenylphosphate\2021-CHG-CBA-TRIPHENYLP 2\plaque 1/@09 TriphenylP 0.26/E9_02.tif </t>
  </si>
  <si>
    <t xml:space="preserve"> 63.4394 </t>
  </si>
  <si>
    <t xml:space="preserve">\\192.168.24.208\images\R&amp;D\Coralie\Triphenylphosphate\2021-CHG-CBA-TRIPHENYLP 2\plaque 1/@09 TriphenylP 0.26/E9_03.tif </t>
  </si>
  <si>
    <t xml:space="preserve"> 1492.4627 </t>
  </si>
  <si>
    <t xml:space="preserve"> 63.3913 </t>
  </si>
  <si>
    <t xml:space="preserve">\\192.168.24.208\images\R&amp;D\Coralie\Triphenylphosphate\2021-CHG-CBA-TRIPHENYLP 2\plaque 1/@09 TriphenylP 0.26/F9_01.tif </t>
  </si>
  <si>
    <t xml:space="preserve"> 64.9456 </t>
  </si>
  <si>
    <t xml:space="preserve">\\192.168.24.208\images\R&amp;D\Coralie\Triphenylphosphate\2021-CHG-CBA-TRIPHENYLP 2\plaque 1/@09 TriphenylP 0.26/F9_02.tif </t>
  </si>
  <si>
    <t xml:space="preserve"> 2876.776 </t>
  </si>
  <si>
    <t xml:space="preserve"> 65.2256 </t>
  </si>
  <si>
    <t>\\192.168.24.208\images\R&amp;D\Coralie\Triphenylphosphate\2021-CHG-CBA-TRIPHENYLP 2\plaque 1/@09 TriphenylP 0.26/F9_03- exclu.tif</t>
  </si>
  <si>
    <t xml:space="preserve">\\192.168.24.208\images\R&amp;D\Coralie\Triphenylphosphate\2021-CHG-CBA-TRIPHENYLP 2\plaque 1/@09 TriphenylP 0.26/G9_01.tif </t>
  </si>
  <si>
    <t xml:space="preserve"> 66.0969 </t>
  </si>
  <si>
    <t xml:space="preserve">\\192.168.24.208\images\R&amp;D\Coralie\Triphenylphosphate\2021-CHG-CBA-TRIPHENYLP 2\plaque 1/@09 TriphenylP 0.26/G9_02.tif </t>
  </si>
  <si>
    <t xml:space="preserve"> 5039.7654 </t>
  </si>
  <si>
    <t xml:space="preserve"> 65.5236 </t>
  </si>
  <si>
    <t xml:space="preserve">\\192.168.24.208\images\R&amp;D\Coralie\Triphenylphosphate\2021-CHG-CBA-TRIPHENYLP 2\plaque 1/@09 TriphenylP 0.26/G9_03.tif </t>
  </si>
  <si>
    <t xml:space="preserve"> 65.6331 </t>
  </si>
  <si>
    <t xml:space="preserve">\\192.168.24.208\images\R&amp;D\Coralie\Triphenylphosphate\2021-CHG-CBA-TRIPHENYLP 2\plaque 1/@09 TriphenylP 0.26/H9_01.tif </t>
  </si>
  <si>
    <t xml:space="preserve"> 66.9931 </t>
  </si>
  <si>
    <t>\\192.168.24.208\images\R&amp;D\Coralie\Triphenylphosphate\2021-CHG-CBA-TRIPHENYLP 2\plaque 1/@09 TriphenylP 0.26/H9_02- exclu.tif</t>
  </si>
  <si>
    <t xml:space="preserve">\\192.168.24.208\images\R&amp;D\Coralie\Triphenylphosphate\2021-CHG-CBA-TRIPHENYLP 2\plaque 1/@09 TriphenylP 0.26/H9_03.tif </t>
  </si>
  <si>
    <t xml:space="preserve"> 63.427 </t>
  </si>
  <si>
    <t xml:space="preserve">\\192.168.24.208\images\R&amp;D\Coralie\Triphenylphosphate\2021-CHG-CBA-TRIPHENYLP 2\plaque 1/@09 TriphenylP 0.26/ </t>
  </si>
  <si>
    <t xml:space="preserve"> 66.4067 </t>
  </si>
  <si>
    <t xml:space="preserve"> 3.8408 </t>
  </si>
  <si>
    <t xml:space="preserve"> 302327.208 </t>
  </si>
  <si>
    <t xml:space="preserve"> 259701.961 </t>
  </si>
  <si>
    <t xml:space="preserve">\\192.168.24.208\images\R&amp;D\Coralie\Triphenylphosphate\2021-CHG-CBA-TRIPHENYLP 2\plaque 1/@10 TriphenylP 0.4/A10_01.tif </t>
  </si>
  <si>
    <t xml:space="preserve"> 3093.0749 </t>
  </si>
  <si>
    <t xml:space="preserve"> 65.986 </t>
  </si>
  <si>
    <t>\\192.168.24.208\images\R&amp;D\Coralie\Triphenylphosphate\2021-CHG-CBA-TRIPHENYLP 2\plaque 1/@10 TriphenylP 0.4/A10_02- exclu.tif</t>
  </si>
  <si>
    <t xml:space="preserve">\\192.168.24.208\images\R&amp;D\Coralie\Triphenylphosphate\2021-CHG-CBA-TRIPHENYLP 2\plaque 1/@10 TriphenylP 0.4/A10_03.tif </t>
  </si>
  <si>
    <t xml:space="preserve"> 1103.1246 </t>
  </si>
  <si>
    <t xml:space="preserve"> 64.1373 </t>
  </si>
  <si>
    <t xml:space="preserve">\\192.168.24.208\images\R&amp;D\Coralie\Triphenylphosphate\2021-CHG-CBA-TRIPHENYLP 2\plaque 1/@10 TriphenylP 0.4/B10_01.tif </t>
  </si>
  <si>
    <t xml:space="preserve"> 3915.0109 </t>
  </si>
  <si>
    <t xml:space="preserve"> 64.989 </t>
  </si>
  <si>
    <t xml:space="preserve">\\192.168.24.208\images\R&amp;D\Coralie\Triphenylphosphate\2021-CHG-CBA-TRIPHENYLP 2\plaque 1/@10 TriphenylP 0.4/B10_02.tif </t>
  </si>
  <si>
    <t xml:space="preserve"> 4542.2779 </t>
  </si>
  <si>
    <t xml:space="preserve"> 64.6905 </t>
  </si>
  <si>
    <t xml:space="preserve">\\192.168.24.208\images\R&amp;D\Coralie\Triphenylphosphate\2021-CHG-CBA-TRIPHENYLP 2\plaque 1/@10 TriphenylP 0.4/B10_03.tif </t>
  </si>
  <si>
    <t xml:space="preserve"> 65.7358 </t>
  </si>
  <si>
    <t xml:space="preserve">\\192.168.24.208\images\R&amp;D\Coralie\Triphenylphosphate\2021-CHG-CBA-TRIPHENYLP 2\plaque 1/@10 TriphenylP 0.4/C10_01.tif </t>
  </si>
  <si>
    <t xml:space="preserve"> 3850.1212 </t>
  </si>
  <si>
    <t xml:space="preserve"> 67.0056 </t>
  </si>
  <si>
    <t xml:space="preserve">\\192.168.24.208\images\R&amp;D\Coralie\Triphenylphosphate\2021-CHG-CBA-TRIPHENYLP 2\plaque 1/@10 TriphenylP 0.4/C10_02.tif </t>
  </si>
  <si>
    <t xml:space="preserve"> 3698.712 </t>
  </si>
  <si>
    <t xml:space="preserve"> 68.0409 </t>
  </si>
  <si>
    <t xml:space="preserve">\\192.168.24.208\images\R&amp;D\Coralie\Triphenylphosphate\2021-CHG-CBA-TRIPHENYLP 2\plaque 1/@10 TriphenylP 0.4/C10_03.tif </t>
  </si>
  <si>
    <t xml:space="preserve"> 63.3529 </t>
  </si>
  <si>
    <t xml:space="preserve">\\192.168.24.208\images\R&amp;D\Coralie\Triphenylphosphate\2021-CHG-CBA-TRIPHENYLP 2\plaque 1/@10 TriphenylP 0.4/D10_01.tif </t>
  </si>
  <si>
    <t xml:space="preserve"> 65.6949 </t>
  </si>
  <si>
    <t xml:space="preserve">\\192.168.24.208\images\R&amp;D\Coralie\Triphenylphosphate\2021-CHG-CBA-TRIPHENYLP 2\plaque 1/@10 TriphenylP 0.4/D10_02.tif </t>
  </si>
  <si>
    <t xml:space="preserve"> 64.1393 </t>
  </si>
  <si>
    <t xml:space="preserve">\\192.168.24.208\images\R&amp;D\Coralie\Triphenylphosphate\2021-CHG-CBA-TRIPHENYLP 2\plaque 1/@10 TriphenylP 0.4/D10_03.tif </t>
  </si>
  <si>
    <t xml:space="preserve"> 64.8071 </t>
  </si>
  <si>
    <t xml:space="preserve">\\192.168.24.208\images\R&amp;D\Coralie\Triphenylphosphate\2021-CHG-CBA-TRIPHENYLP 2\plaque 1/@10 TriphenylP 0.4/E10_01.tif </t>
  </si>
  <si>
    <t xml:space="preserve"> 66.7892 </t>
  </si>
  <si>
    <t xml:space="preserve">\\192.168.24.208\images\R&amp;D\Coralie\Triphenylphosphate\2021-CHG-CBA-TRIPHENYLP 2\plaque 1/@10 TriphenylP 0.4/E10_02.tif </t>
  </si>
  <si>
    <t xml:space="preserve"> 9322.4846 </t>
  </si>
  <si>
    <t xml:space="preserve"> 66.3039 </t>
  </si>
  <si>
    <t xml:space="preserve">\\192.168.24.208\images\R&amp;D\Coralie\Triphenylphosphate\2021-CHG-CBA-TRIPHENYLP 2\plaque 1/@10 TriphenylP 0.4/E10_03.tif </t>
  </si>
  <si>
    <t xml:space="preserve"> 8197.7301 </t>
  </si>
  <si>
    <t xml:space="preserve"> 65.5462 </t>
  </si>
  <si>
    <t xml:space="preserve">\\192.168.24.208\images\R&amp;D\Coralie\Triphenylphosphate\2021-CHG-CBA-TRIPHENYLP 2\plaque 1/@10 TriphenylP 0.4/F10_01.tif </t>
  </si>
  <si>
    <t xml:space="preserve"> 5602.1427 </t>
  </si>
  <si>
    <t xml:space="preserve"> 64.8919 </t>
  </si>
  <si>
    <t xml:space="preserve">\\192.168.24.208\images\R&amp;D\Coralie\Triphenylphosphate\2021-CHG-CBA-TRIPHENYLP 2\plaque 1/@10 TriphenylP 0.4/F10_02.tif </t>
  </si>
  <si>
    <t xml:space="preserve"> 2465.808 </t>
  </si>
  <si>
    <t xml:space="preserve"> 64.7982 </t>
  </si>
  <si>
    <t xml:space="preserve">\\192.168.24.208\images\R&amp;D\Coralie\Triphenylphosphate\2021-CHG-CBA-TRIPHENYLP 2\plaque 1/@10 TriphenylP 0.4/F10_03.tif </t>
  </si>
  <si>
    <t xml:space="preserve"> 66.1196 </t>
  </si>
  <si>
    <t xml:space="preserve">\\192.168.24.208\images\R&amp;D\Coralie\Triphenylphosphate\2021-CHG-CBA-TRIPHENYLP 2\plaque 1/@10 TriphenylP 0.4/G10_01.tif </t>
  </si>
  <si>
    <t xml:space="preserve"> 65.6469 </t>
  </si>
  <si>
    <t xml:space="preserve">\\192.168.24.208\images\R&amp;D\Coralie\Triphenylphosphate\2021-CHG-CBA-TRIPHENYLP 2\plaque 1/@10 TriphenylP 0.4/G10_02.tif </t>
  </si>
  <si>
    <t xml:space="preserve"> 13670.0934 </t>
  </si>
  <si>
    <t xml:space="preserve"> 68.0902 </t>
  </si>
  <si>
    <t xml:space="preserve">\\192.168.24.208\images\R&amp;D\Coralie\Triphenylphosphate\2021-CHG-CBA-TRIPHENYLP 2\plaque 1/@10 TriphenylP 0.4/G10_03.tif </t>
  </si>
  <si>
    <t xml:space="preserve"> 11074.506 </t>
  </si>
  <si>
    <t xml:space="preserve"> 66.1758 </t>
  </si>
  <si>
    <t xml:space="preserve">\\192.168.24.208\images\R&amp;D\Coralie\Triphenylphosphate\2021-CHG-CBA-TRIPHENYLP 2\plaque 1/@10 TriphenylP 0.4/H10_01.tif </t>
  </si>
  <si>
    <t xml:space="preserve"> 66.5103 </t>
  </si>
  <si>
    <t xml:space="preserve">\\192.168.24.208\images\R&amp;D\Coralie\Triphenylphosphate\2021-CHG-CBA-TRIPHENYLP 2\plaque 1/@10 TriphenylP 0.4/H10_02.tif </t>
  </si>
  <si>
    <t xml:space="preserve"> 11809.9225 </t>
  </si>
  <si>
    <t xml:space="preserve"> 66.2619 </t>
  </si>
  <si>
    <t xml:space="preserve">\\192.168.24.208\images\R&amp;D\Coralie\Triphenylphosphate\2021-CHG-CBA-TRIPHENYLP 2\plaque 1/@10 TriphenylP 0.4/H10_03.tif </t>
  </si>
  <si>
    <t xml:space="preserve"> 11312.4349 </t>
  </si>
  <si>
    <t xml:space="preserve"> 66.7801 </t>
  </si>
  <si>
    <t xml:space="preserve">\\192.168.24.208\images\R&amp;D\Coralie\Triphenylphosphate\2021-CHG-CBA-TRIPHENYLP 2\plaque 1/@10 TriphenylP 0.4/ </t>
  </si>
  <si>
    <t xml:space="preserve"> 65.6372 </t>
  </si>
  <si>
    <t xml:space="preserve"> 1.312 </t>
  </si>
  <si>
    <t xml:space="preserve"> 281669.841 </t>
  </si>
  <si>
    <t xml:space="preserve">\\192.168.24.208\images\R&amp;D\Coralie\Triphenylphosphate\2021-CHG-CBA-TRIPHENYLP 2\plaque 1/@11 TriphenylP 0.59/A11_01.tif </t>
  </si>
  <si>
    <t xml:space="preserve"> 63.7778 </t>
  </si>
  <si>
    <t xml:space="preserve">\\192.168.24.208\images\R&amp;D\Coralie\Triphenylphosphate\2021-CHG-CBA-TRIPHENYLP 2\plaque 1/@11 TriphenylP 0.59/A11_02.tif </t>
  </si>
  <si>
    <t xml:space="preserve"> 7916.5414 </t>
  </si>
  <si>
    <t xml:space="preserve"> 66.8005 </t>
  </si>
  <si>
    <t xml:space="preserve">\\192.168.24.208\images\R&amp;D\Coralie\Triphenylphosphate\2021-CHG-CBA-TRIPHENYLP 2\plaque 1/@11 TriphenylP 0.59/A11_03.tif </t>
  </si>
  <si>
    <t xml:space="preserve"> 7830.0219 </t>
  </si>
  <si>
    <t xml:space="preserve"> 67.163 </t>
  </si>
  <si>
    <t xml:space="preserve">\\192.168.24.208\images\R&amp;D\Coralie\Triphenylphosphate\2021-CHG-CBA-TRIPHENYLP 2\plaque 1/@11 TriphenylP 0.59/B11_01.tif </t>
  </si>
  <si>
    <t xml:space="preserve"> 4282.7191 </t>
  </si>
  <si>
    <t xml:space="preserve"> 64.4343 </t>
  </si>
  <si>
    <t xml:space="preserve">\\192.168.24.208\images\R&amp;D\Coralie\Triphenylphosphate\2021-CHG-CBA-TRIPHENYLP 2\plaque 1/@11 TriphenylP 0.59/B11_02.tif </t>
  </si>
  <si>
    <t xml:space="preserve"> 64.6984 </t>
  </si>
  <si>
    <t xml:space="preserve">\\192.168.24.208\images\R&amp;D\Coralie\Triphenylphosphate\2021-CHG-CBA-TRIPHENYLP 2\plaque 1/@11 TriphenylP 0.59/B11_03.tif </t>
  </si>
  <si>
    <t xml:space="preserve"> 6359.189 </t>
  </si>
  <si>
    <t xml:space="preserve"> 64.398 </t>
  </si>
  <si>
    <t xml:space="preserve">\\192.168.24.208\images\R&amp;D\Coralie\Triphenylphosphate\2021-CHG-CBA-TRIPHENYLP 2\plaque 1/@11 TriphenylP 0.59/C11_01.tif </t>
  </si>
  <si>
    <t xml:space="preserve"> 5667.0324 </t>
  </si>
  <si>
    <t xml:space="preserve"> 65.3168 </t>
  </si>
  <si>
    <t xml:space="preserve">\\192.168.24.208\images\R&amp;D\Coralie\Triphenylphosphate\2021-CHG-CBA-TRIPHENYLP 2\plaque 1/@11 TriphenylP 0.59/C11_02.tif </t>
  </si>
  <si>
    <t xml:space="preserve"> 4585.5377 </t>
  </si>
  <si>
    <t xml:space="preserve"> 65.5708 </t>
  </si>
  <si>
    <t xml:space="preserve">\\192.168.24.208\images\R&amp;D\Coralie\Triphenylphosphate\2021-CHG-CBA-TRIPHENYLP 2\plaque 1/@11 TriphenylP 0.59/C11_03.tif </t>
  </si>
  <si>
    <t xml:space="preserve"> 64.1689 </t>
  </si>
  <si>
    <t xml:space="preserve">\\192.168.24.208\images\R&amp;D\Coralie\Triphenylphosphate\2021-CHG-CBA-TRIPHENYLP 2\plaque 1/@11 TriphenylP 0.59/D11_01.tif </t>
  </si>
  <si>
    <t xml:space="preserve"> 66.2836 </t>
  </si>
  <si>
    <t>\\192.168.24.208\images\R&amp;D\Coralie\Triphenylphosphate\2021-CHG-CBA-TRIPHENYLP 2\plaque 1/@11 TriphenylP 0.59/D11_02- exclu.tif</t>
  </si>
  <si>
    <t xml:space="preserve">\\192.168.24.208\images\R&amp;D\Coralie\Triphenylphosphate\2021-CHG-CBA-TRIPHENYLP 2\plaque 1/@11 TriphenylP 0.59/D11_03.tif </t>
  </si>
  <si>
    <t xml:space="preserve"> 18774.7485 </t>
  </si>
  <si>
    <t xml:space="preserve"> 64.7811 </t>
  </si>
  <si>
    <t xml:space="preserve">\\192.168.24.208\images\R&amp;D\Coralie\Triphenylphosphate\2021-CHG-CBA-TRIPHENYLP 2\plaque 1/@11 TriphenylP 0.59/E11_01.tif </t>
  </si>
  <si>
    <t xml:space="preserve"> 7246.0147 </t>
  </si>
  <si>
    <t xml:space="preserve"> 74.6806 </t>
  </si>
  <si>
    <t xml:space="preserve">\\192.168.24.208\images\R&amp;D\Coralie\Triphenylphosphate\2021-CHG-CBA-TRIPHENYLP 2\plaque 1/@11 TriphenylP 0.59/E11_02.tif </t>
  </si>
  <si>
    <t xml:space="preserve"> 12415.5595 </t>
  </si>
  <si>
    <t xml:space="preserve"> 72.4077 </t>
  </si>
  <si>
    <t xml:space="preserve">\\192.168.24.208\images\R&amp;D\Coralie\Triphenylphosphate\2021-CHG-CBA-TRIPHENYLP 2\plaque 1/@11 TriphenylP 0.59/E11_03.tif </t>
  </si>
  <si>
    <t xml:space="preserve"> 8695.2176 </t>
  </si>
  <si>
    <t xml:space="preserve"> 72.5423 </t>
  </si>
  <si>
    <t xml:space="preserve">\\192.168.24.208\images\R&amp;D\Coralie\Triphenylphosphate\2021-CHG-CBA-TRIPHENYLP 2\plaque 1/@11 TriphenylP 0.59/F11_01.tif </t>
  </si>
  <si>
    <t xml:space="preserve"> 63.8378 </t>
  </si>
  <si>
    <t xml:space="preserve">\\192.168.24.208\images\R&amp;D\Coralie\Triphenylphosphate\2021-CHG-CBA-TRIPHENYLP 2\plaque 1/@11 TriphenylP 0.59/F11_02.tif </t>
  </si>
  <si>
    <t xml:space="preserve"> 65.425 </t>
  </si>
  <si>
    <t xml:space="preserve">\\192.168.24.208\images\R&amp;D\Coralie\Triphenylphosphate\2021-CHG-CBA-TRIPHENYLP 2\plaque 1/@11 TriphenylP 0.59/F11_03.tif </t>
  </si>
  <si>
    <t xml:space="preserve"> 237.9288 </t>
  </si>
  <si>
    <t xml:space="preserve"> 64.6364 </t>
  </si>
  <si>
    <t xml:space="preserve">\\192.168.24.208\images\R&amp;D\Coralie\Triphenylphosphate\2021-CHG-CBA-TRIPHENYLP 2\plaque 1/@11 TriphenylP 0.59/G11_01.tif </t>
  </si>
  <si>
    <t xml:space="preserve"> 67.9959 </t>
  </si>
  <si>
    <t xml:space="preserve">\\192.168.24.208\images\R&amp;D\Coralie\Triphenylphosphate\2021-CHG-CBA-TRIPHENYLP 2\plaque 1/@11 TriphenylP 0.59/G11_02.tif </t>
  </si>
  <si>
    <t xml:space="preserve"> 7483.9435 </t>
  </si>
  <si>
    <t xml:space="preserve"> 68.4855 </t>
  </si>
  <si>
    <t xml:space="preserve">\\192.168.24.208\images\R&amp;D\Coralie\Triphenylphosphate\2021-CHG-CBA-TRIPHENYLP 2\plaque 1/@11 TriphenylP 0.59/G11_03.tif </t>
  </si>
  <si>
    <t xml:space="preserve"> 10295.8298 </t>
  </si>
  <si>
    <t xml:space="preserve"> 67.2563 </t>
  </si>
  <si>
    <t xml:space="preserve">\\192.168.24.208\images\R&amp;D\Coralie\Triphenylphosphate\2021-CHG-CBA-TRIPHENYLP 2\plaque 1/@11 TriphenylP 0.59/H11_01.tif </t>
  </si>
  <si>
    <t xml:space="preserve"> 35429.7674 </t>
  </si>
  <si>
    <t xml:space="preserve"> 65.8779 </t>
  </si>
  <si>
    <t xml:space="preserve">\\192.168.24.208\images\R&amp;D\Coralie\Triphenylphosphate\2021-CHG-CBA-TRIPHENYLP 2\plaque 1/@11 TriphenylP 0.59/H11_02.tif </t>
  </si>
  <si>
    <t xml:space="preserve"> 23706.3645 </t>
  </si>
  <si>
    <t xml:space="preserve"> 64.7254 </t>
  </si>
  <si>
    <t xml:space="preserve">\\192.168.24.208\images\R&amp;D\Coralie\Triphenylphosphate\2021-CHG-CBA-TRIPHENYLP 2\plaque 1/@11 TriphenylP 0.59/H11_03.tif </t>
  </si>
  <si>
    <t xml:space="preserve"> 20678.1793 </t>
  </si>
  <si>
    <t xml:space="preserve"> 65.3295 </t>
  </si>
  <si>
    <t xml:space="preserve">\\192.168.24.208\images\R&amp;D\Coralie\Triphenylphosphate\2021-CHG-CBA-TRIPHENYLP 2\plaque 1/@11 TriphenylP 0.59/ </t>
  </si>
  <si>
    <t xml:space="preserve"> 66.5249 </t>
  </si>
  <si>
    <t xml:space="preserve"> 2.8931 </t>
  </si>
  <si>
    <t xml:space="preserve"> 695936.458 </t>
  </si>
  <si>
    <t xml:space="preserve">\\192.168.24.208\images\R&amp;D\Coralie\Triphenylphosphate\2021-CHG-CBA-TRIPHENYLP 2\plaque 1/@12 TriphenylP 0.89/A12_01.tif </t>
  </si>
  <si>
    <t xml:space="preserve"> 74969.2148 </t>
  </si>
  <si>
    <t xml:space="preserve"> 70.341 </t>
  </si>
  <si>
    <t xml:space="preserve">\\192.168.24.208\images\R&amp;D\Coralie\Triphenylphosphate\2021-CHG-CBA-TRIPHENYLP 2\plaque 1/@12 TriphenylP 0.89/A12_02.tif </t>
  </si>
  <si>
    <t xml:space="preserve"> 70405.307 </t>
  </si>
  <si>
    <t xml:space="preserve"> 69.5954 </t>
  </si>
  <si>
    <t xml:space="preserve">\\192.168.24.208\images\R&amp;D\Coralie\Triphenylphosphate\2021-CHG-CBA-TRIPHENYLP 2\plaque 1/@12 TriphenylP 0.89/A12_03.tif </t>
  </si>
  <si>
    <t xml:space="preserve"> 78019.0299 </t>
  </si>
  <si>
    <t xml:space="preserve"> 72.3648 </t>
  </si>
  <si>
    <t xml:space="preserve">\\192.168.24.208\images\R&amp;D\Coralie\Triphenylphosphate\2021-CHG-CBA-TRIPHENYLP 2\plaque 1/@12 TriphenylP 0.89/B12_01.tif </t>
  </si>
  <si>
    <t xml:space="preserve"> 69.2582 </t>
  </si>
  <si>
    <t xml:space="preserve">\\192.168.24.208\images\R&amp;D\Coralie\Triphenylphosphate\2021-CHG-CBA-TRIPHENYLP 2\plaque 1/@12 TriphenylP 0.89/B12_02.tif </t>
  </si>
  <si>
    <t xml:space="preserve"> 16006.122 </t>
  </si>
  <si>
    <t xml:space="preserve"> 66.8514 </t>
  </si>
  <si>
    <t xml:space="preserve">\\192.168.24.208\images\R&amp;D\Coralie\Triphenylphosphate\2021-CHG-CBA-TRIPHENYLP 2\plaque 1/@12 TriphenylP 0.89/B12_03.tif </t>
  </si>
  <si>
    <t xml:space="preserve"> 12372.2997 </t>
  </si>
  <si>
    <t xml:space="preserve"> 66.3357 </t>
  </si>
  <si>
    <t xml:space="preserve">\\192.168.24.208\images\R&amp;D\Coralie\Triphenylphosphate\2021-CHG-CBA-TRIPHENYLP 2\plaque 1/@12 TriphenylP 0.89/C12_01.tif </t>
  </si>
  <si>
    <t xml:space="preserve"> 32899.0697 </t>
  </si>
  <si>
    <t xml:space="preserve"> 70.858 </t>
  </si>
  <si>
    <t xml:space="preserve">\\192.168.24.208\images\R&amp;D\Coralie\Triphenylphosphate\2021-CHG-CBA-TRIPHENYLP 2\plaque 1/@12 TriphenylP 0.89/C12_02.tif </t>
  </si>
  <si>
    <t xml:space="preserve"> 25047.418 </t>
  </si>
  <si>
    <t xml:space="preserve"> 72.525 </t>
  </si>
  <si>
    <t xml:space="preserve">\\192.168.24.208\images\R&amp;D\Coralie\Triphenylphosphate\2021-CHG-CBA-TRIPHENYLP 2\plaque 1/@12 TriphenylP 0.89/C12_03.tif </t>
  </si>
  <si>
    <t xml:space="preserve"> 60780.0039 </t>
  </si>
  <si>
    <t xml:space="preserve"> 80.4082 </t>
  </si>
  <si>
    <t xml:space="preserve">\\192.168.24.208\images\R&amp;D\Coralie\Triphenylphosphate\2021-CHG-CBA-TRIPHENYLP 2\plaque 1/@12 TriphenylP 0.89/D12_01.tif </t>
  </si>
  <si>
    <t xml:space="preserve"> 37095.2693 </t>
  </si>
  <si>
    <t xml:space="preserve"> 67.7067 </t>
  </si>
  <si>
    <t xml:space="preserve">\\192.168.24.208\images\R&amp;D\Coralie\Triphenylphosphate\2021-CHG-CBA-TRIPHENYLP 2\plaque 1/@12 TriphenylP 0.89/D12_02.tif </t>
  </si>
  <si>
    <t xml:space="preserve"> 39907.1556 </t>
  </si>
  <si>
    <t xml:space="preserve"> 66.8938 </t>
  </si>
  <si>
    <t xml:space="preserve">\\192.168.24.208\images\R&amp;D\Coralie\Triphenylphosphate\2021-CHG-CBA-TRIPHENYLP 2\plaque 1/@12 TriphenylP 0.89/D12_03.tif </t>
  </si>
  <si>
    <t xml:space="preserve"> 68.9373 </t>
  </si>
  <si>
    <t xml:space="preserve">\\192.168.24.208\images\R&amp;D\Coralie\Triphenylphosphate\2021-CHG-CBA-TRIPHENYLP 2\plaque 1/@12 TriphenylP 0.89/E12_01.tif </t>
  </si>
  <si>
    <t xml:space="preserve"> 45292.9994 </t>
  </si>
  <si>
    <t xml:space="preserve"> 70.0998 </t>
  </si>
  <si>
    <t xml:space="preserve">\\192.168.24.208\images\R&amp;D\Coralie\Triphenylphosphate\2021-CHG-CBA-TRIPHENYLP 2\plaque 1/@12 TriphenylP 0.89/E12_02.tif </t>
  </si>
  <si>
    <t xml:space="preserve"> 37506.2373 </t>
  </si>
  <si>
    <t xml:space="preserve"> 68.6638 </t>
  </si>
  <si>
    <t xml:space="preserve">\\192.168.24.208\images\R&amp;D\Coralie\Triphenylphosphate\2021-CHG-CBA-TRIPHENYLP 2\plaque 1/@12 TriphenylP 0.89/E12_03.tif </t>
  </si>
  <si>
    <t xml:space="preserve"> 46871.9817 </t>
  </si>
  <si>
    <t xml:space="preserve"> 71.2404 </t>
  </si>
  <si>
    <t>\\192.168.24.208\images\R&amp;D\Coralie\Triphenylphosphate\2021-CHG-CBA-TRIPHENYLP 2\plaque 1/@12 TriphenylP 0.89/F12_01- exclu.tif</t>
  </si>
  <si>
    <t xml:space="preserve">\\192.168.24.208\images\R&amp;D\Coralie\Triphenylphosphate\2021-CHG-CBA-TRIPHENYLP 2\plaque 1/@12 TriphenylP 0.89/F12_02.tif </t>
  </si>
  <si>
    <t xml:space="preserve"> 74363.5777 </t>
  </si>
  <si>
    <t xml:space="preserve"> 73.3857 </t>
  </si>
  <si>
    <t xml:space="preserve">\\192.168.24.208\images\R&amp;D\Coralie\Triphenylphosphate\2021-CHG-CBA-TRIPHENYLP 2\plaque 1/@12 TriphenylP 0.89/F12_03.tif </t>
  </si>
  <si>
    <t xml:space="preserve"> 73.3634 </t>
  </si>
  <si>
    <t>\\192.168.24.208\images\R&amp;D\Coralie\Triphenylphosphate\2021-CHG-CBA-TRIPHENYLP 2\plaque 1/@12 TriphenylP 0.89/G12_01- exclu.tif</t>
  </si>
  <si>
    <t xml:space="preserve">\\192.168.24.208\images\R&amp;D\Coralie\Triphenylphosphate\2021-CHG-CBA-TRIPHENYLP 2\plaque 1/@12 TriphenylP 0.89/G12_02.tif </t>
  </si>
  <si>
    <t xml:space="preserve"> 13886.3924 </t>
  </si>
  <si>
    <t xml:space="preserve"> 86.2944 </t>
  </si>
  <si>
    <t xml:space="preserve">\\192.168.24.208\images\R&amp;D\Coralie\Triphenylphosphate\2021-CHG-CBA-TRIPHENYLP 2\plaque 1/@12 TriphenylP 0.89/G12_03.tif </t>
  </si>
  <si>
    <t xml:space="preserve"> 14059.4315 </t>
  </si>
  <si>
    <t xml:space="preserve"> 83.4062 </t>
  </si>
  <si>
    <t xml:space="preserve">\\192.168.24.208\images\R&amp;D\Coralie\Triphenylphosphate\2021-CHG-CBA-TRIPHENYLP 2\plaque 1/@12 TriphenylP 0.89/H12_01.tif </t>
  </si>
  <si>
    <t xml:space="preserve"> 15876.3427 </t>
  </si>
  <si>
    <t xml:space="preserve"> 94.5368 </t>
  </si>
  <si>
    <t xml:space="preserve">\\192.168.24.208\images\R&amp;D\Coralie\Triphenylphosphate\2021-CHG-CBA-TRIPHENYLP 2\plaque 1/@12 TriphenylP 0.89/H12_02.tif </t>
  </si>
  <si>
    <t xml:space="preserve"> 79.3194 </t>
  </si>
  <si>
    <t xml:space="preserve">\\192.168.24.208\images\R&amp;D\Coralie\Triphenylphosphate\2021-CHG-CBA-TRIPHENYLP 2\plaque 1/@12 TriphenylP 0.89/H12_03.tif </t>
  </si>
  <si>
    <t xml:space="preserve"> 12069.4812 </t>
  </si>
  <si>
    <t xml:space="preserve"> 80.7133 </t>
  </si>
  <si>
    <t xml:space="preserve">\\192.168.24.208\images\R&amp;D\Coralie\Triphenylphosphate\2021-CHG-CBA-TRIPHENYLP 2\plaque 1/@12 TriphenylP 0.89/ </t>
  </si>
  <si>
    <t xml:space="preserve"> 73.7289 </t>
  </si>
  <si>
    <t xml:space="preserve"> 7.0455 </t>
  </si>
  <si>
    <t xml:space="preserve"> 2786121.5 </t>
  </si>
  <si>
    <t xml:space="preserve"> 1781101.94 </t>
  </si>
  <si>
    <t xml:space="preserve">\\192.168.24.208\images\R&amp;D\Coralie\Triphenylphosphate\2021-CHG-CBA-TRIPHENYLP 2\plaque 2/@13 TESTO/A1_01.tif </t>
  </si>
  <si>
    <t xml:space="preserve"> 44557.5829 </t>
  </si>
  <si>
    <t xml:space="preserve"> 81.9752 </t>
  </si>
  <si>
    <t xml:space="preserve">\\192.168.24.208\images\R&amp;D\Coralie\Triphenylphosphate\2021-CHG-CBA-TRIPHENYLP 2\plaque 2/@13 TESTO/A1_02.tif </t>
  </si>
  <si>
    <t xml:space="preserve"> 43735.6469 </t>
  </si>
  <si>
    <t xml:space="preserve"> 83.0168 </t>
  </si>
  <si>
    <t xml:space="preserve">\\192.168.24.208\images\R&amp;D\Coralie\Triphenylphosphate\2021-CHG-CBA-TRIPHENYLP 2\plaque 2/@13 TESTO/A1_03.tif </t>
  </si>
  <si>
    <t xml:space="preserve"> 42719.0419 </t>
  </si>
  <si>
    <t xml:space="preserve"> 79.5716 </t>
  </si>
  <si>
    <t xml:space="preserve">\\192.168.24.208\images\R&amp;D\Coralie\Triphenylphosphate\2021-CHG-CBA-TRIPHENYLP 2\plaque 2/@13 TESTO/B1_01.tif </t>
  </si>
  <si>
    <t xml:space="preserve"> 25436.7561 </t>
  </si>
  <si>
    <t xml:space="preserve"> 74.5017 </t>
  </si>
  <si>
    <t xml:space="preserve">\\192.168.24.208\images\R&amp;D\Coralie\Triphenylphosphate\2021-CHG-CBA-TRIPHENYLP 2\plaque 2/@13 TESTO/B1_02.tif </t>
  </si>
  <si>
    <t xml:space="preserve"> 25198.8272 </t>
  </si>
  <si>
    <t xml:space="preserve"> 73.6232 </t>
  </si>
  <si>
    <t xml:space="preserve">\\192.168.24.208\images\R&amp;D\Coralie\Triphenylphosphate\2021-CHG-CBA-TRIPHENYLP 2\plaque 2/@13 TESTO/B1_03.tif </t>
  </si>
  <si>
    <t xml:space="preserve"> 21954.343 </t>
  </si>
  <si>
    <t xml:space="preserve"> 74.0709 </t>
  </si>
  <si>
    <t xml:space="preserve">\\192.168.24.208\images\R&amp;D\Coralie\Triphenylphosphate\2021-CHG-CBA-TRIPHENYLP 2\plaque 2/@13 TESTO/C1_01.tif </t>
  </si>
  <si>
    <t xml:space="preserve"> 45163.22 </t>
  </si>
  <si>
    <t xml:space="preserve"> 72.4511 </t>
  </si>
  <si>
    <t xml:space="preserve">\\192.168.24.208\images\R&amp;D\Coralie\Triphenylphosphate\2021-CHG-CBA-TRIPHENYLP 2\plaque 2/@13 TESTO/C1_02.tif </t>
  </si>
  <si>
    <t xml:space="preserve"> 30065.5535 </t>
  </si>
  <si>
    <t xml:space="preserve"> 68.0597 </t>
  </si>
  <si>
    <t xml:space="preserve">\\192.168.24.208\images\R&amp;D\Coralie\Triphenylphosphate\2021-CHG-CBA-TRIPHENYLP 2\plaque 2/@13 TESTO/C1_03.tif </t>
  </si>
  <si>
    <t xml:space="preserve"> 69.1056 </t>
  </si>
  <si>
    <t>\\192.168.24.208\images\R&amp;D\Coralie\Triphenylphosphate\2021-CHG-CBA-TRIPHENYLP 2\plaque 2/@13 TESTO/D1_01- exclu.tif</t>
  </si>
  <si>
    <t xml:space="preserve">\\192.168.24.208\images\R&amp;D\Coralie\Triphenylphosphate\2021-CHG-CBA-TRIPHENYLP 2\plaque 2/@13 TESTO/D1_02.tif </t>
  </si>
  <si>
    <t xml:space="preserve"> 71.5917 </t>
  </si>
  <si>
    <t xml:space="preserve">\\192.168.24.208\images\R&amp;D\Coralie\Triphenylphosphate\2021-CHG-CBA-TRIPHENYLP 2\plaque 2/@13 TESTO/D1_03.tif </t>
  </si>
  <si>
    <t xml:space="preserve"> 36381.4828 </t>
  </si>
  <si>
    <t xml:space="preserve"> 72.2283 </t>
  </si>
  <si>
    <t xml:space="preserve">\\192.168.24.208\images\R&amp;D\Coralie\Triphenylphosphate\2021-CHG-CBA-TRIPHENYLP 2\plaque 2/@13 TESTO/E1_01.tif </t>
  </si>
  <si>
    <t xml:space="preserve"> 41507.7678 </t>
  </si>
  <si>
    <t xml:space="preserve"> 71.5086 </t>
  </si>
  <si>
    <t xml:space="preserve">\\192.168.24.208\images\R&amp;D\Coralie\Triphenylphosphate\2021-CHG-CBA-TRIPHENYLP 2\plaque 2/@13 TESTO/E1_02.tif </t>
  </si>
  <si>
    <t xml:space="preserve"> 40642.572 </t>
  </si>
  <si>
    <t xml:space="preserve"> 71.7712 </t>
  </si>
  <si>
    <t xml:space="preserve">\\192.168.24.208\images\R&amp;D\Coralie\Triphenylphosphate\2021-CHG-CBA-TRIPHENYLP 2\plaque 2/@13 TESTO/E1_03.tif </t>
  </si>
  <si>
    <t xml:space="preserve"> 39799.0061 </t>
  </si>
  <si>
    <t xml:space="preserve"> 71.3973 </t>
  </si>
  <si>
    <t xml:space="preserve">\\192.168.24.208\images\R&amp;D\Coralie\Triphenylphosphate\2021-CHG-CBA-TRIPHENYLP 2\plaque 2/@13 TESTO/F1_01.tif </t>
  </si>
  <si>
    <t xml:space="preserve"> 42589.2625 </t>
  </si>
  <si>
    <t xml:space="preserve"> 71.8725 </t>
  </si>
  <si>
    <t xml:space="preserve">\\192.168.24.208\images\R&amp;D\Coralie\Triphenylphosphate\2021-CHG-CBA-TRIPHENYLP 2\plaque 2/@13 TESTO/F1_02.tif </t>
  </si>
  <si>
    <t xml:space="preserve"> 31968.9843 </t>
  </si>
  <si>
    <t xml:space="preserve"> 72.4425 </t>
  </si>
  <si>
    <t xml:space="preserve">\\192.168.24.208\images\R&amp;D\Coralie\Triphenylphosphate\2021-CHG-CBA-TRIPHENYLP 2\plaque 2/@13 TESTO/F1_03.tif </t>
  </si>
  <si>
    <t xml:space="preserve"> 34196.8634 </t>
  </si>
  <si>
    <t xml:space="preserve"> 71.7362 </t>
  </si>
  <si>
    <t xml:space="preserve">\\192.168.24.208\images\R&amp;D\Coralie\Triphenylphosphate\2021-CHG-CBA-TRIPHENYLP 2\plaque 2/@13 TESTO/G1_01.tif </t>
  </si>
  <si>
    <t xml:space="preserve"> 47758.8073 </t>
  </si>
  <si>
    <t xml:space="preserve"> 77.615 </t>
  </si>
  <si>
    <t xml:space="preserve">\\192.168.24.208\images\R&amp;D\Coralie\Triphenylphosphate\2021-CHG-CBA-TRIPHENYLP 2\plaque 2/@13 TESTO/G1_02.tif </t>
  </si>
  <si>
    <t xml:space="preserve"> 77.1889 </t>
  </si>
  <si>
    <t xml:space="preserve">\\192.168.24.208\images\R&amp;D\Coralie\Triphenylphosphate\2021-CHG-CBA-TRIPHENYLP 2\plaque 2/@13 TESTO/G1_03.tif </t>
  </si>
  <si>
    <t xml:space="preserve"> 44514.3231 </t>
  </si>
  <si>
    <t xml:space="preserve"> 78.1409 </t>
  </si>
  <si>
    <t xml:space="preserve">\\192.168.24.208\images\R&amp;D\Coralie\Triphenylphosphate\2021-CHG-CBA-TRIPHENYLP 2\plaque 2/@13 TESTO/H1_01.tif </t>
  </si>
  <si>
    <t xml:space="preserve"> 324.4484 </t>
  </si>
  <si>
    <t xml:space="preserve"> 62.9333 </t>
  </si>
  <si>
    <t xml:space="preserve">\\192.168.24.208\images\R&amp;D\Coralie\Triphenylphosphate\2021-CHG-CBA-TRIPHENYLP 2\plaque 2/@13 TESTO/H1_02.tif </t>
  </si>
  <si>
    <t xml:space="preserve">\\192.168.24.208\images\R&amp;D\Coralie\Triphenylphosphate\2021-CHG-CBA-TRIPHENYLP 2\plaque 2/@13 TESTO/H1_03.tif </t>
  </si>
  <si>
    <t xml:space="preserve"> 389.3381 </t>
  </si>
  <si>
    <t xml:space="preserve">\\192.168.24.208\images\R&amp;D\Coralie\Triphenylphosphate\2021-CHG-CBA-TRIPHENYLP 2\plaque 2/@13 TESTO/ </t>
  </si>
  <si>
    <t xml:space="preserve"> 72.7744 </t>
  </si>
  <si>
    <t xml:space="preserve"> 5.1517 </t>
  </si>
  <si>
    <t xml:space="preserve"> 2503480.12 </t>
  </si>
  <si>
    <t xml:space="preserve"> 1139671.79 </t>
  </si>
  <si>
    <t xml:space="preserve">\\192.168.24.208\images\R&amp;D\Coralie\Triphenylphosphate\2021-CHG-CBA-TRIPHENYLP 2\plaque 2/@14 TESTO/A2_01.tif </t>
  </si>
  <si>
    <t xml:space="preserve"> 48667.2629 </t>
  </si>
  <si>
    <t xml:space="preserve"> 70.9293 </t>
  </si>
  <si>
    <t>\\192.168.24.208\images\R&amp;D\Coralie\Triphenylphosphate\2021-CHG-CBA-TRIPHENYLP 2\plaque 2/@14 TESTO/A2_02- exclu.tif</t>
  </si>
  <si>
    <t xml:space="preserve">\\192.168.24.208\images\R&amp;D\Coralie\Triphenylphosphate\2021-CHG-CBA-TRIPHENYLP 2\plaque 2/@14 TESTO/A2_03.tif </t>
  </si>
  <si>
    <t xml:space="preserve"> 49683.868 </t>
  </si>
  <si>
    <t xml:space="preserve"> 70.2377 </t>
  </si>
  <si>
    <t xml:space="preserve">\\192.168.24.208\images\R&amp;D\Coralie\Triphenylphosphate\2021-CHG-CBA-TRIPHENYLP 2\plaque 2/@14 TESTO/B2_01.tif </t>
  </si>
  <si>
    <t xml:space="preserve"> 70.227 </t>
  </si>
  <si>
    <t xml:space="preserve">\\192.168.24.208\images\R&amp;D\Coralie\Triphenylphosphate\2021-CHG-CBA-TRIPHENYLP 2\plaque 2/@14 TESTO/B2_02.tif </t>
  </si>
  <si>
    <t xml:space="preserve"> 22062.4925 </t>
  </si>
  <si>
    <t xml:space="preserve"> 69.4314 </t>
  </si>
  <si>
    <t>\\192.168.24.208\images\R&amp;D\Coralie\Triphenylphosphate\2021-CHG-CBA-TRIPHENYLP 2\plaque 2/@14 TESTO/B2_03- exclu.tif</t>
  </si>
  <si>
    <t xml:space="preserve">\\192.168.24.208\images\R&amp;D\Coralie\Triphenylphosphate\2021-CHG-CBA-TRIPHENYLP 2\plaque 2/@14 TESTO/C2_01.tif </t>
  </si>
  <si>
    <t xml:space="preserve"> 55675.3488 </t>
  </si>
  <si>
    <t xml:space="preserve"> 75.019 </t>
  </si>
  <si>
    <t xml:space="preserve">\\192.168.24.208\images\R&amp;D\Coralie\Triphenylphosphate\2021-CHG-CBA-TRIPHENYLP 2\plaque 2/@14 TESTO/C2_02.tif </t>
  </si>
  <si>
    <t xml:space="preserve"> 47023.3909 </t>
  </si>
  <si>
    <t xml:space="preserve"> 77.5722 </t>
  </si>
  <si>
    <t xml:space="preserve">\\192.168.24.208\images\R&amp;D\Coralie\Triphenylphosphate\2021-CHG-CBA-TRIPHENYLP 2\plaque 2/@14 TESTO/C2_03.tif </t>
  </si>
  <si>
    <t xml:space="preserve"> 77.1527 </t>
  </si>
  <si>
    <t xml:space="preserve">\\192.168.24.208\images\R&amp;D\Coralie\Triphenylphosphate\2021-CHG-CBA-TRIPHENYLP 2\plaque 2/@14 TESTO/D2_01.tif </t>
  </si>
  <si>
    <t xml:space="preserve"> 73.0995 </t>
  </si>
  <si>
    <t xml:space="preserve">\\192.168.24.208\images\R&amp;D\Coralie\Triphenylphosphate\2021-CHG-CBA-TRIPHENYLP 2\plaque 2/@14 TESTO/D2_02.tif </t>
  </si>
  <si>
    <t xml:space="preserve"> 31384.9771 </t>
  </si>
  <si>
    <t xml:space="preserve"> 71.3163 </t>
  </si>
  <si>
    <t xml:space="preserve">\\192.168.24.208\images\R&amp;D\Coralie\Triphenylphosphate\2021-CHG-CBA-TRIPHENYLP 2\plaque 2/@14 TESTO/D2_03.tif </t>
  </si>
  <si>
    <t xml:space="preserve"> 35062.0592 </t>
  </si>
  <si>
    <t xml:space="preserve"> 71.5928 </t>
  </si>
  <si>
    <t xml:space="preserve">\\192.168.24.208\images\R&amp;D\Coralie\Triphenylphosphate\2021-CHG-CBA-TRIPHENYLP 2\plaque 2/@14 TESTO/E2_01.tif </t>
  </si>
  <si>
    <t xml:space="preserve"> 41183.3194 </t>
  </si>
  <si>
    <t xml:space="preserve"> 77.7673 </t>
  </si>
  <si>
    <t xml:space="preserve">\\192.168.24.208\images\R&amp;D\Coralie\Triphenylphosphate\2021-CHG-CBA-TRIPHENYLP 2\plaque 2/@14 TESTO/E2_02.tif </t>
  </si>
  <si>
    <t xml:space="preserve"> 39539.4474 </t>
  </si>
  <si>
    <t xml:space="preserve"> 78.3173 </t>
  </si>
  <si>
    <t xml:space="preserve">\\192.168.24.208\images\R&amp;D\Coralie\Triphenylphosphate\2021-CHG-CBA-TRIPHENYLP 2\plaque 2/@14 TESTO/E2_03.tif </t>
  </si>
  <si>
    <t xml:space="preserve"> 38111.8743 </t>
  </si>
  <si>
    <t xml:space="preserve"> 76.9279 </t>
  </si>
  <si>
    <t xml:space="preserve">\\192.168.24.208\images\R&amp;D\Coralie\Triphenylphosphate\2021-CHG-CBA-TRIPHENYLP 2\plaque 2/@14 TESTO/F2_01.tif </t>
  </si>
  <si>
    <t xml:space="preserve"> 34586.2015 </t>
  </si>
  <si>
    <t xml:space="preserve"> 78.561 </t>
  </si>
  <si>
    <t xml:space="preserve">\\192.168.24.208\images\R&amp;D\Coralie\Triphenylphosphate\2021-CHG-CBA-TRIPHENYLP 2\plaque 2/@14 TESTO/F2_02.tif </t>
  </si>
  <si>
    <t xml:space="preserve"> 42178.2945 </t>
  </si>
  <si>
    <t xml:space="preserve"> 77.2385 </t>
  </si>
  <si>
    <t xml:space="preserve">\\192.168.24.208\images\R&amp;D\Coralie\Triphenylphosphate\2021-CHG-CBA-TRIPHENYLP 2\plaque 2/@14 TESTO/F2_03.tif </t>
  </si>
  <si>
    <t xml:space="preserve"> 35537.9169 </t>
  </si>
  <si>
    <t xml:space="preserve"> 78.5612 </t>
  </si>
  <si>
    <t xml:space="preserve">\\192.168.24.208\images\R&amp;D\Coralie\Triphenylphosphate\2021-CHG-CBA-TRIPHENYLP 2\plaque 2/@14 TESTO/G2_01.tif </t>
  </si>
  <si>
    <t xml:space="preserve"> 28313.5321 </t>
  </si>
  <si>
    <t xml:space="preserve"> 73.5676 </t>
  </si>
  <si>
    <t xml:space="preserve">\\192.168.24.208\images\R&amp;D\Coralie\Triphenylphosphate\2021-CHG-CBA-TRIPHENYLP 2\plaque 2/@14 TESTO/G2_02.tif </t>
  </si>
  <si>
    <t xml:space="preserve"> 28118.863 </t>
  </si>
  <si>
    <t xml:space="preserve"> 71.5585 </t>
  </si>
  <si>
    <t xml:space="preserve">\\192.168.24.208\images\R&amp;D\Coralie\Triphenylphosphate\2021-CHG-CBA-TRIPHENYLP 2\plaque 2/@14 TESTO/G2_03.tif </t>
  </si>
  <si>
    <t xml:space="preserve"> 23598.215 </t>
  </si>
  <si>
    <t xml:space="preserve"> 71.7672 </t>
  </si>
  <si>
    <t xml:space="preserve">\\192.168.24.208\images\R&amp;D\Coralie\Triphenylphosphate\2021-CHG-CBA-TRIPHENYLP 2\plaque 2/@14 TESTO/H2_01.tif </t>
  </si>
  <si>
    <t xml:space="preserve"> 25155.5675 </t>
  </si>
  <si>
    <t xml:space="preserve"> 69.0782 </t>
  </si>
  <si>
    <t xml:space="preserve">\\192.168.24.208\images\R&amp;D\Coralie\Triphenylphosphate\2021-CHG-CBA-TRIPHENYLP 2\plaque 2/@14 TESTO/H2_02.tif </t>
  </si>
  <si>
    <t xml:space="preserve"> 23879.4037 </t>
  </si>
  <si>
    <t xml:space="preserve"> 69.4121 </t>
  </si>
  <si>
    <t xml:space="preserve">\\192.168.24.208\images\R&amp;D\Coralie\Triphenylphosphate\2021-CHG-CBA-TRIPHENYLP 2\plaque 2/@14 TESTO/H2_03.tif </t>
  </si>
  <si>
    <t xml:space="preserve"> 26734.5498 </t>
  </si>
  <si>
    <t xml:space="preserve"> 69.4555 </t>
  </si>
  <si>
    <t xml:space="preserve">\\192.168.24.208\images\R&amp;D\Coralie\Triphenylphosphate\2021-CHG-CBA-TRIPHENYLP 2\plaque 2/@14 TESTO/ </t>
  </si>
  <si>
    <t xml:space="preserve"> 72.9708 </t>
  </si>
  <si>
    <t xml:space="preserve"> 3.9801 </t>
  </si>
  <si>
    <t xml:space="preserve"> 2591572.33 </t>
  </si>
  <si>
    <t xml:space="preserve"> 881106.873 </t>
  </si>
  <si>
    <t xml:space="preserve">\\192.168.24.208\images\R&amp;D\Coralie\Triphenylphosphate\2021-CHG-CBA-TRIPHENYLP 2\plaque 2/@15 TESTO + EE2/A3_01.tif </t>
  </si>
  <si>
    <t xml:space="preserve"> 29113.8382 </t>
  </si>
  <si>
    <t xml:space="preserve"> 71.8113 </t>
  </si>
  <si>
    <t xml:space="preserve">\\192.168.24.208\images\R&amp;D\Coralie\Triphenylphosphate\2021-CHG-CBA-TRIPHENYLP 2\plaque 2/@15 TESTO + EE2/A3_02.tif </t>
  </si>
  <si>
    <t xml:space="preserve"> 71.3029 </t>
  </si>
  <si>
    <t xml:space="preserve">\\192.168.24.208\images\R&amp;D\Coralie\Triphenylphosphate\2021-CHG-CBA-TRIPHENYLP 2\plaque 2/@15 TESTO + EE2/A3_03.tif </t>
  </si>
  <si>
    <t xml:space="preserve"> 71.6213 </t>
  </si>
  <si>
    <t xml:space="preserve">\\192.168.24.208\images\R&amp;D\Coralie\Triphenylphosphate\2021-CHG-CBA-TRIPHENYLP 2\plaque 2/@15 TESTO + EE2/B3_01.tif </t>
  </si>
  <si>
    <t xml:space="preserve"> 14859.7376 </t>
  </si>
  <si>
    <t xml:space="preserve"> 66.5983 </t>
  </si>
  <si>
    <t xml:space="preserve">\\192.168.24.208\images\R&amp;D\Coralie\Triphenylphosphate\2021-CHG-CBA-TRIPHENYLP 2\plaque 2/@15 TESTO + EE2/B3_02.tif </t>
  </si>
  <si>
    <t xml:space="preserve"> 9582.0433 </t>
  </si>
  <si>
    <t xml:space="preserve"> 64.9549 </t>
  </si>
  <si>
    <t>\\192.168.24.208\images\R&amp;D\Coralie\Triphenylphosphate\2021-CHG-CBA-TRIPHENYLP 2\plaque 2/@15 TESTO + EE2/B3_03- exclu.tif</t>
  </si>
  <si>
    <t xml:space="preserve">\\192.168.24.208\images\R&amp;D\Coralie\Triphenylphosphate\2021-CHG-CBA-TRIPHENYLP 2\plaque 2/@15 TESTO + EE2/C3_01.tif </t>
  </si>
  <si>
    <t xml:space="preserve"> 50008.3164 </t>
  </si>
  <si>
    <t xml:space="preserve"> 85.7487 </t>
  </si>
  <si>
    <t xml:space="preserve">\\192.168.24.208\images\R&amp;D\Coralie\Triphenylphosphate\2021-CHG-CBA-TRIPHENYLP 2\plaque 2/@15 TESTO + EE2/C3_02.tif </t>
  </si>
  <si>
    <t xml:space="preserve"> 49078.2309 </t>
  </si>
  <si>
    <t xml:space="preserve"> 83.5703 </t>
  </si>
  <si>
    <t xml:space="preserve">\\192.168.24.208\images\R&amp;D\Coralie\Triphenylphosphate\2021-CHG-CBA-TRIPHENYLP 2\plaque 2/@15 TESTO + EE2/C3_03.tif </t>
  </si>
  <si>
    <t xml:space="preserve"> 50786.9926 </t>
  </si>
  <si>
    <t xml:space="preserve"> 83.4216 </t>
  </si>
  <si>
    <t xml:space="preserve">\\192.168.24.208\images\R&amp;D\Coralie\Triphenylphosphate\2021-CHG-CBA-TRIPHENYLP 2\plaque 2/@15 TESTO + EE2/D3_01.tif </t>
  </si>
  <si>
    <t xml:space="preserve"> 76504.9373 </t>
  </si>
  <si>
    <t xml:space="preserve"> 84.0368 </t>
  </si>
  <si>
    <t xml:space="preserve">\\192.168.24.208\images\R&amp;D\Coralie\Triphenylphosphate\2021-CHG-CBA-TRIPHENYLP 2\plaque 2/@15 TESTO + EE2/D3_02.tif </t>
  </si>
  <si>
    <t xml:space="preserve"> 75509.9621 </t>
  </si>
  <si>
    <t xml:space="preserve"> 82.5812 </t>
  </si>
  <si>
    <t xml:space="preserve">\\192.168.24.208\images\R&amp;D\Coralie\Triphenylphosphate\2021-CHG-CBA-TRIPHENYLP 2\plaque 2/@15 TESTO + EE2/D3_03.tif </t>
  </si>
  <si>
    <t xml:space="preserve"> 73779.5706 </t>
  </si>
  <si>
    <t xml:space="preserve"> 84.567 </t>
  </si>
  <si>
    <t xml:space="preserve">\\192.168.24.208\images\R&amp;D\Coralie\Triphenylphosphate\2021-CHG-CBA-TRIPHENYLP 2\plaque 2/@15 TESTO + EE2/E3_01.tif </t>
  </si>
  <si>
    <t xml:space="preserve"> 63591.8902 </t>
  </si>
  <si>
    <t xml:space="preserve"> 83.0878 </t>
  </si>
  <si>
    <t xml:space="preserve">\\192.168.24.208\images\R&amp;D\Coralie\Triphenylphosphate\2021-CHG-CBA-TRIPHENYLP 2\plaque 2/@15 TESTO + EE2/E3_02.tif </t>
  </si>
  <si>
    <t xml:space="preserve"> 63959.5984 </t>
  </si>
  <si>
    <t xml:space="preserve"> 82.6172 </t>
  </si>
  <si>
    <t xml:space="preserve">\\192.168.24.208\images\R&amp;D\Coralie\Triphenylphosphate\2021-CHG-CBA-TRIPHENYLP 2\plaque 2/@15 TESTO + EE2/E3_03.tif </t>
  </si>
  <si>
    <t xml:space="preserve"> 62942.9934 </t>
  </si>
  <si>
    <t xml:space="preserve"> 81.755 </t>
  </si>
  <si>
    <t xml:space="preserve">\\192.168.24.208\images\R&amp;D\Coralie\Triphenylphosphate\2021-CHG-CBA-TRIPHENYLP 2\plaque 2/@15 TESTO + EE2/F3_01.tif </t>
  </si>
  <si>
    <t xml:space="preserve"> 46785.4621 </t>
  </si>
  <si>
    <t xml:space="preserve"> 79.6158 </t>
  </si>
  <si>
    <t xml:space="preserve">\\192.168.24.208\images\R&amp;D\Coralie\Triphenylphosphate\2021-CHG-CBA-TRIPHENYLP 2\plaque 2/@15 TESTO + EE2/F3_02.tif </t>
  </si>
  <si>
    <t xml:space="preserve"> 47477.6187 </t>
  </si>
  <si>
    <t xml:space="preserve"> 78.3576 </t>
  </si>
  <si>
    <t xml:space="preserve">\\192.168.24.208\images\R&amp;D\Coralie\Triphenylphosphate\2021-CHG-CBA-TRIPHENYLP 2\plaque 2/@15 TESTO + EE2/F3_03.tif </t>
  </si>
  <si>
    <t xml:space="preserve"> 44276.3943 </t>
  </si>
  <si>
    <t xml:space="preserve"> 78.9878 </t>
  </si>
  <si>
    <t xml:space="preserve">\\192.168.24.208\images\R&amp;D\Coralie\Triphenylphosphate\2021-CHG-CBA-TRIPHENYLP 2\plaque 2/@15 TESTO + EE2/G3_01.tif </t>
  </si>
  <si>
    <t xml:space="preserve"> 93.2105 </t>
  </si>
  <si>
    <t xml:space="preserve">\\192.168.24.208\images\R&amp;D\Coralie\Triphenylphosphate\2021-CHG-CBA-TRIPHENYLP 2\plaque 2/@15 TESTO + EE2/G3_02.tif </t>
  </si>
  <si>
    <t xml:space="preserve"> 61904.7584 </t>
  </si>
  <si>
    <t xml:space="preserve"> 88.9832 </t>
  </si>
  <si>
    <t xml:space="preserve">\\192.168.24.208\images\R&amp;D\Coralie\Triphenylphosphate\2021-CHG-CBA-TRIPHENYLP 2\plaque 2/@15 TESTO + EE2/G3_03.tif </t>
  </si>
  <si>
    <t xml:space="preserve"> 55264.3808 </t>
  </si>
  <si>
    <t xml:space="preserve"> 93.4243 </t>
  </si>
  <si>
    <t xml:space="preserve">\\192.168.24.208\images\R&amp;D\Coralie\Triphenylphosphate\2021-CHG-CBA-TRIPHENYLP 2\plaque 2/@15 TESTO + EE2/H3_01.tif </t>
  </si>
  <si>
    <t xml:space="preserve"> 75.5316 </t>
  </si>
  <si>
    <t xml:space="preserve">\\192.168.24.208\images\R&amp;D\Coralie\Triphenylphosphate\2021-CHG-CBA-TRIPHENYLP 2\plaque 2/@15 TESTO + EE2/H3_02.tif </t>
  </si>
  <si>
    <t xml:space="preserve"> 57232.7012 </t>
  </si>
  <si>
    <t xml:space="preserve"> 76.076 </t>
  </si>
  <si>
    <t xml:space="preserve">\\192.168.24.208\images\R&amp;D\Coralie\Triphenylphosphate\2021-CHG-CBA-TRIPHENYLP 2\plaque 2/@15 TESTO + EE2/H3_03.tif </t>
  </si>
  <si>
    <t xml:space="preserve"> 53901.6974 </t>
  </si>
  <si>
    <t xml:space="preserve"> 75.4904 </t>
  </si>
  <si>
    <t xml:space="preserve">\\192.168.24.208\images\R&amp;D\Coralie\Triphenylphosphate\2021-CHG-CBA-TRIPHENYLP 2\plaque 2/@15 TESTO + EE2/ </t>
  </si>
  <si>
    <t xml:space="preserve"> 79.443 </t>
  </si>
  <si>
    <t xml:space="preserve"> 7.6389 </t>
  </si>
  <si>
    <t xml:space="preserve"> 3967779.75 </t>
  </si>
  <si>
    <t xml:space="preserve"> 1678629.14 </t>
  </si>
  <si>
    <t>\\192.168.24.208\images\R&amp;D\Coralie\Triphenylphosphate\2021-CHG-CBA-TRIPHENYLP 2\plaque 2/@16 TESTO + FAD/A4_01- exclu.tif</t>
  </si>
  <si>
    <t xml:space="preserve">\\192.168.24.208\images\R&amp;D\Coralie\Triphenylphosphate\2021-CHG-CBA-TRIPHENYLP 2\plaque 2/@16 TESTO + FAD/A4_02.tif </t>
  </si>
  <si>
    <t xml:space="preserve"> 3114.7048 </t>
  </si>
  <si>
    <t xml:space="preserve"> 65.4792 </t>
  </si>
  <si>
    <t xml:space="preserve">\\192.168.24.208\images\R&amp;D\Coralie\Triphenylphosphate\2021-CHG-CBA-TRIPHENYLP 2\plaque 2/@16 TESTO + FAD/A4_03.tif </t>
  </si>
  <si>
    <t xml:space="preserve"> 64.4412 </t>
  </si>
  <si>
    <t xml:space="preserve">\\192.168.24.208\images\R&amp;D\Coralie\Triphenylphosphate\2021-CHG-CBA-TRIPHENYLP 2\plaque 2/@16 TESTO + FAD/B4_01.tif </t>
  </si>
  <si>
    <t xml:space="preserve"> 3590.5625 </t>
  </si>
  <si>
    <t xml:space="preserve"> 64.1506 </t>
  </si>
  <si>
    <t xml:space="preserve">\\192.168.24.208\images\R&amp;D\Coralie\Triphenylphosphate\2021-CHG-CBA-TRIPHENYLP 2\plaque 2/@16 TESTO + FAD/B4_02.tif </t>
  </si>
  <si>
    <t xml:space="preserve"> 6402.4488 </t>
  </si>
  <si>
    <t xml:space="preserve"> 64.7804 </t>
  </si>
  <si>
    <t xml:space="preserve">\\192.168.24.208\images\R&amp;D\Coralie\Triphenylphosphate\2021-CHG-CBA-TRIPHENYLP 2\plaque 2/@16 TESTO + FAD/B4_03.tif </t>
  </si>
  <si>
    <t xml:space="preserve"> 65.709 </t>
  </si>
  <si>
    <t xml:space="preserve">\\192.168.24.208\images\R&amp;D\Coralie\Triphenylphosphate\2021-CHG-CBA-TRIPHENYLP 2\plaque 2/@16 TESTO + FAD/C4_01.tif </t>
  </si>
  <si>
    <t xml:space="preserve"> 4953.2459 </t>
  </si>
  <si>
    <t xml:space="preserve"> 65.9258 </t>
  </si>
  <si>
    <t xml:space="preserve">\\192.168.24.208\images\R&amp;D\Coralie\Triphenylphosphate\2021-CHG-CBA-TRIPHENYLP 2\plaque 2/@16 TESTO + FAD/C4_02.tif </t>
  </si>
  <si>
    <t xml:space="preserve"> 5299.3242 </t>
  </si>
  <si>
    <t xml:space="preserve"> 65.3184 </t>
  </si>
  <si>
    <t xml:space="preserve">\\192.168.24.208\images\R&amp;D\Coralie\Triphenylphosphate\2021-CHG-CBA-TRIPHENYLP 2\plaque 2/@16 TESTO + FAD/C4_03.tif </t>
  </si>
  <si>
    <t xml:space="preserve"> 65.4756 </t>
  </si>
  <si>
    <t xml:space="preserve">\\192.168.24.208\images\R&amp;D\Coralie\Triphenylphosphate\2021-CHG-CBA-TRIPHENYLP 2\plaque 2/@16 TESTO + FAD/D4_01.tif </t>
  </si>
  <si>
    <t xml:space="preserve"> 11204.2854 </t>
  </si>
  <si>
    <t xml:space="preserve"> 70.6236 </t>
  </si>
  <si>
    <t xml:space="preserve">\\192.168.24.208\images\R&amp;D\Coralie\Triphenylphosphate\2021-CHG-CBA-TRIPHENYLP 2\plaque 2/@16 TESTO + FAD/D4_02.tif </t>
  </si>
  <si>
    <t xml:space="preserve"> 11139.3957 </t>
  </si>
  <si>
    <t xml:space="preserve"> 69.8932 </t>
  </si>
  <si>
    <t xml:space="preserve">\\192.168.24.208\images\R&amp;D\Coralie\Triphenylphosphate\2021-CHG-CBA-TRIPHENYLP 2\plaque 2/@16 TESTO + FAD/D4_03.tif </t>
  </si>
  <si>
    <t xml:space="preserve"> 8911.5166 </t>
  </si>
  <si>
    <t xml:space="preserve"> 67.9369 </t>
  </si>
  <si>
    <t xml:space="preserve">\\192.168.24.208\images\R&amp;D\Coralie\Triphenylphosphate\2021-CHG-CBA-TRIPHENYLP 2\plaque 2/@16 TESTO + FAD/E4_01.tif </t>
  </si>
  <si>
    <t xml:space="preserve"> 65.862 </t>
  </si>
  <si>
    <t>\\192.168.24.208\images\R&amp;D\Coralie\Triphenylphosphate\2021-CHG-CBA-TRIPHENYLP 2\plaque 2/@16 TESTO + FAD/E4_02- exclu.tif</t>
  </si>
  <si>
    <t xml:space="preserve">\\192.168.24.208\images\R&amp;D\Coralie\Triphenylphosphate\2021-CHG-CBA-TRIPHENYLP 2\plaque 2/@16 TESTO + FAD/E4_03.tif </t>
  </si>
  <si>
    <t xml:space="preserve"> 67.3739 </t>
  </si>
  <si>
    <t xml:space="preserve">\\192.168.24.208\images\R&amp;D\Coralie\Triphenylphosphate\2021-CHG-CBA-TRIPHENYLP 2\plaque 2/@16 TESTO + FAD/F4_01.tif </t>
  </si>
  <si>
    <t xml:space="preserve"> 1059.8648 </t>
  </si>
  <si>
    <t xml:space="preserve"> 64.551 </t>
  </si>
  <si>
    <t xml:space="preserve">\\192.168.24.208\images\R&amp;D\Coralie\Triphenylphosphate\2021-CHG-CBA-TRIPHENYLP 2\plaque 2/@16 TESTO + FAD/F4_02.tif </t>
  </si>
  <si>
    <t xml:space="preserve"> 973.3453 </t>
  </si>
  <si>
    <t xml:space="preserve">\\192.168.24.208\images\R&amp;D\Coralie\Triphenylphosphate\2021-CHG-CBA-TRIPHENYLP 2\plaque 2/@16 TESTO + FAD/F4_03.tif </t>
  </si>
  <si>
    <t xml:space="preserve"> 713.7865 </t>
  </si>
  <si>
    <t xml:space="preserve"> 63.2424 </t>
  </si>
  <si>
    <t xml:space="preserve">\\192.168.24.208\images\R&amp;D\Coralie\Triphenylphosphate\2021-CHG-CBA-TRIPHENYLP 2\plaque 2/@16 TESTO + FAD/G4_01.tif </t>
  </si>
  <si>
    <t xml:space="preserve"> 62.8387 </t>
  </si>
  <si>
    <t xml:space="preserve">\\192.168.24.208\images\R&amp;D\Coralie\Triphenylphosphate\2021-CHG-CBA-TRIPHENYLP 2\plaque 2/@16 TESTO + FAD/G4_02.tif </t>
  </si>
  <si>
    <t xml:space="preserve"> 63.3136 </t>
  </si>
  <si>
    <t>\\192.168.24.208\images\R&amp;D\Coralie\Triphenylphosphate\2021-CHG-CBA-TRIPHENYLP 2\plaque 2/@16 TESTO + FAD/G4_03- exclu.tif</t>
  </si>
  <si>
    <t xml:space="preserve">\\192.168.24.208\images\R&amp;D\Coralie\Triphenylphosphate\2021-CHG-CBA-TRIPHENYLP 2\plaque 2/@16 TESTO + FAD/H4_01.tif </t>
  </si>
  <si>
    <t xml:space="preserve"> 1362.6834 </t>
  </si>
  <si>
    <t xml:space="preserve"> 63.8571 </t>
  </si>
  <si>
    <t xml:space="preserve">\\192.168.24.208\images\R&amp;D\Coralie\Triphenylphosphate\2021-CHG-CBA-TRIPHENYLP 2\plaque 2/@16 TESTO + FAD/H4_02.tif </t>
  </si>
  <si>
    <t xml:space="preserve"> 63.7812 </t>
  </si>
  <si>
    <t xml:space="preserve">\\192.168.24.208\images\R&amp;D\Coralie\Triphenylphosphate\2021-CHG-CBA-TRIPHENYLP 2\plaque 2/@16 TESTO + FAD/H4_03.tif </t>
  </si>
  <si>
    <t xml:space="preserve"> 63.6486 </t>
  </si>
  <si>
    <t xml:space="preserve">\\192.168.24.208\images\R&amp;D\Coralie\Triphenylphosphate\2021-CHG-CBA-TRIPHENYLP 2\plaque 2/@16 TESTO + FAD/ </t>
  </si>
  <si>
    <t xml:space="preserve"> 65.1659 </t>
  </si>
  <si>
    <t xml:space="preserve"> 2.0194 </t>
  </si>
  <si>
    <t xml:space="preserve"> 279050.875 </t>
  </si>
  <si>
    <t xml:space="preserve"> 246681.714 </t>
  </si>
  <si>
    <t xml:space="preserve">\\192.168.24.208\images\R&amp;D\Coralie\Triphenylphosphate\2021-CHG-CBA-TRIPHENYLP 2\plaque 2/@17 TriphenylP 0.18 + TESTO/A5_01.tif </t>
  </si>
  <si>
    <t xml:space="preserve"> 23857.7738 </t>
  </si>
  <si>
    <t xml:space="preserve"> 67.2103 </t>
  </si>
  <si>
    <t xml:space="preserve">\\192.168.24.208\images\R&amp;D\Coralie\Triphenylphosphate\2021-CHG-CBA-TRIPHENYLP 2\plaque 2/@17 TriphenylP 0.18 + TESTO/A5_02.tif </t>
  </si>
  <si>
    <t xml:space="preserve"> 21089.1473 </t>
  </si>
  <si>
    <t xml:space="preserve"> 67.4164 </t>
  </si>
  <si>
    <t xml:space="preserve">\\192.168.24.208\images\R&amp;D\Coralie\Triphenylphosphate\2021-CHG-CBA-TRIPHENYLP 2\plaque 2/@17 TriphenylP 0.18 + TESTO/A5_03.tif </t>
  </si>
  <si>
    <t xml:space="preserve"> 20353.7308 </t>
  </si>
  <si>
    <t xml:space="preserve"> 67.0542 </t>
  </si>
  <si>
    <t xml:space="preserve">\\192.168.24.208\images\R&amp;D\Coralie\Triphenylphosphate\2021-CHG-CBA-TRIPHENYLP 2\plaque 2/@17 TriphenylP 0.18 + TESTO/B5_01.tif </t>
  </si>
  <si>
    <t xml:space="preserve"> 66403.7765 </t>
  </si>
  <si>
    <t xml:space="preserve"> 73.5554 </t>
  </si>
  <si>
    <t xml:space="preserve">\\192.168.24.208\images\R&amp;D\Coralie\Triphenylphosphate\2021-CHG-CBA-TRIPHENYLP 2\plaque 2/@17 TriphenylP 0.18 + TESTO/B5_02.tif </t>
  </si>
  <si>
    <t xml:space="preserve"> 63137.6624 </t>
  </si>
  <si>
    <t xml:space="preserve"> 74.0548 </t>
  </si>
  <si>
    <t xml:space="preserve">\\192.168.24.208\images\R&amp;D\Coralie\Triphenylphosphate\2021-CHG-CBA-TRIPHENYLP 2\plaque 2/@17 TriphenylP 0.18 + TESTO/B5_03.tif </t>
  </si>
  <si>
    <t xml:space="preserve"> 63894.7087 </t>
  </si>
  <si>
    <t xml:space="preserve"> 74.3697 </t>
  </si>
  <si>
    <t xml:space="preserve">\\192.168.24.208\images\R&amp;D\Coralie\Triphenylphosphate\2021-CHG-CBA-TRIPHENYLP 2\plaque 2/@17 TriphenylP 0.18 + TESTO/C5_01.tif </t>
  </si>
  <si>
    <t xml:space="preserve"> 57557.1496 </t>
  </si>
  <si>
    <t xml:space="preserve"> 79.0763 </t>
  </si>
  <si>
    <t xml:space="preserve">\\192.168.24.208\images\R&amp;D\Coralie\Triphenylphosphate\2021-CHG-CBA-TRIPHENYLP 2\plaque 2/@17 TriphenylP 0.18 + TESTO/C5_02.tif </t>
  </si>
  <si>
    <t xml:space="preserve"> 56194.4662 </t>
  </si>
  <si>
    <t xml:space="preserve"> 78.3976 </t>
  </si>
  <si>
    <t xml:space="preserve">\\192.168.24.208\images\R&amp;D\Coralie\Triphenylphosphate\2021-CHG-CBA-TRIPHENYLP 2\plaque 2/@17 TriphenylP 0.18 + TESTO/C5_03.tif </t>
  </si>
  <si>
    <t xml:space="preserve"> 39582.7072 </t>
  </si>
  <si>
    <t xml:space="preserve"> 76.3486 </t>
  </si>
  <si>
    <t xml:space="preserve">\\192.168.24.208\images\R&amp;D\Coralie\Triphenylphosphate\2021-CHG-CBA-TRIPHENYLP 2\plaque 2/@17 TriphenylP 0.18 + TESTO/D5_01.tif </t>
  </si>
  <si>
    <t xml:space="preserve"> 39193.3691 </t>
  </si>
  <si>
    <t xml:space="preserve"> 72.9459 </t>
  </si>
  <si>
    <t xml:space="preserve">\\192.168.24.208\images\R&amp;D\Coralie\Triphenylphosphate\2021-CHG-CBA-TRIPHENYLP 2\plaque 2/@17 TriphenylP 0.18 + TESTO/D5_02.tif </t>
  </si>
  <si>
    <t xml:space="preserve"> 39041.9598 </t>
  </si>
  <si>
    <t xml:space="preserve"> 72.2277 </t>
  </si>
  <si>
    <t>\\192.168.24.208\images\R&amp;D\Coralie\Triphenylphosphate\2021-CHG-CBA-TRIPHENYLP 2\plaque 2/@17 TriphenylP 0.18 + TESTO/D5_03- exclu.tif</t>
  </si>
  <si>
    <t xml:space="preserve">\\192.168.24.208\images\R&amp;D\Coralie\Triphenylphosphate\2021-CHG-CBA-TRIPHENYLP 2\plaque 2/@17 TriphenylP 0.18 + TESTO/E5_01.tif </t>
  </si>
  <si>
    <t xml:space="preserve"> 50159.7256 </t>
  </si>
  <si>
    <t xml:space="preserve"> 73.9728 </t>
  </si>
  <si>
    <t xml:space="preserve">\\192.168.24.208\images\R&amp;D\Coralie\Triphenylphosphate\2021-CHG-CBA-TRIPHENYLP 2\plaque 2/@17 TriphenylP 0.18 + TESTO/E5_02.tif </t>
  </si>
  <si>
    <t xml:space="preserve"> 49856.9071 </t>
  </si>
  <si>
    <t xml:space="preserve"> 75.239 </t>
  </si>
  <si>
    <t xml:space="preserve">\\192.168.24.208\images\R&amp;D\Coralie\Triphenylphosphate\2021-CHG-CBA-TRIPHENYLP 2\plaque 2/@17 TriphenylP 0.18 + TESTO/E5_03.tif </t>
  </si>
  <si>
    <t xml:space="preserve"> 52733.6831 </t>
  </si>
  <si>
    <t xml:space="preserve"> 74.3979 </t>
  </si>
  <si>
    <t xml:space="preserve">\\192.168.24.208\images\R&amp;D\Coralie\Triphenylphosphate\2021-CHG-CBA-TRIPHENYLP 2\plaque 2/@17 TriphenylP 0.18 + TESTO/F5_01.tif </t>
  </si>
  <si>
    <t xml:space="preserve"> 43865.4263 </t>
  </si>
  <si>
    <t xml:space="preserve"> 76.43 </t>
  </si>
  <si>
    <t>\\192.168.24.208\images\R&amp;D\Coralie\Triphenylphosphate\2021-CHG-CBA-TRIPHENYLP 2\plaque 2/@17 TriphenylP 0.18 + TESTO/F5_02- exclu.tif</t>
  </si>
  <si>
    <t xml:space="preserve">\\192.168.24.208\images\R&amp;D\Coralie\Triphenylphosphate\2021-CHG-CBA-TRIPHENYLP 2\plaque 2/@17 TriphenylP 0.18 + TESTO/F5_03.tif </t>
  </si>
  <si>
    <t xml:space="preserve"> 55459.0498 </t>
  </si>
  <si>
    <t xml:space="preserve"> 75.3253 </t>
  </si>
  <si>
    <t xml:space="preserve">\\192.168.24.208\images\R&amp;D\Coralie\Triphenylphosphate\2021-CHG-CBA-TRIPHENYLP 2\plaque 2/@17 TriphenylP 0.18 + TESTO/G5_01.tif </t>
  </si>
  <si>
    <t xml:space="preserve"> 9733.4526 </t>
  </si>
  <si>
    <t xml:space="preserve"> 64.3978 </t>
  </si>
  <si>
    <t>\\192.168.24.208\images\R&amp;D\Coralie\Triphenylphosphate\2021-CHG-CBA-TRIPHENYLP 2\plaque 2/@17 TriphenylP 0.18 + TESTO/G5_02- exclu.tif</t>
  </si>
  <si>
    <t xml:space="preserve">\\192.168.24.208\images\R&amp;D\Coralie\Triphenylphosphate\2021-CHG-CBA-TRIPHENYLP 2\plaque 2/@17 TriphenylP 0.18 + TESTO/G5_03.tif </t>
  </si>
  <si>
    <t xml:space="preserve"> 18104.2218 </t>
  </si>
  <si>
    <t xml:space="preserve"> 70.871 </t>
  </si>
  <si>
    <t xml:space="preserve">\\192.168.24.208\images\R&amp;D\Coralie\Triphenylphosphate\2021-CHG-CBA-TRIPHENYLP 2\plaque 2/@17 TriphenylP 0.18 + TESTO/H5_01.tif </t>
  </si>
  <si>
    <t xml:space="preserve"> 52452.4945 </t>
  </si>
  <si>
    <t xml:space="preserve"> 73.1431 </t>
  </si>
  <si>
    <t xml:space="preserve">\\192.168.24.208\images\R&amp;D\Coralie\Triphenylphosphate\2021-CHG-CBA-TRIPHENYLP 2\plaque 2/@17 TriphenylP 0.18 + TESTO/H5_02.tif </t>
  </si>
  <si>
    <t xml:space="preserve"> 53728.6583 </t>
  </si>
  <si>
    <t xml:space="preserve"> 73.3196 </t>
  </si>
  <si>
    <t xml:space="preserve">\\192.168.24.208\images\R&amp;D\Coralie\Triphenylphosphate\2021-CHG-CBA-TRIPHENYLP 2\plaque 2/@17 TriphenylP 0.18 + TESTO/H5_03.tif </t>
  </si>
  <si>
    <t xml:space="preserve"> 53750.2882 </t>
  </si>
  <si>
    <t xml:space="preserve"> 72.6085 </t>
  </si>
  <si>
    <t xml:space="preserve">\\192.168.24.208\images\R&amp;D\Coralie\Triphenylphosphate\2021-CHG-CBA-TRIPHENYLP 2\plaque 2/@17 TriphenylP 0.18 + TESTO/ </t>
  </si>
  <si>
    <t xml:space="preserve"> 72.5839 </t>
  </si>
  <si>
    <t xml:space="preserve"> 3.9292 </t>
  </si>
  <si>
    <t xml:space="preserve"> 3149051.38 </t>
  </si>
  <si>
    <t xml:space="preserve"> 1329686.1 </t>
  </si>
  <si>
    <t xml:space="preserve">\\192.168.24.208\images\R&amp;D\Coralie\Triphenylphosphate\2021-CHG-CBA-TRIPHENYLP 2\plaque 2/@18  TriphenylP 0.26 + TESTO/A6_01.tif </t>
  </si>
  <si>
    <t xml:space="preserve"> 40858.871 </t>
  </si>
  <si>
    <t xml:space="preserve"> 75.8227 </t>
  </si>
  <si>
    <t>\\192.168.24.208\images\R&amp;D\Coralie\Triphenylphosphate\2021-CHG-CBA-TRIPHENYLP 2\plaque 2/@18  TriphenylP 0.26 + TESTO/A6_02- exclu.tif</t>
  </si>
  <si>
    <t xml:space="preserve">\\192.168.24.208\images\R&amp;D\Coralie\Triphenylphosphate\2021-CHG-CBA-TRIPHENYLP 2\plaque 2/@18  TriphenylP 0.26 + TESTO/A6_03.tif </t>
  </si>
  <si>
    <t xml:space="preserve"> 72.2597 </t>
  </si>
  <si>
    <t xml:space="preserve">\\192.168.24.208\images\R&amp;D\Coralie\Triphenylphosphate\2021-CHG-CBA-TRIPHENYLP 2\plaque 2/@18  TriphenylP 0.26 + TESTO/B6_01.tif </t>
  </si>
  <si>
    <t xml:space="preserve"> 42956.9707 </t>
  </si>
  <si>
    <t xml:space="preserve"> 79.1415 </t>
  </si>
  <si>
    <t xml:space="preserve">\\192.168.24.208\images\R&amp;D\Coralie\Triphenylphosphate\2021-CHG-CBA-TRIPHENYLP 2\plaque 2/@18  TriphenylP 0.26 + TESTO/B6_02.tif </t>
  </si>
  <si>
    <t xml:space="preserve"> 42762.3017 </t>
  </si>
  <si>
    <t xml:space="preserve"> 75.8356 </t>
  </si>
  <si>
    <t xml:space="preserve">\\192.168.24.208\images\R&amp;D\Coralie\Triphenylphosphate\2021-CHG-CBA-TRIPHENYLP 2\plaque 2/@18  TriphenylP 0.26 + TESTO/B6_03.tif </t>
  </si>
  <si>
    <t xml:space="preserve"> 75.9213 </t>
  </si>
  <si>
    <t xml:space="preserve">\\192.168.24.208\images\R&amp;D\Coralie\Triphenylphosphate\2021-CHG-CBA-TRIPHENYLP 2\plaque 2/@18  TriphenylP 0.26 + TESTO/C6_01.tif </t>
  </si>
  <si>
    <t xml:space="preserve"> 83080.4253 </t>
  </si>
  <si>
    <t xml:space="preserve"> 82.9326 </t>
  </si>
  <si>
    <t xml:space="preserve">\\192.168.24.208\images\R&amp;D\Coralie\Triphenylphosphate\2021-CHG-CBA-TRIPHENYLP 2\plaque 2/@18  TriphenylP 0.26 + TESTO/C6_02.tif </t>
  </si>
  <si>
    <t xml:space="preserve"> 84356.5891 </t>
  </si>
  <si>
    <t xml:space="preserve"> 82.8787 </t>
  </si>
  <si>
    <t xml:space="preserve">\\192.168.24.208\images\R&amp;D\Coralie\Triphenylphosphate\2021-CHG-CBA-TRIPHENYLP 2\plaque 2/@18  TriphenylP 0.26 + TESTO/C6_03.tif </t>
  </si>
  <si>
    <t xml:space="preserve"> 81176.9945 </t>
  </si>
  <si>
    <t xml:space="preserve"> 83.5492 </t>
  </si>
  <si>
    <t xml:space="preserve">\\192.168.24.208\images\R&amp;D\Coralie\Triphenylphosphate\2021-CHG-CBA-TRIPHENYLP 2\plaque 2/@18  TriphenylP 0.26 + TESTO/D6_01.tif </t>
  </si>
  <si>
    <t xml:space="preserve"> 34845.7602 </t>
  </si>
  <si>
    <t xml:space="preserve"> 73.1179 </t>
  </si>
  <si>
    <t xml:space="preserve">\\192.168.24.208\images\R&amp;D\Coralie\Triphenylphosphate\2021-CHG-CBA-TRIPHENYLP 2\plaque 2/@18  TriphenylP 0.26 + TESTO/D6_02.tif </t>
  </si>
  <si>
    <t xml:space="preserve"> 35364.8777 </t>
  </si>
  <si>
    <t xml:space="preserve"> 73.3083 </t>
  </si>
  <si>
    <t xml:space="preserve">\\192.168.24.208\images\R&amp;D\Coralie\Triphenylphosphate\2021-CHG-CBA-TRIPHENYLP 2\plaque 2/@18  TriphenylP 0.26 + TESTO/D6_03.tif </t>
  </si>
  <si>
    <t xml:space="preserve"> 33310.0377 </t>
  </si>
  <si>
    <t xml:space="preserve"> 72.9513 </t>
  </si>
  <si>
    <t xml:space="preserve">\\192.168.24.208\images\R&amp;D\Coralie\Triphenylphosphate\2021-CHG-CBA-TRIPHENYLP 2\plaque 2/@18  TriphenylP 0.26 + TESTO/E6_01.tif </t>
  </si>
  <si>
    <t xml:space="preserve"> 70664.8658 </t>
  </si>
  <si>
    <t xml:space="preserve"> 78.139 </t>
  </si>
  <si>
    <t xml:space="preserve">\\192.168.24.208\images\R&amp;D\Coralie\Triphenylphosphate\2021-CHG-CBA-TRIPHENYLP 2\plaque 2/@18  TriphenylP 0.26 + TESTO/E6_02.tif </t>
  </si>
  <si>
    <t xml:space="preserve"> 79.2943 </t>
  </si>
  <si>
    <t xml:space="preserve">\\192.168.24.208\images\R&amp;D\Coralie\Triphenylphosphate\2021-CHG-CBA-TRIPHENYLP 2\plaque 2/@18  TriphenylP 0.26 + TESTO/E6_03.tif </t>
  </si>
  <si>
    <t xml:space="preserve"> 67312.2321 </t>
  </si>
  <si>
    <t xml:space="preserve"> 79.6475 </t>
  </si>
  <si>
    <t xml:space="preserve">\\192.168.24.208\images\R&amp;D\Coralie\Triphenylphosphate\2021-CHG-CBA-TRIPHENYLP 2\plaque 2/@18  TriphenylP 0.26 + TESTO/F6_01.tif </t>
  </si>
  <si>
    <t xml:space="preserve"> 43216.5295 </t>
  </si>
  <si>
    <t xml:space="preserve"> 74.1051 </t>
  </si>
  <si>
    <t xml:space="preserve">\\192.168.24.208\images\R&amp;D\Coralie\Triphenylphosphate\2021-CHG-CBA-TRIPHENYLP 2\plaque 2/@18  TriphenylP 0.26 + TESTO/F6_02.tif </t>
  </si>
  <si>
    <t xml:space="preserve"> 37852.3156 </t>
  </si>
  <si>
    <t xml:space="preserve"> 71.8869 </t>
  </si>
  <si>
    <t xml:space="preserve">\\192.168.24.208\images\R&amp;D\Coralie\Triphenylphosphate\2021-CHG-CBA-TRIPHENYLP 2\plaque 2/@18  TriphenylP 0.26 + TESTO/F6_03.tif </t>
  </si>
  <si>
    <t xml:space="preserve"> 71.2209 </t>
  </si>
  <si>
    <t xml:space="preserve">\\192.168.24.208\images\R&amp;D\Coralie\Triphenylphosphate\2021-CHG-CBA-TRIPHENYLP 2\plaque 2/@18  TriphenylP 0.26 + TESTO/G6_01.tif </t>
  </si>
  <si>
    <t xml:space="preserve"> 66252.3672 </t>
  </si>
  <si>
    <t xml:space="preserve"> 80.5067 </t>
  </si>
  <si>
    <t xml:space="preserve">\\192.168.24.208\images\R&amp;D\Coralie\Triphenylphosphate\2021-CHG-CBA-TRIPHENYLP 2\plaque 2/@18  TriphenylP 0.26 + TESTO/G6_02.tif </t>
  </si>
  <si>
    <t xml:space="preserve"> 60585.3349 </t>
  </si>
  <si>
    <t xml:space="preserve"> 90.6923 </t>
  </si>
  <si>
    <t xml:space="preserve">\\192.168.24.208\images\R&amp;D\Coralie\Triphenylphosphate\2021-CHG-CBA-TRIPHENYLP 2\plaque 2/@18  TriphenylP 0.26 + TESTO/G6_03.tif </t>
  </si>
  <si>
    <t xml:space="preserve"> 60239.2565 </t>
  </si>
  <si>
    <t xml:space="preserve"> 90.0557 </t>
  </si>
  <si>
    <t xml:space="preserve">\\192.168.24.208\images\R&amp;D\Coralie\Triphenylphosphate\2021-CHG-CBA-TRIPHENYLP 2\plaque 2/@18  TriphenylP 0.26 + TESTO/H6_01.tif </t>
  </si>
  <si>
    <t xml:space="preserve"> 61515.4203 </t>
  </si>
  <si>
    <t xml:space="preserve"> 79.6389 </t>
  </si>
  <si>
    <t xml:space="preserve">\\192.168.24.208\images\R&amp;D\Coralie\Triphenylphosphate\2021-CHG-CBA-TRIPHENYLP 2\plaque 2/@18  TriphenylP 0.26 + TESTO/H6_02.tif </t>
  </si>
  <si>
    <t xml:space="preserve"> 58681.9041 </t>
  </si>
  <si>
    <t xml:space="preserve"> 79.9311 </t>
  </si>
  <si>
    <t xml:space="preserve">\\192.168.24.208\images\R&amp;D\Coralie\Triphenylphosphate\2021-CHG-CBA-TRIPHENYLP 2\plaque 2/@18  TriphenylP 0.26 + TESTO/H6_03.tif </t>
  </si>
  <si>
    <t xml:space="preserve"> 55350.9004 </t>
  </si>
  <si>
    <t xml:space="preserve"> 81.1446 </t>
  </si>
  <si>
    <t xml:space="preserve">\\192.168.24.208\images\R&amp;D\Coralie\Triphenylphosphate\2021-CHG-CBA-TRIPHENYLP 2\plaque 2/@18  TriphenylP 0.26 + TESTO/ </t>
  </si>
  <si>
    <t xml:space="preserve"> 78.1636 </t>
  </si>
  <si>
    <t xml:space="preserve"> 5.382 </t>
  </si>
  <si>
    <t xml:space="preserve"> 4288964.88 </t>
  </si>
  <si>
    <t xml:space="preserve"> 1499697.23 </t>
  </si>
  <si>
    <t xml:space="preserve">\\192.168.24.208\images\R&amp;D\Coralie\Triphenylphosphate\2021-CHG-CBA-TRIPHENYLP 2\plaque 2/@19  TriphenylP 0.4 + TESTO/A7_01.tif </t>
  </si>
  <si>
    <t xml:space="preserve"> 77.0306 </t>
  </si>
  <si>
    <t xml:space="preserve">\\192.168.24.208\images\R&amp;D\Coralie\Triphenylphosphate\2021-CHG-CBA-TRIPHENYLP 2\plaque 2/@19  TriphenylP 0.4 + TESTO/A7_02.tif </t>
  </si>
  <si>
    <t xml:space="preserve"> 52236.1955 </t>
  </si>
  <si>
    <t xml:space="preserve"> 78.111 </t>
  </si>
  <si>
    <t>\\192.168.24.208\images\R&amp;D\Coralie\Triphenylphosphate\2021-CHG-CBA-TRIPHENYLP 2\plaque 2/@19  TriphenylP 0.4 + TESTO/A7_03- exclu.tif</t>
  </si>
  <si>
    <t xml:space="preserve">\\192.168.24.208\images\R&amp;D\Coralie\Triphenylphosphate\2021-CHG-CBA-TRIPHENYLP 2\plaque 2/@19  TriphenylP 0.4 + TESTO/B7_01.tif </t>
  </si>
  <si>
    <t xml:space="preserve"> 37830.6857 </t>
  </si>
  <si>
    <t xml:space="preserve"> 70.2173 </t>
  </si>
  <si>
    <t xml:space="preserve">\\192.168.24.208\images\R&amp;D\Coralie\Triphenylphosphate\2021-CHG-CBA-TRIPHENYLP 2\plaque 2/@19  TriphenylP 0.4 + TESTO/B7_02.tif </t>
  </si>
  <si>
    <t xml:space="preserve"> 38587.732 </t>
  </si>
  <si>
    <t xml:space="preserve"> 71.3907 </t>
  </si>
  <si>
    <t xml:space="preserve">\\192.168.24.208\images\R&amp;D\Coralie\Triphenylphosphate\2021-CHG-CBA-TRIPHENYLP 2\plaque 2/@19  TriphenylP 0.4 + TESTO/B7_03.tif </t>
  </si>
  <si>
    <t xml:space="preserve"> 39171.7392 </t>
  </si>
  <si>
    <t xml:space="preserve"> 70.4666 </t>
  </si>
  <si>
    <t xml:space="preserve">\\192.168.24.208\images\R&amp;D\Coralie\Triphenylphosphate\2021-CHG-CBA-TRIPHENYLP 2\plaque 2/@19  TriphenylP 0.4 + TESTO/C7_01.tif </t>
  </si>
  <si>
    <t xml:space="preserve"> 7224.3848 </t>
  </si>
  <si>
    <t xml:space="preserve"> 68.6078 </t>
  </si>
  <si>
    <t xml:space="preserve">\\192.168.24.208\images\R&amp;D\Coralie\Triphenylphosphate\2021-CHG-CBA-TRIPHENYLP 2\plaque 2/@19  TriphenylP 0.4 + TESTO/C7_02.tif </t>
  </si>
  <si>
    <t xml:space="preserve"> 67.8545 </t>
  </si>
  <si>
    <t xml:space="preserve">\\192.168.24.208\images\R&amp;D\Coralie\Triphenylphosphate\2021-CHG-CBA-TRIPHENYLP 2\plaque 2/@19  TriphenylP 0.4 + TESTO/C7_03.tif </t>
  </si>
  <si>
    <t xml:space="preserve"> 66.5532 </t>
  </si>
  <si>
    <t xml:space="preserve">\\192.168.24.208\images\R&amp;D\Coralie\Triphenylphosphate\2021-CHG-CBA-TRIPHENYLP 2\plaque 2/@19  TriphenylP 0.4 + TESTO/D7_01.tif </t>
  </si>
  <si>
    <t xml:space="preserve"> 79143.7844 </t>
  </si>
  <si>
    <t xml:space="preserve"> 85.5619 </t>
  </si>
  <si>
    <t>\\192.168.24.208\images\R&amp;D\Coralie\Triphenylphosphate\2021-CHG-CBA-TRIPHENYLP 2\plaque 2/@19  TriphenylP 0.4 + TESTO/D7_02- exclu.tif</t>
  </si>
  <si>
    <t xml:space="preserve">\\192.168.24.208\images\R&amp;D\Coralie\Triphenylphosphate\2021-CHG-CBA-TRIPHENYLP 2\plaque 2/@19  TriphenylP 0.4 + TESTO/D7_03.tif </t>
  </si>
  <si>
    <t xml:space="preserve"> 72849.4851 </t>
  </si>
  <si>
    <t xml:space="preserve"> 84.677 </t>
  </si>
  <si>
    <t xml:space="preserve">\\192.168.24.208\images\R&amp;D\Coralie\Triphenylphosphate\2021-CHG-CBA-TRIPHENYLP 2\plaque 2/@19  TriphenylP 0.4 + TESTO/E7_01.tif </t>
  </si>
  <si>
    <t xml:space="preserve"> 74752.9158 </t>
  </si>
  <si>
    <t xml:space="preserve"> 82.4473 </t>
  </si>
  <si>
    <t xml:space="preserve">\\192.168.24.208\images\R&amp;D\Coralie\Triphenylphosphate\2021-CHG-CBA-TRIPHENYLP 2\plaque 2/@19  TriphenylP 0.4 + TESTO/E7_02.tif </t>
  </si>
  <si>
    <t xml:space="preserve"> 81.3313 </t>
  </si>
  <si>
    <t xml:space="preserve">\\192.168.24.208\images\R&amp;D\Coralie\Triphenylphosphate\2021-CHG-CBA-TRIPHENYLP 2\plaque 2/@19  TriphenylP 0.4 + TESTO/E7_03.tif </t>
  </si>
  <si>
    <t xml:space="preserve"> 75574.8518 </t>
  </si>
  <si>
    <t xml:space="preserve"> 81.508 </t>
  </si>
  <si>
    <t xml:space="preserve">\\192.168.24.208\images\R&amp;D\Coralie\Triphenylphosphate\2021-CHG-CBA-TRIPHENYLP 2\plaque 2/@19  TriphenylP 0.4 + TESTO/F7_01.tif </t>
  </si>
  <si>
    <t xml:space="preserve"> 67593.4207 </t>
  </si>
  <si>
    <t xml:space="preserve"> 76.1382 </t>
  </si>
  <si>
    <t xml:space="preserve">\\192.168.24.208\images\R&amp;D\Coralie\Triphenylphosphate\2021-CHG-CBA-TRIPHENYLP 2\plaque 2/@19  TriphenylP 0.4 + TESTO/F7_02.tif </t>
  </si>
  <si>
    <t xml:space="preserve"> 62791.5841 </t>
  </si>
  <si>
    <t xml:space="preserve"> 74.9759 </t>
  </si>
  <si>
    <t xml:space="preserve">\\192.168.24.208\images\R&amp;D\Coralie\Triphenylphosphate\2021-CHG-CBA-TRIPHENYLP 2\plaque 2/@19  TriphenylP 0.4 + TESTO/F7_03.tif </t>
  </si>
  <si>
    <t xml:space="preserve"> 60390.6658 </t>
  </si>
  <si>
    <t xml:space="preserve"> 73.914 </t>
  </si>
  <si>
    <t xml:space="preserve">\\192.168.24.208\images\R&amp;D\Coralie\Triphenylphosphate\2021-CHG-CBA-TRIPHENYLP 2\plaque 2/@19  TriphenylP 0.4 + TESTO/G7_01.tif </t>
  </si>
  <si>
    <t xml:space="preserve"> 53923.3273 </t>
  </si>
  <si>
    <t xml:space="preserve"> 70.9081 </t>
  </si>
  <si>
    <t xml:space="preserve">\\192.168.24.208\images\R&amp;D\Coralie\Triphenylphosphate\2021-CHG-CBA-TRIPHENYLP 2\plaque 2/@19  TriphenylP 0.4 + TESTO/G7_02.tif </t>
  </si>
  <si>
    <t xml:space="preserve"> 45898.6364 </t>
  </si>
  <si>
    <t xml:space="preserve"> 69.0523 </t>
  </si>
  <si>
    <t xml:space="preserve">\\192.168.24.208\images\R&amp;D\Coralie\Triphenylphosphate\2021-CHG-CBA-TRIPHENYLP 2\plaque 2/@19  TriphenylP 0.4 + TESTO/G7_03.tif </t>
  </si>
  <si>
    <t xml:space="preserve"> 57189.4414 </t>
  </si>
  <si>
    <t xml:space="preserve"> 70.0129 </t>
  </si>
  <si>
    <t xml:space="preserve">\\192.168.24.208\images\R&amp;D\Coralie\Triphenylphosphate\2021-CHG-CBA-TRIPHENYLP 2\plaque 2/@19  TriphenylP 0.4 + TESTO/H7_01.tif </t>
  </si>
  <si>
    <t xml:space="preserve"> 76.8078 </t>
  </si>
  <si>
    <t xml:space="preserve">\\192.168.24.208\images\R&amp;D\Coralie\Triphenylphosphate\2021-CHG-CBA-TRIPHENYLP 2\plaque 2/@19  TriphenylP 0.4 + TESTO/H7_02.tif </t>
  </si>
  <si>
    <t xml:space="preserve"> 30108.8133 </t>
  </si>
  <si>
    <t xml:space="preserve"> 75.3376 </t>
  </si>
  <si>
    <t xml:space="preserve">\\192.168.24.208\images\R&amp;D\Coralie\Triphenylphosphate\2021-CHG-CBA-TRIPHENYLP 2\plaque 2/@19  TriphenylP 0.4 + TESTO/H7_03.tif </t>
  </si>
  <si>
    <t xml:space="preserve"> 34218.4933 </t>
  </si>
  <si>
    <t xml:space="preserve"> 76.737 </t>
  </si>
  <si>
    <t xml:space="preserve">\\192.168.24.208\images\R&amp;D\Coralie\Triphenylphosphate\2021-CHG-CBA-TRIPHENYLP 2\plaque 2/@19  TriphenylP 0.4 + TESTO/ </t>
  </si>
  <si>
    <t xml:space="preserve"> 75.5639 </t>
  </si>
  <si>
    <t xml:space="preserve"> 5.9845 </t>
  </si>
  <si>
    <t xml:space="preserve"> 3755121.83 </t>
  </si>
  <si>
    <t xml:space="preserve"> 1818923.08 </t>
  </si>
  <si>
    <t xml:space="preserve">\\192.168.24.208\images\R&amp;D\Coralie\Triphenylphosphate\2021-CHG-CBA-TRIPHENYLP 2\plaque 2/@20  TriphenylP 0.59 + TESTO/A8_01.tif </t>
  </si>
  <si>
    <t xml:space="preserve"> 39106.8495 </t>
  </si>
  <si>
    <t xml:space="preserve"> 76.4519 </t>
  </si>
  <si>
    <t xml:space="preserve">\\192.168.24.208\images\R&amp;D\Coralie\Triphenylphosphate\2021-CHG-CBA-TRIPHENYLP 2\plaque 2/@20  TriphenylP 0.59 + TESTO/A8_02.tif </t>
  </si>
  <si>
    <t xml:space="preserve"> 39755.7463 </t>
  </si>
  <si>
    <t xml:space="preserve"> 75.6104 </t>
  </si>
  <si>
    <t xml:space="preserve">\\192.168.24.208\images\R&amp;D\Coralie\Triphenylphosphate\2021-CHG-CBA-TRIPHENYLP 2\plaque 2/@20  TriphenylP 0.59 + TESTO/A8_03.tif </t>
  </si>
  <si>
    <t xml:space="preserve"> 76.2866 </t>
  </si>
  <si>
    <t xml:space="preserve">\\192.168.24.208\images\R&amp;D\Coralie\Triphenylphosphate\2021-CHG-CBA-TRIPHENYLP 2\plaque 2/@20  TriphenylP 0.59 + TESTO/B8_01.tif </t>
  </si>
  <si>
    <t xml:space="preserve"> 9214.3351 </t>
  </si>
  <si>
    <t xml:space="preserve"> 69.284 </t>
  </si>
  <si>
    <t xml:space="preserve">\\192.168.24.208\images\R&amp;D\Coralie\Triphenylphosphate\2021-CHG-CBA-TRIPHENYLP 2\plaque 2/@20  TriphenylP 0.59 + TESTO/B8_02.tif </t>
  </si>
  <si>
    <t xml:space="preserve"> 7332.5343 </t>
  </si>
  <si>
    <t xml:space="preserve"> 70.0472 </t>
  </si>
  <si>
    <t xml:space="preserve">\\192.168.24.208\images\R&amp;D\Coralie\Triphenylphosphate\2021-CHG-CBA-TRIPHENYLP 2\plaque 2/@20  TriphenylP 0.59 + TESTO/B8_03.tif </t>
  </si>
  <si>
    <t xml:space="preserve"> 68.3773 </t>
  </si>
  <si>
    <t xml:space="preserve">\\192.168.24.208\images\R&amp;D\Coralie\Triphenylphosphate\2021-CHG-CBA-TRIPHENYLP 2\plaque 2/@20  TriphenylP 0.59 + TESTO/C8_01.tif </t>
  </si>
  <si>
    <t xml:space="preserve"> 58400.7155 </t>
  </si>
  <si>
    <t xml:space="preserve"> 77.9067 </t>
  </si>
  <si>
    <t xml:space="preserve">\\192.168.24.208\images\R&amp;D\Coralie\Triphenylphosphate\2021-CHG-CBA-TRIPHENYLP 2\plaque 2/@20  TriphenylP 0.59 + TESTO/C8_02.tif </t>
  </si>
  <si>
    <t xml:space="preserve"> 78.2871 </t>
  </si>
  <si>
    <t>\\192.168.24.208\images\R&amp;D\Coralie\Triphenylphosphate\2021-CHG-CBA-TRIPHENYLP 2\plaque 2/@20  TriphenylP 0.59 + TESTO/C8_03- exclu.tif</t>
  </si>
  <si>
    <t xml:space="preserve">\\192.168.24.208\images\R&amp;D\Coralie\Triphenylphosphate\2021-CHG-CBA-TRIPHENYLP 2\plaque 2/@20  TriphenylP 0.59 + TESTO/D8_01.tif </t>
  </si>
  <si>
    <t xml:space="preserve"> 38760.7712 </t>
  </si>
  <si>
    <t xml:space="preserve"> 81.2924 </t>
  </si>
  <si>
    <t xml:space="preserve">\\192.168.24.208\images\R&amp;D\Coralie\Triphenylphosphate\2021-CHG-CBA-TRIPHENYLP 2\plaque 2/@20  TriphenylP 0.59 + TESTO/D8_02.tif </t>
  </si>
  <si>
    <t xml:space="preserve"> 74.776 </t>
  </si>
  <si>
    <t xml:space="preserve">\\192.168.24.208\images\R&amp;D\Coralie\Triphenylphosphate\2021-CHG-CBA-TRIPHENYLP 2\plaque 2/@20  TriphenylP 0.59 + TESTO/D8_03.tif </t>
  </si>
  <si>
    <t xml:space="preserve"> 37549.4971 </t>
  </si>
  <si>
    <t xml:space="preserve"> 79.4078 </t>
  </si>
  <si>
    <t>\\192.168.24.208\images\R&amp;D\Coralie\Triphenylphosphate\2021-CHG-CBA-TRIPHENYLP 2\plaque 2/@20  TriphenylP 0.59 + TESTO/E8_01- exclu.tif</t>
  </si>
  <si>
    <t xml:space="preserve">\\192.168.24.208\images\R&amp;D\Coralie\Triphenylphosphate\2021-CHG-CBA-TRIPHENYLP 2\plaque 2/@20  TriphenylP 0.59 + TESTO/E8_02.tif </t>
  </si>
  <si>
    <t xml:space="preserve"> 72287.1078 </t>
  </si>
  <si>
    <t xml:space="preserve"> 83.2038 </t>
  </si>
  <si>
    <t xml:space="preserve">\\192.168.24.208\images\R&amp;D\Coralie\Triphenylphosphate\2021-CHG-CBA-TRIPHENYLP 2\plaque 2/@20  TriphenylP 0.59 + TESTO/E8_03.tif </t>
  </si>
  <si>
    <t xml:space="preserve"> 75466.7024 </t>
  </si>
  <si>
    <t xml:space="preserve"> 83.5076 </t>
  </si>
  <si>
    <t xml:space="preserve">\\192.168.24.208\images\R&amp;D\Coralie\Triphenylphosphate\2021-CHG-CBA-TRIPHENYLP 2\plaque 2/@20  TriphenylP 0.59 + TESTO/F8_01.tif </t>
  </si>
  <si>
    <t xml:space="preserve"> 76.5132 </t>
  </si>
  <si>
    <t xml:space="preserve">\\192.168.24.208\images\R&amp;D\Coralie\Triphenylphosphate\2021-CHG-CBA-TRIPHENYLP 2\plaque 2/@20  TriphenylP 0.59 + TESTO/F8_02.tif </t>
  </si>
  <si>
    <t xml:space="preserve"> 44038.4655 </t>
  </si>
  <si>
    <t xml:space="preserve"> 78.9656 </t>
  </si>
  <si>
    <t xml:space="preserve">\\192.168.24.208\images\R&amp;D\Coralie\Triphenylphosphate\2021-CHG-CBA-TRIPHENYLP 2\plaque 2/@20  TriphenylP 0.59 + TESTO/F8_03.tif </t>
  </si>
  <si>
    <t xml:space="preserve"> 40599.3122 </t>
  </si>
  <si>
    <t xml:space="preserve"> 78.5733 </t>
  </si>
  <si>
    <t xml:space="preserve">\\192.168.24.208\images\R&amp;D\Coralie\Triphenylphosphate\2021-CHG-CBA-TRIPHENYLP 2\plaque 2/@20  TriphenylP 0.59 + TESTO/G8_01.tif </t>
  </si>
  <si>
    <t xml:space="preserve"> 39236.6289 </t>
  </si>
  <si>
    <t xml:space="preserve"> 77.4096 </t>
  </si>
  <si>
    <t xml:space="preserve">\\192.168.24.208\images\R&amp;D\Coralie\Triphenylphosphate\2021-CHG-CBA-TRIPHENYLP 2\plaque 2/@20  TriphenylP 0.59 + TESTO/G8_02.tif </t>
  </si>
  <si>
    <t xml:space="preserve"> 36835.7106 </t>
  </si>
  <si>
    <t xml:space="preserve"> 78.9436 </t>
  </si>
  <si>
    <t xml:space="preserve">\\192.168.24.208\images\R&amp;D\Coralie\Triphenylphosphate\2021-CHG-CBA-TRIPHENYLP 2\plaque 2/@20  TriphenylP 0.59 + TESTO/G8_03.tif </t>
  </si>
  <si>
    <t xml:space="preserve"> 35775.8457 </t>
  </si>
  <si>
    <t xml:space="preserve"> 78.5677 </t>
  </si>
  <si>
    <t xml:space="preserve">\\192.168.24.208\images\R&amp;D\Coralie\Triphenylphosphate\2021-CHG-CBA-TRIPHENYLP 2\plaque 2/@20  TriphenylP 0.59 + TESTO/H8_01.tif </t>
  </si>
  <si>
    <t xml:space="preserve"> 79.8976 </t>
  </si>
  <si>
    <t xml:space="preserve">\\192.168.24.208\images\R&amp;D\Coralie\Triphenylphosphate\2021-CHG-CBA-TRIPHENYLP 2\plaque 2/@20  TriphenylP 0.59 + TESTO/H8_02.tif </t>
  </si>
  <si>
    <t xml:space="preserve"> 78170.4392 </t>
  </si>
  <si>
    <t xml:space="preserve">\\192.168.24.208\images\R&amp;D\Coralie\Triphenylphosphate\2021-CHG-CBA-TRIPHENYLP 2\plaque 2/@20  TriphenylP 0.59 + TESTO/H8_03.tif </t>
  </si>
  <si>
    <t xml:space="preserve"> 76980.795 </t>
  </si>
  <si>
    <t xml:space="preserve"> 77.8828 </t>
  </si>
  <si>
    <t xml:space="preserve">\\192.168.24.208\images\R&amp;D\Coralie\Triphenylphosphate\2021-CHG-CBA-TRIPHENYLP 2\plaque 2/@20  TriphenylP 0.59 + TESTO/ </t>
  </si>
  <si>
    <t xml:space="preserve"> 76.9999 </t>
  </si>
  <si>
    <t xml:space="preserve"> 3.8373 </t>
  </si>
  <si>
    <t xml:space="preserve"> 3730032.88 </t>
  </si>
  <si>
    <t xml:space="preserve"> 1791451.18 </t>
  </si>
  <si>
    <t xml:space="preserve">\\192.168.24.208\images\R&amp;D\Coralie\Triphenylphosphate\2021-CHG-CBA-TRIPHENYLP 2\plaque 2/@21 TriphenylP 0.89 + TESTO/A9_01.tif </t>
  </si>
  <si>
    <t xml:space="preserve"> 76.4661 </t>
  </si>
  <si>
    <t xml:space="preserve">\\192.168.24.208\images\R&amp;D\Coralie\Triphenylphosphate\2021-CHG-CBA-TRIPHENYLP 2\plaque 2/@21 TriphenylP 0.89 + TESTO/A9_02.tif </t>
  </si>
  <si>
    <t xml:space="preserve"> 76.8656 </t>
  </si>
  <si>
    <t xml:space="preserve">\\192.168.24.208\images\R&amp;D\Coralie\Triphenylphosphate\2021-CHG-CBA-TRIPHENYLP 2\plaque 2/@21 TriphenylP 0.89 + TESTO/A9_03.tif </t>
  </si>
  <si>
    <t xml:space="preserve"> 76.6757 </t>
  </si>
  <si>
    <t xml:space="preserve">\\192.168.24.208\images\R&amp;D\Coralie\Triphenylphosphate\2021-CHG-CBA-TRIPHENYLP 2\plaque 2/@21 TriphenylP 0.89 + TESTO/B9_01.tif </t>
  </si>
  <si>
    <t xml:space="preserve"> 32963.9594 </t>
  </si>
  <si>
    <t xml:space="preserve"> 78.6463 </t>
  </si>
  <si>
    <t xml:space="preserve">\\192.168.24.208\images\R&amp;D\Coralie\Triphenylphosphate\2021-CHG-CBA-TRIPHENYLP 2\plaque 2/@21 TriphenylP 0.89 + TESTO/B9_02.tif </t>
  </si>
  <si>
    <t xml:space="preserve"> 25393.4963 </t>
  </si>
  <si>
    <t xml:space="preserve"> 77.6312 </t>
  </si>
  <si>
    <t xml:space="preserve">\\192.168.24.208\images\R&amp;D\Coralie\Triphenylphosphate\2021-CHG-CBA-TRIPHENYLP 2\plaque 2/@21 TriphenylP 0.89 + TESTO/B9_03.tif </t>
  </si>
  <si>
    <t xml:space="preserve"> 29849.2546 </t>
  </si>
  <si>
    <t xml:space="preserve"> 80.8942 </t>
  </si>
  <si>
    <t xml:space="preserve">\\192.168.24.208\images\R&amp;D\Coralie\Triphenylphosphate\2021-CHG-CBA-TRIPHENYLP 2\plaque 2/@21 TriphenylP 0.89 + TESTO/C9_01.tif </t>
  </si>
  <si>
    <t xml:space="preserve"> 68328.8371 </t>
  </si>
  <si>
    <t xml:space="preserve"> 76.0874 </t>
  </si>
  <si>
    <t xml:space="preserve">\\192.168.24.208\images\R&amp;D\Coralie\Triphenylphosphate\2021-CHG-CBA-TRIPHENYLP 2\plaque 2/@21 TriphenylP 0.89 + TESTO/C9_02.tif </t>
  </si>
  <si>
    <t xml:space="preserve"> 59676.8793 </t>
  </si>
  <si>
    <t xml:space="preserve"> 74.6988 </t>
  </si>
  <si>
    <t xml:space="preserve">\\192.168.24.208\images\R&amp;D\Coralie\Triphenylphosphate\2021-CHG-CBA-TRIPHENYLP 2\plaque 2/@21 TriphenylP 0.89 + TESTO/C9_03.tif </t>
  </si>
  <si>
    <t xml:space="preserve"> 61753.3492 </t>
  </si>
  <si>
    <t xml:space="preserve"> 75.9727 </t>
  </si>
  <si>
    <t xml:space="preserve">\\192.168.24.208\images\R&amp;D\Coralie\Triphenylphosphate\2021-CHG-CBA-TRIPHENYLP 2\plaque 2/@21 TriphenylP 0.89 + TESTO/D9_01.tif </t>
  </si>
  <si>
    <t xml:space="preserve"> 67744.83 </t>
  </si>
  <si>
    <t xml:space="preserve"> 92.2254 </t>
  </si>
  <si>
    <t xml:space="preserve">\\192.168.24.208\images\R&amp;D\Coralie\Triphenylphosphate\2021-CHG-CBA-TRIPHENYLP 2\plaque 2/@21 TriphenylP 0.89 + TESTO/D9_02.tif </t>
  </si>
  <si>
    <t xml:space="preserve"> 91.2103 </t>
  </si>
  <si>
    <t xml:space="preserve">\\192.168.24.208\images\R&amp;D\Coralie\Triphenylphosphate\2021-CHG-CBA-TRIPHENYLP 2\plaque 2/@21 TriphenylP 0.89 + TESTO/D9_03.tif </t>
  </si>
  <si>
    <t xml:space="preserve"> 63462.1108 </t>
  </si>
  <si>
    <t xml:space="preserve"> 88.2001 </t>
  </si>
  <si>
    <t xml:space="preserve">\\192.168.24.208\images\R&amp;D\Coralie\Triphenylphosphate\2021-CHG-CBA-TRIPHENYLP 2\plaque 2/@21 TriphenylP 0.89 + TESTO/E9_01.tif </t>
  </si>
  <si>
    <t xml:space="preserve"> 51219.5905 </t>
  </si>
  <si>
    <t xml:space="preserve"> 84.5828 </t>
  </si>
  <si>
    <t xml:space="preserve">\\192.168.24.208\images\R&amp;D\Coralie\Triphenylphosphate\2021-CHG-CBA-TRIPHENYLP 2\plaque 2/@21 TriphenylP 0.89 + TESTO/E9_02.tif </t>
  </si>
  <si>
    <t xml:space="preserve"> 53339.3202 </t>
  </si>
  <si>
    <t xml:space="preserve"> 78.0239 </t>
  </si>
  <si>
    <t xml:space="preserve">\\192.168.24.208\images\R&amp;D\Coralie\Triphenylphosphate\2021-CHG-CBA-TRIPHENYLP 2\plaque 2/@21 TriphenylP 0.89 + TESTO/E9_03.tif </t>
  </si>
  <si>
    <t xml:space="preserve"> 49878.537 </t>
  </si>
  <si>
    <t xml:space="preserve"> 83.046 </t>
  </si>
  <si>
    <t xml:space="preserve">\\192.168.24.208\images\R&amp;D\Coralie\Triphenylphosphate\2021-CHG-CBA-TRIPHENYLP 2\plaque 2/@21 TriphenylP 0.89 + TESTO/F9_01.tif </t>
  </si>
  <si>
    <t xml:space="preserve"> 73498.3819 </t>
  </si>
  <si>
    <t xml:space="preserve"> 79.3016 </t>
  </si>
  <si>
    <t xml:space="preserve">\\192.168.24.208\images\R&amp;D\Coralie\Triphenylphosphate\2021-CHG-CBA-TRIPHENYLP 2\plaque 2/@21 TriphenylP 0.89 + TESTO/F9_02.tif </t>
  </si>
  <si>
    <t xml:space="preserve"> 70470.1967 </t>
  </si>
  <si>
    <t xml:space="preserve"> 79.7106 </t>
  </si>
  <si>
    <t xml:space="preserve">\\192.168.24.208\images\R&amp;D\Coralie\Triphenylphosphate\2021-CHG-CBA-TRIPHENYLP 2\plaque 2/@21 TriphenylP 0.89 + TESTO/F9_03.tif </t>
  </si>
  <si>
    <t xml:space="preserve"> 60542.0751 </t>
  </si>
  <si>
    <t xml:space="preserve"> 78.1072 </t>
  </si>
  <si>
    <t>\\192.168.24.208\images\R&amp;D\Coralie\Triphenylphosphate\2021-CHG-CBA-TRIPHENYLP 2\plaque 2/@21 TriphenylP 0.89 + TESTO/G9_01- exclu.tif</t>
  </si>
  <si>
    <t xml:space="preserve">\\192.168.24.208\images\R&amp;D\Coralie\Triphenylphosphate\2021-CHG-CBA-TRIPHENYLP 2\plaque 2/@21 TriphenylP 0.89 + TESTO/G9_02.tif </t>
  </si>
  <si>
    <t xml:space="preserve"> 33699.3758 </t>
  </si>
  <si>
    <t xml:space="preserve"> 72.2189 </t>
  </si>
  <si>
    <t xml:space="preserve">\\192.168.24.208\images\R&amp;D\Coralie\Triphenylphosphate\2021-CHG-CBA-TRIPHENYLP 2\plaque 2/@21 TriphenylP 0.89 + TESTO/G9_03.tif </t>
  </si>
  <si>
    <t xml:space="preserve"> 33115.3687 </t>
  </si>
  <si>
    <t xml:space="preserve"> 71.789 </t>
  </si>
  <si>
    <t xml:space="preserve">\\192.168.24.208\images\R&amp;D\Coralie\Triphenylphosphate\2021-CHG-CBA-TRIPHENYLP 2\plaque 2/@21 TriphenylP 0.89 + TESTO/H9_01.tif </t>
  </si>
  <si>
    <t xml:space="preserve"> 57449.0001 </t>
  </si>
  <si>
    <t xml:space="preserve"> 82.1965 </t>
  </si>
  <si>
    <t xml:space="preserve">\\192.168.24.208\images\R&amp;D\Coralie\Triphenylphosphate\2021-CHG-CBA-TRIPHENYLP 2\plaque 2/@21 TriphenylP 0.89 + TESTO/H9_02.tif </t>
  </si>
  <si>
    <t xml:space="preserve"> 54572.2241 </t>
  </si>
  <si>
    <t xml:space="preserve"> 82.1233 </t>
  </si>
  <si>
    <t xml:space="preserve">\\192.168.24.208\images\R&amp;D\Coralie\Triphenylphosphate\2021-CHG-CBA-TRIPHENYLP 2\plaque 2/@21 TriphenylP 0.89 + TESTO/H9_03.tif </t>
  </si>
  <si>
    <t xml:space="preserve"> 58617.0144 </t>
  </si>
  <si>
    <t xml:space="preserve"> 78.4886 </t>
  </si>
  <si>
    <t xml:space="preserve">\\192.168.24.208\images\R&amp;D\Coralie\Triphenylphosphate\2021-CHG-CBA-TRIPHENYLP 2\plaque 2/@21 TriphenylP 0.89 + TESTO/ </t>
  </si>
  <si>
    <t xml:space="preserve"> 79.1121 </t>
  </si>
  <si>
    <t xml:space="preserve"> 6.1641 </t>
  </si>
  <si>
    <t xml:space="preserve"> 4150815.54 </t>
  </si>
  <si>
    <t xml:space="preserve"> 1367086.22 </t>
  </si>
  <si>
    <t>08 TriphenylP 0.18</t>
  </si>
  <si>
    <t>09 TriphenylP 0.26</t>
  </si>
  <si>
    <t>10 TriphenylP 0.4</t>
  </si>
  <si>
    <t>11 TriphenylP 0.59</t>
  </si>
  <si>
    <t>12 TriphenylP 0.89</t>
  </si>
  <si>
    <t>13 TESTO</t>
  </si>
  <si>
    <t>14 TESTO</t>
  </si>
  <si>
    <t>15 TESTO + EE2</t>
  </si>
  <si>
    <t>16 TESTO + FAD</t>
  </si>
  <si>
    <t>17 TriphenylP 0.18 + TESTO</t>
  </si>
  <si>
    <t>18  TriphenylP 0.26 + TESTO</t>
  </si>
  <si>
    <t>19  TriphenylP 0.4 + TESTO</t>
  </si>
  <si>
    <t>20  TriphenylP 0.59 + TESTO</t>
  </si>
  <si>
    <t>21 TriphenylP 0.89 + TESTO</t>
  </si>
  <si>
    <t xml:space="preserve">C:\Users\lmarliere\Desktop\2021-CHG-CBA-TRIPHENYLP 3\plaque 1/@01 TS/A1_01.tif </t>
  </si>
  <si>
    <t xml:space="preserve"> 64.6683 </t>
  </si>
  <si>
    <t xml:space="preserve">C:\Users\lmarliere\Desktop\2021-CHG-CBA-TRIPHENYLP 3\plaque 1/@01 TS/A1_02.tif </t>
  </si>
  <si>
    <t xml:space="preserve"> 63.816 </t>
  </si>
  <si>
    <t xml:space="preserve">C:\Users\lmarliere\Desktop\2021-CHG-CBA-TRIPHENYLP 3\plaque 1/@01 TS/A1_03.tif </t>
  </si>
  <si>
    <t xml:space="preserve"> 2292.7688 </t>
  </si>
  <si>
    <t xml:space="preserve"> 65.0943 </t>
  </si>
  <si>
    <t xml:space="preserve">C:\Users\lmarliere\Desktop\2021-CHG-CBA-TRIPHENYLP 3\plaque 1/@01 TS/B1_01.tif </t>
  </si>
  <si>
    <t xml:space="preserve"> 67.2273 </t>
  </si>
  <si>
    <t xml:space="preserve">C:\Users\lmarliere\Desktop\2021-CHG-CBA-TRIPHENYLP 3\plaque 1/@01 TS/B1_03.tif </t>
  </si>
  <si>
    <t xml:space="preserve"> 1578.9823 </t>
  </si>
  <si>
    <t xml:space="preserve"> 66.0548 </t>
  </si>
  <si>
    <t xml:space="preserve">C:\Users\lmarliere\Desktop\2021-CHG-CBA-TRIPHENYLP 3\plaque 1/@01 TS/C1_01.tif </t>
  </si>
  <si>
    <t xml:space="preserve"> 10036.2711 </t>
  </si>
  <si>
    <t xml:space="preserve"> 71.6207 </t>
  </si>
  <si>
    <t xml:space="preserve">C:\Users\lmarliere\Desktop\2021-CHG-CBA-TRIPHENYLP 3\plaque 1/@01 TS/C1_02.tif </t>
  </si>
  <si>
    <t xml:space="preserve"> 74.4809 </t>
  </si>
  <si>
    <t xml:space="preserve">C:\Users\lmarliere\Desktop\2021-CHG-CBA-TRIPHENYLP 3\plaque 1/@01 TS/C1_03.tif </t>
  </si>
  <si>
    <t xml:space="preserve"> 78.8831 </t>
  </si>
  <si>
    <t xml:space="preserve">C:\Users\lmarliere\Desktop\2021-CHG-CBA-TRIPHENYLP 3\plaque 1/@01 TS/D1_01.tif </t>
  </si>
  <si>
    <t xml:space="preserve"> 648.8968 </t>
  </si>
  <si>
    <t xml:space="preserve"> 61.9667 </t>
  </si>
  <si>
    <t>C:\Users\lmarliere\Desktop\2021-CHG-CBA-TRIPHENYLP 3\plaque 1/@01 TS/D1_02- exclu.tif</t>
  </si>
  <si>
    <t xml:space="preserve">C:\Users\lmarliere\Desktop\2021-CHG-CBA-TRIPHENYLP 3\plaque 1/@01 TS/D1_03.tif </t>
  </si>
  <si>
    <t xml:space="preserve"> 64.7297 </t>
  </si>
  <si>
    <t xml:space="preserve">C:\Users\lmarliere\Desktop\2021-CHG-CBA-TRIPHENYLP 3\plaque 1/@01 TS/E1_01.tif </t>
  </si>
  <si>
    <t xml:space="preserve"> 62.8898 </t>
  </si>
  <si>
    <t xml:space="preserve">C:\Users\lmarliere\Desktop\2021-CHG-CBA-TRIPHENYLP 3\plaque 1/@01 TS/E1_02.tif </t>
  </si>
  <si>
    <t xml:space="preserve"> 64.4214 </t>
  </si>
  <si>
    <t xml:space="preserve">C:\Users\lmarliere\Desktop\2021-CHG-CBA-TRIPHENYLP 3\plaque 1/@01 TS/E1_03.tif </t>
  </si>
  <si>
    <t xml:space="preserve"> 63.9111 </t>
  </si>
  <si>
    <t>C:\Users\lmarliere\Desktop\2021-CHG-CBA-TRIPHENYLP 3\plaque 1/@01 TS/F1_01- exclu.tif</t>
  </si>
  <si>
    <t>C:\Users\lmarliere\Desktop\2021-CHG-CBA-TRIPHENYLP 3\plaque 1/@01 TS/F1_02- exclu.tif</t>
  </si>
  <si>
    <t xml:space="preserve">C:\Users\lmarliere\Desktop\2021-CHG-CBA-TRIPHENYLP 3\plaque 1/@01 TS/F1_03.tif </t>
  </si>
  <si>
    <t xml:space="preserve">C:\Users\lmarliere\Desktop\2021-CHG-CBA-TRIPHENYLP 3\plaque 1/@01 TS/G1_01.tif </t>
  </si>
  <si>
    <t xml:space="preserve"> 1838.541 </t>
  </si>
  <si>
    <t xml:space="preserve"> 68.8588 </t>
  </si>
  <si>
    <t>C:\Users\lmarliere\Desktop\2021-CHG-CBA-TRIPHENYLP 3\plaque 1/@01 TS/G1_02- exclu.tif</t>
  </si>
  <si>
    <t>C:\Users\lmarliere\Desktop\2021-CHG-CBA-TRIPHENYLP 3\plaque 1/@01 TS/G1_03- exclu.tif</t>
  </si>
  <si>
    <t xml:space="preserve">C:\Users\lmarliere\Desktop\2021-CHG-CBA-TRIPHENYLP 3\plaque 1/@01 TS/H1_01.tif </t>
  </si>
  <si>
    <t xml:space="preserve"> 66.9257 </t>
  </si>
  <si>
    <t xml:space="preserve">C:\Users\lmarliere\Desktop\2021-CHG-CBA-TRIPHENYLP 3\plaque 1/@01 TS/H1_02.tif </t>
  </si>
  <si>
    <t xml:space="preserve"> 69.0766 </t>
  </si>
  <si>
    <t xml:space="preserve">C:\Users\lmarliere\Desktop\2021-CHG-CBA-TRIPHENYLP 3\plaque 1/@01 TS/H1_03.tif </t>
  </si>
  <si>
    <t xml:space="preserve"> 71.4884 </t>
  </si>
  <si>
    <t xml:space="preserve">C:\Users\lmarliere\Desktop\2021-CHG-CBA-TRIPHENYLP 3\plaque 1/@01 TS/ </t>
  </si>
  <si>
    <t xml:space="preserve"> 66.4487 </t>
  </si>
  <si>
    <t xml:space="preserve"> 4.2201 </t>
  </si>
  <si>
    <t xml:space="preserve"> 277531.304 </t>
  </si>
  <si>
    <t xml:space="preserve"> 265358.664 </t>
  </si>
  <si>
    <t xml:space="preserve">C:\Users\lmarliere\Desktop\2021-CHG-CBA-TRIPHENYLP 3\plaque 1/@02 EE2 34/A2_01.tif </t>
  </si>
  <si>
    <t xml:space="preserve"> 64.0825 </t>
  </si>
  <si>
    <t xml:space="preserve">C:\Users\lmarliere\Desktop\2021-CHG-CBA-TRIPHENYLP 3\plaque 1/@02 EE2 34/A2_02.tif </t>
  </si>
  <si>
    <t xml:space="preserve"> 4715.317 </t>
  </si>
  <si>
    <t xml:space="preserve"> 68.5917 </t>
  </si>
  <si>
    <t xml:space="preserve">C:\Users\lmarliere\Desktop\2021-CHG-CBA-TRIPHENYLP 3\plaque 1/@02 EE2 34/A2_03.tif </t>
  </si>
  <si>
    <t xml:space="preserve"> 1514.0926 </t>
  </si>
  <si>
    <t xml:space="preserve"> 64.8143 </t>
  </si>
  <si>
    <t>C:\Users\lmarliere\Desktop\2021-CHG-CBA-TRIPHENYLP 3\plaque 1/@02 EE2 34/B2_01- exclu.tif</t>
  </si>
  <si>
    <t xml:space="preserve">C:\Users\lmarliere\Desktop\2021-CHG-CBA-TRIPHENYLP 3\plaque 1/@02 EE2 34/B2_02.tif </t>
  </si>
  <si>
    <t xml:space="preserve"> 2595.5874 </t>
  </si>
  <si>
    <t xml:space="preserve"> 62.6417 </t>
  </si>
  <si>
    <t xml:space="preserve">C:\Users\lmarliere\Desktop\2021-CHG-CBA-TRIPHENYLP 3\plaque 1/@02 EE2 34/B2_03.tif </t>
  </si>
  <si>
    <t xml:space="preserve"> 4174.5697 </t>
  </si>
  <si>
    <t xml:space="preserve"> 64.6943 </t>
  </si>
  <si>
    <t xml:space="preserve">C:\Users\lmarliere\Desktop\2021-CHG-CBA-TRIPHENYLP 3\plaque 1/@02 EE2 34/C2_01.tif </t>
  </si>
  <si>
    <t xml:space="preserve"> 63.1071 </t>
  </si>
  <si>
    <t>C:\Users\lmarliere\Desktop\2021-CHG-CBA-TRIPHENYLP 3\plaque 1/@02 EE2 34/C2_02- exclu.tif</t>
  </si>
  <si>
    <t xml:space="preserve">C:\Users\lmarliere\Desktop\2021-CHG-CBA-TRIPHENYLP 3\plaque 1/@02 EE2 34/C2_03.tif </t>
  </si>
  <si>
    <t xml:space="preserve"> 68.09 </t>
  </si>
  <si>
    <t>C:\Users\lmarliere\Desktop\2021-CHG-CBA-TRIPHENYLP 3\plaque 1/@02 EE2 34/D2_01- exclu.tif</t>
  </si>
  <si>
    <t xml:space="preserve">C:\Users\lmarliere\Desktop\2021-CHG-CBA-TRIPHENYLP 3\plaque 1/@02 EE2 34/D2_02.tif </t>
  </si>
  <si>
    <t xml:space="preserve"> 10317.4597 </t>
  </si>
  <si>
    <t xml:space="preserve"> 78.2348 </t>
  </si>
  <si>
    <t xml:space="preserve">C:\Users\lmarliere\Desktop\2021-CHG-CBA-TRIPHENYLP 3\plaque 1/@02 EE2 34/D2_03.tif </t>
  </si>
  <si>
    <t xml:space="preserve"> 64.0323 </t>
  </si>
  <si>
    <t xml:space="preserve">C:\Users\lmarliere\Desktop\2021-CHG-CBA-TRIPHENYLP 3\plaque 1/@02 EE2 34/E2_01.tif </t>
  </si>
  <si>
    <t xml:space="preserve"> 5537.253 </t>
  </si>
  <si>
    <t xml:space="preserve"> 65.2695 </t>
  </si>
  <si>
    <t xml:space="preserve">C:\Users\lmarliere\Desktop\2021-CHG-CBA-TRIPHENYLP 3\plaque 1/@02 EE2 34/E2_02.tif </t>
  </si>
  <si>
    <t xml:space="preserve"> 4520.648 </t>
  </si>
  <si>
    <t xml:space="preserve"> 66.6029 </t>
  </si>
  <si>
    <t xml:space="preserve">C:\Users\lmarliere\Desktop\2021-CHG-CBA-TRIPHENYLP 3\plaque 1/@02 EE2 34/E2_03.tif </t>
  </si>
  <si>
    <t xml:space="preserve"> 63.6055 </t>
  </si>
  <si>
    <t xml:space="preserve">C:\Users\lmarliere\Desktop\2021-CHG-CBA-TRIPHENYLP 3\plaque 1/@02 EE2 34/F2_01.tif </t>
  </si>
  <si>
    <t xml:space="preserve"> 64.5769 </t>
  </si>
  <si>
    <t xml:space="preserve">C:\Users\lmarliere\Desktop\2021-CHG-CBA-TRIPHENYLP 3\plaque 1/@02 EE2 34/F2_02.tif </t>
  </si>
  <si>
    <t xml:space="preserve"> 5104.6551 </t>
  </si>
  <si>
    <t xml:space="preserve"> 66.8051 </t>
  </si>
  <si>
    <t>C:\Users\lmarliere\Desktop\2021-CHG-CBA-TRIPHENYLP 3\plaque 1/@02 EE2 34/F2_03- exclu.tif</t>
  </si>
  <si>
    <t xml:space="preserve">C:\Users\lmarliere\Desktop\2021-CHG-CBA-TRIPHENYLP 3\plaque 1/@02 EE2 34/G2_01.tif </t>
  </si>
  <si>
    <t xml:space="preserve"> 12523.709 </t>
  </si>
  <si>
    <t xml:space="preserve"> 66.8877 </t>
  </si>
  <si>
    <t xml:space="preserve">C:\Users\lmarliere\Desktop\2021-CHG-CBA-TRIPHENYLP 3\plaque 1/@02 EE2 34/G2_02.tif </t>
  </si>
  <si>
    <t xml:space="preserve"> 66.4731 </t>
  </si>
  <si>
    <t xml:space="preserve">C:\Users\lmarliere\Desktop\2021-CHG-CBA-TRIPHENYLP 3\plaque 1/@02 EE2 34/G2_03.tif </t>
  </si>
  <si>
    <t xml:space="preserve"> 10187.6804 </t>
  </si>
  <si>
    <t xml:space="preserve"> 66.9597 </t>
  </si>
  <si>
    <t>C:\Users\lmarliere\Desktop\2021-CHG-CBA-TRIPHENYLP 3\plaque 1/@02 EE2 34/H2_01- exclu.tif</t>
  </si>
  <si>
    <t xml:space="preserve">C:\Users\lmarliere\Desktop\2021-CHG-CBA-TRIPHENYLP 3\plaque 1/@02 EE2 34/H2_02.tif </t>
  </si>
  <si>
    <t xml:space="preserve"> 3374.2636 </t>
  </si>
  <si>
    <t xml:space="preserve"> 73.0641 </t>
  </si>
  <si>
    <t xml:space="preserve">C:\Users\lmarliere\Desktop\2021-CHG-CBA-TRIPHENYLP 3\plaque 1/@02 EE2 34/H2_03.tif </t>
  </si>
  <si>
    <t xml:space="preserve"> 71.0175 </t>
  </si>
  <si>
    <t xml:space="preserve">C:\Users\lmarliere\Desktop\2021-CHG-CBA-TRIPHENYLP 3\plaque 1/@02 EE2 34/ </t>
  </si>
  <si>
    <t xml:space="preserve"> 66.2149 </t>
  </si>
  <si>
    <t xml:space="preserve"> 3.7052 </t>
  </si>
  <si>
    <t xml:space="preserve"> 301415.292 </t>
  </si>
  <si>
    <t xml:space="preserve"> 270690.494 </t>
  </si>
  <si>
    <t xml:space="preserve">C:\Users\lmarliere\Desktop\2021-CHG-CBA-TRIPHENYLP 3\plaque 1/@03 EE2 51/A3_01.tif </t>
  </si>
  <si>
    <t xml:space="preserve"> 66.5765 </t>
  </si>
  <si>
    <t>C:\Users\lmarliere\Desktop\2021-CHG-CBA-TRIPHENYLP 3\plaque 1/@03 EE2 51/A3_02- exclu.tif</t>
  </si>
  <si>
    <t>C:\Users\lmarliere\Desktop\2021-CHG-CBA-TRIPHENYLP 3\plaque 1/@03 EE2 51/A3_03- exclu.tif</t>
  </si>
  <si>
    <t>C:\Users\lmarliere\Desktop\2021-CHG-CBA-TRIPHENYLP 3\plaque 1/@03 EE2 51/B3_01- exclu.tif</t>
  </si>
  <si>
    <t xml:space="preserve">C:\Users\lmarliere\Desktop\2021-CHG-CBA-TRIPHENYLP 3\plaque 1/@03 EE2 51/B3_02.tif </t>
  </si>
  <si>
    <t xml:space="preserve"> 3331.0038 </t>
  </si>
  <si>
    <t xml:space="preserve"> 63.513 </t>
  </si>
  <si>
    <t xml:space="preserve">C:\Users\lmarliere\Desktop\2021-CHG-CBA-TRIPHENYLP 3\plaque 1/@03 EE2 51/B3_03.tif </t>
  </si>
  <si>
    <t xml:space="preserve"> 64.2105 </t>
  </si>
  <si>
    <t xml:space="preserve">C:\Users\lmarliere\Desktop\2021-CHG-CBA-TRIPHENYLP 3\plaque 1/@03 EE2 51/C3_01.tif </t>
  </si>
  <si>
    <t xml:space="preserve"> 64.4919 </t>
  </si>
  <si>
    <t>C:\Users\lmarliere\Desktop\2021-CHG-CBA-TRIPHENYLP 3\plaque 1/@03 EE2 51/C3_02- exclu.tif</t>
  </si>
  <si>
    <t xml:space="preserve">C:\Users\lmarliere\Desktop\2021-CHG-CBA-TRIPHENYLP 3\plaque 1/@03 EE2 51/C3_03.tif </t>
  </si>
  <si>
    <t xml:space="preserve"> 65.1705 </t>
  </si>
  <si>
    <t>C:\Users\lmarliere\Desktop\2021-CHG-CBA-TRIPHENYLP 3\plaque 1/@03 EE2 51/D3_01- exclu.tif</t>
  </si>
  <si>
    <t xml:space="preserve">C:\Users\lmarliere\Desktop\2021-CHG-CBA-TRIPHENYLP 3\plaque 1/@03 EE2 51/D3_02.tif </t>
  </si>
  <si>
    <t xml:space="preserve"> 3893.381 </t>
  </si>
  <si>
    <t xml:space="preserve"> 64.8833 </t>
  </si>
  <si>
    <t>C:\Users\lmarliere\Desktop\2021-CHG-CBA-TRIPHENYLP 3\plaque 1/@03 EE2 51/D3_03- exclu.tif</t>
  </si>
  <si>
    <t xml:space="preserve">C:\Users\lmarliere\Desktop\2021-CHG-CBA-TRIPHENYLP 3\plaque 1/@03 EE2 51/E3_01.tif </t>
  </si>
  <si>
    <t xml:space="preserve"> 70.2506 </t>
  </si>
  <si>
    <t>C:\Users\lmarliere\Desktop\2021-CHG-CBA-TRIPHENYLP 3\plaque 1/@03 EE2 51/E3_02- exclu.tif</t>
  </si>
  <si>
    <t xml:space="preserve">C:\Users\lmarliere\Desktop\2021-CHG-CBA-TRIPHENYLP 3\plaque 1/@03 EE2 51/E3_03.tif </t>
  </si>
  <si>
    <t xml:space="preserve"> 71.0473 </t>
  </si>
  <si>
    <t xml:space="preserve">C:\Users\lmarliere\Desktop\2021-CHG-CBA-TRIPHENYLP 3\plaque 1/@03 EE2 51/F3_01.tif </t>
  </si>
  <si>
    <t xml:space="preserve"> 70.0782 </t>
  </si>
  <si>
    <t xml:space="preserve">C:\Users\lmarliere\Desktop\2021-CHG-CBA-TRIPHENYLP 3\plaque 1/@03 EE2 51/F3_02.tif </t>
  </si>
  <si>
    <t xml:space="preserve"> 63.0725 </t>
  </si>
  <si>
    <t>C:\Users\lmarliere\Desktop\2021-CHG-CBA-TRIPHENYLP 3\plaque 1/@03 EE2 51/F3_03- exclu.tif</t>
  </si>
  <si>
    <t xml:space="preserve">C:\Users\lmarliere\Desktop\2021-CHG-CBA-TRIPHENYLP 3\plaque 1/@03 EE2 51/G3_01.tif </t>
  </si>
  <si>
    <t xml:space="preserve"> 64.1333 </t>
  </si>
  <si>
    <t xml:space="preserve">C:\Users\lmarliere\Desktop\2021-CHG-CBA-TRIPHENYLP 3\plaque 1/@03 EE2 51/G3_02.tif </t>
  </si>
  <si>
    <t xml:space="preserve"> 4650.4273 </t>
  </si>
  <si>
    <t xml:space="preserve"> 66.5953 </t>
  </si>
  <si>
    <t xml:space="preserve">C:\Users\lmarliere\Desktop\2021-CHG-CBA-TRIPHENYLP 3\plaque 1/@03 EE2 51/G3_03.tif </t>
  </si>
  <si>
    <t xml:space="preserve"> 65.15 </t>
  </si>
  <si>
    <t xml:space="preserve">C:\Users\lmarliere\Desktop\2021-CHG-CBA-TRIPHENYLP 3\plaque 1/@03 EE2 51/H3_01.tif </t>
  </si>
  <si>
    <t xml:space="preserve"> 65.1352 </t>
  </si>
  <si>
    <t xml:space="preserve">C:\Users\lmarliere\Desktop\2021-CHG-CBA-TRIPHENYLP 3\plaque 1/@03 EE2 51/H3_02.tif </t>
  </si>
  <si>
    <t xml:space="preserve"> 63.8947 </t>
  </si>
  <si>
    <t xml:space="preserve">C:\Users\lmarliere\Desktop\2021-CHG-CBA-TRIPHENYLP 3\plaque 1/@03 EE2 51/H3_03.tif </t>
  </si>
  <si>
    <t xml:space="preserve"> 64.1244 </t>
  </si>
  <si>
    <t xml:space="preserve">C:\Users\lmarliere\Desktop\2021-CHG-CBA-TRIPHENYLP 3\plaque 1/@03 EE2 51/ </t>
  </si>
  <si>
    <t xml:space="preserve"> 65.0234 </t>
  </si>
  <si>
    <t xml:space="preserve"> 2.4272 </t>
  </si>
  <si>
    <t xml:space="preserve"> 234478.083 </t>
  </si>
  <si>
    <t xml:space="preserve"> 163801.116 </t>
  </si>
  <si>
    <t>C:\Users\lmarliere\Desktop\2021-CHG-CBA-TRIPHENYLP 3\plaque 1/@04 EE2 76/A4_01- exclu.tif</t>
  </si>
  <si>
    <t xml:space="preserve">C:\Users\lmarliere\Desktop\2021-CHG-CBA-TRIPHENYLP 3\plaque 1/@04 EE2 76/A4_02.tif </t>
  </si>
  <si>
    <t xml:space="preserve"> 63.7134 </t>
  </si>
  <si>
    <t xml:space="preserve">C:\Users\lmarliere\Desktop\2021-CHG-CBA-TRIPHENYLP 3\plaque 1/@04 EE2 76/A4_03.tif </t>
  </si>
  <si>
    <t xml:space="preserve"> 64.4678 </t>
  </si>
  <si>
    <t xml:space="preserve">C:\Users\lmarliere\Desktop\2021-CHG-CBA-TRIPHENYLP 3\plaque 1/@04 EE2 76/B4_01.tif </t>
  </si>
  <si>
    <t xml:space="preserve"> 6575.488 </t>
  </si>
  <si>
    <t xml:space="preserve"> 63.2533 </t>
  </si>
  <si>
    <t xml:space="preserve">C:\Users\lmarliere\Desktop\2021-CHG-CBA-TRIPHENYLP 3\plaque 1/@04 EE2 76/B4_02.tif </t>
  </si>
  <si>
    <t xml:space="preserve"> 62.877 </t>
  </si>
  <si>
    <t xml:space="preserve">C:\Users\lmarliere\Desktop\2021-CHG-CBA-TRIPHENYLP 3\plaque 1/@04 EE2 76/B4_03.tif </t>
  </si>
  <si>
    <t xml:space="preserve"> 64.0612 </t>
  </si>
  <si>
    <t xml:space="preserve">C:\Users\lmarliere\Desktop\2021-CHG-CBA-TRIPHENYLP 3\plaque 1/@04 EE2 76/C4_01.tif </t>
  </si>
  <si>
    <t xml:space="preserve"> 70.5862 </t>
  </si>
  <si>
    <t xml:space="preserve">C:\Users\lmarliere\Desktop\2021-CHG-CBA-TRIPHENYLP 3\plaque 1/@04 EE2 76/C4_02.tif </t>
  </si>
  <si>
    <t xml:space="preserve"> 11398.9545 </t>
  </si>
  <si>
    <t xml:space="preserve"> 67.4915 </t>
  </si>
  <si>
    <t xml:space="preserve">C:\Users\lmarliere\Desktop\2021-CHG-CBA-TRIPHENYLP 3\plaque 1/@04 EE2 76/C4_03.tif </t>
  </si>
  <si>
    <t xml:space="preserve"> 64.6378 </t>
  </si>
  <si>
    <t xml:space="preserve">C:\Users\lmarliere\Desktop\2021-CHG-CBA-TRIPHENYLP 3\plaque 1/@04 EE2 76/D4_01.tif </t>
  </si>
  <si>
    <t xml:space="preserve"> 66.6167 </t>
  </si>
  <si>
    <t xml:space="preserve">C:\Users\lmarliere\Desktop\2021-CHG-CBA-TRIPHENYLP 3\plaque 1/@04 EE2 76/D4_02.tif </t>
  </si>
  <si>
    <t xml:space="preserve"> 7181.125 </t>
  </si>
  <si>
    <t xml:space="preserve"> 72.9307 </t>
  </si>
  <si>
    <t xml:space="preserve">C:\Users\lmarliere\Desktop\2021-CHG-CBA-TRIPHENYLP 3\plaque 1/@04 EE2 76/D4_03.tif </t>
  </si>
  <si>
    <t xml:space="preserve"> 72.3632 </t>
  </si>
  <si>
    <t xml:space="preserve">C:\Users\lmarliere\Desktop\2021-CHG-CBA-TRIPHENYLP 3\plaque 1/@04 EE2 76/E4_01.tif </t>
  </si>
  <si>
    <t xml:space="preserve"> 66.2442 </t>
  </si>
  <si>
    <t xml:space="preserve">C:\Users\lmarliere\Desktop\2021-CHG-CBA-TRIPHENYLP 3\plaque 1/@04 EE2 76/E4_02.tif </t>
  </si>
  <si>
    <t xml:space="preserve"> 2011.5802 </t>
  </si>
  <si>
    <t xml:space="preserve"> 63.7742 </t>
  </si>
  <si>
    <t>C:\Users\lmarliere\Desktop\2021-CHG-CBA-TRIPHENYLP 3\plaque 1/@04 EE2 76/E4_03- exclu.tif</t>
  </si>
  <si>
    <t xml:space="preserve">C:\Users\lmarliere\Desktop\2021-CHG-CBA-TRIPHENYLP 3\plaque 1/@04 EE2 76/F4_01.tif </t>
  </si>
  <si>
    <t xml:space="preserve"> 7094.6054 </t>
  </si>
  <si>
    <t xml:space="preserve"> 64.3933 </t>
  </si>
  <si>
    <t xml:space="preserve">C:\Users\lmarliere\Desktop\2021-CHG-CBA-TRIPHENYLP 3\plaque 1/@04 EE2 76/F4_02.tif </t>
  </si>
  <si>
    <t xml:space="preserve"> 4888.3562 </t>
  </si>
  <si>
    <t xml:space="preserve"> 63.9912 </t>
  </si>
  <si>
    <t xml:space="preserve">C:\Users\lmarliere\Desktop\2021-CHG-CBA-TRIPHENYLP 3\plaque 1/@04 EE2 76/F4_03.tif </t>
  </si>
  <si>
    <t xml:space="preserve"> 7354.1642 </t>
  </si>
  <si>
    <t xml:space="preserve"> 63.7588 </t>
  </si>
  <si>
    <t xml:space="preserve">C:\Users\lmarliere\Desktop\2021-CHG-CBA-TRIPHENYLP 3\plaque 1/@04 EE2 76/G4_01.tif </t>
  </si>
  <si>
    <t xml:space="preserve"> 2811.8863 </t>
  </si>
  <si>
    <t xml:space="preserve"> 62.9462 </t>
  </si>
  <si>
    <t>C:\Users\lmarliere\Desktop\2021-CHG-CBA-TRIPHENYLP 3\plaque 1/@04 EE2 76/G4_02- exclu.tif</t>
  </si>
  <si>
    <t xml:space="preserve">C:\Users\lmarliere\Desktop\2021-CHG-CBA-TRIPHENYLP 3\plaque 1/@04 EE2 76/G4_03.tif </t>
  </si>
  <si>
    <t xml:space="preserve"> 1795.2813 </t>
  </si>
  <si>
    <t xml:space="preserve"> 63.4578 </t>
  </si>
  <si>
    <t>C:\Users\lmarliere\Desktop\2021-CHG-CBA-TRIPHENYLP 3\plaque 1/@04 EE2 76/H4_01- exclu.tif</t>
  </si>
  <si>
    <t xml:space="preserve">C:\Users\lmarliere\Desktop\2021-CHG-CBA-TRIPHENYLP 3\plaque 1/@04 EE2 76/H4_02.tif </t>
  </si>
  <si>
    <t xml:space="preserve"> 63.5208 </t>
  </si>
  <si>
    <t xml:space="preserve">C:\Users\lmarliere\Desktop\2021-CHG-CBA-TRIPHENYLP 3\plaque 1/@04 EE2 76/H4_03.tif </t>
  </si>
  <si>
    <t xml:space="preserve"> 64.3834 </t>
  </si>
  <si>
    <t xml:space="preserve">C:\Users\lmarliere\Desktop\2021-CHG-CBA-TRIPHENYLP 3\plaque 1/@04 EE2 76/ </t>
  </si>
  <si>
    <t xml:space="preserve"> 65.0661 </t>
  </si>
  <si>
    <t xml:space="preserve"> 2.9454 </t>
  </si>
  <si>
    <t xml:space="preserve"> 329635.125 </t>
  </si>
  <si>
    <t xml:space="preserve"> 193033.005 </t>
  </si>
  <si>
    <t xml:space="preserve">C:\Users\lmarliere\Desktop\2021-CHG-CBA-TRIPHENYLP 3\plaque 1/@05 EE2 114/A5_01.tif </t>
  </si>
  <si>
    <t xml:space="preserve"> 23381.9161 </t>
  </si>
  <si>
    <t xml:space="preserve"> 67.8446 </t>
  </si>
  <si>
    <t xml:space="preserve">C:\Users\lmarliere\Desktop\2021-CHG-CBA-TRIPHENYLP 3\plaque 1/@05 EE2 114/A5_02.tif </t>
  </si>
  <si>
    <t xml:space="preserve"> 15487.0046 </t>
  </si>
  <si>
    <t xml:space="preserve"> 69.3338 </t>
  </si>
  <si>
    <t xml:space="preserve">C:\Users\lmarliere\Desktop\2021-CHG-CBA-TRIPHENYLP 3\plaque 1/@05 EE2 114/A5_03.tif </t>
  </si>
  <si>
    <t xml:space="preserve"> 13302.3852 </t>
  </si>
  <si>
    <t xml:space="preserve"> 67.0374 </t>
  </si>
  <si>
    <t>C:\Users\lmarliere\Desktop\2021-CHG-CBA-TRIPHENYLP 3\plaque 1/@05 EE2 114/B5_01- exclu.tif</t>
  </si>
  <si>
    <t xml:space="preserve">C:\Users\lmarliere\Desktop\2021-CHG-CBA-TRIPHENYLP 3\plaque 1/@05 EE2 114/B5_02.tif </t>
  </si>
  <si>
    <t xml:space="preserve"> 16460.3498 </t>
  </si>
  <si>
    <t xml:space="preserve"> 65.5151 </t>
  </si>
  <si>
    <t>C:\Users\lmarliere\Desktop\2021-CHG-CBA-TRIPHENYLP 3\plaque 1/@05 EE2 114/B5_03- exclu.tif</t>
  </si>
  <si>
    <t xml:space="preserve">C:\Users\lmarliere\Desktop\2021-CHG-CBA-TRIPHENYLP 3\plaque 1/@05 EE2 114/C5_01.tif </t>
  </si>
  <si>
    <t xml:space="preserve"> 1276.1638 </t>
  </si>
  <si>
    <t xml:space="preserve"> 64.8644 </t>
  </si>
  <si>
    <t xml:space="preserve">C:\Users\lmarliere\Desktop\2021-CHG-CBA-TRIPHENYLP 3\plaque 1/@05 EE2 114/C5_02.tif </t>
  </si>
  <si>
    <t xml:space="preserve"> 7938.1713 </t>
  </si>
  <si>
    <t xml:space="preserve"> 71.218 </t>
  </si>
  <si>
    <t xml:space="preserve">C:\Users\lmarliere\Desktop\2021-CHG-CBA-TRIPHENYLP 3\plaque 1/@05 EE2 114/C5_03.tif </t>
  </si>
  <si>
    <t xml:space="preserve"> 69.7202 </t>
  </si>
  <si>
    <t>C:\Users\lmarliere\Desktop\2021-CHG-CBA-TRIPHENYLP 3\plaque 1/@05 EE2 114/D5_01- exclu.tif</t>
  </si>
  <si>
    <t xml:space="preserve">C:\Users\lmarliere\Desktop\2021-CHG-CBA-TRIPHENYLP 3\plaque 1/@05 EE2 114/D5_02.tif </t>
  </si>
  <si>
    <t xml:space="preserve"> 65.6598 </t>
  </si>
  <si>
    <t>C:\Users\lmarliere\Desktop\2021-CHG-CBA-TRIPHENYLP 3\plaque 1/@05 EE2 114/D5_03- exclu.tif</t>
  </si>
  <si>
    <t xml:space="preserve">C:\Users\lmarliere\Desktop\2021-CHG-CBA-TRIPHENYLP 3\plaque 1/@05 EE2 114/E5_01.tif </t>
  </si>
  <si>
    <t xml:space="preserve"> 16481.9797 </t>
  </si>
  <si>
    <t xml:space="preserve"> 70.1181 </t>
  </si>
  <si>
    <t xml:space="preserve">C:\Users\lmarliere\Desktop\2021-CHG-CBA-TRIPHENYLP 3\plaque 1/@05 EE2 114/E5_02.tif </t>
  </si>
  <si>
    <t xml:space="preserve"> 21305.4462 </t>
  </si>
  <si>
    <t xml:space="preserve"> 72.3391 </t>
  </si>
  <si>
    <t xml:space="preserve">C:\Users\lmarliere\Desktop\2021-CHG-CBA-TRIPHENYLP 3\plaque 1/@05 EE2 114/E5_03.tif </t>
  </si>
  <si>
    <t xml:space="preserve"> 19293.866 </t>
  </si>
  <si>
    <t xml:space="preserve"> 69.7007 </t>
  </si>
  <si>
    <t xml:space="preserve">C:\Users\lmarliere\Desktop\2021-CHG-CBA-TRIPHENYLP 3\plaque 1/@05 EE2 114/F5_01.tif </t>
  </si>
  <si>
    <t xml:space="preserve"> 34715.9809 </t>
  </si>
  <si>
    <t xml:space="preserve"> 66.876 </t>
  </si>
  <si>
    <t xml:space="preserve">C:\Users\lmarliere\Desktop\2021-CHG-CBA-TRIPHENYLP 3\plaque 1/@05 EE2 114/F5_02.tif </t>
  </si>
  <si>
    <t xml:space="preserve"> 31687.7956 </t>
  </si>
  <si>
    <t xml:space="preserve"> 66.4239 </t>
  </si>
  <si>
    <t xml:space="preserve">C:\Users\lmarliere\Desktop\2021-CHG-CBA-TRIPHENYLP 3\plaque 1/@05 EE2 114/F5_03.tif </t>
  </si>
  <si>
    <t xml:space="preserve"> 35646.0663 </t>
  </si>
  <si>
    <t xml:space="preserve"> 66.8186 </t>
  </si>
  <si>
    <t xml:space="preserve">C:\Users\lmarliere\Desktop\2021-CHG-CBA-TRIPHENYLP 3\plaque 1/@05 EE2 114/G5_01.tif </t>
  </si>
  <si>
    <t xml:space="preserve"> 64.67 </t>
  </si>
  <si>
    <t xml:space="preserve">C:\Users\lmarliere\Desktop\2021-CHG-CBA-TRIPHENYLP 3\plaque 1/@05 EE2 114/G5_02.tif </t>
  </si>
  <si>
    <t xml:space="preserve"> 65.5735 </t>
  </si>
  <si>
    <t xml:space="preserve">C:\Users\lmarliere\Desktop\2021-CHG-CBA-TRIPHENYLP 3\plaque 1/@05 EE2 114/G5_03.tif </t>
  </si>
  <si>
    <t xml:space="preserve"> 70.1523 </t>
  </si>
  <si>
    <t xml:space="preserve">C:\Users\lmarliere\Desktop\2021-CHG-CBA-TRIPHENYLP 3\plaque 1/@05 EE2 114/H5_01.tif </t>
  </si>
  <si>
    <t xml:space="preserve"> 28594.7207 </t>
  </si>
  <si>
    <t xml:space="preserve"> 82.0151 </t>
  </si>
  <si>
    <t xml:space="preserve">C:\Users\lmarliere\Desktop\2021-CHG-CBA-TRIPHENYLP 3\plaque 1/@05 EE2 114/H5_02.tif </t>
  </si>
  <si>
    <t xml:space="preserve"> 23554.9553 </t>
  </si>
  <si>
    <t xml:space="preserve"> 84.023 </t>
  </si>
  <si>
    <t xml:space="preserve">C:\Users\lmarliere\Desktop\2021-CHG-CBA-TRIPHENYLP 3\plaque 1/@05 EE2 114/H5_03.tif </t>
  </si>
  <si>
    <t xml:space="preserve"> 15746.5633 </t>
  </si>
  <si>
    <t xml:space="preserve"> 71.3159 </t>
  </si>
  <si>
    <t xml:space="preserve">C:\Users\lmarliere\Desktop\2021-CHG-CBA-TRIPHENYLP 3\plaque 1/@05 EE2 114/ </t>
  </si>
  <si>
    <t xml:space="preserve"> 68.7375 </t>
  </si>
  <si>
    <t xml:space="preserve"> 5.0932 </t>
  </si>
  <si>
    <t xml:space="preserve"> 1180108.17 </t>
  </si>
  <si>
    <t xml:space="preserve"> 673675.447 </t>
  </si>
  <si>
    <t xml:space="preserve">C:\Users\lmarliere\Desktop\2021-CHG-CBA-TRIPHENYLP 3\plaque 1/@06 EE2 171/A6_01.tif </t>
  </si>
  <si>
    <t xml:space="preserve"> 75.3374 </t>
  </si>
  <si>
    <t xml:space="preserve">C:\Users\lmarliere\Desktop\2021-CHG-CBA-TRIPHENYLP 3\plaque 1/@06 EE2 171/A6_02.tif </t>
  </si>
  <si>
    <t xml:space="preserve"> 76.51 </t>
  </si>
  <si>
    <t xml:space="preserve">C:\Users\lmarliere\Desktop\2021-CHG-CBA-TRIPHENYLP 3\plaque 1/@06 EE2 171/A6_03.tif </t>
  </si>
  <si>
    <t xml:space="preserve"> 58941.4629 </t>
  </si>
  <si>
    <t xml:space="preserve"> 76.3666 </t>
  </si>
  <si>
    <t xml:space="preserve">C:\Users\lmarliere\Desktop\2021-CHG-CBA-TRIPHENYLP 3\plaque 1/@06 EE2 171/B6_01.tif </t>
  </si>
  <si>
    <t xml:space="preserve"> 79.3224 </t>
  </si>
  <si>
    <t xml:space="preserve">C:\Users\lmarliere\Desktop\2021-CHG-CBA-TRIPHENYLP 3\plaque 1/@06 EE2 171/B6_02.tif </t>
  </si>
  <si>
    <t xml:space="preserve"> 80.3891 </t>
  </si>
  <si>
    <t xml:space="preserve">C:\Users\lmarliere\Desktop\2021-CHG-CBA-TRIPHENYLP 3\plaque 1/@06 EE2 171/B6_03.tif </t>
  </si>
  <si>
    <t xml:space="preserve"> 45985.156 </t>
  </si>
  <si>
    <t xml:space="preserve"> 78.1007 </t>
  </si>
  <si>
    <t xml:space="preserve">C:\Users\lmarliere\Desktop\2021-CHG-CBA-TRIPHENYLP 3\plaque 1/@06 EE2 171/C6_01.tif </t>
  </si>
  <si>
    <t xml:space="preserve"> 63829.819 </t>
  </si>
  <si>
    <t xml:space="preserve"> 72.5459 </t>
  </si>
  <si>
    <t xml:space="preserve">C:\Users\lmarliere\Desktop\2021-CHG-CBA-TRIPHENYLP 3\plaque 1/@06 EE2 171/C6_02.tif </t>
  </si>
  <si>
    <t xml:space="preserve"> 63570.2603 </t>
  </si>
  <si>
    <t xml:space="preserve">C:\Users\lmarliere\Desktop\2021-CHG-CBA-TRIPHENYLP 3\plaque 1/@06 EE2 171/C6_03.tif </t>
  </si>
  <si>
    <t xml:space="preserve"> 68090.9083 </t>
  </si>
  <si>
    <t xml:space="preserve"> 73.2951 </t>
  </si>
  <si>
    <t xml:space="preserve">C:\Users\lmarliere\Desktop\2021-CHG-CBA-TRIPHENYLP 3\plaque 1/@06 EE2 171/D6_01.tif </t>
  </si>
  <si>
    <t xml:space="preserve"> 40945.3905 </t>
  </si>
  <si>
    <t xml:space="preserve"> 72.0845 </t>
  </si>
  <si>
    <t xml:space="preserve">C:\Users\lmarliere\Desktop\2021-CHG-CBA-TRIPHENYLP 3\plaque 1/@06 EE2 171/D6_02.tif </t>
  </si>
  <si>
    <t xml:space="preserve"> 40923.7606 </t>
  </si>
  <si>
    <t xml:space="preserve"> 69.1834 </t>
  </si>
  <si>
    <t xml:space="preserve">C:\Users\lmarliere\Desktop\2021-CHG-CBA-TRIPHENYLP 3\plaque 1/@06 EE2 171/D6_03.tif </t>
  </si>
  <si>
    <t xml:space="preserve"> 37614.3868 </t>
  </si>
  <si>
    <t xml:space="preserve">C:\Users\lmarliere\Desktop\2021-CHG-CBA-TRIPHENYLP 3\plaque 1/@06 EE2 171/E6_01.tif </t>
  </si>
  <si>
    <t xml:space="preserve"> 57859.9681 </t>
  </si>
  <si>
    <t xml:space="preserve"> 75.2864 </t>
  </si>
  <si>
    <t xml:space="preserve">C:\Users\lmarliere\Desktop\2021-CHG-CBA-TRIPHENYLP 3\plaque 1/@06 EE2 171/E6_02.tif </t>
  </si>
  <si>
    <t xml:space="preserve"> 54615.4839 </t>
  </si>
  <si>
    <t xml:space="preserve"> 75.5386 </t>
  </si>
  <si>
    <t>C:\Users\lmarliere\Desktop\2021-CHG-CBA-TRIPHENYLP 3\plaque 1/@06 EE2 171/E6_03- exclu.tif</t>
  </si>
  <si>
    <t xml:space="preserve">C:\Users\lmarliere\Desktop\2021-CHG-CBA-TRIPHENYLP 3\plaque 1/@06 EE2 171/F6_01.tif </t>
  </si>
  <si>
    <t xml:space="preserve"> 56908.2528 </t>
  </si>
  <si>
    <t xml:space="preserve"> 72.9973 </t>
  </si>
  <si>
    <t xml:space="preserve">C:\Users\lmarliere\Desktop\2021-CHG-CBA-TRIPHENYLP 3\plaque 1/@06 EE2 171/F6_02.tif </t>
  </si>
  <si>
    <t xml:space="preserve"> 76.2036 </t>
  </si>
  <si>
    <t xml:space="preserve">C:\Users\lmarliere\Desktop\2021-CHG-CBA-TRIPHENYLP 3\plaque 1/@06 EE2 171/F6_03.tif </t>
  </si>
  <si>
    <t xml:space="preserve"> 53944.9572 </t>
  </si>
  <si>
    <t xml:space="preserve"> 76.0397 </t>
  </si>
  <si>
    <t>C:\Users\lmarliere\Desktop\2021-CHG-CBA-TRIPHENYLP 3\plaque 1/@06 EE2 171/G6_01- exclu.tif</t>
  </si>
  <si>
    <t xml:space="preserve">C:\Users\lmarliere\Desktop\2021-CHG-CBA-TRIPHENYLP 3\plaque 1/@06 EE2 171/G6_02.tif </t>
  </si>
  <si>
    <t xml:space="preserve"> 63.7935 </t>
  </si>
  <si>
    <t xml:space="preserve">C:\Users\lmarliere\Desktop\2021-CHG-CBA-TRIPHENYLP 3\plaque 1/@06 EE2 171/G6_03.tif </t>
  </si>
  <si>
    <t xml:space="preserve"> 14989.517 </t>
  </si>
  <si>
    <t xml:space="preserve"> 63.9235 </t>
  </si>
  <si>
    <t xml:space="preserve">C:\Users\lmarliere\Desktop\2021-CHG-CBA-TRIPHENYLP 3\plaque 1/@06 EE2 171/H6_01.tif </t>
  </si>
  <si>
    <t xml:space="preserve"> 79338.4535 </t>
  </si>
  <si>
    <t xml:space="preserve"> 78.289 </t>
  </si>
  <si>
    <t xml:space="preserve">C:\Users\lmarliere\Desktop\2021-CHG-CBA-TRIPHENYLP 3\plaque 1/@06 EE2 171/H6_02.tif </t>
  </si>
  <si>
    <t xml:space="preserve"> 79446.603 </t>
  </si>
  <si>
    <t xml:space="preserve"> 76.8026 </t>
  </si>
  <si>
    <t xml:space="preserve">C:\Users\lmarliere\Desktop\2021-CHG-CBA-TRIPHENYLP 3\plaque 1/@06 EE2 171/H6_03.tif </t>
  </si>
  <si>
    <t xml:space="preserve"> 77370.1331 </t>
  </si>
  <si>
    <t xml:space="preserve"> 77.0358 </t>
  </si>
  <si>
    <t xml:space="preserve">C:\Users\lmarliere\Desktop\2021-CHG-CBA-TRIPHENYLP 3\plaque 1/@06 EE2 171/ </t>
  </si>
  <si>
    <t xml:space="preserve"> 73.6652 </t>
  </si>
  <si>
    <t xml:space="preserve"> 4.6902 </t>
  </si>
  <si>
    <t xml:space="preserve"> 3889977.04 </t>
  </si>
  <si>
    <t xml:space="preserve"> 1478065.21 </t>
  </si>
  <si>
    <t xml:space="preserve">C:\Users\lmarliere\Desktop\2021-CHG-CBA-TRIPHENYLP 3\plaque 1/@07 EE2 488/A7_01.tif </t>
  </si>
  <si>
    <t xml:space="preserve"> 101.4284 </t>
  </si>
  <si>
    <t xml:space="preserve">C:\Users\lmarliere\Desktop\2021-CHG-CBA-TRIPHENYLP 3\plaque 1/@07 EE2 488/A7_02.tif </t>
  </si>
  <si>
    <t xml:space="preserve"> 56064.6869 </t>
  </si>
  <si>
    <t xml:space="preserve"> 100.2747 </t>
  </si>
  <si>
    <t xml:space="preserve">C:\Users\lmarliere\Desktop\2021-CHG-CBA-TRIPHENYLP 3\plaque 1/@07 EE2 488/A7_03.tif </t>
  </si>
  <si>
    <t xml:space="preserve"> 66944.5239 </t>
  </si>
  <si>
    <t xml:space="preserve"> 89.8704 </t>
  </si>
  <si>
    <t xml:space="preserve">C:\Users\lmarliere\Desktop\2021-CHG-CBA-TRIPHENYLP 3\plaque 1/@07 EE2 488/B7_01.tif </t>
  </si>
  <si>
    <t xml:space="preserve"> 103.6419 </t>
  </si>
  <si>
    <t xml:space="preserve">C:\Users\lmarliere\Desktop\2021-CHG-CBA-TRIPHENYLP 3\plaque 1/@07 EE2 488/B7_02.tif </t>
  </si>
  <si>
    <t xml:space="preserve"> 58206.0464 </t>
  </si>
  <si>
    <t xml:space="preserve"> 99.5039 </t>
  </si>
  <si>
    <t xml:space="preserve">C:\Users\lmarliere\Desktop\2021-CHG-CBA-TRIPHENYLP 3\plaque 1/@07 EE2 488/B7_03.tif </t>
  </si>
  <si>
    <t xml:space="preserve"> 53815.1778 </t>
  </si>
  <si>
    <t xml:space="preserve"> 103.8987 </t>
  </si>
  <si>
    <t xml:space="preserve">C:\Users\lmarliere\Desktop\2021-CHG-CBA-TRIPHENYLP 3\plaque 1/@07 EE2 488/C7_01.tif </t>
  </si>
  <si>
    <t xml:space="preserve"> 97.8642 </t>
  </si>
  <si>
    <t xml:space="preserve">C:\Users\lmarliere\Desktop\2021-CHG-CBA-TRIPHENYLP 3\plaque 1/@07 EE2 488/C7_02.tif </t>
  </si>
  <si>
    <t xml:space="preserve"> 55372.5302 </t>
  </si>
  <si>
    <t xml:space="preserve"> 98.9969 </t>
  </si>
  <si>
    <t>C:\Users\lmarliere\Desktop\2021-CHG-CBA-TRIPHENYLP 3\plaque 1/@07 EE2 488/C7_03- exclu.tif</t>
  </si>
  <si>
    <t xml:space="preserve">C:\Users\lmarliere\Desktop\2021-CHG-CBA-TRIPHENYLP 3\plaque 1/@07 EE2 488/D7_01.tif </t>
  </si>
  <si>
    <t xml:space="preserve"> 100.2785 </t>
  </si>
  <si>
    <t xml:space="preserve">C:\Users\lmarliere\Desktop\2021-CHG-CBA-TRIPHENYLP 3\plaque 1/@07 EE2 488/D7_02.tif </t>
  </si>
  <si>
    <t xml:space="preserve"> 101.2544 </t>
  </si>
  <si>
    <t>C:\Users\lmarliere\Desktop\2021-CHG-CBA-TRIPHENYLP 3\plaque 1/@07 EE2 488/D7_03- exclu.tif</t>
  </si>
  <si>
    <t xml:space="preserve">C:\Users\lmarliere\Desktop\2021-CHG-CBA-TRIPHENYLP 3\plaque 1/@07 EE2 488/E7_01.tif </t>
  </si>
  <si>
    <t xml:space="preserve"> 91.085 </t>
  </si>
  <si>
    <t xml:space="preserve">C:\Users\lmarliere\Desktop\2021-CHG-CBA-TRIPHENYLP 3\plaque 1/@07 EE2 488/E7_02.tif </t>
  </si>
  <si>
    <t xml:space="preserve"> 62748.3243 </t>
  </si>
  <si>
    <t xml:space="preserve"> 93.2347 </t>
  </si>
  <si>
    <t xml:space="preserve">C:\Users\lmarliere\Desktop\2021-CHG-CBA-TRIPHENYLP 3\plaque 1/@07 EE2 488/E7_03.tif </t>
  </si>
  <si>
    <t xml:space="preserve"> 63029.5129 </t>
  </si>
  <si>
    <t xml:space="preserve"> 91.7739 </t>
  </si>
  <si>
    <t xml:space="preserve">C:\Users\lmarliere\Desktop\2021-CHG-CBA-TRIPHENYLP 3\plaque 1/@07 EE2 488/F7_01.tif </t>
  </si>
  <si>
    <t xml:space="preserve"> 46331.2343 </t>
  </si>
  <si>
    <t xml:space="preserve"> 94.3231 </t>
  </si>
  <si>
    <t xml:space="preserve">C:\Users\lmarliere\Desktop\2021-CHG-CBA-TRIPHENYLP 3\plaque 1/@07 EE2 488/F7_02.tif </t>
  </si>
  <si>
    <t xml:space="preserve"> 92.0171 </t>
  </si>
  <si>
    <t xml:space="preserve">C:\Users\lmarliere\Desktop\2021-CHG-CBA-TRIPHENYLP 3\plaque 1/@07 EE2 488/F7_03.tif </t>
  </si>
  <si>
    <t xml:space="preserve"> 44060.0954 </t>
  </si>
  <si>
    <t xml:space="preserve"> 91.9082 </t>
  </si>
  <si>
    <t xml:space="preserve">C:\Users\lmarliere\Desktop\2021-CHG-CBA-TRIPHENYLP 3\plaque 1/@07 EE2 488/G7_01.tif </t>
  </si>
  <si>
    <t xml:space="preserve"> 87622.7031 </t>
  </si>
  <si>
    <t xml:space="preserve"> 97.3409 </t>
  </si>
  <si>
    <t xml:space="preserve">C:\Users\lmarliere\Desktop\2021-CHG-CBA-TRIPHENYLP 3\plaque 1/@07 EE2 488/G7_02.tif </t>
  </si>
  <si>
    <t xml:space="preserve"> 83815.8417 </t>
  </si>
  <si>
    <t xml:space="preserve"> 96.3644 </t>
  </si>
  <si>
    <t xml:space="preserve">C:\Users\lmarliere\Desktop\2021-CHG-CBA-TRIPHENYLP 3\plaque 1/@07 EE2 488/G7_03.tif </t>
  </si>
  <si>
    <t xml:space="preserve"> 88141.8206 </t>
  </si>
  <si>
    <t xml:space="preserve"> 97.8285 </t>
  </si>
  <si>
    <t xml:space="preserve">C:\Users\lmarliere\Desktop\2021-CHG-CBA-TRIPHENYLP 3\plaque 1/@07 EE2 488/H7_01.tif </t>
  </si>
  <si>
    <t xml:space="preserve"> 101.8793 </t>
  </si>
  <si>
    <t xml:space="preserve">C:\Users\lmarliere\Desktop\2021-CHG-CBA-TRIPHENYLP 3\plaque 1/@07 EE2 488/H7_02.tif </t>
  </si>
  <si>
    <t xml:space="preserve"> 64673.3849 </t>
  </si>
  <si>
    <t xml:space="preserve"> 100.7913 </t>
  </si>
  <si>
    <t xml:space="preserve">C:\Users\lmarliere\Desktop\2021-CHG-CBA-TRIPHENYLP 3\plaque 1/@07 EE2 488/H7_03.tif </t>
  </si>
  <si>
    <t xml:space="preserve"> 73628.1613 </t>
  </si>
  <si>
    <t xml:space="preserve"> 99.0852 </t>
  </si>
  <si>
    <t xml:space="preserve">C:\Users\lmarliere\Desktop\2021-CHG-CBA-TRIPHENYLP 3\plaque 1/@07 EE2 488/ </t>
  </si>
  <si>
    <t xml:space="preserve"> 96.6451 </t>
  </si>
  <si>
    <t xml:space="preserve"> 5.2297 </t>
  </si>
  <si>
    <t xml:space="preserve"> 5908895.12 </t>
  </si>
  <si>
    <t xml:space="preserve"> 1218445.54 </t>
  </si>
  <si>
    <t xml:space="preserve">C:\Users\lmarliere\Desktop\2021-CHG-CBA-TRIPHENYLP 3\plaque 1/@08 TRIPHENYLP 0.18/A8_01.tif </t>
  </si>
  <si>
    <t xml:space="preserve"> 2271.1389 </t>
  </si>
  <si>
    <t xml:space="preserve"> 65.1333 </t>
  </si>
  <si>
    <t xml:space="preserve">C:\Users\lmarliere\Desktop\2021-CHG-CBA-TRIPHENYLP 3\plaque 1/@08 TRIPHENYLP 0.18/A8_02.tif </t>
  </si>
  <si>
    <t xml:space="preserve"> 68.6293 </t>
  </si>
  <si>
    <t xml:space="preserve">C:\Users\lmarliere\Desktop\2021-CHG-CBA-TRIPHENYLP 3\plaque 1/@08 TRIPHENYLP 0.18/A8_03.tif </t>
  </si>
  <si>
    <t xml:space="preserve"> 65.1129 </t>
  </si>
  <si>
    <t xml:space="preserve">C:\Users\lmarliere\Desktop\2021-CHG-CBA-TRIPHENYLP 3\plaque 1/@08 TRIPHENYLP 0.18/B8_01.tif </t>
  </si>
  <si>
    <t xml:space="preserve"> 32747.6605 </t>
  </si>
  <si>
    <t xml:space="preserve"> 73.6096 </t>
  </si>
  <si>
    <t>C:\Users\lmarliere\Desktop\2021-CHG-CBA-TRIPHENYLP 3\plaque 1/@08 TRIPHENYLP 0.18/B8_02- exclu.tif</t>
  </si>
  <si>
    <t>C:\Users\lmarliere\Desktop\2021-CHG-CBA-TRIPHENYLP 3\plaque 1/@08 TRIPHENYLP 0.18/B8_03- exclu.tif</t>
  </si>
  <si>
    <t xml:space="preserve">C:\Users\lmarliere\Desktop\2021-CHG-CBA-TRIPHENYLP 3\plaque 1/@08 TRIPHENYLP 0.18/C8_01.tif </t>
  </si>
  <si>
    <t xml:space="preserve"> 63.5278 </t>
  </si>
  <si>
    <t xml:space="preserve">C:\Users\lmarliere\Desktop\2021-CHG-CBA-TRIPHENYLP 3\plaque 1/@08 TRIPHENYLP 0.18/C8_02.tif </t>
  </si>
  <si>
    <t xml:space="preserve"> 64.6802 </t>
  </si>
  <si>
    <t xml:space="preserve">C:\Users\lmarliere\Desktop\2021-CHG-CBA-TRIPHENYLP 3\plaque 1/@08 TRIPHENYLP 0.18/C8_03.tif </t>
  </si>
  <si>
    <t xml:space="preserve"> 68.4924 </t>
  </si>
  <si>
    <t xml:space="preserve">C:\Users\lmarliere\Desktop\2021-CHG-CBA-TRIPHENYLP 3\plaque 1/@08 TRIPHENYLP 0.18/D8_01.tif </t>
  </si>
  <si>
    <t xml:space="preserve"> 3504.0429 </t>
  </si>
  <si>
    <t xml:space="preserve"> 64.4691 </t>
  </si>
  <si>
    <t xml:space="preserve">C:\Users\lmarliere\Desktop\2021-CHG-CBA-TRIPHENYLP 3\plaque 1/@08 TRIPHENYLP 0.18/D8_02.tif </t>
  </si>
  <si>
    <t xml:space="preserve"> 63.4865 </t>
  </si>
  <si>
    <t xml:space="preserve">C:\Users\lmarliere\Desktop\2021-CHG-CBA-TRIPHENYLP 3\plaque 1/@08 TRIPHENYLP 0.18/D8_03.tif </t>
  </si>
  <si>
    <t xml:space="preserve"> 64.881 </t>
  </si>
  <si>
    <t xml:space="preserve">C:\Users\lmarliere\Desktop\2021-CHG-CBA-TRIPHENYLP 3\plaque 1/@08 TRIPHENYLP 0.18/E8_01.tif </t>
  </si>
  <si>
    <t xml:space="preserve"> 15616.7839 </t>
  </si>
  <si>
    <t xml:space="preserve"> 79.1967 </t>
  </si>
  <si>
    <t xml:space="preserve">C:\Users\lmarliere\Desktop\2021-CHG-CBA-TRIPHENYLP 3\plaque 1/@08 TRIPHENYLP 0.18/E8_02.tif </t>
  </si>
  <si>
    <t xml:space="preserve"> 12285.7801 </t>
  </si>
  <si>
    <t xml:space="preserve"> 80.1637 </t>
  </si>
  <si>
    <t>C:\Users\lmarliere\Desktop\2021-CHG-CBA-TRIPHENYLP 3\plaque 1/@08 TRIPHENYLP 0.18/E8_03- exclu.tif</t>
  </si>
  <si>
    <t>C:\Users\lmarliere\Desktop\2021-CHG-CBA-TRIPHENYLP 3\plaque 1/@08 TRIPHENYLP 0.18/F8_01- exclu.tif</t>
  </si>
  <si>
    <t xml:space="preserve">C:\Users\lmarliere\Desktop\2021-CHG-CBA-TRIPHENYLP 3\plaque 1/@08 TRIPHENYLP 0.18/F8_02.tif </t>
  </si>
  <si>
    <t xml:space="preserve"> 74.6449 </t>
  </si>
  <si>
    <t xml:space="preserve">C:\Users\lmarliere\Desktop\2021-CHG-CBA-TRIPHENYLP 3\plaque 1/@08 TRIPHENYLP 0.18/F8_03.tif </t>
  </si>
  <si>
    <t xml:space="preserve"> 8219.36 </t>
  </si>
  <si>
    <t xml:space="preserve"> 73.3237 </t>
  </si>
  <si>
    <t xml:space="preserve">C:\Users\lmarliere\Desktop\2021-CHG-CBA-TRIPHENYLP 3\plaque 1/@08 TRIPHENYLP 0.18/G8_01.tif </t>
  </si>
  <si>
    <t xml:space="preserve"> 69.4081 </t>
  </si>
  <si>
    <t xml:space="preserve">C:\Users\lmarliere\Desktop\2021-CHG-CBA-TRIPHENYLP 3\plaque 1/@08 TRIPHENYLP 0.18/G8_02.tif </t>
  </si>
  <si>
    <t xml:space="preserve"> 13583.5738 </t>
  </si>
  <si>
    <t xml:space="preserve"> 74.879 </t>
  </si>
  <si>
    <t xml:space="preserve">C:\Users\lmarliere\Desktop\2021-CHG-CBA-TRIPHENYLP 3\plaque 1/@08 TRIPHENYLP 0.18/G8_03.tif </t>
  </si>
  <si>
    <t xml:space="preserve"> 69.0584 </t>
  </si>
  <si>
    <t xml:space="preserve">C:\Users\lmarliere\Desktop\2021-CHG-CBA-TRIPHENYLP 3\plaque 1/@08 TRIPHENYLP 0.18/H8_01.tif </t>
  </si>
  <si>
    <t xml:space="preserve"> 64.1818 </t>
  </si>
  <si>
    <t xml:space="preserve">C:\Users\lmarliere\Desktop\2021-CHG-CBA-TRIPHENYLP 3\plaque 1/@08 TRIPHENYLP 0.18/H8_02.tif </t>
  </si>
  <si>
    <t xml:space="preserve"> 475.8577 </t>
  </si>
  <si>
    <t xml:space="preserve"> 63.9091 </t>
  </si>
  <si>
    <t xml:space="preserve">C:\Users\lmarliere\Desktop\2021-CHG-CBA-TRIPHENYLP 3\plaque 1/@08 TRIPHENYLP 0.18/H8_03.tif </t>
  </si>
  <si>
    <t xml:space="preserve"> 63.3684 </t>
  </si>
  <si>
    <t xml:space="preserve">C:\Users\lmarliere\Desktop\2021-CHG-CBA-TRIPHENYLP 3\plaque 1/@08 TRIPHENYLP 0.18/ </t>
  </si>
  <si>
    <t xml:space="preserve"> 69.7166 </t>
  </si>
  <si>
    <t xml:space="preserve"> 7.4753 </t>
  </si>
  <si>
    <t xml:space="preserve"> 530156.792 </t>
  </si>
  <si>
    <t xml:space="preserve"> 571143.661 </t>
  </si>
  <si>
    <t xml:space="preserve">C:\Users\lmarliere\Desktop\2021-CHG-CBA-TRIPHENYLP 3\plaque 1/@09 TRIPHENY P 0.26/A9_01.tif </t>
  </si>
  <si>
    <t xml:space="preserve">C:\Users\lmarliere\Desktop\2021-CHG-CBA-TRIPHENYLP 3\plaque 1/@09 TRIPHENY P 0.26/A9_02.tif </t>
  </si>
  <si>
    <t xml:space="preserve"> 259.5587 </t>
  </si>
  <si>
    <t xml:space="preserve"> 65.0833 </t>
  </si>
  <si>
    <t xml:space="preserve">C:\Users\lmarliere\Desktop\2021-CHG-CBA-TRIPHENYLP 3\plaque 1/@09 TRIPHENY P 0.26/A9_03.tif </t>
  </si>
  <si>
    <t xml:space="preserve"> 497.4876 </t>
  </si>
  <si>
    <t xml:space="preserve"> 66.6087 </t>
  </si>
  <si>
    <t xml:space="preserve">C:\Users\lmarliere\Desktop\2021-CHG-CBA-TRIPHENYLP 3\plaque 1/@09 TRIPHENY P 0.26/B9_01.tif </t>
  </si>
  <si>
    <t xml:space="preserve"> 69.878 </t>
  </si>
  <si>
    <t xml:space="preserve">C:\Users\lmarliere\Desktop\2021-CHG-CBA-TRIPHENYLP 3\plaque 1/@09 TRIPHENY P 0.26/B9_02.tif </t>
  </si>
  <si>
    <t xml:space="preserve"> 63.7576 </t>
  </si>
  <si>
    <t xml:space="preserve">C:\Users\lmarliere\Desktop\2021-CHG-CBA-TRIPHENYLP 3\plaque 1/@09 TRIPHENY P 0.26/B9_03.tif </t>
  </si>
  <si>
    <t xml:space="preserve"> 64.0385 </t>
  </si>
  <si>
    <t xml:space="preserve">C:\Users\lmarliere\Desktop\2021-CHG-CBA-TRIPHENYLP 3\plaque 1/@09 TRIPHENY P 0.26/C9_01.tif </t>
  </si>
  <si>
    <t xml:space="preserve"> 62.6429 </t>
  </si>
  <si>
    <t xml:space="preserve">C:\Users\lmarliere\Desktop\2021-CHG-CBA-TRIPHENYLP 3\plaque 1/@09 TRIPHENY P 0.26/C9_02.tif </t>
  </si>
  <si>
    <t xml:space="preserve"> 65.1765 </t>
  </si>
  <si>
    <t xml:space="preserve">C:\Users\lmarliere\Desktop\2021-CHG-CBA-TRIPHENYLP 3\plaque 1/@09 TRIPHENY P 0.26/C9_03.tif </t>
  </si>
  <si>
    <t xml:space="preserve"> 64.9375 </t>
  </si>
  <si>
    <t xml:space="preserve">C:\Users\lmarliere\Desktop\2021-CHG-CBA-TRIPHENYLP 3\plaque 1/@09 TRIPHENY P 0.26/D9_01.tif </t>
  </si>
  <si>
    <t xml:space="preserve"> 6315.9292 </t>
  </si>
  <si>
    <t xml:space="preserve"> 69.7705 </t>
  </si>
  <si>
    <t xml:space="preserve">C:\Users\lmarliere\Desktop\2021-CHG-CBA-TRIPHENYLP 3\plaque 1/@09 TRIPHENY P 0.26/D9_02.tif </t>
  </si>
  <si>
    <t xml:space="preserve">C:\Users\lmarliere\Desktop\2021-CHG-CBA-TRIPHENYLP 3\plaque 1/@09 TRIPHENY P 0.26/D9_03.tif </t>
  </si>
  <si>
    <t xml:space="preserve"> 6770.157 </t>
  </si>
  <si>
    <t xml:space="preserve"> 68.5655 </t>
  </si>
  <si>
    <t xml:space="preserve">C:\Users\lmarliere\Desktop\2021-CHG-CBA-TRIPHENYLP 3\plaque 1/@09 TRIPHENY P 0.26/E9_01.tif </t>
  </si>
  <si>
    <t xml:space="preserve"> 8543.8084 </t>
  </si>
  <si>
    <t xml:space="preserve"> 70.9013 </t>
  </si>
  <si>
    <t>C:\Users\lmarliere\Desktop\2021-CHG-CBA-TRIPHENYLP 3\plaque 1/@09 TRIPHENY P 0.26/E9_02- exclu.tif</t>
  </si>
  <si>
    <t xml:space="preserve">C:\Users\lmarliere\Desktop\2021-CHG-CBA-TRIPHENYLP 3\plaque 1/@09 TRIPHENY P 0.26/E9_03.tif </t>
  </si>
  <si>
    <t xml:space="preserve"> 71.5476 </t>
  </si>
  <si>
    <t xml:space="preserve">C:\Users\lmarliere\Desktop\2021-CHG-CBA-TRIPHENYLP 3\plaque 1/@09 TRIPHENY P 0.26/F9_01.tif </t>
  </si>
  <si>
    <t xml:space="preserve"> 2444.1781 </t>
  </si>
  <si>
    <t xml:space="preserve"> 63.7345 </t>
  </si>
  <si>
    <t xml:space="preserve">C:\Users\lmarliere\Desktop\2021-CHG-CBA-TRIPHENYLP 3\plaque 1/@09 TRIPHENY P 0.26/F9_02.tif </t>
  </si>
  <si>
    <t xml:space="preserve"> 5385.8438 </t>
  </si>
  <si>
    <t xml:space="preserve"> 71.6426 </t>
  </si>
  <si>
    <t>C:\Users\lmarliere\Desktop\2021-CHG-CBA-TRIPHENYLP 3\plaque 1/@09 TRIPHENY P 0.26/F9_03- exclu.tif</t>
  </si>
  <si>
    <t xml:space="preserve">C:\Users\lmarliere\Desktop\2021-CHG-CBA-TRIPHENYLP 3\plaque 1/@09 TRIPHENY P 0.26/G9_01.tif </t>
  </si>
  <si>
    <t xml:space="preserve"> 2573.9575 </t>
  </si>
  <si>
    <t xml:space="preserve"> 66.4202 </t>
  </si>
  <si>
    <t xml:space="preserve">C:\Users\lmarliere\Desktop\2021-CHG-CBA-TRIPHENYLP 3\plaque 1/@09 TRIPHENY P 0.26/G9_02.tif </t>
  </si>
  <si>
    <t xml:space="preserve"> 63.8857 </t>
  </si>
  <si>
    <t xml:space="preserve">C:\Users\lmarliere\Desktop\2021-CHG-CBA-TRIPHENYLP 3\plaque 1/@09 TRIPHENY P 0.26/G9_03.tif </t>
  </si>
  <si>
    <t xml:space="preserve"> 778.6762 </t>
  </si>
  <si>
    <t xml:space="preserve"> 63.6389 </t>
  </si>
  <si>
    <t xml:space="preserve">C:\Users\lmarliere\Desktop\2021-CHG-CBA-TRIPHENYLP 3\plaque 1/@09 TRIPHENY P 0.26/H9_01.tif </t>
  </si>
  <si>
    <t xml:space="preserve"> 5061.3953 </t>
  </si>
  <si>
    <t xml:space="preserve"> 63.6966 </t>
  </si>
  <si>
    <t xml:space="preserve">C:\Users\lmarliere\Desktop\2021-CHG-CBA-TRIPHENYLP 3\plaque 1/@09 TRIPHENY P 0.26/H9_02.tif </t>
  </si>
  <si>
    <t xml:space="preserve"> 4325.9789 </t>
  </si>
  <si>
    <t xml:space="preserve"> 66.075 </t>
  </si>
  <si>
    <t xml:space="preserve">C:\Users\lmarliere\Desktop\2021-CHG-CBA-TRIPHENYLP 3\plaque 1/@09 TRIPHENY P 0.26/H9_03.tif </t>
  </si>
  <si>
    <t xml:space="preserve"> 64.0506 </t>
  </si>
  <si>
    <t xml:space="preserve">C:\Users\lmarliere\Desktop\2021-CHG-CBA-TRIPHENYLP 3\plaque 1/@09 TRIPHENY P 0.26/ </t>
  </si>
  <si>
    <t xml:space="preserve"> 65.9988 </t>
  </si>
  <si>
    <t xml:space="preserve"> 2.8148 </t>
  </si>
  <si>
    <t xml:space="preserve"> 220451.125 </t>
  </si>
  <si>
    <t xml:space="preserve"> 184312.675 </t>
  </si>
  <si>
    <t xml:space="preserve">C:\Users\lmarliere\Desktop\2021-CHG-CBA-TRIPHENYLP 3\plaque 1/@10 TRIPHENYLP 0.4/A10_01.tif </t>
  </si>
  <si>
    <t xml:space="preserve"> 64.7968 </t>
  </si>
  <si>
    <t>C:\Users\lmarliere\Desktop\2021-CHG-CBA-TRIPHENYLP 3\plaque 1/@10 TRIPHENYLP 0.4/A10_02- exclu.tif</t>
  </si>
  <si>
    <t>C:\Users\lmarliere\Desktop\2021-CHG-CBA-TRIPHENYLP 3\plaque 1/@10 TRIPHENYLP 0.4/A10_03- exclu.tif</t>
  </si>
  <si>
    <t xml:space="preserve">C:\Users\lmarliere\Desktop\2021-CHG-CBA-TRIPHENYLP 3\plaque 1/@10 TRIPHENYLP 0.4/B10_01.tif </t>
  </si>
  <si>
    <t xml:space="preserve"> 63.7384 </t>
  </si>
  <si>
    <t xml:space="preserve">C:\Users\lmarliere\Desktop\2021-CHG-CBA-TRIPHENYLP 3\plaque 1/@10 TRIPHENYLP 0.4/B10_02.tif </t>
  </si>
  <si>
    <t xml:space="preserve"> 65.7293 </t>
  </si>
  <si>
    <t xml:space="preserve">C:\Users\lmarliere\Desktop\2021-CHG-CBA-TRIPHENYLP 3\plaque 1/@10 TRIPHENYLP 0.4/B10_03.tif </t>
  </si>
  <si>
    <t xml:space="preserve"> 3525.6728 </t>
  </si>
  <si>
    <t xml:space="preserve"> 65.5031 </t>
  </si>
  <si>
    <t xml:space="preserve">C:\Users\lmarliere\Desktop\2021-CHG-CBA-TRIPHENYLP 3\plaque 1/@10 TRIPHENYLP 0.4/C10_01.tif </t>
  </si>
  <si>
    <t xml:space="preserve"> 6121.2602 </t>
  </si>
  <si>
    <t xml:space="preserve"> 64.8233 </t>
  </si>
  <si>
    <t xml:space="preserve">C:\Users\lmarliere\Desktop\2021-CHG-CBA-TRIPHENYLP 3\plaque 1/@10 TRIPHENYLP 0.4/C10_02.tif </t>
  </si>
  <si>
    <t xml:space="preserve"> 9603.6732 </t>
  </si>
  <si>
    <t xml:space="preserve"> 72.5563 </t>
  </si>
  <si>
    <t xml:space="preserve">C:\Users\lmarliere\Desktop\2021-CHG-CBA-TRIPHENYLP 3\plaque 1/@10 TRIPHENYLP 0.4/C10_03.tif </t>
  </si>
  <si>
    <t xml:space="preserve"> 13843.1326 </t>
  </si>
  <si>
    <t xml:space="preserve"> 69.3187 </t>
  </si>
  <si>
    <t xml:space="preserve">C:\Users\lmarliere\Desktop\2021-CHG-CBA-TRIPHENYLP 3\plaque 1/@10 TRIPHENYLP 0.4/D10_01.tif </t>
  </si>
  <si>
    <t xml:space="preserve"> 7743.5023 </t>
  </si>
  <si>
    <t xml:space="preserve"> 72.6732 </t>
  </si>
  <si>
    <t xml:space="preserve">C:\Users\lmarliere\Desktop\2021-CHG-CBA-TRIPHENYLP 3\plaque 1/@10 TRIPHENYLP 0.4/D10_02.tif </t>
  </si>
  <si>
    <t xml:space="preserve"> 8760.1073 </t>
  </si>
  <si>
    <t xml:space="preserve"> 71.6716 </t>
  </si>
  <si>
    <t xml:space="preserve">C:\Users\lmarliere\Desktop\2021-CHG-CBA-TRIPHENYLP 3\plaque 1/@10 TRIPHENYLP 0.4/D10_03.tif </t>
  </si>
  <si>
    <t xml:space="preserve"> 6878.3065 </t>
  </si>
  <si>
    <t xml:space="preserve"> 75.022 </t>
  </si>
  <si>
    <t xml:space="preserve">C:\Users\lmarliere\Desktop\2021-CHG-CBA-TRIPHENYLP 3\plaque 1/@10 TRIPHENYLP 0.4/E10_01.tif </t>
  </si>
  <si>
    <t xml:space="preserve"> 62.8293 </t>
  </si>
  <si>
    <t xml:space="preserve">C:\Users\lmarliere\Desktop\2021-CHG-CBA-TRIPHENYLP 3\plaque 1/@10 TRIPHENYLP 0.4/E10_02.tif </t>
  </si>
  <si>
    <t xml:space="preserve"> 64.4083 </t>
  </si>
  <si>
    <t xml:space="preserve">C:\Users\lmarliere\Desktop\2021-CHG-CBA-TRIPHENYLP 3\plaque 1/@10 TRIPHENYLP 0.4/E10_03.tif </t>
  </si>
  <si>
    <t xml:space="preserve"> 64.2594 </t>
  </si>
  <si>
    <t xml:space="preserve">C:\Users\lmarliere\Desktop\2021-CHG-CBA-TRIPHENYLP 3\plaque 1/@10 TRIPHENYLP 0.4/F10_01.tif </t>
  </si>
  <si>
    <t xml:space="preserve"> 63.2712 </t>
  </si>
  <si>
    <t xml:space="preserve">C:\Users\lmarliere\Desktop\2021-CHG-CBA-TRIPHENYLP 3\plaque 1/@10 TRIPHENYLP 0.4/F10_02.tif </t>
  </si>
  <si>
    <t xml:space="preserve"> 5926.5911 </t>
  </si>
  <si>
    <t xml:space="preserve"> 65.4489 </t>
  </si>
  <si>
    <t xml:space="preserve">C:\Users\lmarliere\Desktop\2021-CHG-CBA-TRIPHENYLP 3\plaque 1/@10 TRIPHENYLP 0.4/F10_03.tif </t>
  </si>
  <si>
    <t xml:space="preserve"> 72.5826 </t>
  </si>
  <si>
    <t xml:space="preserve">C:\Users\lmarliere\Desktop\2021-CHG-CBA-TRIPHENYLP 3\plaque 1/@10 TRIPHENYLP 0.4/G10_01.tif </t>
  </si>
  <si>
    <t xml:space="preserve"> 13799.8728 </t>
  </si>
  <si>
    <t xml:space="preserve"> 93.5893 </t>
  </si>
  <si>
    <t xml:space="preserve">C:\Users\lmarliere\Desktop\2021-CHG-CBA-TRIPHENYLP 3\plaque 1/@10 TRIPHENYLP 0.4/G10_02.tif </t>
  </si>
  <si>
    <t xml:space="preserve"> 12740.0079 </t>
  </si>
  <si>
    <t xml:space="preserve"> 84.2835 </t>
  </si>
  <si>
    <t xml:space="preserve">C:\Users\lmarliere\Desktop\2021-CHG-CBA-TRIPHENYLP 3\plaque 1/@10 TRIPHENYLP 0.4/G10_03.tif </t>
  </si>
  <si>
    <t xml:space="preserve"> 85.6387 </t>
  </si>
  <si>
    <t xml:space="preserve">C:\Users\lmarliere\Desktop\2021-CHG-CBA-TRIPHENYLP 3\plaque 1/@10 TRIPHENYLP 0.4/H10_01.tif </t>
  </si>
  <si>
    <t xml:space="preserve"> 5710.2922 </t>
  </si>
  <si>
    <t xml:space="preserve"> 64.6098 </t>
  </si>
  <si>
    <t xml:space="preserve">C:\Users\lmarliere\Desktop\2021-CHG-CBA-TRIPHENYLP 3\plaque 1/@10 TRIPHENYLP 0.4/H10_02.tif </t>
  </si>
  <si>
    <t xml:space="preserve"> 63.2394 </t>
  </si>
  <si>
    <t xml:space="preserve">C:\Users\lmarliere\Desktop\2021-CHG-CBA-TRIPHENYLP 3\plaque 1/@10 TRIPHENYLP 0.4/H10_03.tif </t>
  </si>
  <si>
    <t xml:space="preserve"> 2336.0286 </t>
  </si>
  <si>
    <t xml:space="preserve"> 64.0463 </t>
  </si>
  <si>
    <t xml:space="preserve">C:\Users\lmarliere\Desktop\2021-CHG-CBA-TRIPHENYLP 3\plaque 1/@10 TRIPHENYLP 0.4/ </t>
  </si>
  <si>
    <t xml:space="preserve"> 8.0533 </t>
  </si>
  <si>
    <t xml:space="preserve"> 340354.853 </t>
  </si>
  <si>
    <t>C:\Users\lmarliere\Desktop\2021-CHG-CBA-TRIPHENYLP 3\plaque 1/@11 TRIPHENYLP 0.59/A11_01- exclu.tif</t>
  </si>
  <si>
    <t xml:space="preserve">C:\Users\lmarliere\Desktop\2021-CHG-CBA-TRIPHENYLP 3\plaque 1/@11 TRIPHENYLP 0.59/A11_02.tif </t>
  </si>
  <si>
    <t xml:space="preserve"> 65.2173 </t>
  </si>
  <si>
    <t>C:\Users\lmarliere\Desktop\2021-CHG-CBA-TRIPHENYLP 3\plaque 1/@11 TRIPHENYLP 0.59/A11_03- exclu.tif</t>
  </si>
  <si>
    <t xml:space="preserve">C:\Users\lmarliere\Desktop\2021-CHG-CBA-TRIPHENYLP 3\plaque 1/@11 TRIPHENYLP 0.59/B11_01.tif </t>
  </si>
  <si>
    <t xml:space="preserve"> 20872.8483 </t>
  </si>
  <si>
    <t xml:space="preserve"> 64.8218 </t>
  </si>
  <si>
    <t xml:space="preserve">C:\Users\lmarliere\Desktop\2021-CHG-CBA-TRIPHENYLP 3\plaque 1/@11 TRIPHENYLP 0.59/B11_02.tif </t>
  </si>
  <si>
    <t xml:space="preserve"> 28075.6032 </t>
  </si>
  <si>
    <t xml:space="preserve"> 67.1163 </t>
  </si>
  <si>
    <t xml:space="preserve">C:\Users\lmarliere\Desktop\2021-CHG-CBA-TRIPHENYLP 3\plaque 1/@11 TRIPHENYLP 0.59/B11_03.tif </t>
  </si>
  <si>
    <t xml:space="preserve"> 64.6025 </t>
  </si>
  <si>
    <t xml:space="preserve">C:\Users\lmarliere\Desktop\2021-CHG-CBA-TRIPHENYLP 3\plaque 1/@11 TRIPHENYLP 0.59/C11_01.tif </t>
  </si>
  <si>
    <t xml:space="preserve"> 64.1238 </t>
  </si>
  <si>
    <t xml:space="preserve">C:\Users\lmarliere\Desktop\2021-CHG-CBA-TRIPHENYLP 3\plaque 1/@11 TRIPHENYLP 0.59/C11_02.tif </t>
  </si>
  <si>
    <t xml:space="preserve"> 65.3303 </t>
  </si>
  <si>
    <t xml:space="preserve">C:\Users\lmarliere\Desktop\2021-CHG-CBA-TRIPHENYLP 3\plaque 1/@11 TRIPHENYLP 0.59/C11_03.tif </t>
  </si>
  <si>
    <t xml:space="preserve"> 65.1753 </t>
  </si>
  <si>
    <t>C:\Users\lmarliere\Desktop\2021-CHG-CBA-TRIPHENYLP 3\plaque 1/@11 TRIPHENYLP 0.59/D11_01- exclu.tif</t>
  </si>
  <si>
    <t xml:space="preserve">C:\Users\lmarliere\Desktop\2021-CHG-CBA-TRIPHENYLP 3\plaque 1/@11 TRIPHENYLP 0.59/D11_02.tif </t>
  </si>
  <si>
    <t xml:space="preserve"> 37311.5682 </t>
  </si>
  <si>
    <t xml:space="preserve"> 65.5617 </t>
  </si>
  <si>
    <t xml:space="preserve">C:\Users\lmarliere\Desktop\2021-CHG-CBA-TRIPHENYLP 3\plaque 1/@11 TRIPHENYLP 0.59/D11_03.tif </t>
  </si>
  <si>
    <t xml:space="preserve"> 65.6828 </t>
  </si>
  <si>
    <t xml:space="preserve">C:\Users\lmarliere\Desktop\2021-CHG-CBA-TRIPHENYLP 3\plaque 1/@11 TRIPHENYLP 0.59/E11_01.tif </t>
  </si>
  <si>
    <t xml:space="preserve"> 18039.3321 </t>
  </si>
  <si>
    <t xml:space="preserve"> 64.7242 </t>
  </si>
  <si>
    <t xml:space="preserve">C:\Users\lmarliere\Desktop\2021-CHG-CBA-TRIPHENYLP 3\plaque 1/@11 TRIPHENYLP 0.59/E11_02.tif </t>
  </si>
  <si>
    <t xml:space="preserve"> 23944.2934 </t>
  </si>
  <si>
    <t xml:space="preserve"> 70.1048 </t>
  </si>
  <si>
    <t xml:space="preserve">C:\Users\lmarliere\Desktop\2021-CHG-CBA-TRIPHENYLP 3\plaque 1/@11 TRIPHENYLP 0.59/E11_03.tif </t>
  </si>
  <si>
    <t xml:space="preserve"> 28746.13 </t>
  </si>
  <si>
    <t xml:space="preserve"> 68.2874 </t>
  </si>
  <si>
    <t>C:\Users\lmarliere\Desktop\2021-CHG-CBA-TRIPHENYLP 3\plaque 1/@11 TRIPHENYLP 0.59/F11_01- exclu.tif</t>
  </si>
  <si>
    <t xml:space="preserve">C:\Users\lmarliere\Desktop\2021-CHG-CBA-TRIPHENYLP 3\plaque 1/@11 TRIPHENYLP 0.59/F11_02.tif </t>
  </si>
  <si>
    <t xml:space="preserve"> 16936.2075 </t>
  </si>
  <si>
    <t xml:space="preserve"> 84.5057 </t>
  </si>
  <si>
    <t xml:space="preserve">C:\Users\lmarliere\Desktop\2021-CHG-CBA-TRIPHENYLP 3\plaque 1/@11 TRIPHENYLP 0.59/F11_03.tif </t>
  </si>
  <si>
    <t xml:space="preserve"> 20072.5422 </t>
  </si>
  <si>
    <t xml:space="preserve"> 92.68 </t>
  </si>
  <si>
    <t>C:\Users\lmarliere\Desktop\2021-CHG-CBA-TRIPHENYLP 3\plaque 1/@11 TRIPHENYLP 0.59/G11_01- exclu.tif</t>
  </si>
  <si>
    <t xml:space="preserve">C:\Users\lmarliere\Desktop\2021-CHG-CBA-TRIPHENYLP 3\plaque 1/@11 TRIPHENYLP 0.59/G11_02.tif </t>
  </si>
  <si>
    <t xml:space="preserve"> 69.8843 </t>
  </si>
  <si>
    <t xml:space="preserve">C:\Users\lmarliere\Desktop\2021-CHG-CBA-TRIPHENYLP 3\plaque 1/@11 TRIPHENYLP 0.59/G11_03.tif </t>
  </si>
  <si>
    <t xml:space="preserve"> 12913.0471 </t>
  </si>
  <si>
    <t xml:space="preserve"> 74.0385 </t>
  </si>
  <si>
    <t xml:space="preserve">C:\Users\lmarliere\Desktop\2021-CHG-CBA-TRIPHENYLP 3\plaque 1/@11 TRIPHENYLP 0.59/H11_01.tif </t>
  </si>
  <si>
    <t xml:space="preserve"> 26842.6992 </t>
  </si>
  <si>
    <t xml:space="preserve"> 66.1757 </t>
  </si>
  <si>
    <t xml:space="preserve">C:\Users\lmarliere\Desktop\2021-CHG-CBA-TRIPHENYLP 3\plaque 1/@11 TRIPHENYLP 0.59/H11_02.tif </t>
  </si>
  <si>
    <t xml:space="preserve"> 66.3774 </t>
  </si>
  <si>
    <t xml:space="preserve">C:\Users\lmarliere\Desktop\2021-CHG-CBA-TRIPHENYLP 3\plaque 1/@11 TRIPHENYLP 0.59/H11_03.tif </t>
  </si>
  <si>
    <t xml:space="preserve"> 27296.927 </t>
  </si>
  <si>
    <t xml:space="preserve"> 65.3281 </t>
  </si>
  <si>
    <t xml:space="preserve">C:\Users\lmarliere\Desktop\2021-CHG-CBA-TRIPHENYLP 3\plaque 1/@11 TRIPHENYLP 0.59/ </t>
  </si>
  <si>
    <t xml:space="preserve"> 68.627 </t>
  </si>
  <si>
    <t xml:space="preserve"> 6.8122 </t>
  </si>
  <si>
    <t xml:space="preserve"> 1316726.17 </t>
  </si>
  <si>
    <t xml:space="preserve"> 631737.082 </t>
  </si>
  <si>
    <t>C:\Users\lmarliere\Desktop\2021-CHG-CBA-TRIPHENYLP 3\plaque 1/@12 TRIPHENYLP 0.89/A12_01- exclu.tif</t>
  </si>
  <si>
    <t xml:space="preserve">C:\Users\lmarliere\Desktop\2021-CHG-CBA-TRIPHENYLP 3\plaque 1/@12 TRIPHENYLP 0.89/A12_02.tif </t>
  </si>
  <si>
    <t xml:space="preserve"> 75.5158 </t>
  </si>
  <si>
    <t xml:space="preserve">C:\Users\lmarliere\Desktop\2021-CHG-CBA-TRIPHENYLP 3\plaque 1/@12 TRIPHENYLP 0.89/A12_03.tif </t>
  </si>
  <si>
    <t xml:space="preserve"> 33504.7068 </t>
  </si>
  <si>
    <t xml:space="preserve"> 81.9819 </t>
  </si>
  <si>
    <t xml:space="preserve">C:\Users\lmarliere\Desktop\2021-CHG-CBA-TRIPHENYLP 3\plaque 1/@12 TRIPHENYLP 0.89/B12_01.tif </t>
  </si>
  <si>
    <t xml:space="preserve"> 62.8333 </t>
  </si>
  <si>
    <t xml:space="preserve">C:\Users\lmarliere\Desktop\2021-CHG-CBA-TRIPHENYLP 3\plaque 1/@12 TRIPHENYLP 0.89/B12_02.tif </t>
  </si>
  <si>
    <t xml:space="preserve"> 62.8667 </t>
  </si>
  <si>
    <t xml:space="preserve">C:\Users\lmarliere\Desktop\2021-CHG-CBA-TRIPHENYLP 3\plaque 1/@12 TRIPHENYLP 0.89/B12_03.tif </t>
  </si>
  <si>
    <t xml:space="preserve"> 12264.1503 </t>
  </si>
  <si>
    <t xml:space="preserve"> 79.7743 </t>
  </si>
  <si>
    <t xml:space="preserve">C:\Users\lmarliere\Desktop\2021-CHG-CBA-TRIPHENYLP 3\plaque 1/@12 TRIPHENYLP 0.89/C12_01.tif </t>
  </si>
  <si>
    <t xml:space="preserve"> 56216.0961 </t>
  </si>
  <si>
    <t xml:space="preserve"> 68.8965 </t>
  </si>
  <si>
    <t xml:space="preserve">C:\Users\lmarliere\Desktop\2021-CHG-CBA-TRIPHENYLP 3\plaque 1/@12 TRIPHENYLP 0.89/C12_02.tif </t>
  </si>
  <si>
    <t xml:space="preserve"> 46266.3446 </t>
  </si>
  <si>
    <t xml:space="preserve"> 67.8672 </t>
  </si>
  <si>
    <t xml:space="preserve">C:\Users\lmarliere\Desktop\2021-CHG-CBA-TRIPHENYLP 3\plaque 1/@12 TRIPHENYLP 0.89/C12_03.tif </t>
  </si>
  <si>
    <t xml:space="preserve"> 48602.3732 </t>
  </si>
  <si>
    <t xml:space="preserve"> 67.2844 </t>
  </si>
  <si>
    <t xml:space="preserve">C:\Users\lmarliere\Desktop\2021-CHG-CBA-TRIPHENYLP 3\plaque 1/@12 TRIPHENYLP 0.89/D12_01.tif </t>
  </si>
  <si>
    <t xml:space="preserve"> 67.3051 </t>
  </si>
  <si>
    <t xml:space="preserve">C:\Users\lmarliere\Desktop\2021-CHG-CBA-TRIPHENYLP 3\plaque 1/@12 TRIPHENYLP 0.89/D12_02.tif </t>
  </si>
  <si>
    <t xml:space="preserve"> 26237.0622 </t>
  </si>
  <si>
    <t xml:space="preserve"> 67.1896 </t>
  </si>
  <si>
    <t xml:space="preserve">C:\Users\lmarliere\Desktop\2021-CHG-CBA-TRIPHENYLP 3\plaque 1/@12 TRIPHENYLP 0.89/D12_03.tif </t>
  </si>
  <si>
    <t xml:space="preserve"> 23511.6955 </t>
  </si>
  <si>
    <t xml:space="preserve"> 66.0166 </t>
  </si>
  <si>
    <t>C:\Users\lmarliere\Desktop\2021-CHG-CBA-TRIPHENYLP 3\plaque 1/@12 TRIPHENYLP 0.89/E12_01- exclu.tif</t>
  </si>
  <si>
    <t>C:\Users\lmarliere\Desktop\2021-CHG-CBA-TRIPHENYLP 3\plaque 1/@12 TRIPHENYLP 0.89/E12_02- exclu.tif</t>
  </si>
  <si>
    <t>C:\Users\lmarliere\Desktop\2021-CHG-CBA-TRIPHENYLP 3\plaque 1/@12 TRIPHENYLP 0.89/E12_03- exclu.tif</t>
  </si>
  <si>
    <t xml:space="preserve">C:\Users\lmarliere\Desktop\2021-CHG-CBA-TRIPHENYLP 3\plaque 1/@12 TRIPHENYLP 0.89/F12_01.tif </t>
  </si>
  <si>
    <t xml:space="preserve"> 70.7672 </t>
  </si>
  <si>
    <t>C:\Users\lmarliere\Desktop\2021-CHG-CBA-TRIPHENYLP 3\plaque 1/@12 TRIPHENYLP 0.89/F12_02- exclu.tif</t>
  </si>
  <si>
    <t xml:space="preserve">C:\Users\lmarliere\Desktop\2021-CHG-CBA-TRIPHENYLP 3\plaque 1/@12 TRIPHENYLP 0.89/F12_03.tif </t>
  </si>
  <si>
    <t xml:space="preserve"> 62856.4738 </t>
  </si>
  <si>
    <t xml:space="preserve"> 73.9604 </t>
  </si>
  <si>
    <t>C:\Users\lmarliere\Desktop\2021-CHG-CBA-TRIPHENYLP 3\plaque 1/@12 TRIPHENYLP 0.89/G12_01- exclu.tif</t>
  </si>
  <si>
    <t>C:\Users\lmarliere\Desktop\2021-CHG-CBA-TRIPHENYLP 3\plaque 1/@12 TRIPHENYLP 0.89/G12_02- exclu.tif</t>
  </si>
  <si>
    <t>C:\Users\lmarliere\Desktop\2021-CHG-CBA-TRIPHENYLP 3\plaque 1/@12 TRIPHENYLP 0.89/G12_03- exclu.tif</t>
  </si>
  <si>
    <t>C:\Users\lmarliere\Desktop\2021-CHG-CBA-TRIPHENYLP 3\plaque 1/@12 TRIPHENYLP 0.89/H12_01- exclu.tif</t>
  </si>
  <si>
    <t xml:space="preserve">C:\Users\lmarliere\Desktop\2021-CHG-CBA-TRIPHENYLP 3\plaque 1/@12 TRIPHENYLP 0.89/H12_02.tif </t>
  </si>
  <si>
    <t xml:space="preserve"> 33093.7388 </t>
  </si>
  <si>
    <t xml:space="preserve"> 67.2725 </t>
  </si>
  <si>
    <t xml:space="preserve">C:\Users\lmarliere\Desktop\2021-CHG-CBA-TRIPHENYLP 3\plaque 1/@12 TRIPHENYLP 0.89/H12_03.tif </t>
  </si>
  <si>
    <t xml:space="preserve"> 68.2682 </t>
  </si>
  <si>
    <t xml:space="preserve">C:\Users\lmarliere\Desktop\2021-CHG-CBA-TRIPHENYLP 3\plaque 1/@12 TRIPHENYLP 0.89/ </t>
  </si>
  <si>
    <t xml:space="preserve"> 68.2138 </t>
  </si>
  <si>
    <t xml:space="preserve"> 5.2581 </t>
  </si>
  <si>
    <t xml:space="preserve"> 1747179.96 </t>
  </si>
  <si>
    <t xml:space="preserve"> 1624905.72 </t>
  </si>
  <si>
    <t xml:space="preserve">C:\Users\lmarliere\Desktop\2021-CHG-CBA-TRIPHENYLP 3\plaque 2/@13 TESTO/A1_01.tif </t>
  </si>
  <si>
    <t xml:space="preserve"> 47996.7362 </t>
  </si>
  <si>
    <t xml:space="preserve"> 75.507 </t>
  </si>
  <si>
    <t xml:space="preserve">C:\Users\lmarliere\Desktop\2021-CHG-CBA-TRIPHENYLP 3\plaque 2/@13 TESTO/A1_02.tif </t>
  </si>
  <si>
    <t xml:space="preserve"> 74.9776 </t>
  </si>
  <si>
    <t>C:\Users\lmarliere\Desktop\2021-CHG-CBA-TRIPHENYLP 3\plaque 2/@13 TESTO/A1_03- exclu.tif</t>
  </si>
  <si>
    <t xml:space="preserve">C:\Users\lmarliere\Desktop\2021-CHG-CBA-TRIPHENYLP 3\plaque 2/@13 TESTO/B1_01.tif </t>
  </si>
  <si>
    <t xml:space="preserve"> 72.2142 </t>
  </si>
  <si>
    <t xml:space="preserve">C:\Users\lmarliere\Desktop\2021-CHG-CBA-TRIPHENYLP 3\plaque 2/@13 TESTO/B1_02.tif </t>
  </si>
  <si>
    <t xml:space="preserve"> 50224.6153 </t>
  </si>
  <si>
    <t xml:space="preserve"> 74.1322 </t>
  </si>
  <si>
    <t xml:space="preserve">C:\Users\lmarliere\Desktop\2021-CHG-CBA-TRIPHENYLP 3\plaque 2/@13 TESTO/B1_03.tif </t>
  </si>
  <si>
    <t xml:space="preserve"> 73.5422 </t>
  </si>
  <si>
    <t xml:space="preserve">C:\Users\lmarliere\Desktop\2021-CHG-CBA-TRIPHENYLP 3\plaque 2/@13 TESTO/C1_01.tif </t>
  </si>
  <si>
    <t xml:space="preserve"> 26799.4394 </t>
  </si>
  <si>
    <t xml:space="preserve"> 71.8329 </t>
  </si>
  <si>
    <t xml:space="preserve">C:\Users\lmarliere\Desktop\2021-CHG-CBA-TRIPHENYLP 3\plaque 2/@13 TESTO/C1_02.tif </t>
  </si>
  <si>
    <t xml:space="preserve"> 31276.8276 </t>
  </si>
  <si>
    <t xml:space="preserve"> 72.6328 </t>
  </si>
  <si>
    <t xml:space="preserve">C:\Users\lmarliere\Desktop\2021-CHG-CBA-TRIPHENYLP 3\plaque 2/@13 TESTO/C1_03.tif </t>
  </si>
  <si>
    <t xml:space="preserve"> 30152.0731 </t>
  </si>
  <si>
    <t xml:space="preserve"> 71.2963 </t>
  </si>
  <si>
    <t xml:space="preserve">C:\Users\lmarliere\Desktop\2021-CHG-CBA-TRIPHENYLP 3\plaque 2/@13 TESTO/D1_01.tif </t>
  </si>
  <si>
    <t xml:space="preserve"> 71.7788 </t>
  </si>
  <si>
    <t xml:space="preserve">C:\Users\lmarliere\Desktop\2021-CHG-CBA-TRIPHENYLP 3\plaque 2/@13 TESTO/D1_02.tif </t>
  </si>
  <si>
    <t xml:space="preserve"> 61731.7193 </t>
  </si>
  <si>
    <t xml:space="preserve"> 72.4411 </t>
  </si>
  <si>
    <t xml:space="preserve">C:\Users\lmarliere\Desktop\2021-CHG-CBA-TRIPHENYLP 3\plaque 2/@13 TESTO/D1_03.tif </t>
  </si>
  <si>
    <t xml:space="preserve"> 54766.8932 </t>
  </si>
  <si>
    <t xml:space="preserve"> 71.2429 </t>
  </si>
  <si>
    <t xml:space="preserve">C:\Users\lmarliere\Desktop\2021-CHG-CBA-TRIPHENYLP 3\plaque 2/@13 TESTO/E1_01.tif </t>
  </si>
  <si>
    <t xml:space="preserve"> 50202.9854 </t>
  </si>
  <si>
    <t xml:space="preserve"> 70.3727 </t>
  </si>
  <si>
    <t xml:space="preserve">C:\Users\lmarliere\Desktop\2021-CHG-CBA-TRIPHENYLP 3\plaque 2/@13 TESTO/E1_02.tif </t>
  </si>
  <si>
    <t xml:space="preserve"> 44535.953 </t>
  </si>
  <si>
    <t xml:space="preserve"> 70.9174 </t>
  </si>
  <si>
    <t>C:\Users\lmarliere\Desktop\2021-CHG-CBA-TRIPHENYLP 3\plaque 2/@13 TESTO/E1_03- exclu.tif</t>
  </si>
  <si>
    <t xml:space="preserve">C:\Users\lmarliere\Desktop\2021-CHG-CBA-TRIPHENYLP 3\plaque 2/@13 TESTO/F1_01.tif </t>
  </si>
  <si>
    <t xml:space="preserve"> 22105.7523 </t>
  </si>
  <si>
    <t xml:space="preserve"> 67.1096 </t>
  </si>
  <si>
    <t xml:space="preserve">C:\Users\lmarliere\Desktop\2021-CHG-CBA-TRIPHENYLP 3\plaque 2/@13 TESTO/F1_02.tif </t>
  </si>
  <si>
    <t xml:space="preserve"> 27188.7775 </t>
  </si>
  <si>
    <t xml:space="preserve"> 67.4702 </t>
  </si>
  <si>
    <t xml:space="preserve">C:\Users\lmarliere\Desktop\2021-CHG-CBA-TRIPHENYLP 3\plaque 2/@13 TESTO/F1_03.tif </t>
  </si>
  <si>
    <t xml:space="preserve"> 69.6019 </t>
  </si>
  <si>
    <t xml:space="preserve">C:\Users\lmarliere\Desktop\2021-CHG-CBA-TRIPHENYLP 3\plaque 2/@13 TESTO/G1_01.tif </t>
  </si>
  <si>
    <t xml:space="preserve"> 31471.4967 </t>
  </si>
  <si>
    <t xml:space="preserve"> 67.7945 </t>
  </si>
  <si>
    <t xml:space="preserve">C:\Users\lmarliere\Desktop\2021-CHG-CBA-TRIPHENYLP 3\plaque 2/@13 TESTO/G1_02.tif </t>
  </si>
  <si>
    <t xml:space="preserve"> 35667.6962 </t>
  </si>
  <si>
    <t xml:space="preserve"> 68.3305 </t>
  </si>
  <si>
    <t xml:space="preserve">C:\Users\lmarliere\Desktop\2021-CHG-CBA-TRIPHENYLP 3\plaque 2/@13 TESTO/G1_03.tif </t>
  </si>
  <si>
    <t xml:space="preserve"> 68.5004 </t>
  </si>
  <si>
    <t xml:space="preserve">C:\Users\lmarliere\Desktop\2021-CHG-CBA-TRIPHENYLP 3\plaque 2/@13 TESTO/H1_01.tif </t>
  </si>
  <si>
    <t xml:space="preserve"> 71.454 </t>
  </si>
  <si>
    <t xml:space="preserve">C:\Users\lmarliere\Desktop\2021-CHG-CBA-TRIPHENYLP 3\plaque 2/@13 TESTO/H1_02.tif </t>
  </si>
  <si>
    <t xml:space="preserve"> 26691.29 </t>
  </si>
  <si>
    <t xml:space="preserve"> 70.5203 </t>
  </si>
  <si>
    <t xml:space="preserve">C:\Users\lmarliere\Desktop\2021-CHG-CBA-TRIPHENYLP 3\plaque 2/@13 TESTO/H1_03.tif </t>
  </si>
  <si>
    <t xml:space="preserve"> 32552.9914 </t>
  </si>
  <si>
    <t xml:space="preserve"> 72.0751 </t>
  </si>
  <si>
    <t xml:space="preserve">C:\Users\lmarliere\Desktop\2021-CHG-CBA-TRIPHENYLP 3\plaque 2/@13 TESTO/ </t>
  </si>
  <si>
    <t xml:space="preserve"> 71.1818 </t>
  </si>
  <si>
    <t xml:space="preserve"> 2.2501 </t>
  </si>
  <si>
    <t xml:space="preserve"> 2824056.75 </t>
  </si>
  <si>
    <t xml:space="preserve"> 895231.642 </t>
  </si>
  <si>
    <t xml:space="preserve">C:\Users\lmarliere\Desktop\2021-CHG-CBA-TRIPHENYLP 3\plaque 2/@14 TESTO/A2_01.tif </t>
  </si>
  <si>
    <t xml:space="preserve"> 15724.9334 </t>
  </si>
  <si>
    <t xml:space="preserve"> 67.3631 </t>
  </si>
  <si>
    <t xml:space="preserve">C:\Users\lmarliere\Desktop\2021-CHG-CBA-TRIPHENYLP 3\plaque 2/@14 TESTO/A2_02.tif </t>
  </si>
  <si>
    <t xml:space="preserve"> 15313.9654 </t>
  </si>
  <si>
    <t xml:space="preserve"> 64.6059 </t>
  </si>
  <si>
    <t xml:space="preserve">C:\Users\lmarliere\Desktop\2021-CHG-CBA-TRIPHENYLP 3\plaque 2/@14 TESTO/A2_03.tif </t>
  </si>
  <si>
    <t xml:space="preserve"> 64.7428 </t>
  </si>
  <si>
    <t>C:\Users\lmarliere\Desktop\2021-CHG-CBA-TRIPHENYLP 3\plaque 2/@14 TESTO/B2_01- exclu.tif</t>
  </si>
  <si>
    <t xml:space="preserve">C:\Users\lmarliere\Desktop\2021-CHG-CBA-TRIPHENYLP 3\plaque 2/@14 TESTO/B2_02.tif </t>
  </si>
  <si>
    <t xml:space="preserve"> 25739.5746 </t>
  </si>
  <si>
    <t xml:space="preserve"> 66.8261 </t>
  </si>
  <si>
    <t xml:space="preserve">C:\Users\lmarliere\Desktop\2021-CHG-CBA-TRIPHENYLP 3\plaque 2/@14 TESTO/B2_03.tif </t>
  </si>
  <si>
    <t xml:space="preserve"> 27253.6672 </t>
  </si>
  <si>
    <t xml:space="preserve"> 67.331 </t>
  </si>
  <si>
    <t xml:space="preserve">C:\Users\lmarliere\Desktop\2021-CHG-CBA-TRIPHENYLP 3\plaque 2/@14 TESTO/C2_01.tif </t>
  </si>
  <si>
    <t xml:space="preserve"> 17779.7734 </t>
  </si>
  <si>
    <t xml:space="preserve"> 65.371 </t>
  </si>
  <si>
    <t xml:space="preserve">C:\Users\lmarliere\Desktop\2021-CHG-CBA-TRIPHENYLP 3\plaque 2/@14 TESTO/C2_02.tif </t>
  </si>
  <si>
    <t xml:space="preserve"> 26712.9199 </t>
  </si>
  <si>
    <t xml:space="preserve"> 66.7441 </t>
  </si>
  <si>
    <t xml:space="preserve">C:\Users\lmarliere\Desktop\2021-CHG-CBA-TRIPHENYLP 3\plaque 2/@14 TESTO/C2_03.tif </t>
  </si>
  <si>
    <t xml:space="preserve"> 24917.6386 </t>
  </si>
  <si>
    <t xml:space="preserve"> 67.1806 </t>
  </si>
  <si>
    <t>C:\Users\lmarliere\Desktop\2021-CHG-CBA-TRIPHENYLP 3\plaque 2/@14 TESTO/D2_01- exclu.tif</t>
  </si>
  <si>
    <t xml:space="preserve">C:\Users\lmarliere\Desktop\2021-CHG-CBA-TRIPHENYLP 3\plaque 2/@14 TESTO/D2_02.tif </t>
  </si>
  <si>
    <t xml:space="preserve"> 40902.1307 </t>
  </si>
  <si>
    <t xml:space="preserve"> 74.5087 </t>
  </si>
  <si>
    <t xml:space="preserve">C:\Users\lmarliere\Desktop\2021-CHG-CBA-TRIPHENYLP 3\plaque 2/@14 TESTO/D2_03.tif </t>
  </si>
  <si>
    <t xml:space="preserve"> 36857.3404 </t>
  </si>
  <si>
    <t xml:space="preserve"> 71.3515 </t>
  </si>
  <si>
    <t>C:\Users\lmarliere\Desktop\2021-CHG-CBA-TRIPHENYLP 3\plaque 2/@14 TESTO/E2_01- exclu.tif</t>
  </si>
  <si>
    <t xml:space="preserve">C:\Users\lmarliere\Desktop\2021-CHG-CBA-TRIPHENYLP 3\plaque 2/@14 TESTO/E2_02.tif </t>
  </si>
  <si>
    <t xml:space="preserve"> 18623.3393 </t>
  </si>
  <si>
    <t xml:space="preserve"> 64.9895 </t>
  </si>
  <si>
    <t xml:space="preserve">C:\Users\lmarliere\Desktop\2021-CHG-CBA-TRIPHENYLP 3\plaque 2/@14 TESTO/E2_03.tif </t>
  </si>
  <si>
    <t xml:space="preserve"> 19812.9835 </t>
  </si>
  <si>
    <t xml:space="preserve"> 65.0371 </t>
  </si>
  <si>
    <t xml:space="preserve">C:\Users\lmarliere\Desktop\2021-CHG-CBA-TRIPHENYLP 3\plaque 2/@14 TESTO/F2_01.tif </t>
  </si>
  <si>
    <t xml:space="preserve"> 50592.3235 </t>
  </si>
  <si>
    <t xml:space="preserve"> 71.5002 </t>
  </si>
  <si>
    <t xml:space="preserve">C:\Users\lmarliere\Desktop\2021-CHG-CBA-TRIPHENYLP 3\plaque 2/@14 TESTO/F2_02.tif </t>
  </si>
  <si>
    <t xml:space="preserve"> 52301.0852 </t>
  </si>
  <si>
    <t xml:space="preserve"> 71.8499 </t>
  </si>
  <si>
    <t xml:space="preserve">C:\Users\lmarliere\Desktop\2021-CHG-CBA-TRIPHENYLP 3\plaque 2/@14 TESTO/F2_03.tif </t>
  </si>
  <si>
    <t xml:space="preserve"> 54788.5231 </t>
  </si>
  <si>
    <t xml:space="preserve"> 73.1026 </t>
  </si>
  <si>
    <t xml:space="preserve">C:\Users\lmarliere\Desktop\2021-CHG-CBA-TRIPHENYLP 3\plaque 2/@14 TESTO/G2_01.tif </t>
  </si>
  <si>
    <t xml:space="preserve"> 39431.2979 </t>
  </si>
  <si>
    <t xml:space="preserve"> 70.898 </t>
  </si>
  <si>
    <t xml:space="preserve">C:\Users\lmarliere\Desktop\2021-CHG-CBA-TRIPHENYLP 3\plaque 2/@14 TESTO/G2_02.tif </t>
  </si>
  <si>
    <t xml:space="preserve"> 36057.0343 </t>
  </si>
  <si>
    <t xml:space="preserve"> 70.4403 </t>
  </si>
  <si>
    <t xml:space="preserve">C:\Users\lmarliere\Desktop\2021-CHG-CBA-TRIPHENYLP 3\plaque 2/@14 TESTO/G2_03.tif </t>
  </si>
  <si>
    <t xml:space="preserve"> 72.3431 </t>
  </si>
  <si>
    <t xml:space="preserve">C:\Users\lmarliere\Desktop\2021-CHG-CBA-TRIPHENYLP 3\plaque 2/@14 TESTO/H2_01.tif </t>
  </si>
  <si>
    <t xml:space="preserve"> 71.5717 </t>
  </si>
  <si>
    <t xml:space="preserve">C:\Users\lmarliere\Desktop\2021-CHG-CBA-TRIPHENYLP 3\plaque 2/@14 TESTO/H2_02.tif </t>
  </si>
  <si>
    <t xml:space="preserve"> 56713.5837 </t>
  </si>
  <si>
    <t xml:space="preserve"> 73.1167 </t>
  </si>
  <si>
    <t xml:space="preserve">C:\Users\lmarliere\Desktop\2021-CHG-CBA-TRIPHENYLP 3\plaque 2/@14 TESTO/H2_03.tif </t>
  </si>
  <si>
    <t xml:space="preserve"> 49359.4195 </t>
  </si>
  <si>
    <t xml:space="preserve"> 73.2581 </t>
  </si>
  <si>
    <t xml:space="preserve">C:\Users\lmarliere\Desktop\2021-CHG-CBA-TRIPHENYLP 3\plaque 2/@14 TESTO/ </t>
  </si>
  <si>
    <t xml:space="preserve"> 68.9513 </t>
  </si>
  <si>
    <t xml:space="preserve"> 3.5463 </t>
  </si>
  <si>
    <t xml:space="preserve"> 2269022.75 </t>
  </si>
  <si>
    <t xml:space="preserve"> 1134063.07 </t>
  </si>
  <si>
    <t xml:space="preserve">C:\Users\lmarliere\Desktop\2021-CHG-CBA-TRIPHENYLP 3\plaque 2/@15 TESTO + EE2/A3_01.tif </t>
  </si>
  <si>
    <t xml:space="preserve"> 68004.3887 </t>
  </si>
  <si>
    <t xml:space="preserve"> 83.5735 </t>
  </si>
  <si>
    <t xml:space="preserve">C:\Users\lmarliere\Desktop\2021-CHG-CBA-TRIPHENYLP 3\plaque 2/@15 TESTO + EE2/A3_02.tif </t>
  </si>
  <si>
    <t xml:space="preserve"> 70037.5988 </t>
  </si>
  <si>
    <t xml:space="preserve"> 83.3885 </t>
  </si>
  <si>
    <t xml:space="preserve">C:\Users\lmarliere\Desktop\2021-CHG-CBA-TRIPHENYLP 3\plaque 2/@15 TESTO + EE2/A3_03.tif </t>
  </si>
  <si>
    <t xml:space="preserve"> 67701.5702 </t>
  </si>
  <si>
    <t xml:space="preserve"> 83.8313 </t>
  </si>
  <si>
    <t>C:\Users\lmarliere\Desktop\2021-CHG-CBA-TRIPHENYLP 3\plaque 2/@15 TESTO + EE2/B3_01- exclu.tif</t>
  </si>
  <si>
    <t xml:space="preserve">C:\Users\lmarliere\Desktop\2021-CHG-CBA-TRIPHENYLP 3\plaque 2/@15 TESTO + EE2/B3_02.tif </t>
  </si>
  <si>
    <t xml:space="preserve"> 67333.862 </t>
  </si>
  <si>
    <t xml:space="preserve"> 74.4494 </t>
  </si>
  <si>
    <t xml:space="preserve">C:\Users\lmarliere\Desktop\2021-CHG-CBA-TRIPHENYLP 3\plaque 2/@15 TESTO + EE2/B3_03.tif </t>
  </si>
  <si>
    <t xml:space="preserve"> 71421.9121 </t>
  </si>
  <si>
    <t xml:space="preserve"> 75.798 </t>
  </si>
  <si>
    <t xml:space="preserve">C:\Users\lmarliere\Desktop\2021-CHG-CBA-TRIPHENYLP 3\plaque 2/@15 TESTO + EE2/C3_01.tif </t>
  </si>
  <si>
    <t xml:space="preserve"> 53382.5799 </t>
  </si>
  <si>
    <t xml:space="preserve"> 79.6714 </t>
  </si>
  <si>
    <t xml:space="preserve">C:\Users\lmarliere\Desktop\2021-CHG-CBA-TRIPHENYLP 3\plaque 2/@15 TESTO + EE2/C3_02.tif </t>
  </si>
  <si>
    <t xml:space="preserve"> 55610.4591 </t>
  </si>
  <si>
    <t xml:space="preserve"> 78.3629 </t>
  </si>
  <si>
    <t xml:space="preserve">C:\Users\lmarliere\Desktop\2021-CHG-CBA-TRIPHENYLP 3\plaque 2/@15 TESTO + EE2/C3_03.tif </t>
  </si>
  <si>
    <t xml:space="preserve"> 78.2693 </t>
  </si>
  <si>
    <t xml:space="preserve">C:\Users\lmarliere\Desktop\2021-CHG-CBA-TRIPHENYLP 3\plaque 2/@15 TESTO + EE2/D3_01.tif </t>
  </si>
  <si>
    <t xml:space="preserve"> 55242.7509 </t>
  </si>
  <si>
    <t xml:space="preserve"> 72.9456 </t>
  </si>
  <si>
    <t xml:space="preserve">C:\Users\lmarliere\Desktop\2021-CHG-CBA-TRIPHENYLP 3\plaque 2/@15 TESTO + EE2/D3_02.tif </t>
  </si>
  <si>
    <t xml:space="preserve"> 71.3658 </t>
  </si>
  <si>
    <t xml:space="preserve">C:\Users\lmarliere\Desktop\2021-CHG-CBA-TRIPHENYLP 3\plaque 2/@15 TESTO + EE2/D3_03.tif </t>
  </si>
  <si>
    <t xml:space="preserve"> 47239.6899 </t>
  </si>
  <si>
    <t xml:space="preserve"> 71.168 </t>
  </si>
  <si>
    <t xml:space="preserve">C:\Users\lmarliere\Desktop\2021-CHG-CBA-TRIPHENYLP 3\plaque 2/@15 TESTO + EE2/E3_01.tif </t>
  </si>
  <si>
    <t xml:space="preserve"> 59525.47 </t>
  </si>
  <si>
    <t xml:space="preserve"> 79.9727 </t>
  </si>
  <si>
    <t xml:space="preserve">C:\Users\lmarliere\Desktop\2021-CHG-CBA-TRIPHENYLP 3\plaque 2/@15 TESTO + EE2/E3_02.tif </t>
  </si>
  <si>
    <t xml:space="preserve"> 63700.0397 </t>
  </si>
  <si>
    <t xml:space="preserve"> 80.9983 </t>
  </si>
  <si>
    <t xml:space="preserve">C:\Users\lmarliere\Desktop\2021-CHG-CBA-TRIPHENYLP 3\plaque 2/@15 TESTO + EE2/E3_03.tif </t>
  </si>
  <si>
    <t xml:space="preserve"> 81.8918 </t>
  </si>
  <si>
    <t xml:space="preserve">C:\Users\lmarliere\Desktop\2021-CHG-CBA-TRIPHENYLP 3\plaque 2/@15 TESTO + EE2/F3_01.tif </t>
  </si>
  <si>
    <t xml:space="preserve"> 75.5245 </t>
  </si>
  <si>
    <t xml:space="preserve">C:\Users\lmarliere\Desktop\2021-CHG-CBA-TRIPHENYLP 3\plaque 2/@15 TESTO + EE2/F3_02.tif </t>
  </si>
  <si>
    <t xml:space="preserve"> 44752.252 </t>
  </si>
  <si>
    <t xml:space="preserve"> 77.2803 </t>
  </si>
  <si>
    <t xml:space="preserve">C:\Users\lmarliere\Desktop\2021-CHG-CBA-TRIPHENYLP 3\plaque 2/@15 TESTO + EE2/F3_03.tif </t>
  </si>
  <si>
    <t xml:space="preserve"> 45098.3303 </t>
  </si>
  <si>
    <t xml:space="preserve"> 77.282 </t>
  </si>
  <si>
    <t xml:space="preserve">C:\Users\lmarliere\Desktop\2021-CHG-CBA-TRIPHENYLP 3\plaque 2/@15 TESTO + EE2/G3_01.tif </t>
  </si>
  <si>
    <t xml:space="preserve"> 34110.3438 </t>
  </si>
  <si>
    <t xml:space="preserve"> 68.4775 </t>
  </si>
  <si>
    <t xml:space="preserve">C:\Users\lmarliere\Desktop\2021-CHG-CBA-TRIPHENYLP 3\plaque 2/@15 TESTO + EE2/G3_02.tif </t>
  </si>
  <si>
    <t xml:space="preserve"> 33872.415 </t>
  </si>
  <si>
    <t xml:space="preserve"> 70.1271 </t>
  </si>
  <si>
    <t xml:space="preserve">C:\Users\lmarliere\Desktop\2021-CHG-CBA-TRIPHENYLP 3\plaque 2/@15 TESTO + EE2/G3_03.tif </t>
  </si>
  <si>
    <t xml:space="preserve"> 30930.7493 </t>
  </si>
  <si>
    <t xml:space="preserve"> 69.707 </t>
  </si>
  <si>
    <t xml:space="preserve">C:\Users\lmarliere\Desktop\2021-CHG-CBA-TRIPHENYLP 3\plaque 2/@15 TESTO + EE2/H3_01.tif </t>
  </si>
  <si>
    <t xml:space="preserve"> 82.8622 </t>
  </si>
  <si>
    <t xml:space="preserve">C:\Users\lmarliere\Desktop\2021-CHG-CBA-TRIPHENYLP 3\plaque 2/@15 TESTO + EE2/H3_02.tif </t>
  </si>
  <si>
    <t xml:space="preserve"> 61082.8224 </t>
  </si>
  <si>
    <t xml:space="preserve"> 83.5018 </t>
  </si>
  <si>
    <t xml:space="preserve">C:\Users\lmarliere\Desktop\2021-CHG-CBA-TRIPHENYLP 3\plaque 2/@15 TESTO + EE2/H3_03.tif </t>
  </si>
  <si>
    <t xml:space="preserve"> 61104.4523 </t>
  </si>
  <si>
    <t xml:space="preserve"> 83.1908 </t>
  </si>
  <si>
    <t xml:space="preserve">C:\Users\lmarliere\Desktop\2021-CHG-CBA-TRIPHENYLP 3\plaque 2/@15 TESTO + EE2/ </t>
  </si>
  <si>
    <t xml:space="preserve"> 77.4543 </t>
  </si>
  <si>
    <t xml:space="preserve"> 4.9721 </t>
  </si>
  <si>
    <t xml:space="preserve"> 4402925.5 </t>
  </si>
  <si>
    <t xml:space="preserve"> 1113167.76 </t>
  </si>
  <si>
    <t xml:space="preserve">C:\Users\lmarliere\Desktop\2021-CHG-CBA-TRIPHENYLP 3\plaque 2/@16 TESTO + FAD/A4_01.tif </t>
  </si>
  <si>
    <t xml:space="preserve"> 67.0756 </t>
  </si>
  <si>
    <t xml:space="preserve">C:\Users\lmarliere\Desktop\2021-CHG-CBA-TRIPHENYLP 3\plaque 2/@16 TESTO + FAD/A4_02.tif </t>
  </si>
  <si>
    <t xml:space="preserve"> 65.2184 </t>
  </si>
  <si>
    <t xml:space="preserve">C:\Users\lmarliere\Desktop\2021-CHG-CBA-TRIPHENYLP 3\plaque 2/@16 TESTO + FAD/A4_03.tif </t>
  </si>
  <si>
    <t xml:space="preserve"> 66.0965 </t>
  </si>
  <si>
    <t xml:space="preserve">C:\Users\lmarliere\Desktop\2021-CHG-CBA-TRIPHENYLP 3\plaque 2/@16 TESTO + FAD/B4_01.tif </t>
  </si>
  <si>
    <t xml:space="preserve"> 64.1864 </t>
  </si>
  <si>
    <t xml:space="preserve">C:\Users\lmarliere\Desktop\2021-CHG-CBA-TRIPHENYLP 3\plaque 2/@16 TESTO + FAD/B4_02.tif </t>
  </si>
  <si>
    <t xml:space="preserve"> 4563.9078 </t>
  </si>
  <si>
    <t xml:space="preserve"> 66.6493 </t>
  </si>
  <si>
    <t xml:space="preserve">C:\Users\lmarliere\Desktop\2021-CHG-CBA-TRIPHENYLP 3\plaque 2/@16 TESTO + FAD/B4_03.tif </t>
  </si>
  <si>
    <t xml:space="preserve"> 63.9655 </t>
  </si>
  <si>
    <t xml:space="preserve">C:\Users\lmarliere\Desktop\2021-CHG-CBA-TRIPHENYLP 3\plaque 2/@16 TESTO + FAD/C4_01.tif </t>
  </si>
  <si>
    <t xml:space="preserve"> 63.2818 </t>
  </si>
  <si>
    <t xml:space="preserve">C:\Users\lmarliere\Desktop\2021-CHG-CBA-TRIPHENYLP 3\plaque 2/@16 TESTO + FAD/C4_02.tif </t>
  </si>
  <si>
    <t xml:space="preserve"> 1989.9503 </t>
  </si>
  <si>
    <t xml:space="preserve"> 63.5326 </t>
  </si>
  <si>
    <t xml:space="preserve">C:\Users\lmarliere\Desktop\2021-CHG-CBA-TRIPHENYLP 3\plaque 2/@16 TESTO + FAD/C4_03.tif </t>
  </si>
  <si>
    <t xml:space="preserve"> 6683.6374 </t>
  </si>
  <si>
    <t xml:space="preserve"> 64.9838 </t>
  </si>
  <si>
    <t xml:space="preserve">C:\Users\lmarliere\Desktop\2021-CHG-CBA-TRIPHENYLP 3\plaque 2/@16 TESTO + FAD/D4_01.tif </t>
  </si>
  <si>
    <t xml:space="preserve"> 73.2744 </t>
  </si>
  <si>
    <t xml:space="preserve">C:\Users\lmarliere\Desktop\2021-CHG-CBA-TRIPHENYLP 3\plaque 2/@16 TESTO + FAD/D4_02.tif </t>
  </si>
  <si>
    <t xml:space="preserve"> 10209.3103 </t>
  </si>
  <si>
    <t xml:space="preserve"> 66.8983 </t>
  </si>
  <si>
    <t xml:space="preserve">C:\Users\lmarliere\Desktop\2021-CHG-CBA-TRIPHENYLP 3\plaque 2/@16 TESTO + FAD/D4_03.tif </t>
  </si>
  <si>
    <t xml:space="preserve"> 64.9901 </t>
  </si>
  <si>
    <t xml:space="preserve">C:\Users\lmarliere\Desktop\2021-CHG-CBA-TRIPHENYLP 3\plaque 2/@16 TESTO + FAD/E4_01.tif </t>
  </si>
  <si>
    <t xml:space="preserve"> 3871.7511 </t>
  </si>
  <si>
    <t xml:space="preserve"> 67.8101 </t>
  </si>
  <si>
    <t xml:space="preserve">C:\Users\lmarliere\Desktop\2021-CHG-CBA-TRIPHENYLP 3\plaque 2/@16 TESTO + FAD/E4_02.tif </t>
  </si>
  <si>
    <t xml:space="preserve"> 1643.872 </t>
  </si>
  <si>
    <t xml:space="preserve"> 64.8158 </t>
  </si>
  <si>
    <t xml:space="preserve">C:\Users\lmarliere\Desktop\2021-CHG-CBA-TRIPHENYLP 3\plaque 2/@16 TESTO + FAD/E4_03.tif </t>
  </si>
  <si>
    <t xml:space="preserve"> 62.881 </t>
  </si>
  <si>
    <t>C:\Users\lmarliere\Desktop\2021-CHG-CBA-TRIPHENYLP 3\plaque 2/@16 TESTO + FAD/F4_01- exclu.tif</t>
  </si>
  <si>
    <t>C:\Users\lmarliere\Desktop\2021-CHG-CBA-TRIPHENYLP 3\plaque 2/@16 TESTO + FAD/F4_02- exclu.tif</t>
  </si>
  <si>
    <t xml:space="preserve">C:\Users\lmarliere\Desktop\2021-CHG-CBA-TRIPHENYLP 3\plaque 2/@16 TESTO + FAD/F4_03.tif </t>
  </si>
  <si>
    <t xml:space="preserve"> 21543.3751 </t>
  </si>
  <si>
    <t xml:space="preserve"> 72.2691 </t>
  </si>
  <si>
    <t xml:space="preserve">C:\Users\lmarliere\Desktop\2021-CHG-CBA-TRIPHENYLP 3\plaque 2/@16 TESTO + FAD/G4_01.tif </t>
  </si>
  <si>
    <t xml:space="preserve"> 67.2642 </t>
  </si>
  <si>
    <t xml:space="preserve">C:\Users\lmarliere\Desktop\2021-CHG-CBA-TRIPHENYLP 3\plaque 2/@16 TESTO + FAD/G4_02.tif </t>
  </si>
  <si>
    <t xml:space="preserve"> 4845.0964 </t>
  </si>
  <si>
    <t xml:space="preserve"> 65.1161 </t>
  </si>
  <si>
    <t xml:space="preserve">C:\Users\lmarliere\Desktop\2021-CHG-CBA-TRIPHENYLP 3\plaque 2/@16 TESTO + FAD/G4_03.tif </t>
  </si>
  <si>
    <t xml:space="preserve"> 4801.8366 </t>
  </si>
  <si>
    <t xml:space="preserve"> 66.2342 </t>
  </si>
  <si>
    <t xml:space="preserve">C:\Users\lmarliere\Desktop\2021-CHG-CBA-TRIPHENYLP 3\plaque 2/@16 TESTO + FAD/H4_01.tif </t>
  </si>
  <si>
    <t xml:space="preserve"> 9149.4454 </t>
  </si>
  <si>
    <t xml:space="preserve"> 77.0851 </t>
  </si>
  <si>
    <t xml:space="preserve">C:\Users\lmarliere\Desktop\2021-CHG-CBA-TRIPHENYLP 3\plaque 2/@16 TESTO + FAD/H4_02.tif </t>
  </si>
  <si>
    <t xml:space="preserve"> 77.7948 </t>
  </si>
  <si>
    <t xml:space="preserve">C:\Users\lmarliere\Desktop\2021-CHG-CBA-TRIPHENYLP 3\plaque 2/@16 TESTO + FAD/H4_03.tif </t>
  </si>
  <si>
    <t xml:space="preserve"> 7548.8332 </t>
  </si>
  <si>
    <t xml:space="preserve"> 74.5587 </t>
  </si>
  <si>
    <t xml:space="preserve">C:\Users\lmarliere\Desktop\2021-CHG-CBA-TRIPHENYLP 3\plaque 2/@16 TESTO + FAD/ </t>
  </si>
  <si>
    <t xml:space="preserve"> 68.025 </t>
  </si>
  <si>
    <t xml:space="preserve"> 5.5073 </t>
  </si>
  <si>
    <t xml:space="preserve"> 462343.5 </t>
  </si>
  <si>
    <t xml:space="preserve"> 562570.026 </t>
  </si>
  <si>
    <t xml:space="preserve">C:\Users\lmarliere\Desktop\2021-CHG-CBA-TRIPHENYLP 3\plaque 2/@17 TRIPHENYLP 0.18 + TESTO/A5_01.tif </t>
  </si>
  <si>
    <t xml:space="preserve"> 40793.9813 </t>
  </si>
  <si>
    <t xml:space="preserve"> 71.0514 </t>
  </si>
  <si>
    <t xml:space="preserve">C:\Users\lmarliere\Desktop\2021-CHG-CBA-TRIPHENYLP 3\plaque 2/@17 TRIPHENYLP 0.18 + TESTO/A5_02.tif </t>
  </si>
  <si>
    <t xml:space="preserve"> 44946.921 </t>
  </si>
  <si>
    <t xml:space="preserve"> 70.6935 </t>
  </si>
  <si>
    <t xml:space="preserve">C:\Users\lmarliere\Desktop\2021-CHG-CBA-TRIPHENYLP 3\plaque 2/@17 TRIPHENYLP 0.18 + TESTO/A5_03.tif </t>
  </si>
  <si>
    <t xml:space="preserve"> 34002.1944 </t>
  </si>
  <si>
    <t xml:space="preserve"> 68.9307 </t>
  </si>
  <si>
    <t xml:space="preserve">C:\Users\lmarliere\Desktop\2021-CHG-CBA-TRIPHENYLP 3\plaque 2/@17 TRIPHENYLP 0.18 + TESTO/B5_01.tif </t>
  </si>
  <si>
    <t xml:space="preserve"> 51998.2667 </t>
  </si>
  <si>
    <t xml:space="preserve"> 74.2159 </t>
  </si>
  <si>
    <t xml:space="preserve">C:\Users\lmarliere\Desktop\2021-CHG-CBA-TRIPHENYLP 3\plaque 2/@17 TRIPHENYLP 0.18 + TESTO/B5_02.tif </t>
  </si>
  <si>
    <t xml:space="preserve"> 53079.7614 </t>
  </si>
  <si>
    <t xml:space="preserve"> 73.8965 </t>
  </si>
  <si>
    <t xml:space="preserve">C:\Users\lmarliere\Desktop\2021-CHG-CBA-TRIPHENYLP 3\plaque 2/@17 TRIPHENYLP 0.18 + TESTO/B5_03.tif </t>
  </si>
  <si>
    <t xml:space="preserve"> 73.846 </t>
  </si>
  <si>
    <t xml:space="preserve">C:\Users\lmarliere\Desktop\2021-CHG-CBA-TRIPHENYLP 3\plaque 2/@17 TRIPHENYLP 0.18 + TESTO/C5_01.tif </t>
  </si>
  <si>
    <t xml:space="preserve"> 31190.3081 </t>
  </si>
  <si>
    <t xml:space="preserve"> 74.8239 </t>
  </si>
  <si>
    <t xml:space="preserve">C:\Users\lmarliere\Desktop\2021-CHG-CBA-TRIPHENYLP 3\plaque 2/@17 TRIPHENYLP 0.18 + TESTO/C5_02.tif </t>
  </si>
  <si>
    <t xml:space="preserve"> 24766.2294 </t>
  </si>
  <si>
    <t xml:space="preserve"> 78.5004 </t>
  </si>
  <si>
    <t xml:space="preserve">C:\Users\lmarliere\Desktop\2021-CHG-CBA-TRIPHENYLP 3\plaque 2/@17 TRIPHENYLP 0.18 + TESTO/C5_03.tif </t>
  </si>
  <si>
    <t xml:space="preserve"> 76.7741 </t>
  </si>
  <si>
    <t xml:space="preserve">C:\Users\lmarliere\Desktop\2021-CHG-CBA-TRIPHENYLP 3\plaque 2/@17 TRIPHENYLP 0.18 + TESTO/D5_01.tif </t>
  </si>
  <si>
    <t xml:space="preserve"> 54831.7829 </t>
  </si>
  <si>
    <t xml:space="preserve"> 76.0671 </t>
  </si>
  <si>
    <t xml:space="preserve">C:\Users\lmarliere\Desktop\2021-CHG-CBA-TRIPHENYLP 3\plaque 2/@17 TRIPHENYLP 0.18 + TESTO/D5_02.tif </t>
  </si>
  <si>
    <t xml:space="preserve"> 49316.1598 </t>
  </si>
  <si>
    <t xml:space="preserve"> 74.3355 </t>
  </si>
  <si>
    <t>C:\Users\lmarliere\Desktop\2021-CHG-CBA-TRIPHENYLP 3\plaque 2/@17 TRIPHENYLP 0.18 + TESTO/D5_03- exclu.tif</t>
  </si>
  <si>
    <t xml:space="preserve">C:\Users\lmarliere\Desktop\2021-CHG-CBA-TRIPHENYLP 3\plaque 2/@17 TRIPHENYLP 0.18 + TESTO/E5_01.tif </t>
  </si>
  <si>
    <t xml:space="preserve"> 49770.3875 </t>
  </si>
  <si>
    <t xml:space="preserve"> 80.063 </t>
  </si>
  <si>
    <t xml:space="preserve">C:\Users\lmarliere\Desktop\2021-CHG-CBA-TRIPHENYLP 3\plaque 2/@17 TRIPHENYLP 0.18 + TESTO/E5_02.tif </t>
  </si>
  <si>
    <t xml:space="preserve"> 78.9992 </t>
  </si>
  <si>
    <t xml:space="preserve">C:\Users\lmarliere\Desktop\2021-CHG-CBA-TRIPHENYLP 3\plaque 2/@17 TRIPHENYLP 0.18 + TESTO/E5_03.tif </t>
  </si>
  <si>
    <t xml:space="preserve"> 50094.836 </t>
  </si>
  <si>
    <t xml:space="preserve"> 79.9516 </t>
  </si>
  <si>
    <t xml:space="preserve">C:\Users\lmarliere\Desktop\2021-CHG-CBA-TRIPHENYLP 3\plaque 2/@17 TRIPHENYLP 0.18 + TESTO/F5_01.tif </t>
  </si>
  <si>
    <t xml:space="preserve"> 85849.0518 </t>
  </si>
  <si>
    <t xml:space="preserve"> 81.8871 </t>
  </si>
  <si>
    <t xml:space="preserve">C:\Users\lmarliere\Desktop\2021-CHG-CBA-TRIPHENYLP 3\plaque 2/@17 TRIPHENYLP 0.18 + TESTO/F5_02.tif </t>
  </si>
  <si>
    <t xml:space="preserve"> 70773.0152 </t>
  </si>
  <si>
    <t xml:space="preserve"> 81.9887 </t>
  </si>
  <si>
    <t xml:space="preserve">C:\Users\lmarliere\Desktop\2021-CHG-CBA-TRIPHENYLP 3\plaque 2/@17 TRIPHENYLP 0.18 + TESTO/F5_03.tif </t>
  </si>
  <si>
    <t xml:space="preserve"> 69064.2535 </t>
  </si>
  <si>
    <t xml:space="preserve"> 83.1463 </t>
  </si>
  <si>
    <t xml:space="preserve">C:\Users\lmarliere\Desktop\2021-CHG-CBA-TRIPHENYLP 3\plaque 2/@17 TRIPHENYLP 0.18 + TESTO/G5_01.tif </t>
  </si>
  <si>
    <t xml:space="preserve"> 42697.412 </t>
  </si>
  <si>
    <t xml:space="preserve"> 72.8126 </t>
  </si>
  <si>
    <t xml:space="preserve">C:\Users\lmarliere\Desktop\2021-CHG-CBA-TRIPHENYLP 3\plaque 2/@17 TRIPHENYLP 0.18 + TESTO/G5_02.tif </t>
  </si>
  <si>
    <t xml:space="preserve"> 46244.7147 </t>
  </si>
  <si>
    <t xml:space="preserve"> 72.051 </t>
  </si>
  <si>
    <t xml:space="preserve">C:\Users\lmarliere\Desktop\2021-CHG-CBA-TRIPHENYLP 3\plaque 2/@17 TRIPHENYLP 0.18 + TESTO/G5_03.tif </t>
  </si>
  <si>
    <t xml:space="preserve"> 71.7313 </t>
  </si>
  <si>
    <t xml:space="preserve">C:\Users\lmarliere\Desktop\2021-CHG-CBA-TRIPHENYLP 3\plaque 2/@17 TRIPHENYLP 0.18 + TESTO/H5_01.tif </t>
  </si>
  <si>
    <t xml:space="preserve"> 75.9262 </t>
  </si>
  <si>
    <t xml:space="preserve">C:\Users\lmarliere\Desktop\2021-CHG-CBA-TRIPHENYLP 3\plaque 2/@17 TRIPHENYLP 0.18 + TESTO/H5_02.tif </t>
  </si>
  <si>
    <t xml:space="preserve"> 38003.7249 </t>
  </si>
  <si>
    <t xml:space="preserve"> 74.1662 </t>
  </si>
  <si>
    <t xml:space="preserve">C:\Users\lmarliere\Desktop\2021-CHG-CBA-TRIPHENYLP 3\plaque 2/@17 TRIPHENYLP 0.18 + TESTO/H5_03.tif </t>
  </si>
  <si>
    <t xml:space="preserve"> 37809.0558 </t>
  </si>
  <si>
    <t xml:space="preserve"> 71.8312 </t>
  </si>
  <si>
    <t xml:space="preserve">C:\Users\lmarliere\Desktop\2021-CHG-CBA-TRIPHENYLP 3\plaque 2/@17 TRIPHENYLP 0.18 + TESTO/ </t>
  </si>
  <si>
    <t xml:space="preserve"> 75.3919 </t>
  </si>
  <si>
    <t xml:space="preserve"> 3.9716 </t>
  </si>
  <si>
    <t xml:space="preserve"> 3605141.08 </t>
  </si>
  <si>
    <t xml:space="preserve"> 1214470.81 </t>
  </si>
  <si>
    <t xml:space="preserve">C:\Users\lmarliere\Desktop\2021-CHG-CBA-TRIPHENYLP 3\plaque 2/@18  TRIPHENYLP 0.26 + TESTO/A6_01.tif </t>
  </si>
  <si>
    <t xml:space="preserve"> 63159.2923 </t>
  </si>
  <si>
    <t xml:space="preserve"> 87.7849 </t>
  </si>
  <si>
    <t xml:space="preserve">C:\Users\lmarliere\Desktop\2021-CHG-CBA-TRIPHENYLP 3\plaque 2/@18  TRIPHENYLP 0.26 + TESTO/A6_02.tif </t>
  </si>
  <si>
    <t xml:space="preserve"> 67636.6805 </t>
  </si>
  <si>
    <t xml:space="preserve"> 83.2798 </t>
  </si>
  <si>
    <t xml:space="preserve">C:\Users\lmarliere\Desktop\2021-CHG-CBA-TRIPHENYLP 3\plaque 2/@18  TRIPHENYLP 0.26 + TESTO/A6_03.tif </t>
  </si>
  <si>
    <t xml:space="preserve"> 59936.438 </t>
  </si>
  <si>
    <t xml:space="preserve"> 83.9484 </t>
  </si>
  <si>
    <t xml:space="preserve">C:\Users\lmarliere\Desktop\2021-CHG-CBA-TRIPHENYLP 3\plaque 2/@18  TRIPHENYLP 0.26 + TESTO/B6_01.tif </t>
  </si>
  <si>
    <t xml:space="preserve"> 61580.31 </t>
  </si>
  <si>
    <t xml:space="preserve"> 84.5922 </t>
  </si>
  <si>
    <t xml:space="preserve">C:\Users\lmarliere\Desktop\2021-CHG-CBA-TRIPHENYLP 3\plaque 2/@18  TRIPHENYLP 0.26 + TESTO/B6_02.tif </t>
  </si>
  <si>
    <t xml:space="preserve"> 68653.2856 </t>
  </si>
  <si>
    <t xml:space="preserve"> 83.3028 </t>
  </si>
  <si>
    <t xml:space="preserve">C:\Users\lmarliere\Desktop\2021-CHG-CBA-TRIPHENYLP 3\plaque 2/@18  TRIPHENYLP 0.26 + TESTO/B6_03.tif </t>
  </si>
  <si>
    <t xml:space="preserve"> 66230.7374 </t>
  </si>
  <si>
    <t xml:space="preserve"> 83.7822 </t>
  </si>
  <si>
    <t xml:space="preserve">C:\Users\lmarliere\Desktop\2021-CHG-CBA-TRIPHENYLP 3\plaque 2/@18  TRIPHENYLP 0.26 + TESTO/C6_01.tif </t>
  </si>
  <si>
    <t xml:space="preserve"> 72503.4068 </t>
  </si>
  <si>
    <t xml:space="preserve"> 76.6551 </t>
  </si>
  <si>
    <t xml:space="preserve">C:\Users\lmarliere\Desktop\2021-CHG-CBA-TRIPHENYLP 3\plaque 2/@18  TRIPHENYLP 0.26 + TESTO/C6_02.tif </t>
  </si>
  <si>
    <t xml:space="preserve"> 78256.9588 </t>
  </si>
  <si>
    <t xml:space="preserve"> 75.7747 </t>
  </si>
  <si>
    <t xml:space="preserve">C:\Users\lmarliere\Desktop\2021-CHG-CBA-TRIPHENYLP 3\plaque 2/@18  TRIPHENYLP 0.26 + TESTO/C6_03.tif </t>
  </si>
  <si>
    <t xml:space="preserve"> 78819.336 </t>
  </si>
  <si>
    <t xml:space="preserve"> 75.1273 </t>
  </si>
  <si>
    <t xml:space="preserve">C:\Users\lmarliere\Desktop\2021-CHG-CBA-TRIPHENYLP 3\plaque 2/@18  TRIPHENYLP 0.26 + TESTO/D6_01.tif </t>
  </si>
  <si>
    <t xml:space="preserve"> 63743.2995 </t>
  </si>
  <si>
    <t xml:space="preserve"> 72.3967 </t>
  </si>
  <si>
    <t xml:space="preserve">C:\Users\lmarliere\Desktop\2021-CHG-CBA-TRIPHENYLP 3\plaque 2/@18  TRIPHENYLP 0.26 + TESTO/D6_02.tif </t>
  </si>
  <si>
    <t xml:space="preserve"> 73.6283 </t>
  </si>
  <si>
    <t xml:space="preserve">C:\Users\lmarliere\Desktop\2021-CHG-CBA-TRIPHENYLP 3\plaque 2/@18  TRIPHENYLP 0.26 + TESTO/D6_03.tif </t>
  </si>
  <si>
    <t xml:space="preserve"> 62553.6553 </t>
  </si>
  <si>
    <t xml:space="preserve"> 74.3752 </t>
  </si>
  <si>
    <t xml:space="preserve">C:\Users\lmarliere\Desktop\2021-CHG-CBA-TRIPHENYLP 3\plaque 2/@18  TRIPHENYLP 0.26 + TESTO/E6_01.tif </t>
  </si>
  <si>
    <t xml:space="preserve"> 77889.2506 </t>
  </si>
  <si>
    <t xml:space="preserve"> 78.732 </t>
  </si>
  <si>
    <t xml:space="preserve">C:\Users\lmarliere\Desktop\2021-CHG-CBA-TRIPHENYLP 3\plaque 2/@18  TRIPHENYLP 0.26 + TESTO/E6_02.tif </t>
  </si>
  <si>
    <t xml:space="preserve"> 77975.7701 </t>
  </si>
  <si>
    <t xml:space="preserve"> 80.2832 </t>
  </si>
  <si>
    <t xml:space="preserve">C:\Users\lmarliere\Desktop\2021-CHG-CBA-TRIPHENYLP 3\plaque 2/@18  TRIPHENYLP 0.26 + TESTO/E6_03.tif </t>
  </si>
  <si>
    <t xml:space="preserve"> 75077.3643 </t>
  </si>
  <si>
    <t xml:space="preserve"> 79.1455 </t>
  </si>
  <si>
    <t xml:space="preserve">C:\Users\lmarliere\Desktop\2021-CHG-CBA-TRIPHENYLP 3\plaque 2/@18  TRIPHENYLP 0.26 + TESTO/F6_01.tif </t>
  </si>
  <si>
    <t xml:space="preserve"> 62618.545 </t>
  </si>
  <si>
    <t xml:space="preserve"> 78.3655 </t>
  </si>
  <si>
    <t>C:\Users\lmarliere\Desktop\2021-CHG-CBA-TRIPHENYLP 3\plaque 2/@18  TRIPHENYLP 0.26 + TESTO/F6_02- exclu.tif</t>
  </si>
  <si>
    <t xml:space="preserve">C:\Users\lmarliere\Desktop\2021-CHG-CBA-TRIPHENYLP 3\plaque 2/@18  TRIPHENYLP 0.26 + TESTO/F6_03.tif </t>
  </si>
  <si>
    <t xml:space="preserve"> 62640.1748 </t>
  </si>
  <si>
    <t xml:space="preserve"> 75.7497 </t>
  </si>
  <si>
    <t xml:space="preserve">C:\Users\lmarliere\Desktop\2021-CHG-CBA-TRIPHENYLP 3\plaque 2/@18  TRIPHENYLP 0.26 + TESTO/G6_01.tif </t>
  </si>
  <si>
    <t xml:space="preserve"> 42048.5152 </t>
  </si>
  <si>
    <t xml:space="preserve"> 82.7989 </t>
  </si>
  <si>
    <t xml:space="preserve">C:\Users\lmarliere\Desktop\2021-CHG-CBA-TRIPHENYLP 3\plaque 2/@18  TRIPHENYLP 0.26 + TESTO/G6_02.tif </t>
  </si>
  <si>
    <t xml:space="preserve"> 41551.0276 </t>
  </si>
  <si>
    <t xml:space="preserve"> 84.2207 </t>
  </si>
  <si>
    <t xml:space="preserve">C:\Users\lmarliere\Desktop\2021-CHG-CBA-TRIPHENYLP 3\plaque 2/@18  TRIPHENYLP 0.26 + TESTO/G6_03.tif </t>
  </si>
  <si>
    <t xml:space="preserve"> 81.1847 </t>
  </si>
  <si>
    <t xml:space="preserve">C:\Users\lmarliere\Desktop\2021-CHG-CBA-TRIPHENYLP 3\plaque 2/@18  TRIPHENYLP 0.26 + TESTO/H6_01.tif </t>
  </si>
  <si>
    <t xml:space="preserve">C:\Users\lmarliere\Desktop\2021-CHG-CBA-TRIPHENYLP 3\plaque 2/@18  TRIPHENYLP 0.26 + TESTO/H6_02.tif </t>
  </si>
  <si>
    <t xml:space="preserve"> 64284.0468 </t>
  </si>
  <si>
    <t xml:space="preserve"> 84.0599 </t>
  </si>
  <si>
    <t xml:space="preserve">C:\Users\lmarliere\Desktop\2021-CHG-CBA-TRIPHENYLP 3\plaque 2/@18  TRIPHENYLP 0.26 + TESTO/H6_03.tif </t>
  </si>
  <si>
    <t xml:space="preserve"> 58379.0856 </t>
  </si>
  <si>
    <t xml:space="preserve"> 80.1534 </t>
  </si>
  <si>
    <t xml:space="preserve">C:\Users\lmarliere\Desktop\2021-CHG-CBA-TRIPHENYLP 3\plaque 2/@18  TRIPHENYLP 0.26 + TESTO/ </t>
  </si>
  <si>
    <t xml:space="preserve"> 79.798 </t>
  </si>
  <si>
    <t xml:space="preserve"> 4.3794 </t>
  </si>
  <si>
    <t xml:space="preserve"> 5049058.21 </t>
  </si>
  <si>
    <t xml:space="preserve"> 864227.134 </t>
  </si>
  <si>
    <t xml:space="preserve">C:\Users\lmarliere\Desktop\2021-CHG-CBA-TRIPHENYLP 3\plaque 2/@19  TRIPHENYLP 0.4 + TESTO/A7_01.tif </t>
  </si>
  <si>
    <t xml:space="preserve"> 84118.6602 </t>
  </si>
  <si>
    <t xml:space="preserve"> 79.4276 </t>
  </si>
  <si>
    <t xml:space="preserve">C:\Users\lmarliere\Desktop\2021-CHG-CBA-TRIPHENYLP 3\plaque 2/@19  TRIPHENYLP 0.4 + TESTO/A7_02.tif </t>
  </si>
  <si>
    <t xml:space="preserve"> 81025.5853 </t>
  </si>
  <si>
    <t xml:space="preserve"> 81.1807 </t>
  </si>
  <si>
    <t xml:space="preserve">C:\Users\lmarliere\Desktop\2021-CHG-CBA-TRIPHENYLP 3\plaque 2/@19  TRIPHENYLP 0.4 + TESTO/A7_03.tif </t>
  </si>
  <si>
    <t xml:space="preserve"> 86303.2796 </t>
  </si>
  <si>
    <t xml:space="preserve"> 79.3619 </t>
  </si>
  <si>
    <t xml:space="preserve">C:\Users\lmarliere\Desktop\2021-CHG-CBA-TRIPHENYLP 3\plaque 2/@19  TRIPHENYLP 0.4 + TESTO/B7_01.tif </t>
  </si>
  <si>
    <t xml:space="preserve"> 86238.3899 </t>
  </si>
  <si>
    <t xml:space="preserve"> 84.4949 </t>
  </si>
  <si>
    <t xml:space="preserve">C:\Users\lmarliere\Desktop\2021-CHG-CBA-TRIPHENYLP 3\plaque 2/@19  TRIPHENYLP 0.4 + TESTO/B7_02.tif </t>
  </si>
  <si>
    <t xml:space="preserve"> 88747.4577 </t>
  </si>
  <si>
    <t xml:space="preserve"> 85.1102 </t>
  </si>
  <si>
    <t xml:space="preserve">C:\Users\lmarliere\Desktop\2021-CHG-CBA-TRIPHENYLP 3\plaque 2/@19  TRIPHENYLP 0.4 + TESTO/B7_03.tif </t>
  </si>
  <si>
    <t xml:space="preserve"> 86822.397 </t>
  </si>
  <si>
    <t xml:space="preserve"> 85.565 </t>
  </si>
  <si>
    <t xml:space="preserve">C:\Users\lmarliere\Desktop\2021-CHG-CBA-TRIPHENYLP 3\plaque 2/@19  TRIPHENYLP 0.4 + TESTO/C7_01.tif </t>
  </si>
  <si>
    <t xml:space="preserve"> 74233.7984 </t>
  </si>
  <si>
    <t xml:space="preserve"> 80.6742 </t>
  </si>
  <si>
    <t xml:space="preserve">C:\Users\lmarliere\Desktop\2021-CHG-CBA-TRIPHENYLP 3\plaque 2/@19  TRIPHENYLP 0.4 + TESTO/C7_02.tif </t>
  </si>
  <si>
    <t xml:space="preserve"> 80.326 </t>
  </si>
  <si>
    <t xml:space="preserve">C:\Users\lmarliere\Desktop\2021-CHG-CBA-TRIPHENYLP 3\plaque 2/@19  TRIPHENYLP 0.4 + TESTO/C7_03.tif </t>
  </si>
  <si>
    <t xml:space="preserve"> 65971.1786 </t>
  </si>
  <si>
    <t xml:space="preserve"> 80.5259 </t>
  </si>
  <si>
    <t xml:space="preserve">C:\Users\lmarliere\Desktop\2021-CHG-CBA-TRIPHENYLP 3\plaque 2/@19  TRIPHENYLP 0.4 + TESTO/D7_01.tif </t>
  </si>
  <si>
    <t xml:space="preserve"> 39842.2659 </t>
  </si>
  <si>
    <t xml:space="preserve"> 84.7188 </t>
  </si>
  <si>
    <t xml:space="preserve">C:\Users\lmarliere\Desktop\2021-CHG-CBA-TRIPHENYLP 3\plaque 2/@19  TRIPHENYLP 0.4 + TESTO/D7_02.tif </t>
  </si>
  <si>
    <t xml:space="preserve"> 81.1591 </t>
  </si>
  <si>
    <t xml:space="preserve">C:\Users\lmarliere\Desktop\2021-CHG-CBA-TRIPHENYLP 3\plaque 2/@19  TRIPHENYLP 0.4 + TESTO/D7_03.tif </t>
  </si>
  <si>
    <t xml:space="preserve"> 44990.1808 </t>
  </si>
  <si>
    <t xml:space="preserve"> 80.7053 </t>
  </si>
  <si>
    <t xml:space="preserve">C:\Users\lmarliere\Desktop\2021-CHG-CBA-TRIPHENYLP 3\plaque 2/@19  TRIPHENYLP 0.4 + TESTO/E7_01.tif </t>
  </si>
  <si>
    <t xml:space="preserve"> 63483.7407 </t>
  </si>
  <si>
    <t xml:space="preserve"> 79.7223 </t>
  </si>
  <si>
    <t xml:space="preserve">C:\Users\lmarliere\Desktop\2021-CHG-CBA-TRIPHENYLP 3\plaque 2/@19  TRIPHENYLP 0.4 + TESTO/E7_02.tif </t>
  </si>
  <si>
    <t xml:space="preserve"> 66771.4847 </t>
  </si>
  <si>
    <t xml:space="preserve"> 79.3576 </t>
  </si>
  <si>
    <t xml:space="preserve">C:\Users\lmarliere\Desktop\2021-CHG-CBA-TRIPHENYLP 3\plaque 2/@19  TRIPHENYLP 0.4 + TESTO/E7_03.tif </t>
  </si>
  <si>
    <t xml:space="preserve"> 64370.5664 </t>
  </si>
  <si>
    <t xml:space="preserve"> 81.2379 </t>
  </si>
  <si>
    <t xml:space="preserve">C:\Users\lmarliere\Desktop\2021-CHG-CBA-TRIPHENYLP 3\plaque 2/@19  TRIPHENYLP 0.4 + TESTO/F7_01.tif </t>
  </si>
  <si>
    <t xml:space="preserve"> 73.6168 </t>
  </si>
  <si>
    <t xml:space="preserve">C:\Users\lmarliere\Desktop\2021-CHG-CBA-TRIPHENYLP 3\plaque 2/@19  TRIPHENYLP 0.4 + TESTO/F7_02.tif </t>
  </si>
  <si>
    <t xml:space="preserve"> 67398.7517 </t>
  </si>
  <si>
    <t xml:space="preserve"> 74.9843 </t>
  </si>
  <si>
    <t xml:space="preserve">C:\Users\lmarliere\Desktop\2021-CHG-CBA-TRIPHENYLP 3\plaque 2/@19  TRIPHENYLP 0.4 + TESTO/F7_03.tif </t>
  </si>
  <si>
    <t xml:space="preserve"> 73.9231 </t>
  </si>
  <si>
    <t xml:space="preserve">C:\Users\lmarliere\Desktop\2021-CHG-CBA-TRIPHENYLP 3\plaque 2/@19  TRIPHENYLP 0.4 + TESTO/G7_01.tif </t>
  </si>
  <si>
    <t xml:space="preserve"> 65127.6127 </t>
  </si>
  <si>
    <t xml:space="preserve"> 77.1388 </t>
  </si>
  <si>
    <t xml:space="preserve">C:\Users\lmarliere\Desktop\2021-CHG-CBA-TRIPHENYLP 3\plaque 2/@19  TRIPHENYLP 0.4 + TESTO/G7_02.tif </t>
  </si>
  <si>
    <t xml:space="preserve"> 78.0862 </t>
  </si>
  <si>
    <t xml:space="preserve">C:\Users\lmarliere\Desktop\2021-CHG-CBA-TRIPHENYLP 3\plaque 2/@19  TRIPHENYLP 0.4 + TESTO/G7_03.tif </t>
  </si>
  <si>
    <t xml:space="preserve"> 60888.1534 </t>
  </si>
  <si>
    <t xml:space="preserve"> 77.4803 </t>
  </si>
  <si>
    <t xml:space="preserve">C:\Users\lmarliere\Desktop\2021-CHG-CBA-TRIPHENYLP 3\plaque 2/@19  TRIPHENYLP 0.4 + TESTO/H7_01.tif </t>
  </si>
  <si>
    <t xml:space="preserve"> 48645.633 </t>
  </si>
  <si>
    <t xml:space="preserve"> 78.8631 </t>
  </si>
  <si>
    <t xml:space="preserve">C:\Users\lmarliere\Desktop\2021-CHG-CBA-TRIPHENYLP 3\plaque 2/@19  TRIPHENYLP 0.4 + TESTO/H7_02.tif </t>
  </si>
  <si>
    <t xml:space="preserve"> 77.7943 </t>
  </si>
  <si>
    <t xml:space="preserve">C:\Users\lmarliere\Desktop\2021-CHG-CBA-TRIPHENYLP 3\plaque 2/@19  TRIPHENYLP 0.4 + TESTO/H7_03.tif </t>
  </si>
  <si>
    <t xml:space="preserve"> 58811.6835 </t>
  </si>
  <si>
    <t xml:space="preserve"> 79.2979 </t>
  </si>
  <si>
    <t xml:space="preserve">C:\Users\lmarliere\Desktop\2021-CHG-CBA-TRIPHENYLP 3\plaque 2/@19  TRIPHENYLP 0.4 + TESTO/ </t>
  </si>
  <si>
    <t xml:space="preserve"> 79.7813 </t>
  </si>
  <si>
    <t xml:space="preserve"> 3.1823 </t>
  </si>
  <si>
    <t xml:space="preserve"> 5279376.04 </t>
  </si>
  <si>
    <t xml:space="preserve"> 1223613.37 </t>
  </si>
  <si>
    <t xml:space="preserve">C:\Users\lmarliere\Desktop\2021-CHG-CBA-TRIPHENYLP 3\plaque 2/@20  TRIPHENYLP 0.59 + TESTO/A8_01.tif </t>
  </si>
  <si>
    <t xml:space="preserve"> 80.2357 </t>
  </si>
  <si>
    <t xml:space="preserve">C:\Users\lmarliere\Desktop\2021-CHG-CBA-TRIPHENYLP 3\plaque 2/@20  TRIPHENYLP 0.59 + TESTO/A8_02.tif </t>
  </si>
  <si>
    <t xml:space="preserve"> 51565.6688 </t>
  </si>
  <si>
    <t xml:space="preserve"> 79.7206 </t>
  </si>
  <si>
    <t xml:space="preserve">C:\Users\lmarliere\Desktop\2021-CHG-CBA-TRIPHENYLP 3\plaque 2/@20  TRIPHENYLP 0.59 + TESTO/A8_03.tif </t>
  </si>
  <si>
    <t xml:space="preserve"> 51154.7008 </t>
  </si>
  <si>
    <t xml:space="preserve"> 80.3023 </t>
  </si>
  <si>
    <t xml:space="preserve">C:\Users\lmarliere\Desktop\2021-CHG-CBA-TRIPHENYLP 3\plaque 2/@20  TRIPHENYLP 0.59 + TESTO/B8_01.tif </t>
  </si>
  <si>
    <t xml:space="preserve"> 89.8517 </t>
  </si>
  <si>
    <t xml:space="preserve">C:\Users\lmarliere\Desktop\2021-CHG-CBA-TRIPHENYLP 3\plaque 2/@20  TRIPHENYLP 0.59 + TESTO/B8_02.tif </t>
  </si>
  <si>
    <t xml:space="preserve"> 86.932 </t>
  </si>
  <si>
    <t xml:space="preserve">C:\Users\lmarliere\Desktop\2021-CHG-CBA-TRIPHENYLP 3\plaque 2/@20  TRIPHENYLP 0.59 + TESTO/B8_03.tif </t>
  </si>
  <si>
    <t xml:space="preserve"> 54334.2953 </t>
  </si>
  <si>
    <t xml:space="preserve"> 87.586 </t>
  </si>
  <si>
    <t xml:space="preserve">C:\Users\lmarliere\Desktop\2021-CHG-CBA-TRIPHENYLP 3\plaque 2/@20  TRIPHENYLP 0.59 + TESTO/C8_01.tif </t>
  </si>
  <si>
    <t xml:space="preserve"> 68631.6557 </t>
  </si>
  <si>
    <t xml:space="preserve"> 74.965 </t>
  </si>
  <si>
    <t xml:space="preserve">C:\Users\lmarliere\Desktop\2021-CHG-CBA-TRIPHENYLP 3\plaque 2/@20  TRIPHENYLP 0.59 + TESTO/C8_02.tif </t>
  </si>
  <si>
    <t xml:space="preserve"> 69194.0329 </t>
  </si>
  <si>
    <t xml:space="preserve"> 72.1085 </t>
  </si>
  <si>
    <t xml:space="preserve">C:\Users\lmarliere\Desktop\2021-CHG-CBA-TRIPHENYLP 3\plaque 2/@20  TRIPHENYLP 0.59 + TESTO/C8_03.tif </t>
  </si>
  <si>
    <t xml:space="preserve"> 68220.6877 </t>
  </si>
  <si>
    <t xml:space="preserve"> 72.5888 </t>
  </si>
  <si>
    <t xml:space="preserve">C:\Users\lmarliere\Desktop\2021-CHG-CBA-TRIPHENYLP 3\plaque 2/@20  TRIPHENYLP 0.59 + TESTO/D8_01.tif </t>
  </si>
  <si>
    <t xml:space="preserve"> 73238.8232 </t>
  </si>
  <si>
    <t xml:space="preserve"> 85.5848 </t>
  </si>
  <si>
    <t xml:space="preserve">C:\Users\lmarliere\Desktop\2021-CHG-CBA-TRIPHENYLP 3\plaque 2/@20  TRIPHENYLP 0.59 + TESTO/D8_02.tif </t>
  </si>
  <si>
    <t xml:space="preserve"> 76829.3857 </t>
  </si>
  <si>
    <t xml:space="preserve"> 87.846 </t>
  </si>
  <si>
    <t xml:space="preserve">C:\Users\lmarliere\Desktop\2021-CHG-CBA-TRIPHENYLP 3\plaque 2/@20  TRIPHENYLP 0.59 + TESTO/D8_03.tif </t>
  </si>
  <si>
    <t xml:space="preserve"> 71919.3996 </t>
  </si>
  <si>
    <t xml:space="preserve"> 86.7549 </t>
  </si>
  <si>
    <t xml:space="preserve">C:\Users\lmarliere\Desktop\2021-CHG-CBA-TRIPHENYLP 3\plaque 2/@20  TRIPHENYLP 0.59 + TESTO/E8_01.tif </t>
  </si>
  <si>
    <t xml:space="preserve"> 45422.7787 </t>
  </si>
  <si>
    <t xml:space="preserve"> 84.1152 </t>
  </si>
  <si>
    <t xml:space="preserve">C:\Users\lmarliere\Desktop\2021-CHG-CBA-TRIPHENYLP 3\plaque 2/@20  TRIPHENYLP 0.59 + TESTO/E8_02.tif </t>
  </si>
  <si>
    <t xml:space="preserve"> 46915.2415 </t>
  </si>
  <si>
    <t xml:space="preserve"> 84.7257 </t>
  </si>
  <si>
    <t xml:space="preserve">C:\Users\lmarliere\Desktop\2021-CHG-CBA-TRIPHENYLP 3\plaque 2/@20  TRIPHENYLP 0.59 + TESTO/E8_03.tif </t>
  </si>
  <si>
    <t xml:space="preserve"> 47520.8785 </t>
  </si>
  <si>
    <t xml:space="preserve"> 82.6891 </t>
  </si>
  <si>
    <t xml:space="preserve">C:\Users\lmarliere\Desktop\2021-CHG-CBA-TRIPHENYLP 3\plaque 2/@20  TRIPHENYLP 0.59 + TESTO/F8_01.tif </t>
  </si>
  <si>
    <t xml:space="preserve"> 69129.1432 </t>
  </si>
  <si>
    <t xml:space="preserve"> 78.566 </t>
  </si>
  <si>
    <t xml:space="preserve">C:\Users\lmarliere\Desktop\2021-CHG-CBA-TRIPHENYLP 3\plaque 2/@20  TRIPHENYLP 0.59 + TESTO/F8_02.tif </t>
  </si>
  <si>
    <t xml:space="preserve"> 69561.7411 </t>
  </si>
  <si>
    <t xml:space="preserve"> 77.5967 </t>
  </si>
  <si>
    <t xml:space="preserve">C:\Users\lmarliere\Desktop\2021-CHG-CBA-TRIPHENYLP 3\plaque 2/@20  TRIPHENYLP 0.59 + TESTO/F8_03.tif </t>
  </si>
  <si>
    <t xml:space="preserve"> 61710.0894 </t>
  </si>
  <si>
    <t xml:space="preserve"> 78.2643 </t>
  </si>
  <si>
    <t xml:space="preserve">C:\Users\lmarliere\Desktop\2021-CHG-CBA-TRIPHENYLP 3\plaque 2/@20  TRIPHENYLP 0.59 + TESTO/G8_01.tif </t>
  </si>
  <si>
    <t xml:space="preserve"> 85546.2333 </t>
  </si>
  <si>
    <t xml:space="preserve"> 77.6086 </t>
  </si>
  <si>
    <t xml:space="preserve">C:\Users\lmarliere\Desktop\2021-CHG-CBA-TRIPHENYLP 3\plaque 2/@20  TRIPHENYLP 0.59 + TESTO/G8_02.tif </t>
  </si>
  <si>
    <t xml:space="preserve"> 78667.9268 </t>
  </si>
  <si>
    <t xml:space="preserve"> 75.0723 </t>
  </si>
  <si>
    <t xml:space="preserve">C:\Users\lmarliere\Desktop\2021-CHG-CBA-TRIPHENYLP 3\plaque 2/@20  TRIPHENYLP 0.59 + TESTO/G8_03.tif </t>
  </si>
  <si>
    <t xml:space="preserve"> 79424.9731 </t>
  </si>
  <si>
    <t xml:space="preserve"> 75.6626 </t>
  </si>
  <si>
    <t xml:space="preserve">C:\Users\lmarliere\Desktop\2021-CHG-CBA-TRIPHENYLP 3\plaque 2/@20  TRIPHENYLP 0.59 + TESTO/H8_01.tif </t>
  </si>
  <si>
    <t xml:space="preserve"> 83.8329 </t>
  </si>
  <si>
    <t xml:space="preserve">C:\Users\lmarliere\Desktop\2021-CHG-CBA-TRIPHENYLP 3\plaque 2/@20  TRIPHENYLP 0.59 + TESTO/H8_02.tif </t>
  </si>
  <si>
    <t xml:space="preserve"> 51089.8111 </t>
  </si>
  <si>
    <t xml:space="preserve"> 82.9183 </t>
  </si>
  <si>
    <t xml:space="preserve">C:\Users\lmarliere\Desktop\2021-CHG-CBA-TRIPHENYLP 3\plaque 2/@20  TRIPHENYLP 0.59 + TESTO/H8_03.tif </t>
  </si>
  <si>
    <t xml:space="preserve"> 81.9064 </t>
  </si>
  <si>
    <t xml:space="preserve">C:\Users\lmarliere\Desktop\2021-CHG-CBA-TRIPHENYLP 3\plaque 2/@20  TRIPHENYLP 0.59 + TESTO/ </t>
  </si>
  <si>
    <t xml:space="preserve"> 81.1431 </t>
  </si>
  <si>
    <t xml:space="preserve"> 5.0452 </t>
  </si>
  <si>
    <t xml:space="preserve"> 5004378.96 </t>
  </si>
  <si>
    <t xml:space="preserve"> 901148.334 </t>
  </si>
  <si>
    <t xml:space="preserve">C:\Users\lmarliere\Desktop\2021-CHG-CBA-TRIPHENYLP 3\plaque 2/@21  TRIPHENYLP 0.89 + TESTO/A9_01.tif </t>
  </si>
  <si>
    <t xml:space="preserve"> 18796.3784 </t>
  </si>
  <si>
    <t xml:space="preserve"> 72.1519 </t>
  </si>
  <si>
    <t xml:space="preserve">C:\Users\lmarliere\Desktop\2021-CHG-CBA-TRIPHENYLP 3\plaque 2/@21  TRIPHENYLP 0.89 + TESTO/A9_02.tif </t>
  </si>
  <si>
    <t xml:space="preserve"> 15292.3355 </t>
  </si>
  <si>
    <t xml:space="preserve"> 69.5771 </t>
  </si>
  <si>
    <t xml:space="preserve">C:\Users\lmarliere\Desktop\2021-CHG-CBA-TRIPHENYLP 3\plaque 2/@21  TRIPHENYLP 0.89 + TESTO/A9_03.tif </t>
  </si>
  <si>
    <t xml:space="preserve"> 19986.0226 </t>
  </si>
  <si>
    <t xml:space="preserve"> 70.1126 </t>
  </si>
  <si>
    <t xml:space="preserve">C:\Users\lmarliere\Desktop\2021-CHG-CBA-TRIPHENYLP 3\plaque 2/@21  TRIPHENYLP 0.89 + TESTO/B9_01.tif </t>
  </si>
  <si>
    <t xml:space="preserve"> 66057.6982 </t>
  </si>
  <si>
    <t xml:space="preserve"> 84.2547 </t>
  </si>
  <si>
    <t xml:space="preserve">C:\Users\lmarliere\Desktop\2021-CHG-CBA-TRIPHENYLP 3\plaque 2/@21  TRIPHENYLP 0.89 + TESTO/B9_02.tif </t>
  </si>
  <si>
    <t xml:space="preserve"> 65516.9508 </t>
  </si>
  <si>
    <t xml:space="preserve"> 84.3027 </t>
  </si>
  <si>
    <t xml:space="preserve">C:\Users\lmarliere\Desktop\2021-CHG-CBA-TRIPHENYLP 3\plaque 2/@21  TRIPHENYLP 0.89 + TESTO/B9_03.tif </t>
  </si>
  <si>
    <t xml:space="preserve"> 62921.3635 </t>
  </si>
  <si>
    <t xml:space="preserve"> 83.0038 </t>
  </si>
  <si>
    <t xml:space="preserve">C:\Users\lmarliere\Desktop\2021-CHG-CBA-TRIPHENYLP 3\plaque 2/@21  TRIPHENYLP 0.89 + TESTO/C9_01.tif </t>
  </si>
  <si>
    <t xml:space="preserve"> 69.0991 </t>
  </si>
  <si>
    <t xml:space="preserve">C:\Users\lmarliere\Desktop\2021-CHG-CBA-TRIPHENYLP 3\plaque 2/@21  TRIPHENYLP 0.89 + TESTO/C9_02.tif </t>
  </si>
  <si>
    <t xml:space="preserve"> 68.2015 </t>
  </si>
  <si>
    <t xml:space="preserve">C:\Users\lmarliere\Desktop\2021-CHG-CBA-TRIPHENYLP 3\plaque 2/@21  TRIPHENYLP 0.89 + TESTO/C9_03.tif </t>
  </si>
  <si>
    <t xml:space="preserve"> 46698.9425 </t>
  </si>
  <si>
    <t xml:space="preserve"> 68.8249 </t>
  </si>
  <si>
    <t xml:space="preserve">C:\Users\lmarliere\Desktop\2021-CHG-CBA-TRIPHENYLP 3\plaque 2/@21  TRIPHENYLP 0.89 + TESTO/D9_01.tif </t>
  </si>
  <si>
    <t xml:space="preserve"> 56648.694 </t>
  </si>
  <si>
    <t xml:space="preserve"> 76.0878 </t>
  </si>
  <si>
    <t xml:space="preserve">C:\Users\lmarliere\Desktop\2021-CHG-CBA-TRIPHENYLP 3\plaque 2/@21  TRIPHENYLP 0.89 + TESTO/D9_02.tif </t>
  </si>
  <si>
    <t xml:space="preserve"> 63.4444 </t>
  </si>
  <si>
    <t xml:space="preserve">C:\Users\lmarliere\Desktop\2021-CHG-CBA-TRIPHENYLP 3\plaque 2/@21  TRIPHENYLP 0.89 + TESTO/D9_03.tif </t>
  </si>
  <si>
    <t xml:space="preserve"> 73.6938 </t>
  </si>
  <si>
    <t xml:space="preserve">C:\Users\lmarliere\Desktop\2021-CHG-CBA-TRIPHENYLP 3\plaque 2/@21  TRIPHENYLP 0.89 + TESTO/E9_01.tif </t>
  </si>
  <si>
    <t xml:space="preserve"> 79316.8236 </t>
  </si>
  <si>
    <t xml:space="preserve"> 87.3668 </t>
  </si>
  <si>
    <t xml:space="preserve">C:\Users\lmarliere\Desktop\2021-CHG-CBA-TRIPHENYLP 3\plaque 2/@21  TRIPHENYLP 0.89 + TESTO/E9_02.tif </t>
  </si>
  <si>
    <t xml:space="preserve"> 73606.5314 </t>
  </si>
  <si>
    <t xml:space="preserve"> 83.677 </t>
  </si>
  <si>
    <t xml:space="preserve">C:\Users\lmarliere\Desktop\2021-CHG-CBA-TRIPHENYLP 3\plaque 2/@21  TRIPHENYLP 0.89 + TESTO/E9_03.tif </t>
  </si>
  <si>
    <t xml:space="preserve"> 72265.478 </t>
  </si>
  <si>
    <t xml:space="preserve"> 85.5382 </t>
  </si>
  <si>
    <t xml:space="preserve">C:\Users\lmarliere\Desktop\2021-CHG-CBA-TRIPHENYLP 3\plaque 2/@21  TRIPHENYLP 0.89 + TESTO/F9_01.tif </t>
  </si>
  <si>
    <t xml:space="preserve"> 68199.0578 </t>
  </si>
  <si>
    <t xml:space="preserve"> 83.2553 </t>
  </si>
  <si>
    <t xml:space="preserve">C:\Users\lmarliere\Desktop\2021-CHG-CBA-TRIPHENYLP 3\plaque 2/@21  TRIPHENYLP 0.89 + TESTO/F9_02.tif </t>
  </si>
  <si>
    <t xml:space="preserve"> 68826.3247 </t>
  </si>
  <si>
    <t xml:space="preserve"> 82.1631 </t>
  </si>
  <si>
    <t xml:space="preserve">C:\Users\lmarliere\Desktop\2021-CHG-CBA-TRIPHENYLP 3\plaque 2/@21  TRIPHENYLP 0.89 + TESTO/F9_03.tif </t>
  </si>
  <si>
    <t xml:space="preserve"> 65257.3921 </t>
  </si>
  <si>
    <t xml:space="preserve"> 82.2559 </t>
  </si>
  <si>
    <t xml:space="preserve">C:\Users\lmarliere\Desktop\2021-CHG-CBA-TRIPHENYLP 3\plaque 2/@21  TRIPHENYLP 0.89 + TESTO/G9_01.tif </t>
  </si>
  <si>
    <t xml:space="preserve"> 81739.3718 </t>
  </si>
  <si>
    <t xml:space="preserve"> 87.1122 </t>
  </si>
  <si>
    <t xml:space="preserve">C:\Users\lmarliere\Desktop\2021-CHG-CBA-TRIPHENYLP 3\plaque 2/@21  TRIPHENYLP 0.89 + TESTO/G9_02.tif </t>
  </si>
  <si>
    <t xml:space="preserve"> 81047.2152 </t>
  </si>
  <si>
    <t xml:space="preserve"> 87.454 </t>
  </si>
  <si>
    <t xml:space="preserve">C:\Users\lmarliere\Desktop\2021-CHG-CBA-TRIPHENYLP 3\plaque 2/@21  TRIPHENYLP 0.89 + TESTO/G9_03.tif </t>
  </si>
  <si>
    <t xml:space="preserve"> 78105.5495 </t>
  </si>
  <si>
    <t xml:space="preserve"> 87.5982 </t>
  </si>
  <si>
    <t xml:space="preserve">C:\Users\lmarliere\Desktop\2021-CHG-CBA-TRIPHENYLP 3\plaque 2/@21  TRIPHENYLP 0.89 + TESTO/H9_01.tif </t>
  </si>
  <si>
    <t xml:space="preserve"> 73130.6737 </t>
  </si>
  <si>
    <t xml:space="preserve"> 82.3573 </t>
  </si>
  <si>
    <t xml:space="preserve">C:\Users\lmarliere\Desktop\2021-CHG-CBA-TRIPHENYLP 3\plaque 2/@21  TRIPHENYLP 0.89 + TESTO/H9_02.tif </t>
  </si>
  <si>
    <t xml:space="preserve"> 69842.9298 </t>
  </si>
  <si>
    <t xml:space="preserve"> 81.6578 </t>
  </si>
  <si>
    <t xml:space="preserve">C:\Users\lmarliere\Desktop\2021-CHG-CBA-TRIPHENYLP 3\plaque 2/@21  TRIPHENYLP 0.89 + TESTO/H9_03.tif </t>
  </si>
  <si>
    <t xml:space="preserve"> 71530.0615 </t>
  </si>
  <si>
    <t xml:space="preserve"> 80.8627 </t>
  </si>
  <si>
    <t xml:space="preserve">C:\Users\lmarliere\Desktop\2021-CHG-CBA-TRIPHENYLP 3\plaque 2/@21  TRIPHENYLP 0.89 + TESTO/ </t>
  </si>
  <si>
    <t xml:space="preserve"> 78.9189 </t>
  </si>
  <si>
    <t xml:space="preserve"> 7.4874 </t>
  </si>
  <si>
    <t xml:space="preserve"> 4720084.54 </t>
  </si>
  <si>
    <t xml:space="preserve"> 2040748.41 </t>
  </si>
  <si>
    <t>09 TRIPHENY P 0.26</t>
  </si>
  <si>
    <t>17 TRIPHENYLP 0.18 + TESTO</t>
  </si>
  <si>
    <t>18  TRIPHENYLP 0.26 + TESTO</t>
  </si>
  <si>
    <t>19  TRIPHENYLP 0.4 + TESTO</t>
  </si>
  <si>
    <t>20  TRIPHENYLP 0.59 + TESTO</t>
  </si>
  <si>
    <t>21  TRIPHENYLP 0.89 + TESTO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</si>
</sst>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8"/>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07">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4" fillId="0" borderId="0" xfId="1"/>
    <xf numFmtId="0" fontId="4" fillId="6" borderId="0" xfId="1" applyFill="1"/>
    <xf numFmtId="0" fontId="4" fillId="2" borderId="0" xfId="1" applyFill="1"/>
    <xf numFmtId="0" fontId="4" fillId="7" borderId="0" xfId="1" applyFill="1"/>
    <xf numFmtId="14" fontId="4" fillId="0" borderId="0" xfId="1" applyNumberFormat="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3" fillId="0" borderId="9" xfId="0" applyFont="1" applyBorder="1" applyAlignment="1">
      <alignment vertical="center"/>
    </xf>
    <xf numFmtId="0" fontId="3" fillId="0" borderId="1" xfId="0" applyFont="1" applyBorder="1" applyAlignment="1">
      <alignment vertical="center"/>
    </xf>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7" borderId="16" xfId="0" applyFill="1" applyBorder="1" applyAlignment="1">
      <alignment horizontal="center"/>
    </xf>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1" fillId="0" borderId="6" xfId="0" applyFont="1" applyBorder="1"/>
    <xf numFmtId="0" fontId="0" fillId="0" borderId="5" xfId="0" applyBorder="1"/>
    <xf numFmtId="49" fontId="0" fillId="0" borderId="0" xfId="0" applyNumberFormat="1" applyAlignment="1">
      <alignment horizontal="center"/>
    </xf>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xf numFmtId="0" fontId="3" fillId="8" borderId="2" xfId="0"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Alignment="1">
      <alignment horizontal="center" vertical="center"/>
    </xf>
    <xf numFmtId="0" fontId="6" fillId="0" borderId="0" xfId="0" applyFont="1" applyAlignment="1">
      <alignment horizontal="center"/>
    </xf>
    <xf numFmtId="0" fontId="6" fillId="0" borderId="0" xfId="0" applyFont="1"/>
    <xf numFmtId="0" fontId="1" fillId="3" borderId="1" xfId="0" applyFont="1" applyFill="1" applyBorder="1" applyAlignment="1">
      <alignment horizontal="center"/>
    </xf>
    <xf numFmtId="0" fontId="1" fillId="10" borderId="0" xfId="0" applyFont="1" applyFill="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13" fillId="0" borderId="1" xfId="0" applyFont="1" applyBorder="1"/>
    <xf numFmtId="0" fontId="12" fillId="0" borderId="1" xfId="0" applyFont="1" applyBorder="1" applyAlignment="1">
      <alignment horizontal="center"/>
    </xf>
    <xf numFmtId="0" fontId="8" fillId="15" borderId="1" xfId="0" applyFont="1" applyFill="1" applyBorder="1"/>
    <xf numFmtId="0" fontId="8" fillId="0" borderId="1" xfId="0" applyFont="1" applyBorder="1" applyAlignment="1">
      <alignment horizontal="center"/>
    </xf>
    <xf numFmtId="2" fontId="13" fillId="0" borderId="1" xfId="0" applyNumberFormat="1" applyFont="1" applyBorder="1" applyAlignment="1">
      <alignment horizontal="left"/>
    </xf>
    <xf numFmtId="0" fontId="14" fillId="0" borderId="1" xfId="0" applyFont="1" applyBorder="1"/>
    <xf numFmtId="2" fontId="8" fillId="0" borderId="1" xfId="0" applyNumberFormat="1" applyFont="1" applyBorder="1"/>
    <xf numFmtId="0" fontId="8" fillId="0" borderId="1" xfId="0" applyFont="1" applyBorder="1"/>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13" fillId="0" borderId="1" xfId="0" applyFont="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Font="1" applyBorder="1" applyAlignment="1">
      <alignment horizontal="center" vertical="center"/>
    </xf>
    <xf numFmtId="0" fontId="3" fillId="14" borderId="9" xfId="0" applyFont="1" applyFill="1" applyBorder="1" applyAlignment="1">
      <alignment horizontal="center" vertical="center"/>
    </xf>
    <xf numFmtId="0" fontId="3" fillId="14" borderId="1" xfId="0" applyFont="1" applyFill="1" applyBorder="1" applyAlignment="1">
      <alignment horizontal="center" vertical="center"/>
    </xf>
    <xf numFmtId="0" fontId="3" fillId="8" borderId="0" xfId="0" applyFont="1" applyFill="1" applyAlignment="1">
      <alignment horizontal="center" vertical="center"/>
    </xf>
    <xf numFmtId="0" fontId="3" fillId="0" borderId="0" xfId="0" applyFont="1"/>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Border="1" applyAlignment="1">
      <alignment horizontal="left"/>
    </xf>
    <xf numFmtId="0" fontId="8" fillId="16" borderId="1" xfId="0" applyFont="1" applyFill="1" applyBorder="1" applyAlignment="1">
      <alignment horizontal="center"/>
    </xf>
    <xf numFmtId="0" fontId="8" fillId="16" borderId="32" xfId="0"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Font="1" applyFill="1" applyBorder="1" applyAlignment="1">
      <alignment horizontal="center"/>
    </xf>
    <xf numFmtId="0" fontId="8" fillId="15" borderId="1" xfId="0" applyFont="1" applyFill="1" applyBorder="1" applyAlignment="1">
      <alignment horizontal="center"/>
    </xf>
    <xf numFmtId="0" fontId="8" fillId="15" borderId="32" xfId="0" applyFont="1" applyFill="1" applyBorder="1" applyAlignment="1">
      <alignment horizontal="center"/>
    </xf>
    <xf numFmtId="0" fontId="8" fillId="15" borderId="32" xfId="7" applyNumberFormat="1" applyFont="1" applyFill="1" applyBorder="1" applyAlignment="1">
      <alignment horizontal="center"/>
    </xf>
    <xf numFmtId="0" fontId="8" fillId="17" borderId="32" xfId="0"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Font="1" applyFill="1" applyBorder="1" applyAlignment="1">
      <alignment horizontal="center"/>
    </xf>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Alignment="1">
      <alignment wrapText="1"/>
    </xf>
    <xf numFmtId="164" fontId="0" fillId="7" borderId="0" xfId="0" applyNumberFormat="1" applyFill="1" applyAlignment="1">
      <alignment horizontal="center"/>
    </xf>
    <xf numFmtId="164" fontId="0" fillId="7" borderId="15" xfId="0" applyNumberFormat="1" applyFill="1" applyBorder="1" applyAlignment="1">
      <alignment horizontal="center"/>
    </xf>
    <xf numFmtId="164" fontId="0" fillId="7" borderId="3" xfId="0" applyNumberFormat="1" applyFill="1" applyBorder="1" applyAlignment="1">
      <alignment horizontal="center"/>
    </xf>
    <xf numFmtId="164" fontId="0" fillId="7" borderId="17"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2" fontId="3" fillId="0" borderId="15" xfId="0" applyNumberFormat="1" applyFont="1" applyBorder="1" applyAlignment="1">
      <alignment vertical="center"/>
    </xf>
    <xf numFmtId="2" fontId="3" fillId="0" borderId="3" xfId="0" applyNumberFormat="1" applyFont="1" applyBorder="1" applyAlignment="1">
      <alignment horizontal="center" vertical="center"/>
    </xf>
    <xf numFmtId="0" fontId="3" fillId="0" borderId="21" xfId="0" applyFont="1" applyBorder="1" applyAlignment="1">
      <alignment vertical="center"/>
    </xf>
    <xf numFmtId="0" fontId="3" fillId="0" borderId="22" xfId="0" applyFont="1" applyBorder="1" applyAlignment="1">
      <alignment horizontal="center" vertical="center"/>
    </xf>
    <xf numFmtId="0" fontId="3" fillId="14" borderId="34" xfId="0" applyFont="1" applyFill="1" applyBorder="1" applyAlignment="1">
      <alignment vertical="center"/>
    </xf>
    <xf numFmtId="0" fontId="3" fillId="14" borderId="29" xfId="0" applyFont="1" applyFill="1" applyBorder="1" applyAlignment="1">
      <alignment vertical="center"/>
    </xf>
    <xf numFmtId="0" fontId="3" fillId="14" borderId="35" xfId="0" applyFont="1" applyFill="1" applyBorder="1" applyAlignment="1">
      <alignment vertical="center"/>
    </xf>
    <xf numFmtId="0" fontId="3" fillId="14" borderId="24" xfId="0" applyFont="1" applyFill="1" applyBorder="1" applyAlignment="1">
      <alignment vertical="center"/>
    </xf>
    <xf numFmtId="0" fontId="3" fillId="14" borderId="36" xfId="0" applyFont="1" applyFill="1" applyBorder="1" applyAlignment="1">
      <alignment vertical="center"/>
    </xf>
    <xf numFmtId="0" fontId="3" fillId="14" borderId="37" xfId="0" applyFont="1" applyFill="1" applyBorder="1" applyAlignment="1">
      <alignment vertical="center"/>
    </xf>
    <xf numFmtId="0" fontId="3" fillId="14" borderId="11" xfId="0"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Font="1" applyBorder="1" applyAlignment="1">
      <alignment vertical="center"/>
    </xf>
    <xf numFmtId="0" fontId="0" fillId="20" borderId="44" xfId="0" applyFill="1" applyBorder="1" applyAlignment="1">
      <alignment horizontal="left" vertical="top" wrapText="1"/>
    </xf>
    <xf numFmtId="0" fontId="0" fillId="20" borderId="32" xfId="0" applyFill="1" applyBorder="1" applyAlignment="1">
      <alignment horizontal="left" vertical="top" wrapText="1"/>
    </xf>
    <xf numFmtId="0" fontId="0" fillId="20" borderId="42" xfId="0" applyFill="1" applyBorder="1" applyAlignment="1">
      <alignment horizontal="left" vertical="top" wrapText="1"/>
    </xf>
    <xf numFmtId="0" fontId="0" fillId="20" borderId="45" xfId="0"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5" xfId="0" applyFont="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Font="1" applyFill="1" applyBorder="1" applyAlignment="1">
      <alignment vertical="center"/>
    </xf>
    <xf numFmtId="0" fontId="3" fillId="14" borderId="25" xfId="0" applyFont="1" applyFill="1" applyBorder="1" applyAlignment="1">
      <alignment vertical="center"/>
    </xf>
    <xf numFmtId="0" fontId="3" fillId="14" borderId="1" xfId="0" applyFont="1" applyFill="1" applyBorder="1" applyAlignment="1">
      <alignment vertical="center"/>
    </xf>
    <xf numFmtId="0" fontId="18" fillId="9" borderId="12" xfId="0" applyFont="1" applyFill="1" applyBorder="1" applyAlignment="1">
      <alignment horizontal="left"/>
    </xf>
    <xf numFmtId="0" fontId="1" fillId="0" borderId="0" xfId="0" applyFont="1" applyAlignment="1">
      <alignment vertical="center"/>
    </xf>
    <xf numFmtId="0" fontId="19" fillId="0" borderId="0" xfId="0" applyFont="1"/>
    <xf numFmtId="0" fontId="19" fillId="0" borderId="0" xfId="0" applyFont="1" applyAlignment="1">
      <alignment horizontal="center" vertic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0" fontId="7" fillId="12" borderId="5"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164" fontId="7" fillId="12"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rgbClr val="5F5F5F"/>
              </a:solidFill>
            </c:spPr>
            <c:extLst>
              <c:ext xmlns:c16="http://schemas.microsoft.com/office/drawing/2014/chart" uri="{C3380CC4-5D6E-409C-BE32-E72D297353CC}">
                <c16:uniqueId val="{00000001-6B75-48DD-BD80-102719B943A6}"/>
              </c:ext>
            </c:extLst>
          </c:dPt>
          <c:dPt>
            <c:idx val="1"/>
            <c:invertIfNegative val="0"/>
            <c:bubble3D val="0"/>
            <c:spPr>
              <a:solidFill>
                <a:srgbClr val="FF0000"/>
              </a:solidFill>
            </c:spPr>
            <c:extLst>
              <c:ext xmlns:c16="http://schemas.microsoft.com/office/drawing/2014/chart" uri="{C3380CC4-5D6E-409C-BE32-E72D297353CC}">
                <c16:uniqueId val="{00000002-6B75-48DD-BD80-102719B943A6}"/>
              </c:ext>
            </c:extLst>
          </c:dPt>
          <c:dPt>
            <c:idx val="2"/>
            <c:invertIfNegative val="0"/>
            <c:bubble3D val="0"/>
            <c:spPr>
              <a:solidFill>
                <a:srgbClr val="FF0000"/>
              </a:solidFill>
            </c:spPr>
            <c:extLst>
              <c:ext xmlns:c16="http://schemas.microsoft.com/office/drawing/2014/chart" uri="{C3380CC4-5D6E-409C-BE32-E72D297353CC}">
                <c16:uniqueId val="{00000003-6B75-48DD-BD80-102719B943A6}"/>
              </c:ext>
            </c:extLst>
          </c:dPt>
          <c:dPt>
            <c:idx val="3"/>
            <c:invertIfNegative val="0"/>
            <c:bubble3D val="0"/>
            <c:spPr>
              <a:solidFill>
                <a:srgbClr val="FF0000"/>
              </a:solidFill>
            </c:spPr>
            <c:extLst>
              <c:ext xmlns:c16="http://schemas.microsoft.com/office/drawing/2014/chart" uri="{C3380CC4-5D6E-409C-BE32-E72D297353CC}">
                <c16:uniqueId val="{00000004-6B75-48DD-BD80-102719B943A6}"/>
              </c:ext>
            </c:extLst>
          </c:dPt>
          <c:dPt>
            <c:idx val="4"/>
            <c:invertIfNegative val="0"/>
            <c:bubble3D val="0"/>
            <c:spPr>
              <a:solidFill>
                <a:srgbClr val="FF0000"/>
              </a:solidFill>
            </c:spPr>
            <c:extLst>
              <c:ext xmlns:c16="http://schemas.microsoft.com/office/drawing/2014/chart" uri="{C3380CC4-5D6E-409C-BE32-E72D297353CC}">
                <c16:uniqueId val="{00000005-6B75-48DD-BD80-102719B943A6}"/>
              </c:ext>
            </c:extLst>
          </c:dPt>
          <c:dPt>
            <c:idx val="5"/>
            <c:invertIfNegative val="0"/>
            <c:bubble3D val="0"/>
            <c:spPr>
              <a:solidFill>
                <a:srgbClr val="FF0000"/>
              </a:solidFill>
            </c:spPr>
            <c:extLst>
              <c:ext xmlns:c16="http://schemas.microsoft.com/office/drawing/2014/chart" uri="{C3380CC4-5D6E-409C-BE32-E72D297353CC}">
                <c16:uniqueId val="{00000006-6B75-48DD-BD80-102719B943A6}"/>
              </c:ext>
            </c:extLst>
          </c:dPt>
          <c:dPt>
            <c:idx val="6"/>
            <c:invertIfNegative val="0"/>
            <c:bubble3D val="0"/>
            <c:spPr>
              <a:solidFill>
                <a:srgbClr val="FF0000"/>
              </a:solidFill>
            </c:spPr>
            <c:extLst>
              <c:ext xmlns:c16="http://schemas.microsoft.com/office/drawing/2014/chart" uri="{C3380CC4-5D6E-409C-BE32-E72D297353CC}">
                <c16:uniqueId val="{00000007-6B75-48DD-BD80-102719B943A6}"/>
              </c:ext>
            </c:extLst>
          </c:dPt>
          <c:dPt>
            <c:idx val="7"/>
            <c:invertIfNegative val="0"/>
            <c:bubble3D val="0"/>
            <c:spPr>
              <a:solidFill>
                <a:schemeClr val="bg2">
                  <a:lumMod val="90000"/>
                </a:schemeClr>
              </a:solidFill>
            </c:spPr>
            <c:extLst>
              <c:ext xmlns:c16="http://schemas.microsoft.com/office/drawing/2014/chart" uri="{C3380CC4-5D6E-409C-BE32-E72D297353CC}">
                <c16:uniqueId val="{00000008-6B75-48DD-BD80-102719B943A6}"/>
              </c:ext>
            </c:extLst>
          </c:dPt>
          <c:dPt>
            <c:idx val="8"/>
            <c:invertIfNegative val="0"/>
            <c:bubble3D val="0"/>
            <c:spPr>
              <a:solidFill>
                <a:schemeClr val="bg2">
                  <a:lumMod val="90000"/>
                </a:schemeClr>
              </a:solidFill>
            </c:spPr>
            <c:extLst>
              <c:ext xmlns:c16="http://schemas.microsoft.com/office/drawing/2014/chart" uri="{C3380CC4-5D6E-409C-BE32-E72D297353CC}">
                <c16:uniqueId val="{00000009-6B75-48DD-BD80-102719B943A6}"/>
              </c:ext>
            </c:extLst>
          </c:dPt>
          <c:dPt>
            <c:idx val="9"/>
            <c:invertIfNegative val="0"/>
            <c:bubble3D val="0"/>
            <c:spPr>
              <a:solidFill>
                <a:schemeClr val="bg2">
                  <a:lumMod val="90000"/>
                </a:schemeClr>
              </a:solidFill>
            </c:spPr>
            <c:extLst>
              <c:ext xmlns:c16="http://schemas.microsoft.com/office/drawing/2014/chart" uri="{C3380CC4-5D6E-409C-BE32-E72D297353CC}">
                <c16:uniqueId val="{0000000A-6B75-48DD-BD80-102719B943A6}"/>
              </c:ext>
            </c:extLst>
          </c:dPt>
          <c:dPt>
            <c:idx val="10"/>
            <c:invertIfNegative val="0"/>
            <c:bubble3D val="0"/>
            <c:spPr>
              <a:solidFill>
                <a:schemeClr val="bg2">
                  <a:lumMod val="90000"/>
                </a:schemeClr>
              </a:solidFill>
            </c:spPr>
            <c:extLst>
              <c:ext xmlns:c16="http://schemas.microsoft.com/office/drawing/2014/chart" uri="{C3380CC4-5D6E-409C-BE32-E72D297353CC}">
                <c16:uniqueId val="{0000000B-6B75-48DD-BD80-102719B943A6}"/>
              </c:ext>
            </c:extLst>
          </c:dPt>
          <c:dPt>
            <c:idx val="11"/>
            <c:invertIfNegative val="0"/>
            <c:bubble3D val="0"/>
            <c:spPr>
              <a:solidFill>
                <a:schemeClr val="bg2">
                  <a:lumMod val="90000"/>
                </a:schemeClr>
              </a:solidFill>
            </c:spPr>
            <c:extLst>
              <c:ext xmlns:c16="http://schemas.microsoft.com/office/drawing/2014/chart" uri="{C3380CC4-5D6E-409C-BE32-E72D297353CC}">
                <c16:uniqueId val="{0000000C-6B75-48DD-BD80-102719B943A6}"/>
              </c:ext>
            </c:extLst>
          </c:dPt>
          <c:dPt>
            <c:idx val="13"/>
            <c:invertIfNegative val="0"/>
            <c:bubble3D val="0"/>
            <c:spPr>
              <a:solidFill>
                <a:srgbClr val="92D050"/>
              </a:solidFill>
            </c:spPr>
            <c:extLst>
              <c:ext xmlns:c16="http://schemas.microsoft.com/office/drawing/2014/chart" uri="{C3380CC4-5D6E-409C-BE32-E72D297353CC}">
                <c16:uniqueId val="{0000000D-6B75-48DD-BD80-102719B943A6}"/>
              </c:ext>
            </c:extLst>
          </c:dPt>
          <c:dPt>
            <c:idx val="14"/>
            <c:invertIfNegative val="0"/>
            <c:bubble3D val="0"/>
            <c:spPr>
              <a:solidFill>
                <a:srgbClr val="92D050"/>
              </a:solidFill>
            </c:spPr>
            <c:extLst>
              <c:ext xmlns:c16="http://schemas.microsoft.com/office/drawing/2014/chart" uri="{C3380CC4-5D6E-409C-BE32-E72D297353CC}">
                <c16:uniqueId val="{0000000E-6B75-48DD-BD80-102719B943A6}"/>
              </c:ext>
            </c:extLst>
          </c:dPt>
          <c:dPt>
            <c:idx val="15"/>
            <c:invertIfNegative val="0"/>
            <c:bubble3D val="0"/>
            <c:spPr>
              <a:solidFill>
                <a:schemeClr val="accent3">
                  <a:lumMod val="20000"/>
                  <a:lumOff val="80000"/>
                </a:schemeClr>
              </a:solidFill>
            </c:spPr>
            <c:extLst>
              <c:ext xmlns:c16="http://schemas.microsoft.com/office/drawing/2014/chart" uri="{C3380CC4-5D6E-409C-BE32-E72D297353CC}">
                <c16:uniqueId val="{0000000F-6B75-48DD-BD80-102719B943A6}"/>
              </c:ext>
            </c:extLst>
          </c:dPt>
          <c:dPt>
            <c:idx val="16"/>
            <c:invertIfNegative val="0"/>
            <c:bubble3D val="0"/>
            <c:spPr>
              <a:solidFill>
                <a:schemeClr val="accent3">
                  <a:lumMod val="20000"/>
                  <a:lumOff val="80000"/>
                </a:schemeClr>
              </a:solidFill>
            </c:spPr>
            <c:extLst>
              <c:ext xmlns:c16="http://schemas.microsoft.com/office/drawing/2014/chart" uri="{C3380CC4-5D6E-409C-BE32-E72D297353CC}">
                <c16:uniqueId val="{00000010-6B75-48DD-BD80-102719B943A6}"/>
              </c:ext>
            </c:extLst>
          </c:dPt>
          <c:dPt>
            <c:idx val="17"/>
            <c:invertIfNegative val="0"/>
            <c:bubble3D val="0"/>
            <c:spPr>
              <a:solidFill>
                <a:schemeClr val="accent3">
                  <a:lumMod val="20000"/>
                  <a:lumOff val="80000"/>
                </a:schemeClr>
              </a:solidFill>
            </c:spPr>
            <c:extLst>
              <c:ext xmlns:c16="http://schemas.microsoft.com/office/drawing/2014/chart" uri="{C3380CC4-5D6E-409C-BE32-E72D297353CC}">
                <c16:uniqueId val="{00000011-6B75-48DD-BD80-102719B943A6}"/>
              </c:ext>
            </c:extLst>
          </c:dPt>
          <c:dPt>
            <c:idx val="18"/>
            <c:invertIfNegative val="0"/>
            <c:bubble3D val="0"/>
            <c:spPr>
              <a:solidFill>
                <a:schemeClr val="accent3">
                  <a:lumMod val="20000"/>
                  <a:lumOff val="80000"/>
                </a:schemeClr>
              </a:solidFill>
            </c:spPr>
            <c:extLst>
              <c:ext xmlns:c16="http://schemas.microsoft.com/office/drawing/2014/chart" uri="{C3380CC4-5D6E-409C-BE32-E72D297353CC}">
                <c16:uniqueId val="{00000012-6B75-48DD-BD80-102719B943A6}"/>
              </c:ext>
            </c:extLst>
          </c:dPt>
          <c:dPt>
            <c:idx val="19"/>
            <c:invertIfNegative val="0"/>
            <c:bubble3D val="0"/>
            <c:spPr>
              <a:solidFill>
                <a:schemeClr val="accent3">
                  <a:lumMod val="20000"/>
                  <a:lumOff val="80000"/>
                </a:schemeClr>
              </a:solidFill>
            </c:spPr>
            <c:extLst>
              <c:ext xmlns:c16="http://schemas.microsoft.com/office/drawing/2014/chart" uri="{C3380CC4-5D6E-409C-BE32-E72D297353CC}">
                <c16:uniqueId val="{00000013-6B75-48DD-BD80-102719B943A6}"/>
              </c:ext>
            </c:extLst>
          </c:dPt>
          <c:dLbls>
            <c:dLbl>
              <c:idx val="0"/>
              <c:tx>
                <c:rich>
                  <a:bodyPr/>
                  <a:lstStyle/>
                  <a:p>
                    <a:fld id="{B6CA22C2-3A3C-4E5B-A4CA-1C43433AED0F}"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B75-48DD-BD80-102719B943A6}"/>
                </c:ext>
              </c:extLst>
            </c:dLbl>
            <c:dLbl>
              <c:idx val="1"/>
              <c:tx>
                <c:rich>
                  <a:bodyPr/>
                  <a:lstStyle/>
                  <a:p>
                    <a:fld id="{7833DDD5-8583-41A7-99AE-A2EFF28A456D}"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B75-48DD-BD80-102719B943A6}"/>
                </c:ext>
              </c:extLst>
            </c:dLbl>
            <c:dLbl>
              <c:idx val="2"/>
              <c:tx>
                <c:rich>
                  <a:bodyPr/>
                  <a:lstStyle/>
                  <a:p>
                    <a:fld id="{468F08C1-6F80-40F4-9173-2C5519CE874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B75-48DD-BD80-102719B943A6}"/>
                </c:ext>
              </c:extLst>
            </c:dLbl>
            <c:dLbl>
              <c:idx val="3"/>
              <c:tx>
                <c:rich>
                  <a:bodyPr/>
                  <a:lstStyle/>
                  <a:p>
                    <a:fld id="{DE25C29D-398D-4DA5-8944-C16CE3CB86E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B75-48DD-BD80-102719B943A6}"/>
                </c:ext>
              </c:extLst>
            </c:dLbl>
            <c:dLbl>
              <c:idx val="4"/>
              <c:tx>
                <c:rich>
                  <a:bodyPr/>
                  <a:lstStyle/>
                  <a:p>
                    <a:fld id="{E1F88E85-9297-45BE-BB53-4E6D57D12C0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B75-48DD-BD80-102719B943A6}"/>
                </c:ext>
              </c:extLst>
            </c:dLbl>
            <c:dLbl>
              <c:idx val="5"/>
              <c:tx>
                <c:rich>
                  <a:bodyPr/>
                  <a:lstStyle/>
                  <a:p>
                    <a:fld id="{C0CDD8EC-DE85-4DB5-859A-025DA7862E3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B75-48DD-BD80-102719B943A6}"/>
                </c:ext>
              </c:extLst>
            </c:dLbl>
            <c:dLbl>
              <c:idx val="6"/>
              <c:tx>
                <c:rich>
                  <a:bodyPr/>
                  <a:lstStyle/>
                  <a:p>
                    <a:fld id="{C0F688F6-4850-40EF-8635-742464B4087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B75-48DD-BD80-102719B943A6}"/>
                </c:ext>
              </c:extLst>
            </c:dLbl>
            <c:dLbl>
              <c:idx val="7"/>
              <c:tx>
                <c:rich>
                  <a:bodyPr/>
                  <a:lstStyle/>
                  <a:p>
                    <a:fld id="{C0672961-7812-4337-9779-7530E50F179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B75-48DD-BD80-102719B943A6}"/>
                </c:ext>
              </c:extLst>
            </c:dLbl>
            <c:dLbl>
              <c:idx val="8"/>
              <c:tx>
                <c:rich>
                  <a:bodyPr/>
                  <a:lstStyle/>
                  <a:p>
                    <a:fld id="{9B89E083-78A7-410B-B85E-D7C7183C065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B75-48DD-BD80-102719B943A6}"/>
                </c:ext>
              </c:extLst>
            </c:dLbl>
            <c:dLbl>
              <c:idx val="9"/>
              <c:tx>
                <c:rich>
                  <a:bodyPr/>
                  <a:lstStyle/>
                  <a:p>
                    <a:fld id="{9AB5BFDF-6CE0-473B-ABB8-42843D00AC5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B75-48DD-BD80-102719B943A6}"/>
                </c:ext>
              </c:extLst>
            </c:dLbl>
            <c:dLbl>
              <c:idx val="10"/>
              <c:tx>
                <c:rich>
                  <a:bodyPr/>
                  <a:lstStyle/>
                  <a:p>
                    <a:fld id="{EF19FCA0-7A0A-49F4-8E2F-A18C5501031C}"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B75-48DD-BD80-102719B943A6}"/>
                </c:ext>
              </c:extLst>
            </c:dLbl>
            <c:dLbl>
              <c:idx val="11"/>
              <c:tx>
                <c:rich>
                  <a:bodyPr/>
                  <a:lstStyle/>
                  <a:p>
                    <a:fld id="{AEBB3DF1-9BAF-40FC-9280-3F3D05F0772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B75-48DD-BD80-102719B943A6}"/>
                </c:ext>
              </c:extLst>
            </c:dLbl>
            <c:dLbl>
              <c:idx val="12"/>
              <c:tx>
                <c:rich>
                  <a:bodyPr/>
                  <a:lstStyle/>
                  <a:p>
                    <a:fld id="{C172C6DA-59E3-447A-B238-FA62E16458C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B75-48DD-BD80-102719B943A6}"/>
                </c:ext>
              </c:extLst>
            </c:dLbl>
            <c:dLbl>
              <c:idx val="13"/>
              <c:tx>
                <c:rich>
                  <a:bodyPr/>
                  <a:lstStyle/>
                  <a:p>
                    <a:fld id="{89EB4BB7-6354-4D43-9425-CBE36F918D5C}"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B75-48DD-BD80-102719B943A6}"/>
                </c:ext>
              </c:extLst>
            </c:dLbl>
            <c:dLbl>
              <c:idx val="14"/>
              <c:tx>
                <c:rich>
                  <a:bodyPr/>
                  <a:lstStyle/>
                  <a:p>
                    <a:fld id="{F2C8AFF7-4D0C-4EF1-83EA-10BF0FB1ED4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B75-48DD-BD80-102719B943A6}"/>
                </c:ext>
              </c:extLst>
            </c:dLbl>
            <c:dLbl>
              <c:idx val="15"/>
              <c:tx>
                <c:rich>
                  <a:bodyPr/>
                  <a:lstStyle/>
                  <a:p>
                    <a:fld id="{9DEE3805-9C4B-40FF-BD0D-F83FBEE10D45}"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B75-48DD-BD80-102719B943A6}"/>
                </c:ext>
              </c:extLst>
            </c:dLbl>
            <c:dLbl>
              <c:idx val="16"/>
              <c:tx>
                <c:rich>
                  <a:bodyPr/>
                  <a:lstStyle/>
                  <a:p>
                    <a:fld id="{D28935FB-CD7D-4A73-84C5-1EFD4ADF5D3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B75-48DD-BD80-102719B943A6}"/>
                </c:ext>
              </c:extLst>
            </c:dLbl>
            <c:dLbl>
              <c:idx val="17"/>
              <c:tx>
                <c:rich>
                  <a:bodyPr/>
                  <a:lstStyle/>
                  <a:p>
                    <a:fld id="{71F5F9F2-ECC0-43C2-9CF9-E98E771972A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B75-48DD-BD80-102719B943A6}"/>
                </c:ext>
              </c:extLst>
            </c:dLbl>
            <c:dLbl>
              <c:idx val="18"/>
              <c:tx>
                <c:rich>
                  <a:bodyPr/>
                  <a:lstStyle/>
                  <a:p>
                    <a:fld id="{1EE6A554-1777-475B-B70C-1769DA81483D}"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B75-48DD-BD80-102719B943A6}"/>
                </c:ext>
              </c:extLst>
            </c:dLbl>
            <c:dLbl>
              <c:idx val="19"/>
              <c:tx>
                <c:rich>
                  <a:bodyPr/>
                  <a:lstStyle/>
                  <a:p>
                    <a:fld id="{EB8BD6D8-915F-43B9-927A-42BD9E5BC47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B75-48DD-BD80-102719B943A6}"/>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extLst>
                  <c:ext xmlns:c15="http://schemas.microsoft.com/office/drawing/2012/chart" uri="{02D57815-91ED-43cb-92C2-25804820EDAC}">
                    <c15:fullRef>
                      <c15:sqref>'R1'!$B$48:$AL$48</c15:sqref>
                    </c15:fullRef>
                  </c:ext>
                </c:extLst>
                <c:f>('R1'!$B$48:$M$48,'R1'!$AE$48:$AL$48)</c:f>
                <c:numCache>
                  <c:formatCode>General</c:formatCode>
                  <c:ptCount val="20"/>
                  <c:pt idx="0">
                    <c:v>2.5820899462259444E-2</c:v>
                  </c:pt>
                  <c:pt idx="1">
                    <c:v>2.7792456263338594E-2</c:v>
                  </c:pt>
                  <c:pt idx="2">
                    <c:v>2.6664266383321897E-2</c:v>
                  </c:pt>
                  <c:pt idx="3">
                    <c:v>3.3734998072851692E-2</c:v>
                  </c:pt>
                  <c:pt idx="4">
                    <c:v>0.11592156682855466</c:v>
                  </c:pt>
                  <c:pt idx="5">
                    <c:v>0.11539469697605563</c:v>
                  </c:pt>
                  <c:pt idx="6">
                    <c:v>0.13367330833710092</c:v>
                  </c:pt>
                  <c:pt idx="7">
                    <c:v>2.2757414789048257E-2</c:v>
                  </c:pt>
                  <c:pt idx="8">
                    <c:v>4.203145157347659E-2</c:v>
                  </c:pt>
                  <c:pt idx="9">
                    <c:v>5.0872211317355115E-2</c:v>
                  </c:pt>
                  <c:pt idx="10">
                    <c:v>0.10117152554315688</c:v>
                  </c:pt>
                  <c:pt idx="11">
                    <c:v>0.1809229297867346</c:v>
                  </c:pt>
                  <c:pt idx="12">
                    <c:v>0</c:v>
                  </c:pt>
                  <c:pt idx="13">
                    <c:v>0</c:v>
                  </c:pt>
                  <c:pt idx="14">
                    <c:v>0</c:v>
                  </c:pt>
                  <c:pt idx="15">
                    <c:v>0</c:v>
                  </c:pt>
                  <c:pt idx="16">
                    <c:v>0</c:v>
                  </c:pt>
                  <c:pt idx="17">
                    <c:v>0</c:v>
                  </c:pt>
                  <c:pt idx="18">
                    <c:v>0</c:v>
                  </c:pt>
                  <c:pt idx="19">
                    <c:v>0</c:v>
                  </c:pt>
                </c:numCache>
              </c:numRef>
            </c:plus>
            <c:minus>
              <c:numRef>
                <c:extLst>
                  <c:ext xmlns:c15="http://schemas.microsoft.com/office/drawing/2012/chart" uri="{02D57815-91ED-43cb-92C2-25804820EDAC}">
                    <c15:fullRef>
                      <c15:sqref>'R1'!$O$48:$AL$48</c15:sqref>
                    </c15:fullRef>
                  </c:ext>
                </c:extLst>
                <c:f>'R1'!$O$48:$Z$48</c:f>
                <c:numCache>
                  <c:formatCode>General</c:formatCode>
                  <c:ptCount val="12"/>
                  <c:pt idx="0">
                    <c:v>0</c:v>
                  </c:pt>
                  <c:pt idx="1">
                    <c:v>6.8903274944463799E-2</c:v>
                  </c:pt>
                  <c:pt idx="2">
                    <c:v>8.4247347074042647E-2</c:v>
                  </c:pt>
                  <c:pt idx="3">
                    <c:v>1.7235865300031978E-2</c:v>
                  </c:pt>
                  <c:pt idx="4">
                    <c:v>9.2511775528251128E-2</c:v>
                  </c:pt>
                  <c:pt idx="5">
                    <c:v>0.20429057227205466</c:v>
                  </c:pt>
                  <c:pt idx="6">
                    <c:v>8.8335565032433574E-2</c:v>
                  </c:pt>
                  <c:pt idx="7">
                    <c:v>0.1207312653941417</c:v>
                  </c:pt>
                  <c:pt idx="8">
                    <c:v>0.12901989910841177</c:v>
                  </c:pt>
                  <c:pt idx="9">
                    <c:v>0</c:v>
                  </c:pt>
                  <c:pt idx="10">
                    <c:v>0</c:v>
                  </c:pt>
                  <c:pt idx="11">
                    <c:v>0</c:v>
                  </c:pt>
                </c:numCache>
              </c:numRef>
            </c:minus>
          </c:errBars>
          <c:cat>
            <c:strRef>
              <c:extLst>
                <c:ext xmlns:c15="http://schemas.microsoft.com/office/drawing/2012/chart" uri="{02D57815-91ED-43cb-92C2-25804820EDAC}">
                  <c15:fullRef>
                    <c15:sqref>'R1'!$B$52:$BA$52</c15:sqref>
                  </c15:fullRef>
                </c:ext>
              </c:extLst>
              <c:f>('R1'!$B$52:$M$52,'R1'!$AE$52:$AL$52)</c:f>
              <c:strCache>
                <c:ptCount val="20"/>
                <c:pt idx="0">
                  <c:v>Témoin solvant</c:v>
                </c:pt>
                <c:pt idx="1">
                  <c:v>EE2-33,8ng/L</c:v>
                </c:pt>
                <c:pt idx="2">
                  <c:v>EE2-50,6ng/L</c:v>
                </c:pt>
                <c:pt idx="3">
                  <c:v>EE2-76ng/L</c:v>
                </c:pt>
                <c:pt idx="4">
                  <c:v>EE2-114ng/L</c:v>
                </c:pt>
                <c:pt idx="5">
                  <c:v>EE2-170,9ng/L</c:v>
                </c:pt>
                <c:pt idx="6">
                  <c:v>EE2-488ng/L</c:v>
                </c:pt>
                <c:pt idx="7">
                  <c:v>Triphénylphosphate-0,18mg/L</c:v>
                </c:pt>
                <c:pt idx="8">
                  <c:v>Triphénylphosphate-0,26mg/L</c:v>
                </c:pt>
                <c:pt idx="9">
                  <c:v>Triphénylphosphate-0,4mg/L</c:v>
                </c:pt>
                <c:pt idx="10">
                  <c:v>Triphénylphosphate-0,59mg/L</c:v>
                </c:pt>
                <c:pt idx="11">
                  <c:v>Triphénylphosphate-0,89mg/L</c:v>
                </c:pt>
                <c:pt idx="12">
                  <c:v>Testo -30µg/L</c:v>
                </c:pt>
                <c:pt idx="13">
                  <c:v>Testo 30µg/L + EE2 -64ng/L</c:v>
                </c:pt>
                <c:pt idx="14">
                  <c:v>Testo 30µg/L + FAD-10mg/L</c:v>
                </c:pt>
                <c:pt idx="15">
                  <c:v>Triphénylphosphate-0,18mg/L + Testostérone</c:v>
                </c:pt>
                <c:pt idx="16">
                  <c:v>Triphénylphosphate-0,26mg/L + Testostérone</c:v>
                </c:pt>
                <c:pt idx="17">
                  <c:v>Triphénylphosphate-0,4mg/L + Testostérone</c:v>
                </c:pt>
                <c:pt idx="18">
                  <c:v>Triphénylphosphate-0,59mg/L + Testostérone</c:v>
                </c:pt>
                <c:pt idx="19">
                  <c:v>Triphénylphosphate-0,89mg/L + Testostérone</c:v>
                </c:pt>
              </c:strCache>
            </c:strRef>
          </c:cat>
          <c:val>
            <c:numRef>
              <c:extLst>
                <c:ext xmlns:c15="http://schemas.microsoft.com/office/drawing/2012/chart" uri="{02D57815-91ED-43cb-92C2-25804820EDAC}">
                  <c15:fullRef>
                    <c15:sqref>'R1'!$B$53:$BA$53</c15:sqref>
                  </c15:fullRef>
                </c:ext>
              </c:extLst>
              <c:f>('R1'!$B$53:$M$53,'R1'!$AE$53:$AL$53)</c:f>
              <c:numCache>
                <c:formatCode>0.0000</c:formatCode>
                <c:ptCount val="20"/>
                <c:pt idx="0">
                  <c:v>0.12781344720837146</c:v>
                </c:pt>
                <c:pt idx="1">
                  <c:v>0.12659390943836679</c:v>
                </c:pt>
                <c:pt idx="2">
                  <c:v>0.17912586446668793</c:v>
                </c:pt>
                <c:pt idx="3">
                  <c:v>0.14875085928609325</c:v>
                </c:pt>
                <c:pt idx="4">
                  <c:v>0.47625455328302335</c:v>
                </c:pt>
                <c:pt idx="5">
                  <c:v>0.76295230447504525</c:v>
                </c:pt>
                <c:pt idx="6">
                  <c:v>1.7084486712545512</c:v>
                </c:pt>
                <c:pt idx="7">
                  <c:v>9.6376710188797413E-2</c:v>
                </c:pt>
                <c:pt idx="8">
                  <c:v>0.16246865338654395</c:v>
                </c:pt>
                <c:pt idx="9">
                  <c:v>0.21737839284779151</c:v>
                </c:pt>
                <c:pt idx="10">
                  <c:v>0.40386077286323657</c:v>
                </c:pt>
                <c:pt idx="11">
                  <c:v>0.97908140378378639</c:v>
                </c:pt>
                <c:pt idx="12">
                  <c:v>1.0000000000000002</c:v>
                </c:pt>
                <c:pt idx="13">
                  <c:v>1.122323606684352</c:v>
                </c:pt>
                <c:pt idx="14">
                  <c:v>7.29441564046302E-2</c:v>
                </c:pt>
                <c:pt idx="15">
                  <c:v>1.1787947090294915</c:v>
                </c:pt>
                <c:pt idx="16">
                  <c:v>1.134423411213227</c:v>
                </c:pt>
                <c:pt idx="17">
                  <c:v>1.393250035153365</c:v>
                </c:pt>
                <c:pt idx="18">
                  <c:v>1.2776149617343753</c:v>
                </c:pt>
                <c:pt idx="19">
                  <c:v>1.474389026811026</c:v>
                </c:pt>
              </c:numCache>
            </c:numRef>
          </c:val>
          <c:extLst>
            <c:ext xmlns:c15="http://schemas.microsoft.com/office/drawing/2012/chart" uri="{02D57815-91ED-43cb-92C2-25804820EDAC}">
              <c15:datalabelsRange>
                <c15:f>'R1'!$B$61:$AL$61</c15:f>
                <c15:dlblRangeCache>
                  <c:ptCount val="37"/>
                  <c:pt idx="1">
                    <c:v>#NAME?</c:v>
                  </c:pt>
                  <c:pt idx="2">
                    <c:v>#NAME?</c:v>
                  </c:pt>
                  <c:pt idx="3">
                    <c:v>#NAME?</c:v>
                  </c:pt>
                  <c:pt idx="4">
                    <c:v>#NAME?</c:v>
                  </c:pt>
                  <c:pt idx="5">
                    <c:v>#NAME?</c:v>
                  </c:pt>
                  <c:pt idx="6">
                    <c:v>#NAME?</c:v>
                  </c:pt>
                  <c:pt idx="7">
                    <c:v>#NAME?</c:v>
                  </c:pt>
                  <c:pt idx="8">
                    <c:v>#NAME?</c:v>
                  </c:pt>
                  <c:pt idx="9">
                    <c:v>#NAME?</c:v>
                  </c:pt>
                  <c:pt idx="10">
                    <c:v>#NAME?</c:v>
                  </c:pt>
                  <c:pt idx="11">
                    <c:v>#NAME?</c:v>
                  </c:pt>
                  <c:pt idx="12">
                    <c:v>#NAME?</c:v>
                  </c:pt>
                  <c:pt idx="13">
                    <c:v>#NAME?</c:v>
                  </c:pt>
                  <c:pt idx="14">
                    <c:v>#NAME?</c:v>
                  </c:pt>
                  <c:pt idx="15">
                    <c:v>#NAME?</c:v>
                  </c:pt>
                  <c:pt idx="16">
                    <c:v>#NAME?</c:v>
                  </c:pt>
                  <c:pt idx="17">
                    <c:v>#NAME?</c:v>
                  </c:pt>
                  <c:pt idx="18">
                    <c:v>#NAME?</c:v>
                  </c:pt>
                  <c:pt idx="19">
                    <c:v>#NAME?</c:v>
                  </c:pt>
                  <c:pt idx="20">
                    <c:v>#NAME?</c:v>
                  </c:pt>
                  <c:pt idx="21">
                    <c:v>#NAME?</c:v>
                  </c:pt>
                  <c:pt idx="22">
                    <c:v>#NAME?</c:v>
                  </c:pt>
                  <c:pt idx="23">
                    <c:v>#NAME?</c:v>
                  </c:pt>
                  <c:pt idx="24">
                    <c:v>#NAME?</c:v>
                  </c:pt>
                  <c:pt idx="25">
                    <c:v>#NAME?</c:v>
                  </c:pt>
                  <c:pt idx="26">
                    <c:v>#NAME?</c:v>
                  </c:pt>
                  <c:pt idx="27">
                    <c:v>#NAME?</c:v>
                  </c:pt>
                  <c:pt idx="29">
                    <c:v>#NAME?</c:v>
                  </c:pt>
                  <c:pt idx="30">
                    <c:v>#NAME?</c:v>
                  </c:pt>
                  <c:pt idx="31">
                    <c:v>#NAME?</c:v>
                  </c:pt>
                  <c:pt idx="32">
                    <c:v>#NAME?</c:v>
                  </c:pt>
                  <c:pt idx="33">
                    <c:v>#NAME?</c:v>
                  </c:pt>
                  <c:pt idx="34">
                    <c:v>#NAME?</c:v>
                  </c:pt>
                  <c:pt idx="35">
                    <c:v>#NAME?</c:v>
                  </c:pt>
                  <c:pt idx="36">
                    <c:v>#NAME?</c:v>
                  </c:pt>
                </c15:dlblRangeCache>
              </c15:datalabelsRange>
            </c:ext>
            <c:ext xmlns:c16="http://schemas.microsoft.com/office/drawing/2014/chart" uri="{C3380CC4-5D6E-409C-BE32-E72D297353CC}">
              <c16:uniqueId val="{00000000-4E48-433F-93CE-959A7E8575BB}"/>
            </c:ext>
          </c:extLst>
        </c:ser>
        <c:dLbls>
          <c:dLblPos val="outEnd"/>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DE"/>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DE"/>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A785-4B3F-B6EA-12AE51F2DCDD}"/>
              </c:ext>
            </c:extLst>
          </c:dPt>
          <c:dPt>
            <c:idx val="1"/>
            <c:invertIfNegative val="0"/>
            <c:bubble3D val="0"/>
            <c:spPr>
              <a:solidFill>
                <a:srgbClr val="FF0000"/>
              </a:solidFill>
            </c:spPr>
            <c:extLst>
              <c:ext xmlns:c16="http://schemas.microsoft.com/office/drawing/2014/chart" uri="{C3380CC4-5D6E-409C-BE32-E72D297353CC}">
                <c16:uniqueId val="{00000018-A785-4B3F-B6EA-12AE51F2DCDD}"/>
              </c:ext>
            </c:extLst>
          </c:dPt>
          <c:dPt>
            <c:idx val="2"/>
            <c:invertIfNegative val="0"/>
            <c:bubble3D val="0"/>
            <c:spPr>
              <a:solidFill>
                <a:srgbClr val="FF0000"/>
              </a:solidFill>
            </c:spPr>
            <c:extLst>
              <c:ext xmlns:c16="http://schemas.microsoft.com/office/drawing/2014/chart" uri="{C3380CC4-5D6E-409C-BE32-E72D297353CC}">
                <c16:uniqueId val="{00000019-A785-4B3F-B6EA-12AE51F2DCDD}"/>
              </c:ext>
            </c:extLst>
          </c:dPt>
          <c:dPt>
            <c:idx val="3"/>
            <c:invertIfNegative val="0"/>
            <c:bubble3D val="0"/>
            <c:spPr>
              <a:solidFill>
                <a:srgbClr val="FF0000"/>
              </a:solidFill>
            </c:spPr>
            <c:extLst>
              <c:ext xmlns:c16="http://schemas.microsoft.com/office/drawing/2014/chart" uri="{C3380CC4-5D6E-409C-BE32-E72D297353CC}">
                <c16:uniqueId val="{0000001A-A785-4B3F-B6EA-12AE51F2DCDD}"/>
              </c:ext>
            </c:extLst>
          </c:dPt>
          <c:dPt>
            <c:idx val="4"/>
            <c:invertIfNegative val="0"/>
            <c:bubble3D val="0"/>
            <c:spPr>
              <a:solidFill>
                <a:srgbClr val="FF0000"/>
              </a:solidFill>
            </c:spPr>
            <c:extLst>
              <c:ext xmlns:c16="http://schemas.microsoft.com/office/drawing/2014/chart" uri="{C3380CC4-5D6E-409C-BE32-E72D297353CC}">
                <c16:uniqueId val="{0000001B-A785-4B3F-B6EA-12AE51F2DCDD}"/>
              </c:ext>
            </c:extLst>
          </c:dPt>
          <c:dPt>
            <c:idx val="5"/>
            <c:invertIfNegative val="0"/>
            <c:bubble3D val="0"/>
            <c:spPr>
              <a:solidFill>
                <a:srgbClr val="FF0000"/>
              </a:solidFill>
            </c:spPr>
            <c:extLst>
              <c:ext xmlns:c16="http://schemas.microsoft.com/office/drawing/2014/chart" uri="{C3380CC4-5D6E-409C-BE32-E72D297353CC}">
                <c16:uniqueId val="{0000001C-A785-4B3F-B6EA-12AE51F2DCDD}"/>
              </c:ext>
            </c:extLst>
          </c:dPt>
          <c:dPt>
            <c:idx val="6"/>
            <c:invertIfNegative val="0"/>
            <c:bubble3D val="0"/>
            <c:spPr>
              <a:solidFill>
                <a:srgbClr val="FF0000"/>
              </a:solidFill>
            </c:spPr>
            <c:extLst>
              <c:ext xmlns:c16="http://schemas.microsoft.com/office/drawing/2014/chart" uri="{C3380CC4-5D6E-409C-BE32-E72D297353CC}">
                <c16:uniqueId val="{0000001D-A785-4B3F-B6EA-12AE51F2DCDD}"/>
              </c:ext>
            </c:extLst>
          </c:dPt>
          <c:dPt>
            <c:idx val="7"/>
            <c:invertIfNegative val="0"/>
            <c:bubble3D val="0"/>
            <c:spPr>
              <a:solidFill>
                <a:schemeClr val="bg2">
                  <a:lumMod val="90000"/>
                </a:schemeClr>
              </a:solidFill>
            </c:spPr>
            <c:extLst>
              <c:ext xmlns:c16="http://schemas.microsoft.com/office/drawing/2014/chart" uri="{C3380CC4-5D6E-409C-BE32-E72D297353CC}">
                <c16:uniqueId val="{0000001E-A785-4B3F-B6EA-12AE51F2DCDD}"/>
              </c:ext>
            </c:extLst>
          </c:dPt>
          <c:dPt>
            <c:idx val="8"/>
            <c:invertIfNegative val="0"/>
            <c:bubble3D val="0"/>
            <c:spPr>
              <a:solidFill>
                <a:schemeClr val="bg2">
                  <a:lumMod val="90000"/>
                </a:schemeClr>
              </a:solidFill>
            </c:spPr>
            <c:extLst>
              <c:ext xmlns:c16="http://schemas.microsoft.com/office/drawing/2014/chart" uri="{C3380CC4-5D6E-409C-BE32-E72D297353CC}">
                <c16:uniqueId val="{0000001F-A785-4B3F-B6EA-12AE51F2DCDD}"/>
              </c:ext>
            </c:extLst>
          </c:dPt>
          <c:dPt>
            <c:idx val="9"/>
            <c:invertIfNegative val="0"/>
            <c:bubble3D val="0"/>
            <c:spPr>
              <a:solidFill>
                <a:schemeClr val="bg2">
                  <a:lumMod val="9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2">
                  <a:lumMod val="90000"/>
                </a:schemeClr>
              </a:solidFill>
            </c:spPr>
            <c:extLst>
              <c:ext xmlns:c16="http://schemas.microsoft.com/office/drawing/2014/chart" uri="{C3380CC4-5D6E-409C-BE32-E72D297353CC}">
                <c16:uniqueId val="{00000020-A785-4B3F-B6EA-12AE51F2DCDD}"/>
              </c:ext>
            </c:extLst>
          </c:dPt>
          <c:dPt>
            <c:idx val="11"/>
            <c:invertIfNegative val="0"/>
            <c:bubble3D val="0"/>
            <c:spPr>
              <a:solidFill>
                <a:schemeClr val="bg2">
                  <a:lumMod val="90000"/>
                </a:schemeClr>
              </a:solidFill>
            </c:spPr>
            <c:extLst>
              <c:ext xmlns:c16="http://schemas.microsoft.com/office/drawing/2014/chart" uri="{C3380CC4-5D6E-409C-BE32-E72D297353CC}">
                <c16:uniqueId val="{00000003-EED2-4ACE-91AA-7F8713196E92}"/>
              </c:ext>
            </c:extLst>
          </c:dPt>
          <c:dPt>
            <c:idx val="12"/>
            <c:invertIfNegative val="0"/>
            <c:bubble3D val="0"/>
            <c:spPr>
              <a:solidFill>
                <a:srgbClr val="00B050"/>
              </a:solidFill>
            </c:spPr>
            <c:extLst>
              <c:ext xmlns:c16="http://schemas.microsoft.com/office/drawing/2014/chart" uri="{C3380CC4-5D6E-409C-BE32-E72D297353CC}">
                <c16:uniqueId val="{00000021-A785-4B3F-B6EA-12AE51F2DCDD}"/>
              </c:ext>
            </c:extLst>
          </c:dPt>
          <c:dPt>
            <c:idx val="13"/>
            <c:invertIfNegative val="0"/>
            <c:bubble3D val="0"/>
            <c:spPr>
              <a:solidFill>
                <a:srgbClr val="92D050"/>
              </a:solidFill>
            </c:spPr>
            <c:extLst>
              <c:ext xmlns:c16="http://schemas.microsoft.com/office/drawing/2014/chart" uri="{C3380CC4-5D6E-409C-BE32-E72D297353CC}">
                <c16:uniqueId val="{00000011-EED2-4ACE-91AA-7F8713196E92}"/>
              </c:ext>
            </c:extLst>
          </c:dPt>
          <c:dPt>
            <c:idx val="14"/>
            <c:invertIfNegative val="0"/>
            <c:bubble3D val="0"/>
            <c:spPr>
              <a:solidFill>
                <a:srgbClr val="92D050"/>
              </a:solidFill>
            </c:spPr>
            <c:extLst>
              <c:ext xmlns:c16="http://schemas.microsoft.com/office/drawing/2014/chart" uri="{C3380CC4-5D6E-409C-BE32-E72D297353CC}">
                <c16:uniqueId val="{00000022-A785-4B3F-B6EA-12AE51F2DCDD}"/>
              </c:ext>
            </c:extLst>
          </c:dPt>
          <c:dPt>
            <c:idx val="15"/>
            <c:invertIfNegative val="0"/>
            <c:bubble3D val="0"/>
            <c:spPr>
              <a:solidFill>
                <a:schemeClr val="accent3">
                  <a:lumMod val="20000"/>
                  <a:lumOff val="80000"/>
                </a:schemeClr>
              </a:solidFill>
            </c:spPr>
            <c:extLst>
              <c:ext xmlns:c16="http://schemas.microsoft.com/office/drawing/2014/chart" uri="{C3380CC4-5D6E-409C-BE32-E72D297353CC}">
                <c16:uniqueId val="{00000013-EED2-4ACE-91AA-7F8713196E92}"/>
              </c:ext>
            </c:extLst>
          </c:dPt>
          <c:dPt>
            <c:idx val="16"/>
            <c:invertIfNegative val="0"/>
            <c:bubble3D val="0"/>
            <c:spPr>
              <a:solidFill>
                <a:schemeClr val="accent3">
                  <a:lumMod val="20000"/>
                  <a:lumOff val="80000"/>
                </a:schemeClr>
              </a:solidFill>
            </c:spPr>
            <c:extLst>
              <c:ext xmlns:c16="http://schemas.microsoft.com/office/drawing/2014/chart" uri="{C3380CC4-5D6E-409C-BE32-E72D297353CC}">
                <c16:uniqueId val="{00000023-A785-4B3F-B6EA-12AE51F2DCDD}"/>
              </c:ext>
            </c:extLst>
          </c:dPt>
          <c:dPt>
            <c:idx val="17"/>
            <c:invertIfNegative val="0"/>
            <c:bubble3D val="0"/>
            <c:spPr>
              <a:solidFill>
                <a:schemeClr val="accent3">
                  <a:lumMod val="20000"/>
                  <a:lumOff val="80000"/>
                </a:schemeClr>
              </a:solidFill>
            </c:spPr>
            <c:extLst>
              <c:ext xmlns:c16="http://schemas.microsoft.com/office/drawing/2014/chart" uri="{C3380CC4-5D6E-409C-BE32-E72D297353CC}">
                <c16:uniqueId val="{00000015-EED2-4ACE-91AA-7F8713196E92}"/>
              </c:ext>
            </c:extLst>
          </c:dPt>
          <c:dPt>
            <c:idx val="18"/>
            <c:invertIfNegative val="0"/>
            <c:bubble3D val="0"/>
            <c:spPr>
              <a:solidFill>
                <a:schemeClr val="accent3">
                  <a:lumMod val="20000"/>
                  <a:lumOff val="80000"/>
                </a:schemeClr>
              </a:solidFill>
            </c:spPr>
            <c:extLst>
              <c:ext xmlns:c16="http://schemas.microsoft.com/office/drawing/2014/chart" uri="{C3380CC4-5D6E-409C-BE32-E72D297353CC}">
                <c16:uniqueId val="{00000024-A785-4B3F-B6EA-12AE51F2DCDD}"/>
              </c:ext>
            </c:extLst>
          </c:dPt>
          <c:dPt>
            <c:idx val="19"/>
            <c:invertIfNegative val="0"/>
            <c:bubble3D val="0"/>
            <c:spPr>
              <a:solidFill>
                <a:schemeClr val="accent3">
                  <a:lumMod val="20000"/>
                  <a:lumOff val="80000"/>
                </a:schemeClr>
              </a:solidFill>
            </c:spPr>
            <c:extLst>
              <c:ext xmlns:c16="http://schemas.microsoft.com/office/drawing/2014/chart" uri="{C3380CC4-5D6E-409C-BE32-E72D297353CC}">
                <c16:uniqueId val="{00000025-A785-4B3F-B6EA-12AE51F2DCDD}"/>
              </c:ext>
            </c:extLst>
          </c:dPt>
          <c:dLbls>
            <c:dLbl>
              <c:idx val="0"/>
              <c:tx>
                <c:rich>
                  <a:bodyPr/>
                  <a:lstStyle/>
                  <a:p>
                    <a:fld id="{6018B6F6-A053-48AF-8091-3E775C6068C7}"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A785-4B3F-B6EA-12AE51F2DCDD}"/>
                </c:ext>
              </c:extLst>
            </c:dLbl>
            <c:dLbl>
              <c:idx val="1"/>
              <c:tx>
                <c:rich>
                  <a:bodyPr/>
                  <a:lstStyle/>
                  <a:p>
                    <a:fld id="{39F683C6-B181-404D-993C-53EC49AF3DE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785-4B3F-B6EA-12AE51F2DCDD}"/>
                </c:ext>
              </c:extLst>
            </c:dLbl>
            <c:dLbl>
              <c:idx val="2"/>
              <c:tx>
                <c:rich>
                  <a:bodyPr/>
                  <a:lstStyle/>
                  <a:p>
                    <a:fld id="{D5B9AF3C-3BEE-4058-A620-F78D57A4DF57}"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785-4B3F-B6EA-12AE51F2DCDD}"/>
                </c:ext>
              </c:extLst>
            </c:dLbl>
            <c:dLbl>
              <c:idx val="3"/>
              <c:tx>
                <c:rich>
                  <a:bodyPr/>
                  <a:lstStyle/>
                  <a:p>
                    <a:fld id="{11CF6F25-DD1A-4C85-8884-AC8066C1E7D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A785-4B3F-B6EA-12AE51F2DCDD}"/>
                </c:ext>
              </c:extLst>
            </c:dLbl>
            <c:dLbl>
              <c:idx val="4"/>
              <c:tx>
                <c:rich>
                  <a:bodyPr/>
                  <a:lstStyle/>
                  <a:p>
                    <a:fld id="{2083B0AB-A44D-4DB4-94A4-A6C4725CBFCC}"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785-4B3F-B6EA-12AE51F2DCDD}"/>
                </c:ext>
              </c:extLst>
            </c:dLbl>
            <c:dLbl>
              <c:idx val="5"/>
              <c:tx>
                <c:rich>
                  <a:bodyPr/>
                  <a:lstStyle/>
                  <a:p>
                    <a:fld id="{1711B434-BB76-4E56-8C02-E991782FD86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785-4B3F-B6EA-12AE51F2DCDD}"/>
                </c:ext>
              </c:extLst>
            </c:dLbl>
            <c:dLbl>
              <c:idx val="6"/>
              <c:tx>
                <c:rich>
                  <a:bodyPr/>
                  <a:lstStyle/>
                  <a:p>
                    <a:fld id="{3189262D-E226-419D-A096-30842D560E8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785-4B3F-B6EA-12AE51F2DCDD}"/>
                </c:ext>
              </c:extLst>
            </c:dLbl>
            <c:dLbl>
              <c:idx val="7"/>
              <c:tx>
                <c:rich>
                  <a:bodyPr/>
                  <a:lstStyle/>
                  <a:p>
                    <a:fld id="{9985FAE0-C4C3-4DB8-A9EB-A7E9466C96A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A785-4B3F-B6EA-12AE51F2DCDD}"/>
                </c:ext>
              </c:extLst>
            </c:dLbl>
            <c:dLbl>
              <c:idx val="8"/>
              <c:tx>
                <c:rich>
                  <a:bodyPr/>
                  <a:lstStyle/>
                  <a:p>
                    <a:fld id="{113AA25B-687F-488C-BD72-99A8AF79DC8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A785-4B3F-B6EA-12AE51F2DCDD}"/>
                </c:ext>
              </c:extLst>
            </c:dLbl>
            <c:dLbl>
              <c:idx val="9"/>
              <c:tx>
                <c:rich>
                  <a:bodyPr/>
                  <a:lstStyle/>
                  <a:p>
                    <a:fld id="{A5CAD7D4-AD15-48FD-AD12-5403F4E0EAB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F85F3981-2BEF-441C-B456-A8A221FBB1A0}"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A785-4B3F-B6EA-12AE51F2DCDD}"/>
                </c:ext>
              </c:extLst>
            </c:dLbl>
            <c:dLbl>
              <c:idx val="11"/>
              <c:tx>
                <c:rich>
                  <a:bodyPr/>
                  <a:lstStyle/>
                  <a:p>
                    <a:fld id="{138C1324-0448-41A8-9704-E968B3DE46ED}"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fld id="{BB47339D-51BD-4CE9-9A51-057928AE3EA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A785-4B3F-B6EA-12AE51F2DCDD}"/>
                </c:ext>
              </c:extLst>
            </c:dLbl>
            <c:dLbl>
              <c:idx val="13"/>
              <c:tx>
                <c:rich>
                  <a:bodyPr/>
                  <a:lstStyle/>
                  <a:p>
                    <a:fld id="{9296693E-6B3B-468E-A318-B248C2318F2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ED2-4ACE-91AA-7F8713196E92}"/>
                </c:ext>
              </c:extLst>
            </c:dLbl>
            <c:dLbl>
              <c:idx val="14"/>
              <c:tx>
                <c:rich>
                  <a:bodyPr/>
                  <a:lstStyle/>
                  <a:p>
                    <a:fld id="{EAD678F0-2CD1-4F2D-9A04-BF34CD17447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A785-4B3F-B6EA-12AE51F2DCDD}"/>
                </c:ext>
              </c:extLst>
            </c:dLbl>
            <c:dLbl>
              <c:idx val="15"/>
              <c:tx>
                <c:rich>
                  <a:bodyPr/>
                  <a:lstStyle/>
                  <a:p>
                    <a:fld id="{6C30352A-1F09-4BA8-8AF4-6A9D1EAF569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ED2-4ACE-91AA-7F8713196E92}"/>
                </c:ext>
              </c:extLst>
            </c:dLbl>
            <c:dLbl>
              <c:idx val="16"/>
              <c:tx>
                <c:rich>
                  <a:bodyPr/>
                  <a:lstStyle/>
                  <a:p>
                    <a:fld id="{AD2A70FC-E487-4666-80CE-2A94B96917F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A785-4B3F-B6EA-12AE51F2DCDD}"/>
                </c:ext>
              </c:extLst>
            </c:dLbl>
            <c:dLbl>
              <c:idx val="17"/>
              <c:tx>
                <c:rich>
                  <a:bodyPr/>
                  <a:lstStyle/>
                  <a:p>
                    <a:fld id="{8B431814-5DFE-4B7C-93F9-BCE1BE9B0AF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ED2-4ACE-91AA-7F8713196E92}"/>
                </c:ext>
              </c:extLst>
            </c:dLbl>
            <c:dLbl>
              <c:idx val="18"/>
              <c:tx>
                <c:rich>
                  <a:bodyPr/>
                  <a:lstStyle/>
                  <a:p>
                    <a:fld id="{DFACF382-C210-4DA9-A1C5-4A9D0FE1948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A785-4B3F-B6EA-12AE51F2DCDD}"/>
                </c:ext>
              </c:extLst>
            </c:dLbl>
            <c:dLbl>
              <c:idx val="19"/>
              <c:tx>
                <c:rich>
                  <a:bodyPr/>
                  <a:lstStyle/>
                  <a:p>
                    <a:fld id="{502C40B2-128C-4B9D-B3EA-40B293C8959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A785-4B3F-B6EA-12AE51F2DCDD}"/>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extLst>
                  <c:ext xmlns:c15="http://schemas.microsoft.com/office/drawing/2012/chart" uri="{02D57815-91ED-43cb-92C2-25804820EDAC}">
                    <c15:fullRef>
                      <c15:sqref>'R2'!$B$54:$AN$54</c15:sqref>
                    </c15:fullRef>
                  </c:ext>
                </c:extLst>
                <c:f>('R2'!$B$54:$M$54,'R2'!$AE$54:$AL$54)</c:f>
                <c:numCache>
                  <c:formatCode>General</c:formatCode>
                  <c:ptCount val="20"/>
                  <c:pt idx="0">
                    <c:v>2.3662816734380952E-2</c:v>
                  </c:pt>
                  <c:pt idx="1">
                    <c:v>4.1801127185287841E-2</c:v>
                  </c:pt>
                  <c:pt idx="2">
                    <c:v>2.6129861591338146E-2</c:v>
                  </c:pt>
                  <c:pt idx="3">
                    <c:v>6.0588030536705431E-2</c:v>
                  </c:pt>
                  <c:pt idx="4">
                    <c:v>0.1900014247227709</c:v>
                  </c:pt>
                  <c:pt idx="5">
                    <c:v>6.8465867369940592E-2</c:v>
                  </c:pt>
                  <c:pt idx="6">
                    <c:v>0.16151492644190479</c:v>
                  </c:pt>
                  <c:pt idx="7">
                    <c:v>2.2112796283950284E-2</c:v>
                  </c:pt>
                  <c:pt idx="8">
                    <c:v>3.824287744600801E-2</c:v>
                  </c:pt>
                  <c:pt idx="9">
                    <c:v>4.0705561080558748E-2</c:v>
                  </c:pt>
                  <c:pt idx="10">
                    <c:v>8.1026481874555106E-2</c:v>
                  </c:pt>
                  <c:pt idx="11">
                    <c:v>0.2544022666025853</c:v>
                  </c:pt>
                  <c:pt idx="12">
                    <c:v>0.10207731600408641</c:v>
                  </c:pt>
                  <c:pt idx="13">
                    <c:v>0.26048267312278278</c:v>
                  </c:pt>
                  <c:pt idx="14">
                    <c:v>3.6535012364718109E-2</c:v>
                  </c:pt>
                  <c:pt idx="15">
                    <c:v>0.19320341757934945</c:v>
                  </c:pt>
                  <c:pt idx="16">
                    <c:v>0.22635222183074211</c:v>
                  </c:pt>
                  <c:pt idx="17">
                    <c:v>0.28322976040564857</c:v>
                  </c:pt>
                  <c:pt idx="18">
                    <c:v>0.2607322196696506</c:v>
                  </c:pt>
                  <c:pt idx="19">
                    <c:v>0.1813827517936597</c:v>
                  </c:pt>
                </c:numCache>
              </c:numRef>
            </c:plus>
            <c:minus>
              <c:numRef>
                <c:extLst>
                  <c:ext xmlns:c15="http://schemas.microsoft.com/office/drawing/2012/chart" uri="{02D57815-91ED-43cb-92C2-25804820EDAC}">
                    <c15:fullRef>
                      <c15:sqref>'R1'!$O$48:$AL$48</c15:sqref>
                    </c15:fullRef>
                  </c:ext>
                </c:extLst>
                <c:f>'R1'!$O$48:$Z$48</c:f>
                <c:numCache>
                  <c:formatCode>General</c:formatCode>
                  <c:ptCount val="12"/>
                  <c:pt idx="0">
                    <c:v>0</c:v>
                  </c:pt>
                  <c:pt idx="1">
                    <c:v>6.8903274944463799E-2</c:v>
                  </c:pt>
                  <c:pt idx="2">
                    <c:v>8.4247347074042647E-2</c:v>
                  </c:pt>
                  <c:pt idx="3">
                    <c:v>1.7235865300031978E-2</c:v>
                  </c:pt>
                  <c:pt idx="4">
                    <c:v>9.2511775528251128E-2</c:v>
                  </c:pt>
                  <c:pt idx="5">
                    <c:v>0.20429057227205466</c:v>
                  </c:pt>
                  <c:pt idx="6">
                    <c:v>8.8335565032433574E-2</c:v>
                  </c:pt>
                  <c:pt idx="7">
                    <c:v>0.1207312653941417</c:v>
                  </c:pt>
                  <c:pt idx="8">
                    <c:v>0.12901989910841177</c:v>
                  </c:pt>
                  <c:pt idx="9">
                    <c:v>0</c:v>
                  </c:pt>
                  <c:pt idx="10">
                    <c:v>0</c:v>
                  </c:pt>
                  <c:pt idx="11">
                    <c:v>0</c:v>
                  </c:pt>
                </c:numCache>
              </c:numRef>
            </c:minus>
          </c:errBars>
          <c:cat>
            <c:strRef>
              <c:extLst>
                <c:ext xmlns:c15="http://schemas.microsoft.com/office/drawing/2012/chart" uri="{02D57815-91ED-43cb-92C2-25804820EDAC}">
                  <c15:fullRef>
                    <c15:sqref>'R2'!$B$52:$BA$52</c15:sqref>
                  </c15:fullRef>
                </c:ext>
              </c:extLst>
              <c:f>('R2'!$B$52:$M$52,'R2'!$AE$52:$AL$52)</c:f>
              <c:strCache>
                <c:ptCount val="20"/>
                <c:pt idx="0">
                  <c:v>Témoin solvant</c:v>
                </c:pt>
                <c:pt idx="1">
                  <c:v>EE2-33,8ng/L</c:v>
                </c:pt>
                <c:pt idx="2">
                  <c:v>EE2-50,6ng/L</c:v>
                </c:pt>
                <c:pt idx="3">
                  <c:v>EE2-76ng/L</c:v>
                </c:pt>
                <c:pt idx="4">
                  <c:v>EE2-114ng/L</c:v>
                </c:pt>
                <c:pt idx="5">
                  <c:v>EE2-170,9ng/L</c:v>
                </c:pt>
                <c:pt idx="6">
                  <c:v>EE2-488ng/L</c:v>
                </c:pt>
                <c:pt idx="7">
                  <c:v>Triphénylphosphate-0,18mg/L</c:v>
                </c:pt>
                <c:pt idx="8">
                  <c:v>Triphénylphosphate-0,26mg/L</c:v>
                </c:pt>
                <c:pt idx="9">
                  <c:v>Triphénylphosphate-0,4mg/L</c:v>
                </c:pt>
                <c:pt idx="10">
                  <c:v>Triphénylphosphate-0,59mg/L</c:v>
                </c:pt>
                <c:pt idx="11">
                  <c:v>Triphénylphosphate-0,89mg/L</c:v>
                </c:pt>
                <c:pt idx="12">
                  <c:v>Testo -30µg/L</c:v>
                </c:pt>
                <c:pt idx="13">
                  <c:v>Testo 30µg/L + EE2 -64ng/L</c:v>
                </c:pt>
                <c:pt idx="14">
                  <c:v>Testo 30µg/L + FAD-10mg/L</c:v>
                </c:pt>
                <c:pt idx="15">
                  <c:v>Triphénylphosphate-0,18mg/L + Testostérone</c:v>
                </c:pt>
                <c:pt idx="16">
                  <c:v>Triphénylphosphate-0,26mg/L + Testostérone</c:v>
                </c:pt>
                <c:pt idx="17">
                  <c:v>Triphénylphosphate-0,4mg/L + Testostérone</c:v>
                </c:pt>
                <c:pt idx="18">
                  <c:v>Triphénylphosphate-0,59mg/L + Testostérone</c:v>
                </c:pt>
                <c:pt idx="19">
                  <c:v>Triphénylphosphate-0,89mg/L + Testostérone</c:v>
                </c:pt>
              </c:strCache>
            </c:strRef>
          </c:cat>
          <c:val>
            <c:numRef>
              <c:extLst>
                <c:ext xmlns:c15="http://schemas.microsoft.com/office/drawing/2012/chart" uri="{02D57815-91ED-43cb-92C2-25804820EDAC}">
                  <c15:fullRef>
                    <c15:sqref>'R2'!$B$53:$BA$53</c15:sqref>
                  </c15:fullRef>
                </c:ext>
              </c:extLst>
              <c:f>('R2'!$B$53:$M$53,'R2'!$AE$53:$AL$53)</c:f>
              <c:numCache>
                <c:formatCode>0.0000</c:formatCode>
                <c:ptCount val="20"/>
                <c:pt idx="0">
                  <c:v>0.1103116675364771</c:v>
                </c:pt>
                <c:pt idx="1">
                  <c:v>0.10120015045916261</c:v>
                </c:pt>
                <c:pt idx="2">
                  <c:v>7.2298910989847406E-2</c:v>
                </c:pt>
                <c:pt idx="3">
                  <c:v>0.31656212506168224</c:v>
                </c:pt>
                <c:pt idx="4">
                  <c:v>0.7422576962915024</c:v>
                </c:pt>
                <c:pt idx="5">
                  <c:v>1.5382322685782159</c:v>
                </c:pt>
                <c:pt idx="6">
                  <c:v>2.258894356616918</c:v>
                </c:pt>
                <c:pt idx="7">
                  <c:v>0.171629236526221</c:v>
                </c:pt>
                <c:pt idx="8">
                  <c:v>0.12435638558239351</c:v>
                </c:pt>
                <c:pt idx="9">
                  <c:v>0.16713731454203853</c:v>
                </c:pt>
                <c:pt idx="10">
                  <c:v>0.28297652893647718</c:v>
                </c:pt>
                <c:pt idx="11">
                  <c:v>1.1646437867981476</c:v>
                </c:pt>
                <c:pt idx="12">
                  <c:v>1.0604337978932876</c:v>
                </c:pt>
                <c:pt idx="13">
                  <c:v>1.6166139986475572</c:v>
                </c:pt>
                <c:pt idx="14">
                  <c:v>0.12135582711755104</c:v>
                </c:pt>
                <c:pt idx="15">
                  <c:v>1.3056511415346128</c:v>
                </c:pt>
                <c:pt idx="16">
                  <c:v>1.7596392223435551</c:v>
                </c:pt>
                <c:pt idx="17">
                  <c:v>1.5689983271867098</c:v>
                </c:pt>
                <c:pt idx="18">
                  <c:v>1.5110586285167049</c:v>
                </c:pt>
                <c:pt idx="19">
                  <c:v>1.7296515630865144</c:v>
                </c:pt>
              </c:numCache>
            </c:numRef>
          </c:val>
          <c:extLst>
            <c:ext xmlns:c15="http://schemas.microsoft.com/office/drawing/2012/chart" uri="{02D57815-91ED-43cb-92C2-25804820EDAC}">
              <c15:datalabelsRange>
                <c15:f>'R2'!$B$61:$AL$61</c15:f>
                <c15:dlblRangeCache>
                  <c:ptCount val="37"/>
                  <c:pt idx="1">
                    <c:v>#NAME?</c:v>
                  </c:pt>
                  <c:pt idx="2">
                    <c:v>#NAME?</c:v>
                  </c:pt>
                  <c:pt idx="3">
                    <c:v>#NAME?</c:v>
                  </c:pt>
                  <c:pt idx="4">
                    <c:v>#NAME?</c:v>
                  </c:pt>
                  <c:pt idx="5">
                    <c:v>#NAME?</c:v>
                  </c:pt>
                  <c:pt idx="6">
                    <c:v>#NAME?</c:v>
                  </c:pt>
                  <c:pt idx="7">
                    <c:v>#NAME?</c:v>
                  </c:pt>
                  <c:pt idx="8">
                    <c:v>#NAME?</c:v>
                  </c:pt>
                  <c:pt idx="9">
                    <c:v>#NAME?</c:v>
                  </c:pt>
                  <c:pt idx="10">
                    <c:v>#NAME?</c:v>
                  </c:pt>
                  <c:pt idx="11">
                    <c:v>#NAME?</c:v>
                  </c:pt>
                  <c:pt idx="12">
                    <c:v>#NAME?</c:v>
                  </c:pt>
                  <c:pt idx="13">
                    <c:v>#NAME?</c:v>
                  </c:pt>
                  <c:pt idx="14">
                    <c:v>#NAME?</c:v>
                  </c:pt>
                  <c:pt idx="15">
                    <c:v>#NAME?</c:v>
                  </c:pt>
                  <c:pt idx="16">
                    <c:v>#NAME?</c:v>
                  </c:pt>
                  <c:pt idx="17">
                    <c:v>#NAME?</c:v>
                  </c:pt>
                  <c:pt idx="18">
                    <c:v>#NAME?</c:v>
                  </c:pt>
                  <c:pt idx="19">
                    <c:v>#NAME?</c:v>
                  </c:pt>
                  <c:pt idx="20">
                    <c:v>#NAME?</c:v>
                  </c:pt>
                  <c:pt idx="21">
                    <c:v>#NAME?</c:v>
                  </c:pt>
                  <c:pt idx="22">
                    <c:v>#NAME?</c:v>
                  </c:pt>
                  <c:pt idx="23">
                    <c:v>#NAME?</c:v>
                  </c:pt>
                  <c:pt idx="24">
                    <c:v>#NAME?</c:v>
                  </c:pt>
                  <c:pt idx="25">
                    <c:v>#NAME?</c:v>
                  </c:pt>
                  <c:pt idx="26">
                    <c:v>#NAME?</c:v>
                  </c:pt>
                  <c:pt idx="27">
                    <c:v>#NAME?</c:v>
                  </c:pt>
                  <c:pt idx="29">
                    <c:v>#NAME?</c:v>
                  </c:pt>
                  <c:pt idx="30">
                    <c:v>#NAME?</c:v>
                  </c:pt>
                  <c:pt idx="31">
                    <c:v>#NAME?</c:v>
                  </c:pt>
                  <c:pt idx="32">
                    <c:v>#NAME?</c:v>
                  </c:pt>
                  <c:pt idx="33">
                    <c:v>#NAME?</c:v>
                  </c:pt>
                  <c:pt idx="34">
                    <c:v>#NAME?</c:v>
                  </c:pt>
                  <c:pt idx="35">
                    <c:v>#NAME?</c:v>
                  </c:pt>
                  <c:pt idx="36">
                    <c:v>#NAME?</c:v>
                  </c:pt>
                </c15:dlblRangeCache>
              </c15:datalabelsRange>
            </c:ext>
            <c:ext xmlns:c15="http://schemas.microsoft.com/office/drawing/2012/chart" uri="{02D57815-91ED-43cb-92C2-25804820EDAC}">
              <c15:categoryFilterExceptions>
                <c15:categoryFilterException>
                  <c15:sqref>'R2'!$O$53</c15:sqref>
                  <c15:spPr xmlns:c15="http://schemas.microsoft.com/office/drawing/2012/chart">
                    <a:solidFill>
                      <a:schemeClr val="bg1">
                        <a:lumMod val="65000"/>
                      </a:schemeClr>
                    </a:solidFill>
                  </c15:spPr>
                  <c15:invertIfNegative val="0"/>
                  <c15:bubble3D val="0"/>
                </c15:categoryFilterException>
                <c15:categoryFilterException>
                  <c15:sqref>'R2'!$Q$53</c15:sqref>
                  <c15:spPr xmlns:c15="http://schemas.microsoft.com/office/drawing/2012/chart">
                    <a:solidFill>
                      <a:schemeClr val="bg1">
                        <a:lumMod val="65000"/>
                      </a:schemeClr>
                    </a:solidFill>
                  </c15:spPr>
                  <c15:invertIfNegative val="0"/>
                  <c15:bubble3D val="0"/>
                </c15:categoryFilterException>
                <c15:categoryFilterException>
                  <c15:sqref>'R2'!$AA$53</c15:sqref>
                  <c15:spPr xmlns:c15="http://schemas.microsoft.com/office/drawing/2012/chart">
                    <a:solidFill>
                      <a:srgbClr val="00B050"/>
                    </a:solidFill>
                  </c15:spPr>
                  <c15:invertIfNegative val="0"/>
                  <c15:bubble3D val="0"/>
                </c15:categoryFilterException>
                <c15:categoryFilterException>
                  <c15:sqref>'R2'!$AB$53</c15:sqref>
                  <c15:spPr xmlns:c15="http://schemas.microsoft.com/office/drawing/2012/chart">
                    <a:solidFill>
                      <a:srgbClr val="FF0000"/>
                    </a:solidFill>
                  </c15:spPr>
                  <c15:invertIfNegative val="0"/>
                  <c15:bubble3D val="0"/>
                </c15:categoryFilterException>
                <c15:categoryFilterException>
                  <c15:sqref>'R2'!$AC$53</c15:sqref>
                  <c15:spPr xmlns:c15="http://schemas.microsoft.com/office/drawing/2012/chart">
                    <a:solidFill>
                      <a:srgbClr val="0070C0"/>
                    </a:solidFill>
                  </c15:spPr>
                  <c15:invertIfNegative val="0"/>
                  <c15:bubble3D val="0"/>
                </c15:categoryFilterException>
                <c15:categoryFilterException>
                  <c15:sqref>'R2'!$AD$53</c15:sqref>
                  <c15:spPr xmlns:c15="http://schemas.microsoft.com/office/drawing/2012/chart">
                    <a:solidFill>
                      <a:schemeClr val="bg1">
                        <a:lumMod val="65000"/>
                      </a:schemeClr>
                    </a:solidFill>
                  </c15:spPr>
                  <c15:invertIfNegative val="0"/>
                  <c15:bubble3D val="0"/>
                </c15:categoryFilterException>
              </c15:categoryFilterExceptions>
            </c:ext>
            <c:ext xmlns:c16="http://schemas.microsoft.com/office/drawing/2014/chart" uri="{C3380CC4-5D6E-409C-BE32-E72D297353CC}">
              <c16:uniqueId val="{00000016-EED2-4ACE-91AA-7F8713196E92}"/>
            </c:ext>
          </c:extLst>
        </c:ser>
        <c:dLbls>
          <c:dLblPos val="outEnd"/>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DE"/>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DE"/>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93C1-4ABE-A275-DBD4B8BE986F}"/>
              </c:ext>
            </c:extLst>
          </c:dPt>
          <c:dPt>
            <c:idx val="1"/>
            <c:invertIfNegative val="0"/>
            <c:bubble3D val="0"/>
            <c:spPr>
              <a:solidFill>
                <a:srgbClr val="FF0000"/>
              </a:solidFill>
            </c:spPr>
            <c:extLst>
              <c:ext xmlns:c16="http://schemas.microsoft.com/office/drawing/2014/chart" uri="{C3380CC4-5D6E-409C-BE32-E72D297353CC}">
                <c16:uniqueId val="{00000018-93C1-4ABE-A275-DBD4B8BE986F}"/>
              </c:ext>
            </c:extLst>
          </c:dPt>
          <c:dPt>
            <c:idx val="2"/>
            <c:invertIfNegative val="0"/>
            <c:bubble3D val="0"/>
            <c:spPr>
              <a:solidFill>
                <a:srgbClr val="FF0000"/>
              </a:solidFill>
            </c:spPr>
            <c:extLst>
              <c:ext xmlns:c16="http://schemas.microsoft.com/office/drawing/2014/chart" uri="{C3380CC4-5D6E-409C-BE32-E72D297353CC}">
                <c16:uniqueId val="{00000019-93C1-4ABE-A275-DBD4B8BE986F}"/>
              </c:ext>
            </c:extLst>
          </c:dPt>
          <c:dPt>
            <c:idx val="3"/>
            <c:invertIfNegative val="0"/>
            <c:bubble3D val="0"/>
            <c:spPr>
              <a:solidFill>
                <a:srgbClr val="FF0000"/>
              </a:solidFill>
            </c:spPr>
            <c:extLst>
              <c:ext xmlns:c16="http://schemas.microsoft.com/office/drawing/2014/chart" uri="{C3380CC4-5D6E-409C-BE32-E72D297353CC}">
                <c16:uniqueId val="{0000001A-93C1-4ABE-A275-DBD4B8BE986F}"/>
              </c:ext>
            </c:extLst>
          </c:dPt>
          <c:dPt>
            <c:idx val="4"/>
            <c:invertIfNegative val="0"/>
            <c:bubble3D val="0"/>
            <c:spPr>
              <a:solidFill>
                <a:srgbClr val="FF0000"/>
              </a:solidFill>
            </c:spPr>
            <c:extLst>
              <c:ext xmlns:c16="http://schemas.microsoft.com/office/drawing/2014/chart" uri="{C3380CC4-5D6E-409C-BE32-E72D297353CC}">
                <c16:uniqueId val="{0000001B-93C1-4ABE-A275-DBD4B8BE986F}"/>
              </c:ext>
            </c:extLst>
          </c:dPt>
          <c:dPt>
            <c:idx val="5"/>
            <c:invertIfNegative val="0"/>
            <c:bubble3D val="0"/>
            <c:spPr>
              <a:solidFill>
                <a:srgbClr val="FF0000"/>
              </a:solidFill>
            </c:spPr>
            <c:extLst>
              <c:ext xmlns:c16="http://schemas.microsoft.com/office/drawing/2014/chart" uri="{C3380CC4-5D6E-409C-BE32-E72D297353CC}">
                <c16:uniqueId val="{0000001C-93C1-4ABE-A275-DBD4B8BE986F}"/>
              </c:ext>
            </c:extLst>
          </c:dPt>
          <c:dPt>
            <c:idx val="6"/>
            <c:invertIfNegative val="0"/>
            <c:bubble3D val="0"/>
            <c:spPr>
              <a:solidFill>
                <a:srgbClr val="FF0000"/>
              </a:solidFill>
            </c:spPr>
            <c:extLst>
              <c:ext xmlns:c16="http://schemas.microsoft.com/office/drawing/2014/chart" uri="{C3380CC4-5D6E-409C-BE32-E72D297353CC}">
                <c16:uniqueId val="{0000001D-93C1-4ABE-A275-DBD4B8BE986F}"/>
              </c:ext>
            </c:extLst>
          </c:dPt>
          <c:dPt>
            <c:idx val="7"/>
            <c:invertIfNegative val="0"/>
            <c:bubble3D val="0"/>
            <c:spPr>
              <a:solidFill>
                <a:schemeClr val="bg2">
                  <a:lumMod val="90000"/>
                </a:schemeClr>
              </a:solidFill>
            </c:spPr>
            <c:extLst>
              <c:ext xmlns:c16="http://schemas.microsoft.com/office/drawing/2014/chart" uri="{C3380CC4-5D6E-409C-BE32-E72D297353CC}">
                <c16:uniqueId val="{0000001E-93C1-4ABE-A275-DBD4B8BE986F}"/>
              </c:ext>
            </c:extLst>
          </c:dPt>
          <c:dPt>
            <c:idx val="8"/>
            <c:invertIfNegative val="0"/>
            <c:bubble3D val="0"/>
            <c:spPr>
              <a:solidFill>
                <a:schemeClr val="bg2">
                  <a:lumMod val="90000"/>
                </a:schemeClr>
              </a:solidFill>
            </c:spPr>
            <c:extLst>
              <c:ext xmlns:c16="http://schemas.microsoft.com/office/drawing/2014/chart" uri="{C3380CC4-5D6E-409C-BE32-E72D297353CC}">
                <c16:uniqueId val="{0000001F-93C1-4ABE-A275-DBD4B8BE986F}"/>
              </c:ext>
            </c:extLst>
          </c:dPt>
          <c:dPt>
            <c:idx val="9"/>
            <c:invertIfNegative val="0"/>
            <c:bubble3D val="0"/>
            <c:spPr>
              <a:solidFill>
                <a:schemeClr val="bg2">
                  <a:lumMod val="9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2">
                  <a:lumMod val="90000"/>
                </a:schemeClr>
              </a:solidFill>
            </c:spPr>
            <c:extLst>
              <c:ext xmlns:c16="http://schemas.microsoft.com/office/drawing/2014/chart" uri="{C3380CC4-5D6E-409C-BE32-E72D297353CC}">
                <c16:uniqueId val="{00000020-93C1-4ABE-A275-DBD4B8BE986F}"/>
              </c:ext>
            </c:extLst>
          </c:dPt>
          <c:dPt>
            <c:idx val="11"/>
            <c:invertIfNegative val="0"/>
            <c:bubble3D val="0"/>
            <c:spPr>
              <a:solidFill>
                <a:schemeClr val="bg2">
                  <a:lumMod val="90000"/>
                </a:schemeClr>
              </a:solidFill>
            </c:spPr>
            <c:extLst>
              <c:ext xmlns:c16="http://schemas.microsoft.com/office/drawing/2014/chart" uri="{C3380CC4-5D6E-409C-BE32-E72D297353CC}">
                <c16:uniqueId val="{00000003-EED2-4ACE-91AA-7F8713196E92}"/>
              </c:ext>
            </c:extLst>
          </c:dPt>
          <c:dPt>
            <c:idx val="12"/>
            <c:invertIfNegative val="0"/>
            <c:bubble3D val="0"/>
            <c:spPr>
              <a:solidFill>
                <a:srgbClr val="00B050"/>
              </a:solidFill>
            </c:spPr>
            <c:extLst>
              <c:ext xmlns:c16="http://schemas.microsoft.com/office/drawing/2014/chart" uri="{C3380CC4-5D6E-409C-BE32-E72D297353CC}">
                <c16:uniqueId val="{00000021-93C1-4ABE-A275-DBD4B8BE986F}"/>
              </c:ext>
            </c:extLst>
          </c:dPt>
          <c:dPt>
            <c:idx val="13"/>
            <c:invertIfNegative val="0"/>
            <c:bubble3D val="0"/>
            <c:spPr>
              <a:solidFill>
                <a:srgbClr val="92D050"/>
              </a:solidFill>
            </c:spPr>
            <c:extLst>
              <c:ext xmlns:c16="http://schemas.microsoft.com/office/drawing/2014/chart" uri="{C3380CC4-5D6E-409C-BE32-E72D297353CC}">
                <c16:uniqueId val="{00000011-EED2-4ACE-91AA-7F8713196E92}"/>
              </c:ext>
            </c:extLst>
          </c:dPt>
          <c:dPt>
            <c:idx val="14"/>
            <c:invertIfNegative val="0"/>
            <c:bubble3D val="0"/>
            <c:spPr>
              <a:solidFill>
                <a:srgbClr val="92D050"/>
              </a:solidFill>
            </c:spPr>
            <c:extLst>
              <c:ext xmlns:c16="http://schemas.microsoft.com/office/drawing/2014/chart" uri="{C3380CC4-5D6E-409C-BE32-E72D297353CC}">
                <c16:uniqueId val="{00000022-93C1-4ABE-A275-DBD4B8BE986F}"/>
              </c:ext>
            </c:extLst>
          </c:dPt>
          <c:dPt>
            <c:idx val="15"/>
            <c:invertIfNegative val="0"/>
            <c:bubble3D val="0"/>
            <c:spPr>
              <a:solidFill>
                <a:schemeClr val="accent3">
                  <a:lumMod val="20000"/>
                  <a:lumOff val="80000"/>
                </a:schemeClr>
              </a:solidFill>
            </c:spPr>
            <c:extLst>
              <c:ext xmlns:c16="http://schemas.microsoft.com/office/drawing/2014/chart" uri="{C3380CC4-5D6E-409C-BE32-E72D297353CC}">
                <c16:uniqueId val="{00000013-EED2-4ACE-91AA-7F8713196E92}"/>
              </c:ext>
            </c:extLst>
          </c:dPt>
          <c:dPt>
            <c:idx val="16"/>
            <c:invertIfNegative val="0"/>
            <c:bubble3D val="0"/>
            <c:spPr>
              <a:solidFill>
                <a:schemeClr val="accent3">
                  <a:lumMod val="20000"/>
                  <a:lumOff val="80000"/>
                </a:schemeClr>
              </a:solidFill>
            </c:spPr>
            <c:extLst>
              <c:ext xmlns:c16="http://schemas.microsoft.com/office/drawing/2014/chart" uri="{C3380CC4-5D6E-409C-BE32-E72D297353CC}">
                <c16:uniqueId val="{00000023-93C1-4ABE-A275-DBD4B8BE986F}"/>
              </c:ext>
            </c:extLst>
          </c:dPt>
          <c:dPt>
            <c:idx val="17"/>
            <c:invertIfNegative val="0"/>
            <c:bubble3D val="0"/>
            <c:spPr>
              <a:solidFill>
                <a:schemeClr val="accent3">
                  <a:lumMod val="20000"/>
                  <a:lumOff val="80000"/>
                </a:schemeClr>
              </a:solidFill>
            </c:spPr>
            <c:extLst>
              <c:ext xmlns:c16="http://schemas.microsoft.com/office/drawing/2014/chart" uri="{C3380CC4-5D6E-409C-BE32-E72D297353CC}">
                <c16:uniqueId val="{00000015-EED2-4ACE-91AA-7F8713196E92}"/>
              </c:ext>
            </c:extLst>
          </c:dPt>
          <c:dPt>
            <c:idx val="18"/>
            <c:invertIfNegative val="0"/>
            <c:bubble3D val="0"/>
            <c:spPr>
              <a:solidFill>
                <a:schemeClr val="accent3">
                  <a:lumMod val="20000"/>
                  <a:lumOff val="80000"/>
                </a:schemeClr>
              </a:solidFill>
            </c:spPr>
            <c:extLst>
              <c:ext xmlns:c16="http://schemas.microsoft.com/office/drawing/2014/chart" uri="{C3380CC4-5D6E-409C-BE32-E72D297353CC}">
                <c16:uniqueId val="{00000024-93C1-4ABE-A275-DBD4B8BE986F}"/>
              </c:ext>
            </c:extLst>
          </c:dPt>
          <c:dPt>
            <c:idx val="19"/>
            <c:invertIfNegative val="0"/>
            <c:bubble3D val="0"/>
            <c:spPr>
              <a:solidFill>
                <a:schemeClr val="accent3">
                  <a:lumMod val="20000"/>
                  <a:lumOff val="80000"/>
                </a:schemeClr>
              </a:solidFill>
            </c:spPr>
            <c:extLst>
              <c:ext xmlns:c16="http://schemas.microsoft.com/office/drawing/2014/chart" uri="{C3380CC4-5D6E-409C-BE32-E72D297353CC}">
                <c16:uniqueId val="{00000025-93C1-4ABE-A275-DBD4B8BE986F}"/>
              </c:ext>
            </c:extLst>
          </c:dPt>
          <c:dLbls>
            <c:dLbl>
              <c:idx val="0"/>
              <c:tx>
                <c:rich>
                  <a:bodyPr/>
                  <a:lstStyle/>
                  <a:p>
                    <a:fld id="{79F9FE49-973A-4C63-B894-A55F922C0A65}"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93C1-4ABE-A275-DBD4B8BE986F}"/>
                </c:ext>
              </c:extLst>
            </c:dLbl>
            <c:dLbl>
              <c:idx val="1"/>
              <c:tx>
                <c:rich>
                  <a:bodyPr/>
                  <a:lstStyle/>
                  <a:p>
                    <a:fld id="{8148BFDE-69A1-4D1E-A715-D86C062FE0B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3C1-4ABE-A275-DBD4B8BE986F}"/>
                </c:ext>
              </c:extLst>
            </c:dLbl>
            <c:dLbl>
              <c:idx val="2"/>
              <c:tx>
                <c:rich>
                  <a:bodyPr/>
                  <a:lstStyle/>
                  <a:p>
                    <a:fld id="{A828FD59-0511-4A4E-A234-963898F6AD1C}"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3C1-4ABE-A275-DBD4B8BE986F}"/>
                </c:ext>
              </c:extLst>
            </c:dLbl>
            <c:dLbl>
              <c:idx val="3"/>
              <c:tx>
                <c:rich>
                  <a:bodyPr/>
                  <a:lstStyle/>
                  <a:p>
                    <a:fld id="{B2D7E893-6DBC-4447-A015-A3EE473C284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3C1-4ABE-A275-DBD4B8BE986F}"/>
                </c:ext>
              </c:extLst>
            </c:dLbl>
            <c:dLbl>
              <c:idx val="4"/>
              <c:tx>
                <c:rich>
                  <a:bodyPr/>
                  <a:lstStyle/>
                  <a:p>
                    <a:fld id="{4A9AE97E-E3DB-4DBC-9FEE-842B2938C555}"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3C1-4ABE-A275-DBD4B8BE986F}"/>
                </c:ext>
              </c:extLst>
            </c:dLbl>
            <c:dLbl>
              <c:idx val="5"/>
              <c:tx>
                <c:rich>
                  <a:bodyPr/>
                  <a:lstStyle/>
                  <a:p>
                    <a:fld id="{B61E6F53-E836-40F2-9472-1625556D966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3C1-4ABE-A275-DBD4B8BE986F}"/>
                </c:ext>
              </c:extLst>
            </c:dLbl>
            <c:dLbl>
              <c:idx val="6"/>
              <c:tx>
                <c:rich>
                  <a:bodyPr/>
                  <a:lstStyle/>
                  <a:p>
                    <a:fld id="{8BAED9E8-F044-4878-982B-99C109E15FA5}"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3C1-4ABE-A275-DBD4B8BE986F}"/>
                </c:ext>
              </c:extLst>
            </c:dLbl>
            <c:dLbl>
              <c:idx val="7"/>
              <c:tx>
                <c:rich>
                  <a:bodyPr/>
                  <a:lstStyle/>
                  <a:p>
                    <a:fld id="{EC32F6F4-3302-4A4C-A375-C85F2FDD461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3C1-4ABE-A275-DBD4B8BE986F}"/>
                </c:ext>
              </c:extLst>
            </c:dLbl>
            <c:dLbl>
              <c:idx val="8"/>
              <c:tx>
                <c:rich>
                  <a:bodyPr/>
                  <a:lstStyle/>
                  <a:p>
                    <a:fld id="{D314F7BE-2E31-46DD-A2CE-A873C80EBD4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3C1-4ABE-A275-DBD4B8BE986F}"/>
                </c:ext>
              </c:extLst>
            </c:dLbl>
            <c:dLbl>
              <c:idx val="9"/>
              <c:tx>
                <c:rich>
                  <a:bodyPr/>
                  <a:lstStyle/>
                  <a:p>
                    <a:fld id="{96A8E57D-0E3B-4790-9E29-D1BB85FEEF2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E4CB0EA1-AD72-4ACC-B6DF-48A599F762F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3C1-4ABE-A275-DBD4B8BE986F}"/>
                </c:ext>
              </c:extLst>
            </c:dLbl>
            <c:dLbl>
              <c:idx val="11"/>
              <c:tx>
                <c:rich>
                  <a:bodyPr/>
                  <a:lstStyle/>
                  <a:p>
                    <a:fld id="{7DE559EB-D456-4C60-AD37-7AACD116CA7D}"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fld id="{5C5CD7C1-7B54-4B05-97FB-3D572FDB2B00}"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3C1-4ABE-A275-DBD4B8BE986F}"/>
                </c:ext>
              </c:extLst>
            </c:dLbl>
            <c:dLbl>
              <c:idx val="13"/>
              <c:tx>
                <c:rich>
                  <a:bodyPr/>
                  <a:lstStyle/>
                  <a:p>
                    <a:fld id="{FE80119C-B63A-4D84-A59D-07E89A97D7D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ED2-4ACE-91AA-7F8713196E92}"/>
                </c:ext>
              </c:extLst>
            </c:dLbl>
            <c:dLbl>
              <c:idx val="14"/>
              <c:tx>
                <c:rich>
                  <a:bodyPr/>
                  <a:lstStyle/>
                  <a:p>
                    <a:fld id="{A1D65F51-9F74-4258-B385-576428F0DFFC}"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3C1-4ABE-A275-DBD4B8BE986F}"/>
                </c:ext>
              </c:extLst>
            </c:dLbl>
            <c:dLbl>
              <c:idx val="15"/>
              <c:tx>
                <c:rich>
                  <a:bodyPr/>
                  <a:lstStyle/>
                  <a:p>
                    <a:fld id="{161A6F74-8C1F-4BD2-B679-4E0433A204C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ED2-4ACE-91AA-7F8713196E92}"/>
                </c:ext>
              </c:extLst>
            </c:dLbl>
            <c:dLbl>
              <c:idx val="16"/>
              <c:tx>
                <c:rich>
                  <a:bodyPr/>
                  <a:lstStyle/>
                  <a:p>
                    <a:fld id="{52A861FC-E4F6-45BC-9B6E-2E1B1A0F3F0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3C1-4ABE-A275-DBD4B8BE986F}"/>
                </c:ext>
              </c:extLst>
            </c:dLbl>
            <c:dLbl>
              <c:idx val="17"/>
              <c:tx>
                <c:rich>
                  <a:bodyPr/>
                  <a:lstStyle/>
                  <a:p>
                    <a:fld id="{09AE5C65-F84F-4435-93F3-7180D4F721B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ED2-4ACE-91AA-7F8713196E92}"/>
                </c:ext>
              </c:extLst>
            </c:dLbl>
            <c:dLbl>
              <c:idx val="18"/>
              <c:tx>
                <c:rich>
                  <a:bodyPr/>
                  <a:lstStyle/>
                  <a:p>
                    <a:fld id="{84B075F2-F2A0-4718-9420-B0D3338FC845}"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3C1-4ABE-A275-DBD4B8BE986F}"/>
                </c:ext>
              </c:extLst>
            </c:dLbl>
            <c:dLbl>
              <c:idx val="19"/>
              <c:tx>
                <c:rich>
                  <a:bodyPr/>
                  <a:lstStyle/>
                  <a:p>
                    <a:fld id="{EB1E8BF8-B280-429A-82A3-1DFA75F0C1C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3C1-4ABE-A275-DBD4B8BE986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extLst>
                  <c:ext xmlns:c15="http://schemas.microsoft.com/office/drawing/2012/chart" uri="{02D57815-91ED-43cb-92C2-25804820EDAC}">
                    <c15:fullRef>
                      <c15:sqref>'R3'!$B$54:$AN$54</c15:sqref>
                    </c15:fullRef>
                  </c:ext>
                </c:extLst>
                <c:f>('R3'!$B$54:$M$54,'R3'!$AE$54:$AL$54)</c:f>
                <c:numCache>
                  <c:formatCode>General</c:formatCode>
                  <c:ptCount val="20"/>
                  <c:pt idx="0">
                    <c:v>3.4669293629873699E-2</c:v>
                  </c:pt>
                  <c:pt idx="1">
                    <c:v>3.1247435412258332E-2</c:v>
                  </c:pt>
                  <c:pt idx="2">
                    <c:v>1.7798842406951131E-2</c:v>
                  </c:pt>
                  <c:pt idx="3">
                    <c:v>2.2226220127888111E-2</c:v>
                  </c:pt>
                  <c:pt idx="4">
                    <c:v>8.5730396589413643E-2</c:v>
                  </c:pt>
                  <c:pt idx="5">
                    <c:v>0.21139426610419731</c:v>
                  </c:pt>
                  <c:pt idx="6">
                    <c:v>0.16855756825603044</c:v>
                  </c:pt>
                  <c:pt idx="7">
                    <c:v>0.10577936649637473</c:v>
                  </c:pt>
                  <c:pt idx="8">
                    <c:v>2.5304594913871818E-2</c:v>
                  </c:pt>
                  <c:pt idx="9">
                    <c:v>4.4486997336644185E-2</c:v>
                  </c:pt>
                  <c:pt idx="10">
                    <c:v>8.3317749263215224E-2</c:v>
                  </c:pt>
                  <c:pt idx="11">
                    <c:v>0.22474737430122574</c:v>
                  </c:pt>
                  <c:pt idx="12">
                    <c:v>9.7222176443897898E-2</c:v>
                  </c:pt>
                  <c:pt idx="13">
                    <c:v>0.15626501318557764</c:v>
                  </c:pt>
                  <c:pt idx="14">
                    <c:v>6.3613155886746597E-2</c:v>
                  </c:pt>
                  <c:pt idx="15">
                    <c:v>0.1690011875132601</c:v>
                  </c:pt>
                  <c:pt idx="16">
                    <c:v>0.11633382340956197</c:v>
                  </c:pt>
                  <c:pt idx="17">
                    <c:v>0.17170975775292183</c:v>
                  </c:pt>
                  <c:pt idx="18">
                    <c:v>0.12571466300133705</c:v>
                  </c:pt>
                  <c:pt idx="19">
                    <c:v>0.27235408562392233</c:v>
                  </c:pt>
                </c:numCache>
              </c:numRef>
            </c:plus>
            <c:minus>
              <c:numRef>
                <c:extLst>
                  <c:ext xmlns:c15="http://schemas.microsoft.com/office/drawing/2012/chart" uri="{02D57815-91ED-43cb-92C2-25804820EDAC}">
                    <c15:fullRef>
                      <c15:sqref>'R1'!$O$48:$AL$48</c15:sqref>
                    </c15:fullRef>
                  </c:ext>
                </c:extLst>
                <c:f>'R1'!$O$48:$Z$48</c:f>
                <c:numCache>
                  <c:formatCode>General</c:formatCode>
                  <c:ptCount val="12"/>
                  <c:pt idx="0">
                    <c:v>0</c:v>
                  </c:pt>
                  <c:pt idx="1">
                    <c:v>6.8903274944463799E-2</c:v>
                  </c:pt>
                  <c:pt idx="2">
                    <c:v>8.4247347074042647E-2</c:v>
                  </c:pt>
                  <c:pt idx="3">
                    <c:v>1.7235865300031978E-2</c:v>
                  </c:pt>
                  <c:pt idx="4">
                    <c:v>9.2511775528251128E-2</c:v>
                  </c:pt>
                  <c:pt idx="5">
                    <c:v>0.20429057227205466</c:v>
                  </c:pt>
                  <c:pt idx="6">
                    <c:v>8.8335565032433574E-2</c:v>
                  </c:pt>
                  <c:pt idx="7">
                    <c:v>0.1207312653941417</c:v>
                  </c:pt>
                  <c:pt idx="8">
                    <c:v>0.12901989910841177</c:v>
                  </c:pt>
                  <c:pt idx="9">
                    <c:v>0</c:v>
                  </c:pt>
                  <c:pt idx="10">
                    <c:v>0</c:v>
                  </c:pt>
                  <c:pt idx="11">
                    <c:v>0</c:v>
                  </c:pt>
                </c:numCache>
              </c:numRef>
            </c:minus>
          </c:errBars>
          <c:cat>
            <c:strRef>
              <c:extLst>
                <c:ext xmlns:c15="http://schemas.microsoft.com/office/drawing/2012/chart" uri="{02D57815-91ED-43cb-92C2-25804820EDAC}">
                  <c15:fullRef>
                    <c15:sqref>'R3'!$B$52:$BA$52</c15:sqref>
                  </c15:fullRef>
                </c:ext>
              </c:extLst>
              <c:f>('R3'!$B$52:$M$52,'R3'!$AE$52:$AL$52)</c:f>
              <c:strCache>
                <c:ptCount val="20"/>
                <c:pt idx="0">
                  <c:v>Témoin solvant</c:v>
                </c:pt>
                <c:pt idx="1">
                  <c:v>EE2-33,8ng/L</c:v>
                </c:pt>
                <c:pt idx="2">
                  <c:v>EE2-50,6ng/L</c:v>
                </c:pt>
                <c:pt idx="3">
                  <c:v>EE2-76ng/L</c:v>
                </c:pt>
                <c:pt idx="4">
                  <c:v>EE2-114ng/L</c:v>
                </c:pt>
                <c:pt idx="5">
                  <c:v>EE2-170,9ng/L</c:v>
                </c:pt>
                <c:pt idx="6">
                  <c:v>EE2-488ng/L</c:v>
                </c:pt>
                <c:pt idx="7">
                  <c:v>Triphénylphosphate-0,18mg/L</c:v>
                </c:pt>
                <c:pt idx="8">
                  <c:v>Triphénylphosphate-0,26mg/L</c:v>
                </c:pt>
                <c:pt idx="9">
                  <c:v>Triphénylphosphate-0,4mg/L</c:v>
                </c:pt>
                <c:pt idx="10">
                  <c:v>Triphénylphosphate-0,59mg/L</c:v>
                </c:pt>
                <c:pt idx="11">
                  <c:v>Triphénylphosphate-0,89mg/L</c:v>
                </c:pt>
                <c:pt idx="12">
                  <c:v>Testo -30µg/L</c:v>
                </c:pt>
                <c:pt idx="13">
                  <c:v>Testo 30µg/L + EE2 -64ng/L</c:v>
                </c:pt>
                <c:pt idx="14">
                  <c:v>Testo 30µg/L + FAD-10mg/L</c:v>
                </c:pt>
                <c:pt idx="15">
                  <c:v>Triphénylphosphate-0,18mg/L + Testostérone</c:v>
                </c:pt>
                <c:pt idx="16">
                  <c:v>Triphénylphosphate-0,26mg/L + Testostérone</c:v>
                </c:pt>
                <c:pt idx="17">
                  <c:v>Triphénylphosphate-0,4mg/L + Testostérone</c:v>
                </c:pt>
                <c:pt idx="18">
                  <c:v>Triphénylphosphate-0,59mg/L + Testostérone</c:v>
                </c:pt>
                <c:pt idx="19">
                  <c:v>Triphénylphosphate-0,89mg/L + Testostérone</c:v>
                </c:pt>
              </c:strCache>
            </c:strRef>
          </c:cat>
          <c:val>
            <c:numRef>
              <c:extLst>
                <c:ext xmlns:c15="http://schemas.microsoft.com/office/drawing/2012/chart" uri="{02D57815-91ED-43cb-92C2-25804820EDAC}">
                  <c15:fullRef>
                    <c15:sqref>'R3'!$B$53:$BA$53</c15:sqref>
                  </c15:fullRef>
                </c:ext>
              </c:extLst>
              <c:f>('R3'!$B$53:$M$53,'R3'!$AE$53:$AL$53)</c:f>
              <c:numCache>
                <c:formatCode>0.0000</c:formatCode>
                <c:ptCount val="20"/>
                <c:pt idx="0">
                  <c:v>0.10988944352999186</c:v>
                </c:pt>
                <c:pt idx="1">
                  <c:v>0.12402018439747209</c:v>
                </c:pt>
                <c:pt idx="2">
                  <c:v>0.1095441445603508</c:v>
                </c:pt>
                <c:pt idx="3">
                  <c:v>0.13366605441895507</c:v>
                </c:pt>
                <c:pt idx="4">
                  <c:v>0.46009757031712295</c:v>
                </c:pt>
                <c:pt idx="5">
                  <c:v>1.5168612982759206</c:v>
                </c:pt>
                <c:pt idx="6">
                  <c:v>2.2956841020864132</c:v>
                </c:pt>
                <c:pt idx="7">
                  <c:v>0.27341354580568444</c:v>
                </c:pt>
                <c:pt idx="8">
                  <c:v>9.0406307085623472E-2</c:v>
                </c:pt>
                <c:pt idx="9">
                  <c:v>0.19799933984618412</c:v>
                </c:pt>
                <c:pt idx="10">
                  <c:v>0.55110414892360615</c:v>
                </c:pt>
                <c:pt idx="11">
                  <c:v>0.99227221034705149</c:v>
                </c:pt>
                <c:pt idx="12">
                  <c:v>1.0000000000000002</c:v>
                </c:pt>
                <c:pt idx="13">
                  <c:v>1.7004282404951676</c:v>
                </c:pt>
                <c:pt idx="14">
                  <c:v>0.18508518896254142</c:v>
                </c:pt>
                <c:pt idx="15">
                  <c:v>1.4035254801881449</c:v>
                </c:pt>
                <c:pt idx="16">
                  <c:v>1.9625436687170121</c:v>
                </c:pt>
                <c:pt idx="17">
                  <c:v>2.0393462409790626</c:v>
                </c:pt>
                <c:pt idx="18">
                  <c:v>1.9331188641546242</c:v>
                </c:pt>
                <c:pt idx="19">
                  <c:v>1.8233000625794531</c:v>
                </c:pt>
              </c:numCache>
            </c:numRef>
          </c:val>
          <c:extLst>
            <c:ext xmlns:c15="http://schemas.microsoft.com/office/drawing/2012/chart" uri="{02D57815-91ED-43cb-92C2-25804820EDAC}">
              <c15:datalabelsRange>
                <c15:f>'R3'!$B$61:$AO$61</c15:f>
                <c15:dlblRangeCache>
                  <c:ptCount val="40"/>
                  <c:pt idx="1">
                    <c:v>#NAME?</c:v>
                  </c:pt>
                  <c:pt idx="2">
                    <c:v>#NAME?</c:v>
                  </c:pt>
                  <c:pt idx="3">
                    <c:v>#NAME?</c:v>
                  </c:pt>
                  <c:pt idx="4">
                    <c:v>#NAME?</c:v>
                  </c:pt>
                  <c:pt idx="5">
                    <c:v>#NAME?</c:v>
                  </c:pt>
                  <c:pt idx="6">
                    <c:v>#NAME?</c:v>
                  </c:pt>
                  <c:pt idx="7">
                    <c:v>#NAME?</c:v>
                  </c:pt>
                  <c:pt idx="8">
                    <c:v>#NAME?</c:v>
                  </c:pt>
                  <c:pt idx="9">
                    <c:v>#NAME?</c:v>
                  </c:pt>
                  <c:pt idx="10">
                    <c:v>#NAME?</c:v>
                  </c:pt>
                  <c:pt idx="11">
                    <c:v>#NAME?</c:v>
                  </c:pt>
                  <c:pt idx="12">
                    <c:v>#NAME?</c:v>
                  </c:pt>
                  <c:pt idx="13">
                    <c:v>#NAME?</c:v>
                  </c:pt>
                  <c:pt idx="14">
                    <c:v>#NAME?</c:v>
                  </c:pt>
                  <c:pt idx="15">
                    <c:v>#NAME?</c:v>
                  </c:pt>
                  <c:pt idx="16">
                    <c:v>#NAME?</c:v>
                  </c:pt>
                  <c:pt idx="17">
                    <c:v>#NAME?</c:v>
                  </c:pt>
                  <c:pt idx="18">
                    <c:v>#NAME?</c:v>
                  </c:pt>
                  <c:pt idx="19">
                    <c:v>#NAME?</c:v>
                  </c:pt>
                  <c:pt idx="20">
                    <c:v>#NAME?</c:v>
                  </c:pt>
                  <c:pt idx="21">
                    <c:v>#NAME?</c:v>
                  </c:pt>
                  <c:pt idx="22">
                    <c:v>#NAME?</c:v>
                  </c:pt>
                  <c:pt idx="23">
                    <c:v>#NAME?</c:v>
                  </c:pt>
                  <c:pt idx="24">
                    <c:v>#NAME?</c:v>
                  </c:pt>
                  <c:pt idx="25">
                    <c:v>#NAME?</c:v>
                  </c:pt>
                  <c:pt idx="26">
                    <c:v>#NAME?</c:v>
                  </c:pt>
                  <c:pt idx="27">
                    <c:v>#NAME?</c:v>
                  </c:pt>
                  <c:pt idx="29">
                    <c:v>#NAME?</c:v>
                  </c:pt>
                  <c:pt idx="30">
                    <c:v>#NAME?</c:v>
                  </c:pt>
                  <c:pt idx="31">
                    <c:v>#NAME?</c:v>
                  </c:pt>
                  <c:pt idx="32">
                    <c:v>#NAME?</c:v>
                  </c:pt>
                  <c:pt idx="33">
                    <c:v>#NAME?</c:v>
                  </c:pt>
                  <c:pt idx="34">
                    <c:v>#NAME?</c:v>
                  </c:pt>
                  <c:pt idx="35">
                    <c:v>#NAME?</c:v>
                  </c:pt>
                  <c:pt idx="36">
                    <c:v>#NAME?</c:v>
                  </c:pt>
                  <c:pt idx="37">
                    <c:v>#NAME?</c:v>
                  </c:pt>
                  <c:pt idx="38">
                    <c:v>#NAME?</c:v>
                  </c:pt>
                  <c:pt idx="39">
                    <c:v>#NAME?</c:v>
                  </c:pt>
                </c15:dlblRangeCache>
              </c15:datalabelsRange>
            </c:ext>
            <c:ext xmlns:c15="http://schemas.microsoft.com/office/drawing/2012/chart" uri="{02D57815-91ED-43cb-92C2-25804820EDAC}">
              <c15:categoryFilterExceptions>
                <c15:categoryFilterException>
                  <c15:sqref>'R3'!$O$53</c15:sqref>
                  <c15:spPr xmlns:c15="http://schemas.microsoft.com/office/drawing/2012/chart">
                    <a:solidFill>
                      <a:schemeClr val="bg1">
                        <a:lumMod val="65000"/>
                      </a:schemeClr>
                    </a:solidFill>
                  </c15:spPr>
                  <c15:invertIfNegative val="0"/>
                  <c15:bubble3D val="0"/>
                </c15:categoryFilterException>
                <c15:categoryFilterException>
                  <c15:sqref>'R3'!$Q$53</c15:sqref>
                  <c15:spPr xmlns:c15="http://schemas.microsoft.com/office/drawing/2012/chart">
                    <a:solidFill>
                      <a:schemeClr val="bg1">
                        <a:lumMod val="65000"/>
                      </a:schemeClr>
                    </a:solidFill>
                  </c15:spPr>
                  <c15:invertIfNegative val="0"/>
                  <c15:bubble3D val="0"/>
                </c15:categoryFilterException>
                <c15:categoryFilterException>
                  <c15:sqref>'R3'!$AA$53</c15:sqref>
                  <c15:spPr xmlns:c15="http://schemas.microsoft.com/office/drawing/2012/chart">
                    <a:solidFill>
                      <a:srgbClr val="00B050"/>
                    </a:solidFill>
                  </c15:spPr>
                  <c15:invertIfNegative val="0"/>
                  <c15:bubble3D val="0"/>
                </c15:categoryFilterException>
                <c15:categoryFilterException>
                  <c15:sqref>'R3'!$AB$53</c15:sqref>
                  <c15:spPr xmlns:c15="http://schemas.microsoft.com/office/drawing/2012/chart">
                    <a:solidFill>
                      <a:srgbClr val="FF0000"/>
                    </a:solidFill>
                  </c15:spPr>
                  <c15:invertIfNegative val="0"/>
                  <c15:bubble3D val="0"/>
                </c15:categoryFilterException>
                <c15:categoryFilterException>
                  <c15:sqref>'R3'!$AC$53</c15:sqref>
                  <c15:spPr xmlns:c15="http://schemas.microsoft.com/office/drawing/2012/chart">
                    <a:solidFill>
                      <a:srgbClr val="0070C0"/>
                    </a:solidFill>
                  </c15:spPr>
                  <c15:invertIfNegative val="0"/>
                  <c15:bubble3D val="0"/>
                </c15:categoryFilterException>
                <c15:categoryFilterException>
                  <c15:sqref>'R3'!$AD$53</c15:sqref>
                  <c15:spPr xmlns:c15="http://schemas.microsoft.com/office/drawing/2012/chart">
                    <a:solidFill>
                      <a:schemeClr val="bg1">
                        <a:lumMod val="65000"/>
                      </a:schemeClr>
                    </a:solidFill>
                  </c15:spPr>
                  <c15:invertIfNegative val="0"/>
                  <c15:bubble3D val="0"/>
                </c15:categoryFilterException>
              </c15:categoryFilterExceptions>
            </c:ext>
            <c:ext xmlns:c16="http://schemas.microsoft.com/office/drawing/2014/chart" uri="{C3380CC4-5D6E-409C-BE32-E72D297353CC}">
              <c16:uniqueId val="{00000016-EED2-4ACE-91AA-7F8713196E92}"/>
            </c:ext>
          </c:extLst>
        </c:ser>
        <c:dLbls>
          <c:dLblPos val="outEnd"/>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DE"/>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DE"/>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2">
                  <a:lumMod val="9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2">
                  <a:lumMod val="90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2">
                  <a:lumMod val="90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2">
                  <a:lumMod val="90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2">
                  <a:lumMod val="90000"/>
                </a:schemeClr>
              </a:solidFill>
            </c:spPr>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9-033C-4530-84A9-991A3866ABD4}"/>
              </c:ext>
            </c:extLst>
          </c:dPt>
          <c:dPt>
            <c:idx val="13"/>
            <c:invertIfNegative val="0"/>
            <c:bubble3D val="0"/>
            <c:spPr>
              <a:solidFill>
                <a:srgbClr val="92D050"/>
              </a:solidFill>
            </c:spPr>
            <c:extLst>
              <c:ext xmlns:c16="http://schemas.microsoft.com/office/drawing/2014/chart" uri="{C3380CC4-5D6E-409C-BE32-E72D297353CC}">
                <c16:uniqueId val="{0000001B-033C-4530-84A9-991A3866ABD4}"/>
              </c:ext>
            </c:extLst>
          </c:dPt>
          <c:dPt>
            <c:idx val="14"/>
            <c:invertIfNegative val="0"/>
            <c:bubble3D val="0"/>
            <c:spPr>
              <a:solidFill>
                <a:srgbClr val="92D050"/>
              </a:solidFill>
            </c:spPr>
            <c:extLst>
              <c:ext xmlns:c16="http://schemas.microsoft.com/office/drawing/2014/chart" uri="{C3380CC4-5D6E-409C-BE32-E72D297353CC}">
                <c16:uniqueId val="{0000001D-033C-4530-84A9-991A3866ABD4}"/>
              </c:ext>
            </c:extLst>
          </c:dPt>
          <c:dPt>
            <c:idx val="15"/>
            <c:invertIfNegative val="0"/>
            <c:bubble3D val="0"/>
            <c:spPr>
              <a:solidFill>
                <a:schemeClr val="accent3">
                  <a:lumMod val="20000"/>
                  <a:lumOff val="80000"/>
                </a:schemeClr>
              </a:solidFill>
            </c:spPr>
            <c:extLst>
              <c:ext xmlns:c16="http://schemas.microsoft.com/office/drawing/2014/chart" uri="{C3380CC4-5D6E-409C-BE32-E72D297353CC}">
                <c16:uniqueId val="{0000001F-033C-4530-84A9-991A3866ABD4}"/>
              </c:ext>
            </c:extLst>
          </c:dPt>
          <c:dPt>
            <c:idx val="16"/>
            <c:invertIfNegative val="0"/>
            <c:bubble3D val="0"/>
            <c:spPr>
              <a:solidFill>
                <a:schemeClr val="accent3">
                  <a:lumMod val="20000"/>
                  <a:lumOff val="80000"/>
                </a:schemeClr>
              </a:solidFill>
            </c:spPr>
            <c:extLst>
              <c:ext xmlns:c16="http://schemas.microsoft.com/office/drawing/2014/chart" uri="{C3380CC4-5D6E-409C-BE32-E72D297353CC}">
                <c16:uniqueId val="{00000021-033C-4530-84A9-991A3866ABD4}"/>
              </c:ext>
            </c:extLst>
          </c:dPt>
          <c:dPt>
            <c:idx val="17"/>
            <c:invertIfNegative val="0"/>
            <c:bubble3D val="0"/>
            <c:spPr>
              <a:solidFill>
                <a:schemeClr val="accent3">
                  <a:lumMod val="20000"/>
                  <a:lumOff val="80000"/>
                </a:schemeClr>
              </a:solidFill>
            </c:spPr>
            <c:extLst>
              <c:ext xmlns:c16="http://schemas.microsoft.com/office/drawing/2014/chart" uri="{C3380CC4-5D6E-409C-BE32-E72D297353CC}">
                <c16:uniqueId val="{00000023-033C-4530-84A9-991A3866ABD4}"/>
              </c:ext>
            </c:extLst>
          </c:dPt>
          <c:dPt>
            <c:idx val="18"/>
            <c:invertIfNegative val="0"/>
            <c:bubble3D val="0"/>
            <c:spPr>
              <a:solidFill>
                <a:schemeClr val="accent3">
                  <a:lumMod val="20000"/>
                  <a:lumOff val="80000"/>
                </a:schemeClr>
              </a:solidFill>
            </c:spPr>
            <c:extLst>
              <c:ext xmlns:c16="http://schemas.microsoft.com/office/drawing/2014/chart" uri="{C3380CC4-5D6E-409C-BE32-E72D297353CC}">
                <c16:uniqueId val="{00000025-033C-4530-84A9-991A3866ABD4}"/>
              </c:ext>
            </c:extLst>
          </c:dPt>
          <c:dPt>
            <c:idx val="19"/>
            <c:invertIfNegative val="0"/>
            <c:bubble3D val="0"/>
            <c:spPr>
              <a:solidFill>
                <a:schemeClr val="accent3">
                  <a:lumMod val="20000"/>
                  <a:lumOff val="80000"/>
                </a:schemeClr>
              </a:solidFill>
            </c:spPr>
            <c:extLst>
              <c:ext xmlns:c16="http://schemas.microsoft.com/office/drawing/2014/chart" uri="{C3380CC4-5D6E-409C-BE32-E72D297353CC}">
                <c16:uniqueId val="{00000027-033C-4530-84A9-991A3866ABD4}"/>
              </c:ext>
            </c:extLst>
          </c:dPt>
          <c:dLbls>
            <c:dLbl>
              <c:idx val="0"/>
              <c:tx>
                <c:rich>
                  <a:bodyPr/>
                  <a:lstStyle/>
                  <a:p>
                    <a:fld id="{73EC470B-D187-4A7C-98D3-106FDF6BE671}"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04B723A9-64ED-43E0-B787-8D0A587B726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769D291E-CABC-4A41-99D3-120F28E2E78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849ACF1F-B687-44F6-BD2B-C3922DFD3D8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F39B2C20-2355-4022-A4F1-4F43C0AC9A3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2D7D0D65-D3A3-43F2-9B54-130C61AA48A7}"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2DC4F079-B3B8-45CA-84FE-E1FBDF92C57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CE465EDA-F7E1-40EB-9C5A-833D1402F1C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6F67EB74-EB88-4C38-A654-140B41F4AF2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86A98D58-E179-4DAA-BF0B-E5F565AB9A5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5118D5C4-F1FD-469F-B820-713D91C6245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223F1614-A815-499F-916A-67E5331930C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fld id="{D5ED4DAA-A5A7-4117-8C7D-157FEE640590}" type="CELLRANGE">
                      <a:rPr lang="fr-FR"/>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033C-4530-84A9-991A3866ABD4}"/>
                </c:ext>
              </c:extLst>
            </c:dLbl>
            <c:dLbl>
              <c:idx val="13"/>
              <c:tx>
                <c:rich>
                  <a:bodyPr/>
                  <a:lstStyle/>
                  <a:p>
                    <a:fld id="{88DBC5F9-552B-4C2B-AC42-4BF1CF97726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4"/>
              <c:tx>
                <c:rich>
                  <a:bodyPr/>
                  <a:lstStyle/>
                  <a:p>
                    <a:fld id="{48F17F53-34BF-4838-A163-BD33C0636B0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5"/>
              <c:tx>
                <c:rich>
                  <a:bodyPr/>
                  <a:lstStyle/>
                  <a:p>
                    <a:fld id="{76737858-AF78-46A3-A863-ACD5BA257F7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6"/>
              <c:tx>
                <c:rich>
                  <a:bodyPr/>
                  <a:lstStyle/>
                  <a:p>
                    <a:fld id="{74A37895-44E4-4251-A972-2A1DA726021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7"/>
              <c:tx>
                <c:rich>
                  <a:bodyPr/>
                  <a:lstStyle/>
                  <a:p>
                    <a:fld id="{F88CAE45-D75B-4AB3-99A1-9AC12A99C28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8"/>
              <c:tx>
                <c:rich>
                  <a:bodyPr/>
                  <a:lstStyle/>
                  <a:p>
                    <a:fld id="{E57A6649-DA12-4D82-AE7B-058F56B0A24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19"/>
              <c:tx>
                <c:rich>
                  <a:bodyPr/>
                  <a:lstStyle/>
                  <a:p>
                    <a:fld id="{8E491E41-C3EE-4162-8815-F5077C51185D}"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extLst>
                  <c:ext xmlns:c15="http://schemas.microsoft.com/office/drawing/2012/chart" uri="{02D57815-91ED-43cb-92C2-25804820EDAC}">
                    <c15:fullRef>
                      <c15:sqref>'pooled normalised values'!$B$76:$AK$76</c15:sqref>
                    </c15:fullRef>
                  </c:ext>
                </c:extLst>
                <c:f>('pooled normalised values'!$B$76:$M$76,'pooled normalised values'!$O$76:$V$76)</c:f>
                <c:numCache>
                  <c:formatCode>General</c:formatCode>
                  <c:ptCount val="20"/>
                  <c:pt idx="0">
                    <c:v>1.579281947932961E-2</c:v>
                  </c:pt>
                  <c:pt idx="1">
                    <c:v>1.9275726753714646E-2</c:v>
                  </c:pt>
                  <c:pt idx="2">
                    <c:v>1.5951167818748967E-2</c:v>
                  </c:pt>
                  <c:pt idx="3">
                    <c:v>3.0388054969657321E-2</c:v>
                  </c:pt>
                  <c:pt idx="4">
                    <c:v>8.0616050351403776E-2</c:v>
                  </c:pt>
                  <c:pt idx="5">
                    <c:v>0.11326285797319538</c:v>
                  </c:pt>
                  <c:pt idx="6">
                    <c:v>0.1023610697577972</c:v>
                  </c:pt>
                  <c:pt idx="7">
                    <c:v>3.828977871201155E-2</c:v>
                  </c:pt>
                  <c:pt idx="8">
                    <c:v>2.0709205538260538E-2</c:v>
                  </c:pt>
                  <c:pt idx="9">
                    <c:v>2.522717899343065E-2</c:v>
                  </c:pt>
                  <c:pt idx="10">
                    <c:v>5.4141751784861795E-2</c:v>
                  </c:pt>
                  <c:pt idx="11">
                    <c:v>0.13181348944358626</c:v>
                  </c:pt>
                  <c:pt idx="12">
                    <c:v>5.1345630327976462E-2</c:v>
                  </c:pt>
                  <c:pt idx="13">
                    <c:v>0.11362010257577286</c:v>
                  </c:pt>
                  <c:pt idx="14">
                    <c:v>2.5841355841602635E-2</c:v>
                  </c:pt>
                  <c:pt idx="15">
                    <c:v>8.8997939015094063E-2</c:v>
                  </c:pt>
                  <c:pt idx="16">
                    <c:v>0.12729861816727336</c:v>
                  </c:pt>
                  <c:pt idx="17">
                    <c:v>0.12310773809867062</c:v>
                  </c:pt>
                  <c:pt idx="18">
                    <c:v>0.11479676992392825</c:v>
                  </c:pt>
                  <c:pt idx="19">
                    <c:v>0.11617582458524706</c:v>
                  </c:pt>
                </c:numCache>
              </c:numRef>
            </c:plus>
            <c:minus>
              <c:numRef>
                <c:extLst>
                  <c:ext xmlns:c15="http://schemas.microsoft.com/office/drawing/2012/chart" uri="{02D57815-91ED-43cb-92C2-25804820EDAC}">
                    <c15:fullRef>
                      <c15:sqref>'pooled normalised values'!$B$76:$AK$76</c15:sqref>
                    </c15:fullRef>
                  </c:ext>
                </c:extLst>
                <c:f>('pooled normalised values'!$B$76:$M$76,'pooled normalised values'!$O$76:$V$76)</c:f>
                <c:numCache>
                  <c:formatCode>General</c:formatCode>
                  <c:ptCount val="20"/>
                  <c:pt idx="0">
                    <c:v>1.579281947932961E-2</c:v>
                  </c:pt>
                  <c:pt idx="1">
                    <c:v>1.9275726753714646E-2</c:v>
                  </c:pt>
                  <c:pt idx="2">
                    <c:v>1.5951167818748967E-2</c:v>
                  </c:pt>
                  <c:pt idx="3">
                    <c:v>3.0388054969657321E-2</c:v>
                  </c:pt>
                  <c:pt idx="4">
                    <c:v>8.0616050351403776E-2</c:v>
                  </c:pt>
                  <c:pt idx="5">
                    <c:v>0.11326285797319538</c:v>
                  </c:pt>
                  <c:pt idx="6">
                    <c:v>0.1023610697577972</c:v>
                  </c:pt>
                  <c:pt idx="7">
                    <c:v>3.828977871201155E-2</c:v>
                  </c:pt>
                  <c:pt idx="8">
                    <c:v>2.0709205538260538E-2</c:v>
                  </c:pt>
                  <c:pt idx="9">
                    <c:v>2.522717899343065E-2</c:v>
                  </c:pt>
                  <c:pt idx="10">
                    <c:v>5.4141751784861795E-2</c:v>
                  </c:pt>
                  <c:pt idx="11">
                    <c:v>0.13181348944358626</c:v>
                  </c:pt>
                  <c:pt idx="12">
                    <c:v>5.1345630327976462E-2</c:v>
                  </c:pt>
                  <c:pt idx="13">
                    <c:v>0.11362010257577286</c:v>
                  </c:pt>
                  <c:pt idx="14">
                    <c:v>2.5841355841602635E-2</c:v>
                  </c:pt>
                  <c:pt idx="15">
                    <c:v>8.8997939015094063E-2</c:v>
                  </c:pt>
                  <c:pt idx="16">
                    <c:v>0.12729861816727336</c:v>
                  </c:pt>
                  <c:pt idx="17">
                    <c:v>0.12310773809867062</c:v>
                  </c:pt>
                  <c:pt idx="18">
                    <c:v>0.11479676992392825</c:v>
                  </c:pt>
                  <c:pt idx="19">
                    <c:v>0.11617582458524706</c:v>
                  </c:pt>
                </c:numCache>
              </c:numRef>
            </c:minus>
          </c:errBars>
          <c:cat>
            <c:strRef>
              <c:extLst>
                <c:ext xmlns:c15="http://schemas.microsoft.com/office/drawing/2012/chart" uri="{02D57815-91ED-43cb-92C2-25804820EDAC}">
                  <c15:fullRef>
                    <c15:sqref>'pooled normalised values'!$B$74:$AK$74</c15:sqref>
                  </c15:fullRef>
                </c:ext>
              </c:extLst>
              <c:f>('pooled normalised values'!$B$74:$M$74,'pooled normalised values'!$O$74:$V$74)</c:f>
              <c:strCache>
                <c:ptCount val="20"/>
                <c:pt idx="0">
                  <c:v>Témoin solvant</c:v>
                </c:pt>
                <c:pt idx="1">
                  <c:v>EE2-33,8ng/L</c:v>
                </c:pt>
                <c:pt idx="2">
                  <c:v>EE2-50,6ng/L</c:v>
                </c:pt>
                <c:pt idx="3">
                  <c:v>EE2-76ng/L</c:v>
                </c:pt>
                <c:pt idx="4">
                  <c:v>EE2-114ng/L</c:v>
                </c:pt>
                <c:pt idx="5">
                  <c:v>EE2-170,9ng/L</c:v>
                </c:pt>
                <c:pt idx="6">
                  <c:v>EE2-488ng/L</c:v>
                </c:pt>
                <c:pt idx="7">
                  <c:v>Triphénylphosphate-0,18mg/L</c:v>
                </c:pt>
                <c:pt idx="8">
                  <c:v>Triphénylphosphate-0,26mg/L</c:v>
                </c:pt>
                <c:pt idx="9">
                  <c:v>Triphénylphosphate-0,4mg/L</c:v>
                </c:pt>
                <c:pt idx="10">
                  <c:v>Triphénylphosphate-0,59mg/L</c:v>
                </c:pt>
                <c:pt idx="11">
                  <c:v>Triphénylphosphate-0,89mg/L</c:v>
                </c:pt>
                <c:pt idx="12">
                  <c:v>Testo -30µg/L</c:v>
                </c:pt>
                <c:pt idx="13">
                  <c:v>Testo 30µg/L + EE2 -64ng/L</c:v>
                </c:pt>
                <c:pt idx="14">
                  <c:v>Testo 30µg/L + FAD-10mg/L</c:v>
                </c:pt>
                <c:pt idx="15">
                  <c:v>Triphénylphosphate-0,18mg/L + Testostérone</c:v>
                </c:pt>
                <c:pt idx="16">
                  <c:v>Triphénylphosphate-0,26mg/L + Testostérone</c:v>
                </c:pt>
                <c:pt idx="17">
                  <c:v>Triphénylphosphate-0,4mg/L + Testostérone</c:v>
                </c:pt>
                <c:pt idx="18">
                  <c:v>Triphénylphosphate-0,59mg/L + Testostérone</c:v>
                </c:pt>
                <c:pt idx="19">
                  <c:v>Triphénylphosphate-0,89mg/L + Testostérone</c:v>
                </c:pt>
              </c:strCache>
            </c:strRef>
          </c:cat>
          <c:val>
            <c:numRef>
              <c:extLst>
                <c:ext xmlns:c15="http://schemas.microsoft.com/office/drawing/2012/chart" uri="{02D57815-91ED-43cb-92C2-25804820EDAC}">
                  <c15:fullRef>
                    <c15:sqref>'pooled normalised values'!$B$75:$AK$75</c15:sqref>
                  </c15:fullRef>
                </c:ext>
              </c:extLst>
              <c:f>('pooled normalised values'!$B$75:$M$75,'pooled normalised values'!$O$75:$V$75)</c:f>
              <c:numCache>
                <c:formatCode>0.0000</c:formatCode>
                <c:ptCount val="20"/>
                <c:pt idx="0">
                  <c:v>0.11600485275828015</c:v>
                </c:pt>
                <c:pt idx="1">
                  <c:v>0.11686608890963675</c:v>
                </c:pt>
                <c:pt idx="2">
                  <c:v>0.11983302657629789</c:v>
                </c:pt>
                <c:pt idx="3">
                  <c:v>0.20428775416189354</c:v>
                </c:pt>
                <c:pt idx="4">
                  <c:v>0.55953660663054972</c:v>
                </c:pt>
                <c:pt idx="5">
                  <c:v>1.2611362913937061</c:v>
                </c:pt>
                <c:pt idx="6">
                  <c:v>2.0876757099859611</c:v>
                </c:pt>
                <c:pt idx="7">
                  <c:v>0.18047316417356765</c:v>
                </c:pt>
                <c:pt idx="8">
                  <c:v>0.12580410360235189</c:v>
                </c:pt>
                <c:pt idx="9">
                  <c:v>0.19316269500175312</c:v>
                </c:pt>
                <c:pt idx="10">
                  <c:v>0.41264715024110665</c:v>
                </c:pt>
                <c:pt idx="11">
                  <c:v>1.0613784513361271</c:v>
                </c:pt>
                <c:pt idx="12">
                  <c:v>1.0201445992977629</c:v>
                </c:pt>
                <c:pt idx="13">
                  <c:v>1.4797886152756921</c:v>
                </c:pt>
                <c:pt idx="14">
                  <c:v>0.12646172416157422</c:v>
                </c:pt>
                <c:pt idx="15">
                  <c:v>1.295990443584083</c:v>
                </c:pt>
                <c:pt idx="16">
                  <c:v>1.6188687674245983</c:v>
                </c:pt>
                <c:pt idx="17">
                  <c:v>1.6671982011063793</c:v>
                </c:pt>
                <c:pt idx="18">
                  <c:v>1.5739308181352347</c:v>
                </c:pt>
                <c:pt idx="19">
                  <c:v>1.6757802174923313</c:v>
                </c:pt>
              </c:numCache>
            </c:numRef>
          </c:val>
          <c:extLst>
            <c:ext xmlns:c15="http://schemas.microsoft.com/office/drawing/2012/chart" uri="{02D57815-91ED-43cb-92C2-25804820EDAC}">
              <c15:datalabelsRange>
                <c15:f>'pooled normalised values'!$B$83:$AK$83</c15:f>
                <c15:dlblRangeCache>
                  <c:ptCount val="36"/>
                  <c:pt idx="1">
                    <c:v>NS</c:v>
                  </c:pt>
                  <c:pt idx="2">
                    <c:v>NS</c:v>
                  </c:pt>
                  <c:pt idx="3">
                    <c:v>NS</c:v>
                  </c:pt>
                  <c:pt idx="4">
                    <c:v>***</c:v>
                  </c:pt>
                  <c:pt idx="5">
                    <c:v>***</c:v>
                  </c:pt>
                  <c:pt idx="6">
                    <c:v>***</c:v>
                  </c:pt>
                  <c:pt idx="7">
                    <c:v>NS</c:v>
                  </c:pt>
                  <c:pt idx="8">
                    <c:v>NS</c:v>
                  </c:pt>
                  <c:pt idx="9">
                    <c:v>NS</c:v>
                  </c:pt>
                  <c:pt idx="10">
                    <c:v>***</c:v>
                  </c:pt>
                  <c:pt idx="11">
                    <c:v>***</c:v>
                  </c:pt>
                  <c:pt idx="13">
                    <c:v>***</c:v>
                  </c:pt>
                  <c:pt idx="14">
                    <c:v>***</c:v>
                  </c:pt>
                  <c:pt idx="15">
                    <c:v>***</c:v>
                  </c:pt>
                  <c:pt idx="16">
                    <c:v>NS</c:v>
                  </c:pt>
                  <c:pt idx="17">
                    <c:v>***</c:v>
                  </c:pt>
                  <c:pt idx="18">
                    <c:v>***</c:v>
                  </c:pt>
                  <c:pt idx="19">
                    <c:v>***</c:v>
                  </c:pt>
                  <c:pt idx="20">
                    <c:v>***</c:v>
                  </c:pt>
                </c15:dlblRangeCache>
              </c15:datalabelsRange>
            </c:ext>
            <c:ext xmlns:c15="http://schemas.microsoft.com/office/drawing/2012/chart" uri="{02D57815-91ED-43cb-92C2-25804820EDAC}">
              <c15:categoryFilterExceptions>
                <c15:categoryFilterException>
                  <c15:sqref>'pooled normalised values'!$N$75</c15:sqref>
                  <c15:spPr xmlns:c15="http://schemas.microsoft.com/office/drawing/2012/chart">
                    <a:solidFill>
                      <a:schemeClr val="tx2">
                        <a:lumMod val="40000"/>
                        <a:lumOff val="60000"/>
                      </a:schemeClr>
                    </a:solidFill>
                  </c15:spPr>
                  <c15:invertIfNegative val="0"/>
                  <c15:bubble3D val="0"/>
                </c15:categoryFilterException>
                <c15:categoryFilterException>
                  <c15:sqref>'pooled normalised values'!$W$75</c15:sqref>
                  <c15:spPr xmlns:c15="http://schemas.microsoft.com/office/drawing/2012/chart">
                    <a:solidFill>
                      <a:schemeClr val="bg1">
                        <a:lumMod val="65000"/>
                      </a:schemeClr>
                    </a:solidFill>
                  </c15:spPr>
                  <c15:invertIfNegative val="0"/>
                  <c15:bubble3D val="0"/>
                </c15:categoryFilterException>
                <c15:categoryFilterException>
                  <c15:sqref>'pooled normalised values'!$X$75</c15:sqref>
                  <c15:spPr xmlns:c15="http://schemas.microsoft.com/office/drawing/2012/chart">
                    <a:solidFill>
                      <a:schemeClr val="bg1">
                        <a:lumMod val="65000"/>
                      </a:schemeClr>
                    </a:solidFill>
                  </c15:spPr>
                  <c15:invertIfNegative val="0"/>
                  <c15:bubble3D val="0"/>
                </c15:categoryFilterException>
                <c15:categoryFilterException>
                  <c15:sqref>'pooled normalised values'!$AE$75</c15:sqref>
                  <c15:dLbl>
                    <c:idx val="19"/>
                    <c:tx>
                      <c:rich>
                        <a:bodyPr/>
                        <a:lstStyle/>
                        <a:p>
                          <a:endParaRPr lang="en-US"/>
                        </a:p>
                      </c:rich>
                    </c:tx>
                    <c:dLblPos val="outEnd"/>
                    <c:showLegendKey val="0"/>
                    <c:showVal val="0"/>
                    <c:showCatName val="0"/>
                    <c:showSerName val="0"/>
                    <c:showPercent val="0"/>
                    <c:showBubbleSize val="0"/>
                    <c:extLst>
                      <c:ext uri="{CE6537A1-D6FC-4f65-9D91-7224C49458BB}">
                        <c15:showDataLabelsRange val="0"/>
                      </c:ext>
                      <c:ext xmlns:c16="http://schemas.microsoft.com/office/drawing/2014/chart" uri="{C3380CC4-5D6E-409C-BE32-E72D297353CC}">
                        <c16:uniqueId val="{0000002D-C87A-4EA8-B9A4-0A88E5CCB18E}"/>
                      </c:ext>
                    </c:extLst>
                  </c15:dLbl>
                </c15:categoryFilterException>
              </c15:categoryFilterExceptions>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DE"/>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DE"/>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26800FCA-D8BC-4B4D-91DC-A7F800C278E9}" type="CELLRANGE">
                      <a:rPr lang="en-US"/>
                      <a:pPr/>
                      <a:t>[CELLRANGE]</a:t>
                    </a:fld>
                    <a:endParaRPr lang="en-DE"/>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DE"/>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Triphénylphosphate-0,18mg/L : 0%</c:v>
                  </c:pt>
                  <c:pt idx="1">
                    <c:v>Triphénylphosphate-0,26mg/L : 0%</c:v>
                  </c:pt>
                  <c:pt idx="2">
                    <c:v>Triphénylphosphate-0,4mg/L : 0%</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DE"/>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E75109CB-D091-40CC-A3A3-520C8DC1F0AF}" type="CELLRANGE">
                      <a:rPr lang="en-US"/>
                      <a:pPr/>
                      <a:t>[CELLRANGE]</a:t>
                    </a:fld>
                    <a:endParaRPr lang="en-DE"/>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DE"/>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Triphénylphosphate-0,18mg/L : 0%</c:v>
                  </c:pt>
                  <c:pt idx="1">
                    <c:v>#NUM!</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DE"/>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DE"/>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DE"/>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Triphénylphosphate-0,18mg/L : 0%</c:v>
                  </c:pt>
                  <c:pt idx="1">
                    <c:v>Triphénylphosphate-0,26mg/L : 0%</c:v>
                  </c:pt>
                  <c:pt idx="2">
                    <c:v>Triphénylphosphate-0,4mg/L : 0%</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DE"/>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DE"/>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DE"/>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Triphénylphosphate-0,18mg/L : 0%</c:v>
                  </c:pt>
                  <c:pt idx="1">
                    <c:v>#NUM!</c:v>
                  </c:pt>
                  <c:pt idx="2">
                    <c:v>#NUM!</c:v>
                  </c:pt>
                  <c:pt idx="3">
                    <c:v>#NUM!</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DE"/>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4C9C4D5-7349-49B4-A628-B9564712F5C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4D9F898E-70E0-46E7-B08A-9C3EFD26EB3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A002E327-6DB4-4998-8B15-0EDE7B42EFA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DA530DA4-B3AF-4E0F-9677-D1F3F719B40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FB08BB97-E53B-4C7E-8B48-423E8B754B80}"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D993C40C-94BB-44DB-9221-B3E89BD2A57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46A8B097-1AC2-4D50-8BC0-235546EEF9A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B4D1DEC9-B681-496E-A173-1CB9F3FF1EB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C3B0F0A6-1C98-4BC5-8934-5F18396D2B8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B8B17AAE-87B0-4335-A1CB-6B77A5B2964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2BA61DC8-8B43-410C-BFE5-952C5F01629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34CD8396-C569-4237-9B31-99D5C27F468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6099C0A2-8301-4D8C-AE92-C66C796ECA5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9E7998C7-F10B-4893-8D11-97487778B37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2.0709205538260538E-2</c:v>
                  </c:pt>
                  <c:pt idx="2">
                    <c:v>2.522717899343065E-2</c:v>
                  </c:pt>
                  <c:pt idx="3">
                    <c:v>5.4141751784861795E-2</c:v>
                  </c:pt>
                  <c:pt idx="4">
                    <c:v>0.13181348944358626</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2.0709205538260538E-2</c:v>
                  </c:pt>
                  <c:pt idx="2">
                    <c:v>2.522717899343065E-2</c:v>
                  </c:pt>
                  <c:pt idx="3">
                    <c:v>5.4141751784861795E-2</c:v>
                  </c:pt>
                  <c:pt idx="4">
                    <c:v>0.13181348944358626</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0.12580410360235189</c:v>
                </c:pt>
                <c:pt idx="2">
                  <c:v>0.19316269500175312</c:v>
                </c:pt>
                <c:pt idx="3">
                  <c:v>0.41264715024110665</c:v>
                </c:pt>
                <c:pt idx="4">
                  <c:v>1.0613784513361271</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0.11600485275828015</c:v>
                </c:pt>
                <c:pt idx="1">
                  <c:v>0.11600485275828015</c:v>
                </c:pt>
                <c:pt idx="2">
                  <c:v>0.11600485275828015</c:v>
                </c:pt>
                <c:pt idx="3">
                  <c:v>0.11600485275828015</c:v>
                </c:pt>
                <c:pt idx="4">
                  <c:v>0.11600485275828015</c:v>
                </c:pt>
                <c:pt idx="5">
                  <c:v>0.11600485275828015</c:v>
                </c:pt>
                <c:pt idx="6">
                  <c:v>0.11600485275828015</c:v>
                </c:pt>
                <c:pt idx="7">
                  <c:v>0.11600485275828015</c:v>
                </c:pt>
                <c:pt idx="8">
                  <c:v>0.11600485275828015</c:v>
                </c:pt>
                <c:pt idx="9">
                  <c:v>0.11600485275828015</c:v>
                </c:pt>
                <c:pt idx="10">
                  <c:v>0.11600485275828015</c:v>
                </c:pt>
                <c:pt idx="11">
                  <c:v>0.11600485275828015</c:v>
                </c:pt>
                <c:pt idx="12">
                  <c:v>0.11600485275828015</c:v>
                </c:pt>
                <c:pt idx="13">
                  <c:v>0.11600485275828015</c:v>
                </c:pt>
                <c:pt idx="14">
                  <c:v>0.11600485275828015</c:v>
                </c:pt>
                <c:pt idx="15">
                  <c:v>0.11600485275828015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DE"/>
          </a:p>
        </c:txPr>
        <c:crossAx val="434379760"/>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CHG'!$U$8:$AJ$8</c:f>
              <c:numCache>
                <c:formatCode>General</c:formatCode>
                <c:ptCount val="16"/>
                <c:pt idx="0">
                  <c:v>0.12646172416157422</c:v>
                </c:pt>
                <c:pt idx="1">
                  <c:v>0.12646172416157422</c:v>
                </c:pt>
                <c:pt idx="2">
                  <c:v>0.12646172416157422</c:v>
                </c:pt>
                <c:pt idx="3">
                  <c:v>0.12646172416157422</c:v>
                </c:pt>
                <c:pt idx="4">
                  <c:v>0.12646172416157422</c:v>
                </c:pt>
                <c:pt idx="5">
                  <c:v>0.12646172416157422</c:v>
                </c:pt>
                <c:pt idx="6">
                  <c:v>0.12646172416157422</c:v>
                </c:pt>
                <c:pt idx="7">
                  <c:v>0.12646172416157422</c:v>
                </c:pt>
                <c:pt idx="8">
                  <c:v>0.12646172416157422</c:v>
                </c:pt>
                <c:pt idx="9">
                  <c:v>0.12646172416157422</c:v>
                </c:pt>
                <c:pt idx="10">
                  <c:v>0.12646172416157422</c:v>
                </c:pt>
                <c:pt idx="11">
                  <c:v>0.12646172416157422</c:v>
                </c:pt>
                <c:pt idx="12">
                  <c:v>0.12646172416157422</c:v>
                </c:pt>
                <c:pt idx="13">
                  <c:v>0.12646172416157422</c:v>
                </c:pt>
                <c:pt idx="14">
                  <c:v>0.12646172416157422</c:v>
                </c:pt>
                <c:pt idx="15">
                  <c:v>0.12646172416157422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CHG'!$U$9:$AJ$9</c:f>
              <c:numCache>
                <c:formatCode>General</c:formatCode>
                <c:ptCount val="16"/>
                <c:pt idx="0">
                  <c:v>1.3533268911141179</c:v>
                </c:pt>
                <c:pt idx="1">
                  <c:v>1.3533268911141179</c:v>
                </c:pt>
                <c:pt idx="2">
                  <c:v>1.3533268911141179</c:v>
                </c:pt>
                <c:pt idx="3">
                  <c:v>1.3533268911141179</c:v>
                </c:pt>
                <c:pt idx="4">
                  <c:v>1.3533268911141179</c:v>
                </c:pt>
                <c:pt idx="5">
                  <c:v>1.3533268911141179</c:v>
                </c:pt>
                <c:pt idx="6">
                  <c:v>1.3533268911141179</c:v>
                </c:pt>
                <c:pt idx="7">
                  <c:v>1.3533268911141179</c:v>
                </c:pt>
                <c:pt idx="8">
                  <c:v>1.3533268911141179</c:v>
                </c:pt>
                <c:pt idx="9">
                  <c:v>1.3533268911141179</c:v>
                </c:pt>
                <c:pt idx="10">
                  <c:v>1.3533268911141179</c:v>
                </c:pt>
                <c:pt idx="11">
                  <c:v>1.3533268911141179</c:v>
                </c:pt>
                <c:pt idx="12">
                  <c:v>1.3533268911141179</c:v>
                </c:pt>
                <c:pt idx="13">
                  <c:v>1.3533268911141179</c:v>
                </c:pt>
                <c:pt idx="14">
                  <c:v>1.3533268911141179</c:v>
                </c:pt>
                <c:pt idx="15">
                  <c:v>1.3533268911141179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CHG'!$U$10:$AJ$10</c:f>
              <c:numCache>
                <c:formatCode>General</c:formatCode>
                <c:ptCount val="16"/>
                <c:pt idx="0">
                  <c:v>1.1466731088858821</c:v>
                </c:pt>
                <c:pt idx="1">
                  <c:v>1.1466731088858821</c:v>
                </c:pt>
                <c:pt idx="2">
                  <c:v>1.1466731088858821</c:v>
                </c:pt>
                <c:pt idx="3">
                  <c:v>1.1466731088858821</c:v>
                </c:pt>
                <c:pt idx="4">
                  <c:v>1.1466731088858821</c:v>
                </c:pt>
                <c:pt idx="5">
                  <c:v>1.1466731088858821</c:v>
                </c:pt>
                <c:pt idx="6">
                  <c:v>1.1466731088858821</c:v>
                </c:pt>
                <c:pt idx="7">
                  <c:v>1.1466731088858821</c:v>
                </c:pt>
                <c:pt idx="8">
                  <c:v>1.1466731088858821</c:v>
                </c:pt>
                <c:pt idx="9">
                  <c:v>1.1466731088858821</c:v>
                </c:pt>
                <c:pt idx="10">
                  <c:v>1.1466731088858821</c:v>
                </c:pt>
                <c:pt idx="11">
                  <c:v>1.1466731088858821</c:v>
                </c:pt>
                <c:pt idx="12">
                  <c:v>1.1466731088858821</c:v>
                </c:pt>
                <c:pt idx="13">
                  <c:v>1.1466731088858821</c:v>
                </c:pt>
                <c:pt idx="14">
                  <c:v>1.1466731088858821</c:v>
                </c:pt>
                <c:pt idx="15">
                  <c:v>1.1466731088858821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03B22C76-34DA-4ED3-80E5-AF68164CF39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BE8F350A-7614-4C97-922D-90D1E69246F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48C25203-9A08-412D-A817-36E369F08C7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CE8ACFF4-90C9-45DA-BEF5-394BE401169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8E4C6381-B9ED-47BD-AC74-41038C70DD6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86DACE05-0AA7-40E5-A445-D54CACA9CCF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01BF9B7A-B165-4F0F-82D9-A1085B91FAF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3533309B-13C0-46C3-BB6F-4349C7FDCBD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C676DCE3-41AD-4312-814C-EE69DF6DFEC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4F114362-1451-415F-B71F-57F728C96DE5}"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9389A87F-BD93-45CA-88A8-36BA72B45C2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D4A60EAB-6EA3-45C1-B573-74D9FF860F3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F7898C32-306E-4B67-853B-CEE37084CC68}"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F1E35DCF-AAF6-4A37-933E-A6A813701B57}"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8.8997939015094063E-2</c:v>
                  </c:pt>
                  <c:pt idx="2">
                    <c:v>0.12729861816727336</c:v>
                  </c:pt>
                  <c:pt idx="3">
                    <c:v>0.12310773809867062</c:v>
                  </c:pt>
                  <c:pt idx="4">
                    <c:v>0.11479676992392825</c:v>
                  </c:pt>
                  <c:pt idx="5">
                    <c:v>0.11617582458524706</c:v>
                  </c:pt>
                  <c:pt idx="6">
                    <c:v>#N/A</c:v>
                  </c:pt>
                  <c:pt idx="7">
                    <c:v>#N/A</c:v>
                  </c:pt>
                  <c:pt idx="8">
                    <c:v>#N/A</c:v>
                  </c:pt>
                  <c:pt idx="9">
                    <c:v>#N/A</c:v>
                  </c:pt>
                  <c:pt idx="10">
                    <c:v>#N/A</c:v>
                  </c:pt>
                  <c:pt idx="11">
                    <c:v>#N/A</c:v>
                  </c:pt>
                  <c:pt idx="12">
                    <c:v>#N/A</c:v>
                  </c:pt>
                  <c:pt idx="13">
                    <c:v>#N/A</c:v>
                  </c:pt>
                  <c:pt idx="14">
                    <c:v>#N/A</c:v>
                  </c:pt>
                </c:numCache>
              </c:numRef>
            </c:plus>
            <c:minus>
              <c:numRef>
                <c:f>'Graph format rapport CHG'!$U$4:$AJ$4</c:f>
                <c:numCache>
                  <c:formatCode>General</c:formatCode>
                  <c:ptCount val="16"/>
                  <c:pt idx="1">
                    <c:v>8.8997939015094063E-2</c:v>
                  </c:pt>
                  <c:pt idx="2">
                    <c:v>0.12729861816727336</c:v>
                  </c:pt>
                  <c:pt idx="3">
                    <c:v>0.12310773809867062</c:v>
                  </c:pt>
                  <c:pt idx="4">
                    <c:v>0.11479676992392825</c:v>
                  </c:pt>
                  <c:pt idx="5">
                    <c:v>0.11617582458524706</c:v>
                  </c:pt>
                  <c:pt idx="6">
                    <c:v>#N/A</c:v>
                  </c:pt>
                  <c:pt idx="7">
                    <c:v>#N/A</c:v>
                  </c:pt>
                  <c:pt idx="8">
                    <c:v>#N/A</c:v>
                  </c:pt>
                  <c:pt idx="9">
                    <c:v>#N/A</c:v>
                  </c:pt>
                  <c:pt idx="10">
                    <c:v>#N/A</c:v>
                  </c:pt>
                  <c:pt idx="11">
                    <c:v>#N/A</c:v>
                  </c:pt>
                  <c:pt idx="12">
                    <c:v>#N/A</c:v>
                  </c:pt>
                  <c:pt idx="13">
                    <c:v>#N/A</c:v>
                  </c:pt>
                  <c:pt idx="14">
                    <c:v>#N/A</c:v>
                  </c:pt>
                </c:numCache>
              </c:numRef>
            </c:minus>
          </c:errBars>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CHG'!$U$3:$AJ$3</c:f>
              <c:numCache>
                <c:formatCode>General</c:formatCode>
                <c:ptCount val="16"/>
                <c:pt idx="1">
                  <c:v>1.295990443584083</c:v>
                </c:pt>
                <c:pt idx="2">
                  <c:v>1.6188687674245983</c:v>
                </c:pt>
                <c:pt idx="3">
                  <c:v>1.6671982011063793</c:v>
                </c:pt>
                <c:pt idx="4">
                  <c:v>1.5739308181352347</c:v>
                </c:pt>
                <c:pt idx="5">
                  <c:v>1.6757802174923313</c:v>
                </c:pt>
                <c:pt idx="6">
                  <c:v>#N/A</c:v>
                </c:pt>
                <c:pt idx="7">
                  <c:v>#N/A</c:v>
                </c:pt>
                <c:pt idx="8">
                  <c:v>#N/A</c:v>
                </c:pt>
                <c:pt idx="9">
                  <c:v>#N/A</c:v>
                </c:pt>
                <c:pt idx="10">
                  <c:v>#N/A</c:v>
                </c:pt>
                <c:pt idx="11">
                  <c:v>#N/A</c:v>
                </c:pt>
                <c:pt idx="12">
                  <c:v>#N/A</c:v>
                </c:pt>
                <c:pt idx="13">
                  <c:v>#N/A</c:v>
                </c:pt>
                <c:pt idx="14">
                  <c:v>#N/A</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#N/A</c:v>
                  </c:pt>
                  <c:pt idx="7">
                    <c:v>#N/A</c:v>
                  </c:pt>
                  <c:pt idx="8">
                    <c:v>#N/A</c:v>
                  </c:pt>
                  <c:pt idx="9">
                    <c:v>#N/A</c:v>
                  </c:pt>
                  <c:pt idx="10">
                    <c:v>#N/A</c:v>
                  </c:pt>
                  <c:pt idx="11">
                    <c:v>#N/A</c:v>
                  </c:pt>
                  <c:pt idx="12">
                    <c:v>#N/A</c:v>
                  </c:pt>
                  <c:pt idx="13">
                    <c:v>#N/A</c:v>
                  </c:pt>
                  <c:pt idx="14">
                    <c:v>#N/A</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CHG'!$U$7:$AJ$7</c:f>
              <c:numCache>
                <c:formatCode>General</c:formatCode>
                <c:ptCount val="16"/>
                <c:pt idx="0">
                  <c:v>1.0201445992977629</c:v>
                </c:pt>
                <c:pt idx="1">
                  <c:v>1.0201445992977629</c:v>
                </c:pt>
                <c:pt idx="2">
                  <c:v>1.0201445992977629</c:v>
                </c:pt>
                <c:pt idx="3">
                  <c:v>1.0201445992977629</c:v>
                </c:pt>
                <c:pt idx="4">
                  <c:v>1.0201445992977629</c:v>
                </c:pt>
                <c:pt idx="5">
                  <c:v>1.0201445992977629</c:v>
                </c:pt>
                <c:pt idx="6">
                  <c:v>1.0201445992977629</c:v>
                </c:pt>
                <c:pt idx="7">
                  <c:v>1.0201445992977629</c:v>
                </c:pt>
                <c:pt idx="8">
                  <c:v>1.0201445992977629</c:v>
                </c:pt>
                <c:pt idx="9">
                  <c:v>1.0201445992977629</c:v>
                </c:pt>
                <c:pt idx="10">
                  <c:v>1.0201445992977629</c:v>
                </c:pt>
                <c:pt idx="11">
                  <c:v>1.0201445992977629</c:v>
                </c:pt>
                <c:pt idx="12">
                  <c:v>1.0201445992977629</c:v>
                </c:pt>
                <c:pt idx="13">
                  <c:v>1.0201445992977629</c:v>
                </c:pt>
                <c:pt idx="14">
                  <c:v>1.0201445992977629</c:v>
                </c:pt>
                <c:pt idx="15">
                  <c:v>1.0201445992977629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DE"/>
          </a:p>
        </c:txPr>
        <c:crossAx val="434380936"/>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CAE405B-8678-4C7B-A4B5-950049052DC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3F151509-4375-44EB-808D-C139986D99A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12AC173B-D6AD-4434-9F9E-AAE45BC7146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B613E71B-1CF1-42BA-84A9-19C3231400D3}"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20566D39-E2BA-4F30-9689-242342515ED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7ABC7ED7-9240-4A14-82E5-78263EBA21F0}"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26E645C9-1B96-49DC-B56B-903904B1A36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CCDE4D2C-00D7-489B-9E83-7DC2680A42B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5CB606F4-F856-45D9-BD35-A92861FEE60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E690CCE7-1FD6-4849-BF50-14625CECBA9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527A31F5-2057-4BD4-9CE6-2E4595AB8A3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BDB5920-8DE3-45FE-9CD7-A0A82F0E8F9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EC8C261B-66B5-4E04-B940-1971EC6E439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4CD0B428-8A22-44DD-A5FC-763757533FB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2.0709205538260538E-2</c:v>
                  </c:pt>
                  <c:pt idx="2">
                    <c:v>2.522717899343065E-2</c:v>
                  </c:pt>
                  <c:pt idx="3">
                    <c:v>5.4141751784861795E-2</c:v>
                  </c:pt>
                  <c:pt idx="4">
                    <c:v>0.13181348944358626</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2.0709205538260538E-2</c:v>
                  </c:pt>
                  <c:pt idx="2">
                    <c:v>2.522717899343065E-2</c:v>
                  </c:pt>
                  <c:pt idx="3">
                    <c:v>5.4141751784861795E-2</c:v>
                  </c:pt>
                  <c:pt idx="4">
                    <c:v>0.13181348944358626</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Triphénylphosphate-0,26mg/L</c:v>
                </c:pt>
                <c:pt idx="2">
                  <c:v>Triphénylphosphate-0,4mg/L</c:v>
                </c:pt>
                <c:pt idx="3">
                  <c:v>Triphénylphosphate-0,59mg/L</c:v>
                </c:pt>
                <c:pt idx="4">
                  <c:v>Triphénylphosphate-0,89mg/L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0.12580410360235189</c:v>
                </c:pt>
                <c:pt idx="2">
                  <c:v>0.19316269500175312</c:v>
                </c:pt>
                <c:pt idx="3">
                  <c:v>0.41264715024110665</c:v>
                </c:pt>
                <c:pt idx="4">
                  <c:v>1.0613784513361271</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0.11600485275828015</c:v>
                </c:pt>
                <c:pt idx="1">
                  <c:v>0.11600485275828015</c:v>
                </c:pt>
                <c:pt idx="2">
                  <c:v>0.11600485275828015</c:v>
                </c:pt>
                <c:pt idx="3">
                  <c:v>0.11600485275828015</c:v>
                </c:pt>
                <c:pt idx="4">
                  <c:v>0.11600485275828015</c:v>
                </c:pt>
                <c:pt idx="5">
                  <c:v>0.11600485275828015</c:v>
                </c:pt>
                <c:pt idx="6">
                  <c:v>0.11600485275828015</c:v>
                </c:pt>
                <c:pt idx="7">
                  <c:v>0.11600485275828015</c:v>
                </c:pt>
                <c:pt idx="8">
                  <c:v>0.11600485275828015</c:v>
                </c:pt>
                <c:pt idx="9">
                  <c:v>0.11600485275828015</c:v>
                </c:pt>
                <c:pt idx="10">
                  <c:v>0.11600485275828015</c:v>
                </c:pt>
                <c:pt idx="11">
                  <c:v>0.11600485275828015</c:v>
                </c:pt>
                <c:pt idx="12">
                  <c:v>0.11600485275828015</c:v>
                </c:pt>
                <c:pt idx="13">
                  <c:v>0.11600485275828015</c:v>
                </c:pt>
                <c:pt idx="14">
                  <c:v>0.11600485275828015</c:v>
                </c:pt>
                <c:pt idx="15">
                  <c:v>0.11600485275828015</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DE"/>
          </a:p>
        </c:txPr>
        <c:crossAx val="434382112"/>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CHG'!$U$8:$AJ$8</c:f>
              <c:numCache>
                <c:formatCode>General</c:formatCode>
                <c:ptCount val="16"/>
                <c:pt idx="0">
                  <c:v>0.12646172416157422</c:v>
                </c:pt>
                <c:pt idx="1">
                  <c:v>0.12646172416157422</c:v>
                </c:pt>
                <c:pt idx="2">
                  <c:v>0.12646172416157422</c:v>
                </c:pt>
                <c:pt idx="3">
                  <c:v>0.12646172416157422</c:v>
                </c:pt>
                <c:pt idx="4">
                  <c:v>0.12646172416157422</c:v>
                </c:pt>
                <c:pt idx="5">
                  <c:v>0.12646172416157422</c:v>
                </c:pt>
                <c:pt idx="6">
                  <c:v>0.12646172416157422</c:v>
                </c:pt>
                <c:pt idx="7">
                  <c:v>0.12646172416157422</c:v>
                </c:pt>
                <c:pt idx="8">
                  <c:v>0.12646172416157422</c:v>
                </c:pt>
                <c:pt idx="9">
                  <c:v>0.12646172416157422</c:v>
                </c:pt>
                <c:pt idx="10">
                  <c:v>0.12646172416157422</c:v>
                </c:pt>
                <c:pt idx="11">
                  <c:v>0.12646172416157422</c:v>
                </c:pt>
                <c:pt idx="12">
                  <c:v>0.12646172416157422</c:v>
                </c:pt>
                <c:pt idx="13">
                  <c:v>0.12646172416157422</c:v>
                </c:pt>
                <c:pt idx="14">
                  <c:v>0.12646172416157422</c:v>
                </c:pt>
                <c:pt idx="15">
                  <c:v>0.12646172416157422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CHG'!$U$9:$AJ$9</c:f>
              <c:numCache>
                <c:formatCode>General</c:formatCode>
                <c:ptCount val="16"/>
                <c:pt idx="0">
                  <c:v>1.3533268911141179</c:v>
                </c:pt>
                <c:pt idx="1">
                  <c:v>1.3533268911141179</c:v>
                </c:pt>
                <c:pt idx="2">
                  <c:v>1.3533268911141179</c:v>
                </c:pt>
                <c:pt idx="3">
                  <c:v>1.3533268911141179</c:v>
                </c:pt>
                <c:pt idx="4">
                  <c:v>1.3533268911141179</c:v>
                </c:pt>
                <c:pt idx="5">
                  <c:v>1.3533268911141179</c:v>
                </c:pt>
                <c:pt idx="6">
                  <c:v>1.3533268911141179</c:v>
                </c:pt>
                <c:pt idx="7">
                  <c:v>1.3533268911141179</c:v>
                </c:pt>
                <c:pt idx="8">
                  <c:v>1.3533268911141179</c:v>
                </c:pt>
                <c:pt idx="9">
                  <c:v>1.3533268911141179</c:v>
                </c:pt>
                <c:pt idx="10">
                  <c:v>1.3533268911141179</c:v>
                </c:pt>
                <c:pt idx="11">
                  <c:v>1.3533268911141179</c:v>
                </c:pt>
                <c:pt idx="12">
                  <c:v>1.3533268911141179</c:v>
                </c:pt>
                <c:pt idx="13">
                  <c:v>1.3533268911141179</c:v>
                </c:pt>
                <c:pt idx="14">
                  <c:v>1.3533268911141179</c:v>
                </c:pt>
                <c:pt idx="15">
                  <c:v>1.3533268911141179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CHG'!$U$10:$AJ$10</c:f>
              <c:numCache>
                <c:formatCode>General</c:formatCode>
                <c:ptCount val="16"/>
                <c:pt idx="0">
                  <c:v>1.1466731088858821</c:v>
                </c:pt>
                <c:pt idx="1">
                  <c:v>1.1466731088858821</c:v>
                </c:pt>
                <c:pt idx="2">
                  <c:v>1.1466731088858821</c:v>
                </c:pt>
                <c:pt idx="3">
                  <c:v>1.1466731088858821</c:v>
                </c:pt>
                <c:pt idx="4">
                  <c:v>1.1466731088858821</c:v>
                </c:pt>
                <c:pt idx="5">
                  <c:v>1.1466731088858821</c:v>
                </c:pt>
                <c:pt idx="6">
                  <c:v>1.1466731088858821</c:v>
                </c:pt>
                <c:pt idx="7">
                  <c:v>1.1466731088858821</c:v>
                </c:pt>
                <c:pt idx="8">
                  <c:v>1.1466731088858821</c:v>
                </c:pt>
                <c:pt idx="9">
                  <c:v>1.1466731088858821</c:v>
                </c:pt>
                <c:pt idx="10">
                  <c:v>1.1466731088858821</c:v>
                </c:pt>
                <c:pt idx="11">
                  <c:v>1.1466731088858821</c:v>
                </c:pt>
                <c:pt idx="12">
                  <c:v>1.1466731088858821</c:v>
                </c:pt>
                <c:pt idx="13">
                  <c:v>1.1466731088858821</c:v>
                </c:pt>
                <c:pt idx="14">
                  <c:v>1.1466731088858821</c:v>
                </c:pt>
                <c:pt idx="15">
                  <c:v>1.1466731088858821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71DC34CB-4EED-42B2-9D4D-5753D2EFBE6C}"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099CC99A-D9C8-4483-828F-80BACE78DD8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FC1E2435-DA7B-42FC-92D8-3CBB129BBF0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9AC0607D-E748-4DB3-ABA7-4B189A3B1C7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61940CBF-4143-482C-80DE-3FC0B921E3F5}"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A28A080F-E748-4D29-8D3D-FED38099C05F}"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24ED8E73-B9A5-4371-8223-0CF71CB302A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350E16E2-45C6-4CE9-88DC-AB220403EA82}"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C9A040C4-1C70-4110-AC62-CD8F5DC0694C}"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F80957C2-5770-4343-85C3-E53EEF64C01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4D0C3814-FB5B-417C-A351-07389C63544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6E22BD1B-7100-41E3-B5A1-58FCCF5BEFF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7859B556-19EC-4404-8406-EC95502431C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B35B2A1D-754B-423A-881C-A3952DB762A1}"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8.8997939015094063E-2</c:v>
                  </c:pt>
                  <c:pt idx="2">
                    <c:v>0.12729861816727336</c:v>
                  </c:pt>
                  <c:pt idx="3">
                    <c:v>0.12310773809867062</c:v>
                  </c:pt>
                  <c:pt idx="4">
                    <c:v>0.11479676992392825</c:v>
                  </c:pt>
                  <c:pt idx="5">
                    <c:v>0.11617582458524706</c:v>
                  </c:pt>
                  <c:pt idx="6">
                    <c:v>#N/A</c:v>
                  </c:pt>
                  <c:pt idx="7">
                    <c:v>#N/A</c:v>
                  </c:pt>
                  <c:pt idx="8">
                    <c:v>#N/A</c:v>
                  </c:pt>
                  <c:pt idx="9">
                    <c:v>#N/A</c:v>
                  </c:pt>
                  <c:pt idx="10">
                    <c:v>#N/A</c:v>
                  </c:pt>
                  <c:pt idx="11">
                    <c:v>#N/A</c:v>
                  </c:pt>
                  <c:pt idx="12">
                    <c:v>#N/A</c:v>
                  </c:pt>
                  <c:pt idx="13">
                    <c:v>#N/A</c:v>
                  </c:pt>
                  <c:pt idx="14">
                    <c:v>#N/A</c:v>
                  </c:pt>
                </c:numCache>
              </c:numRef>
            </c:plus>
            <c:minus>
              <c:numRef>
                <c:f>'Graph format rapport CHG'!$U$4:$AJ$4</c:f>
                <c:numCache>
                  <c:formatCode>General</c:formatCode>
                  <c:ptCount val="16"/>
                  <c:pt idx="1">
                    <c:v>8.8997939015094063E-2</c:v>
                  </c:pt>
                  <c:pt idx="2">
                    <c:v>0.12729861816727336</c:v>
                  </c:pt>
                  <c:pt idx="3">
                    <c:v>0.12310773809867062</c:v>
                  </c:pt>
                  <c:pt idx="4">
                    <c:v>0.11479676992392825</c:v>
                  </c:pt>
                  <c:pt idx="5">
                    <c:v>0.11617582458524706</c:v>
                  </c:pt>
                  <c:pt idx="6">
                    <c:v>#N/A</c:v>
                  </c:pt>
                  <c:pt idx="7">
                    <c:v>#N/A</c:v>
                  </c:pt>
                  <c:pt idx="8">
                    <c:v>#N/A</c:v>
                  </c:pt>
                  <c:pt idx="9">
                    <c:v>#N/A</c:v>
                  </c:pt>
                  <c:pt idx="10">
                    <c:v>#N/A</c:v>
                  </c:pt>
                  <c:pt idx="11">
                    <c:v>#N/A</c:v>
                  </c:pt>
                  <c:pt idx="12">
                    <c:v>#N/A</c:v>
                  </c:pt>
                  <c:pt idx="13">
                    <c:v>#N/A</c:v>
                  </c:pt>
                  <c:pt idx="14">
                    <c:v>#N/A</c:v>
                  </c:pt>
                </c:numCache>
              </c:numRef>
            </c:minus>
          </c:errBars>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CHG'!$U$3:$AJ$3</c:f>
              <c:numCache>
                <c:formatCode>General</c:formatCode>
                <c:ptCount val="16"/>
                <c:pt idx="1">
                  <c:v>1.295990443584083</c:v>
                </c:pt>
                <c:pt idx="2">
                  <c:v>1.6188687674245983</c:v>
                </c:pt>
                <c:pt idx="3">
                  <c:v>1.6671982011063793</c:v>
                </c:pt>
                <c:pt idx="4">
                  <c:v>1.5739308181352347</c:v>
                </c:pt>
                <c:pt idx="5">
                  <c:v>1.6757802174923313</c:v>
                </c:pt>
                <c:pt idx="6">
                  <c:v>#N/A</c:v>
                </c:pt>
                <c:pt idx="7">
                  <c:v>#N/A</c:v>
                </c:pt>
                <c:pt idx="8">
                  <c:v>#N/A</c:v>
                </c:pt>
                <c:pt idx="9">
                  <c:v>#N/A</c:v>
                </c:pt>
                <c:pt idx="10">
                  <c:v>#N/A</c:v>
                </c:pt>
                <c:pt idx="11">
                  <c:v>#N/A</c:v>
                </c:pt>
                <c:pt idx="12">
                  <c:v>#N/A</c:v>
                </c:pt>
                <c:pt idx="13">
                  <c:v>#N/A</c:v>
                </c:pt>
                <c:pt idx="14">
                  <c:v>#N/A</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#N/A</c:v>
                  </c:pt>
                  <c:pt idx="7">
                    <c:v>#N/A</c:v>
                  </c:pt>
                  <c:pt idx="8">
                    <c:v>#N/A</c:v>
                  </c:pt>
                  <c:pt idx="9">
                    <c:v>#N/A</c:v>
                  </c:pt>
                  <c:pt idx="10">
                    <c:v>#N/A</c:v>
                  </c:pt>
                  <c:pt idx="11">
                    <c:v>#N/A</c:v>
                  </c:pt>
                  <c:pt idx="12">
                    <c:v>#N/A</c:v>
                  </c:pt>
                  <c:pt idx="13">
                    <c:v>#N/A</c:v>
                  </c:pt>
                  <c:pt idx="14">
                    <c:v>#N/A</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Triphénylphosphate-0,18mg/L + Testostérone</c:v>
                </c:pt>
                <c:pt idx="2">
                  <c:v>Triphénylphosphate-0,26mg/L + Testostérone</c:v>
                </c:pt>
                <c:pt idx="3">
                  <c:v>Triphénylphosphate-0,4mg/L + Testostérone</c:v>
                </c:pt>
                <c:pt idx="4">
                  <c:v>Triphénylphosphate-0,59mg/L + Testostérone</c:v>
                </c:pt>
                <c:pt idx="5">
                  <c:v>Triphénylphosphate-0,89mg/L + Testostérone</c:v>
                </c:pt>
                <c:pt idx="6">
                  <c:v>0</c:v>
                </c:pt>
                <c:pt idx="7">
                  <c:v>0</c:v>
                </c:pt>
                <c:pt idx="8">
                  <c:v>0</c:v>
                </c:pt>
                <c:pt idx="9">
                  <c:v>0</c:v>
                </c:pt>
                <c:pt idx="10">
                  <c:v>0</c:v>
                </c:pt>
                <c:pt idx="11">
                  <c:v>0</c:v>
                </c:pt>
                <c:pt idx="12">
                  <c:v>0</c:v>
                </c:pt>
                <c:pt idx="13">
                  <c:v>0</c:v>
                </c:pt>
                <c:pt idx="14">
                  <c:v>0</c:v>
                </c:pt>
              </c:strCache>
            </c:strRef>
          </c:cat>
          <c:val>
            <c:numRef>
              <c:f>'Graph format rapport CHG'!$U$7:$AJ$7</c:f>
              <c:numCache>
                <c:formatCode>General</c:formatCode>
                <c:ptCount val="16"/>
                <c:pt idx="0">
                  <c:v>1.0201445992977629</c:v>
                </c:pt>
                <c:pt idx="1">
                  <c:v>1.0201445992977629</c:v>
                </c:pt>
                <c:pt idx="2">
                  <c:v>1.0201445992977629</c:v>
                </c:pt>
                <c:pt idx="3">
                  <c:v>1.0201445992977629</c:v>
                </c:pt>
                <c:pt idx="4">
                  <c:v>1.0201445992977629</c:v>
                </c:pt>
                <c:pt idx="5">
                  <c:v>1.0201445992977629</c:v>
                </c:pt>
                <c:pt idx="6">
                  <c:v>1.0201445992977629</c:v>
                </c:pt>
                <c:pt idx="7">
                  <c:v>1.0201445992977629</c:v>
                </c:pt>
                <c:pt idx="8">
                  <c:v>1.0201445992977629</c:v>
                </c:pt>
                <c:pt idx="9">
                  <c:v>1.0201445992977629</c:v>
                </c:pt>
                <c:pt idx="10">
                  <c:v>1.0201445992977629</c:v>
                </c:pt>
                <c:pt idx="11">
                  <c:v>1.0201445992977629</c:v>
                </c:pt>
                <c:pt idx="12">
                  <c:v>1.0201445992977629</c:v>
                </c:pt>
                <c:pt idx="13">
                  <c:v>1.0201445992977629</c:v>
                </c:pt>
                <c:pt idx="14">
                  <c:v>1.0201445992977629</c:v>
                </c:pt>
                <c:pt idx="15">
                  <c:v>1.0201445992977629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DE"/>
          </a:p>
        </c:txPr>
        <c:crossAx val="434383288"/>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Triphénylphosphate-0,26mg/L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Triphénylphosphate-0,26mg/L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Triphénylphosphate-0,26mg/L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604F02E3-054B-4671-B8A0-91E95C2364A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2D830A7C-FE23-454E-83CE-4CE9760ADFB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2.0709205538260538E-2</c:v>
                  </c:pt>
                </c:numCache>
              </c:numRef>
            </c:plus>
            <c:minus>
              <c:numRef>
                <c:f>'Graph format rapport CHG 1éch'!$E$4:$G$4</c:f>
                <c:numCache>
                  <c:formatCode>General</c:formatCode>
                  <c:ptCount val="3"/>
                  <c:pt idx="1">
                    <c:v>2.0709205538260538E-2</c:v>
                  </c:pt>
                </c:numCache>
              </c:numRef>
            </c:minus>
          </c:errBars>
          <c:cat>
            <c:strRef>
              <c:f>'Graph format rapport CHG 1éch'!$E$2:$G$2</c:f>
              <c:strCache>
                <c:ptCount val="2"/>
                <c:pt idx="1">
                  <c:v>Triphénylphosphate-0,26mg/L</c:v>
                </c:pt>
              </c:strCache>
            </c:strRef>
          </c:cat>
          <c:val>
            <c:numRef>
              <c:f>'Graph format rapport CHG 1éch'!$E$3:$G$3</c:f>
              <c:numCache>
                <c:formatCode>General</c:formatCode>
                <c:ptCount val="3"/>
                <c:pt idx="1">
                  <c:v>0.12580410360235189</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0.11600485275828015</c:v>
                </c:pt>
                <c:pt idx="1">
                  <c:v>0.11600485275828015</c:v>
                </c:pt>
                <c:pt idx="2">
                  <c:v>0.11600485275828015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DE"/>
          </a:p>
        </c:txPr>
        <c:crossAx val="434384464"/>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Triphénylphosphate-0,18mg/L + Testostérone</c:v>
                </c:pt>
              </c:strCache>
            </c:strRef>
          </c:cat>
          <c:val>
            <c:numRef>
              <c:f>'Graph format rapport CHG 1éch'!$H$8:$J$8</c:f>
              <c:numCache>
                <c:formatCode>General</c:formatCode>
                <c:ptCount val="3"/>
                <c:pt idx="0">
                  <c:v>0.12646172416157422</c:v>
                </c:pt>
                <c:pt idx="1">
                  <c:v>0.12646172416157422</c:v>
                </c:pt>
                <c:pt idx="2">
                  <c:v>0.12646172416157422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Triphénylphosphate-0,18mg/L + Testostérone</c:v>
                </c:pt>
              </c:strCache>
            </c:strRef>
          </c:cat>
          <c:val>
            <c:numRef>
              <c:f>'Graph format rapport CHG 1éch'!$H$9:$J$9</c:f>
              <c:numCache>
                <c:formatCode>General</c:formatCode>
                <c:ptCount val="3"/>
                <c:pt idx="0">
                  <c:v>1.3533268911141179</c:v>
                </c:pt>
                <c:pt idx="1">
                  <c:v>1.3533268911141179</c:v>
                </c:pt>
                <c:pt idx="2">
                  <c:v>1.3533268911141179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Triphénylphosphate-0,18mg/L + Testostérone</c:v>
                </c:pt>
              </c:strCache>
            </c:strRef>
          </c:cat>
          <c:val>
            <c:numRef>
              <c:f>'Graph format rapport CHG 1éch'!$H$10:$J$10</c:f>
              <c:numCache>
                <c:formatCode>General</c:formatCode>
                <c:ptCount val="3"/>
                <c:pt idx="0">
                  <c:v>1.1466731088858821</c:v>
                </c:pt>
                <c:pt idx="1">
                  <c:v>1.1466731088858821</c:v>
                </c:pt>
                <c:pt idx="2">
                  <c:v>1.1466731088858821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7B5DC0E0-86EA-4369-A479-45980260BC09}"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A85618C4-0A65-4E53-997E-4C3357F433DA}"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8.8997939015094063E-2</c:v>
                  </c:pt>
                </c:numCache>
              </c:numRef>
            </c:plus>
            <c:minus>
              <c:numRef>
                <c:f>'Graph format rapport CHG 1éch'!$H$4:$J$4</c:f>
                <c:numCache>
                  <c:formatCode>General</c:formatCode>
                  <c:ptCount val="3"/>
                  <c:pt idx="1">
                    <c:v>8.8997939015094063E-2</c:v>
                  </c:pt>
                </c:numCache>
              </c:numRef>
            </c:minus>
          </c:errBars>
          <c:cat>
            <c:strRef>
              <c:f>'Graph format rapport CHG 1éch'!$H$2:$J$2</c:f>
              <c:strCache>
                <c:ptCount val="2"/>
                <c:pt idx="1">
                  <c:v>Triphénylphosphate-0,18mg/L + Testostérone</c:v>
                </c:pt>
              </c:strCache>
            </c:strRef>
          </c:cat>
          <c:val>
            <c:numRef>
              <c:f>'Graph format rapport CHG 1éch'!$H$3:$J$3</c:f>
              <c:numCache>
                <c:formatCode>General</c:formatCode>
                <c:ptCount val="3"/>
                <c:pt idx="1">
                  <c:v>1.295990443584083</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Triphénylphosphate-0,18mg/L + Testostérone</c:v>
                </c:pt>
              </c:strCache>
            </c:strRef>
          </c:cat>
          <c:val>
            <c:numRef>
              <c:f>'Graph format rapport CHG 1éch'!$H$7:$J$7</c:f>
              <c:numCache>
                <c:formatCode>General</c:formatCode>
                <c:ptCount val="3"/>
                <c:pt idx="0">
                  <c:v>1.0201445992977629</c:v>
                </c:pt>
                <c:pt idx="1">
                  <c:v>1.0201445992977629</c:v>
                </c:pt>
                <c:pt idx="2">
                  <c:v>1.0201445992977629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DE"/>
          </a:p>
        </c:txPr>
        <c:crossAx val="434385640"/>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Triphénylphosphate-0,26mg/L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Triphénylphosphate-0,26mg/L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Triphénylphosphate-0,26mg/L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B54B0F6B-5EFC-4BD0-A001-17E6F25947A4}"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71D0021A-7FB9-4B71-92CF-CCC019779EDB}"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2.0709205538260538E-2</c:v>
                  </c:pt>
                </c:numCache>
              </c:numRef>
            </c:plus>
            <c:minus>
              <c:numRef>
                <c:f>'Graph format rapport CHG 1éch'!$E$4:$G$4</c:f>
                <c:numCache>
                  <c:formatCode>General</c:formatCode>
                  <c:ptCount val="3"/>
                  <c:pt idx="1">
                    <c:v>2.0709205538260538E-2</c:v>
                  </c:pt>
                </c:numCache>
              </c:numRef>
            </c:minus>
          </c:errBars>
          <c:cat>
            <c:strRef>
              <c:f>'Graph format rapport CHG 1éch'!$E$2:$G$2</c:f>
              <c:strCache>
                <c:ptCount val="2"/>
                <c:pt idx="1">
                  <c:v>Triphénylphosphate-0,26mg/L</c:v>
                </c:pt>
              </c:strCache>
            </c:strRef>
          </c:cat>
          <c:val>
            <c:numRef>
              <c:f>'Graph format rapport CHG 1éch'!$E$3:$G$3</c:f>
              <c:numCache>
                <c:formatCode>General</c:formatCode>
                <c:ptCount val="3"/>
                <c:pt idx="1">
                  <c:v>0.12580410360235189</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0.11600485275828015</c:v>
                </c:pt>
                <c:pt idx="1">
                  <c:v>0.11600485275828015</c:v>
                </c:pt>
                <c:pt idx="2">
                  <c:v>0.11600485275828015</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DE"/>
          </a:p>
        </c:txPr>
        <c:crossAx val="434386816"/>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Triphénylphosphate-0,18mg/L + Testostérone</c:v>
                </c:pt>
              </c:strCache>
            </c:strRef>
          </c:cat>
          <c:val>
            <c:numRef>
              <c:f>'Graph format rapport CHG 1éch'!$H$8:$J$8</c:f>
              <c:numCache>
                <c:formatCode>General</c:formatCode>
                <c:ptCount val="3"/>
                <c:pt idx="0">
                  <c:v>0.12646172416157422</c:v>
                </c:pt>
                <c:pt idx="1">
                  <c:v>0.12646172416157422</c:v>
                </c:pt>
                <c:pt idx="2">
                  <c:v>0.12646172416157422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Triphénylphosphate-0,18mg/L + Testostérone</c:v>
                </c:pt>
              </c:strCache>
            </c:strRef>
          </c:cat>
          <c:val>
            <c:numRef>
              <c:f>'Graph format rapport CHG 1éch'!$H$9:$J$9</c:f>
              <c:numCache>
                <c:formatCode>General</c:formatCode>
                <c:ptCount val="3"/>
                <c:pt idx="0">
                  <c:v>1.3533268911141179</c:v>
                </c:pt>
                <c:pt idx="1">
                  <c:v>1.3533268911141179</c:v>
                </c:pt>
                <c:pt idx="2">
                  <c:v>1.3533268911141179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Triphénylphosphate-0,18mg/L + Testostérone</c:v>
                </c:pt>
              </c:strCache>
            </c:strRef>
          </c:cat>
          <c:val>
            <c:numRef>
              <c:f>'Graph format rapport CHG 1éch'!$H$10:$J$10</c:f>
              <c:numCache>
                <c:formatCode>General</c:formatCode>
                <c:ptCount val="3"/>
                <c:pt idx="0">
                  <c:v>1.1466731088858821</c:v>
                </c:pt>
                <c:pt idx="1">
                  <c:v>1.1466731088858821</c:v>
                </c:pt>
                <c:pt idx="2">
                  <c:v>1.1466731088858821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42462CD-7C28-4875-BBAB-D60F843B6A1E}"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550FA814-E08F-4547-887B-92C4A6BB4EE6}" type="CELLRANGE">
                      <a:rPr lang="en-DE"/>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DE"/>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8.8997939015094063E-2</c:v>
                  </c:pt>
                </c:numCache>
              </c:numRef>
            </c:plus>
            <c:minus>
              <c:numRef>
                <c:f>'Graph format rapport CHG 1éch'!$H$4:$J$4</c:f>
                <c:numCache>
                  <c:formatCode>General</c:formatCode>
                  <c:ptCount val="3"/>
                  <c:pt idx="1">
                    <c:v>8.8997939015094063E-2</c:v>
                  </c:pt>
                </c:numCache>
              </c:numRef>
            </c:minus>
          </c:errBars>
          <c:cat>
            <c:strRef>
              <c:f>'Graph format rapport CHG 1éch'!$H$2:$J$2</c:f>
              <c:strCache>
                <c:ptCount val="2"/>
                <c:pt idx="1">
                  <c:v>Triphénylphosphate-0,18mg/L + Testostérone</c:v>
                </c:pt>
              </c:strCache>
            </c:strRef>
          </c:cat>
          <c:val>
            <c:numRef>
              <c:f>'Graph format rapport CHG 1éch'!$H$3:$J$3</c:f>
              <c:numCache>
                <c:formatCode>General</c:formatCode>
                <c:ptCount val="3"/>
                <c:pt idx="1">
                  <c:v>1.295990443584083</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Triphénylphosphate-0,18mg/L + Testostérone</c:v>
                </c:pt>
              </c:strCache>
            </c:strRef>
          </c:cat>
          <c:val>
            <c:numRef>
              <c:f>'Graph format rapport CHG 1éch'!$H$7:$J$7</c:f>
              <c:numCache>
                <c:formatCode>General</c:formatCode>
                <c:ptCount val="3"/>
                <c:pt idx="0">
                  <c:v>1.0201445992977629</c:v>
                </c:pt>
                <c:pt idx="1">
                  <c:v>1.0201445992977629</c:v>
                </c:pt>
                <c:pt idx="2">
                  <c:v>1.0201445992977629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DE"/>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DE"/>
          </a:p>
        </c:txPr>
        <c:crossAx val="434387992"/>
        <c:crosses val="autoZero"/>
        <c:crossBetween val="midCat"/>
        <c:majorUnit val="0.2"/>
      </c:valAx>
    </c:plotArea>
    <c:plotVisOnly val="1"/>
    <c:dispBlanksAs val="zero"/>
    <c:showDLblsOverMax val="0"/>
  </c:chart>
  <c:spPr>
    <a:ln>
      <a:noFill/>
    </a:ln>
  </c:spPr>
  <c:txPr>
    <a:bodyPr/>
    <a:lstStyle/>
    <a:p>
      <a:pPr>
        <a:defRPr sz="1000"/>
      </a:pPr>
      <a:endParaRPr lang="en-DE"/>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1"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1"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0"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5984" cy="6068934"/>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5984" cy="6068934"/>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5984" cy="6068934"/>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3679" cy="606878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75.39241458333" createdVersion="5" refreshedVersion="7" minRefreshableVersion="3" recordCount="1556" xr:uid="{00000000-000A-0000-FFFF-FFFF0C000000}">
  <cacheSource type="worksheet">
    <worksheetSource name="Tableau4"/>
  </cacheSource>
  <cacheFields count="10">
    <cacheField name="Nom groupe" numFmtId="0">
      <sharedItems containsBlank="1" count="23">
        <s v="01 TS"/>
        <s v=""/>
        <s v="02 EE2 34"/>
        <s v="03 EE2 51"/>
        <s v="04 EE2 76"/>
        <s v="05 EE2 114"/>
        <s v="06 EE2 171"/>
        <s v="07 EE2 488"/>
        <s v="08 TRIPHENYLP 0.18"/>
        <s v="09 TRIPHENYLP 0.26"/>
        <s v="10 TRIPHENYLP 0.4"/>
        <s v="11 TRIPHENYLP 0.59"/>
        <s v="12 TRIPHENYLP 0.89"/>
        <s v="01 TESTO"/>
        <s v="02 TESTO"/>
        <s v="03 TESTO + EE2"/>
        <s v="04 TESTO + FAD"/>
        <s v="05 TRIPHENYLP 0.18 + TESTO"/>
        <s v="06 TRIPHENYLP 0.26 + TESTO"/>
        <s v="07 TRIPHENYLP 0.4 + TESTO"/>
        <s v="08 TRIPHENYLP 0.59 + TESTO"/>
        <s v="09 TRIPHENYLP 0.89 + TESTO"/>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24">
        <m/>
        <s v=" "/>
        <s v=" SD mean fluo "/>
        <s v=" 5.948 "/>
        <s v=" 7.747 "/>
        <s v=" 6.2655 "/>
        <s v=" 8.3638 "/>
        <s v=" 3.6724 "/>
        <s v=" 6.2833 "/>
        <s v=" 3.7543 "/>
        <s v=" 3.3391 "/>
        <s v=" 7.8276 "/>
        <s v=" 4.7769 "/>
        <s v=" 4.399 "/>
        <s v=" 6.1287 "/>
        <s v=" 3.2389 "/>
        <s v=" 3.2842 "/>
        <s v=" 5.0448 "/>
        <s v=" 3.638 "/>
        <s v=" 4.6634 "/>
        <s v=" 7.9673 "/>
        <s v=" 6.4549 "/>
        <s v=" 5.8135 "/>
        <s v=" 9.8694 "/>
      </sharedItems>
    </cacheField>
    <cacheField name=" total fluorescence" numFmtId="0">
      <sharedItems containsBlank="1" containsMixedTypes="1" containsNumber="1" containsInteger="1" minValue="17910" maxValue="8464665"/>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75.392414699076" createdVersion="5" refreshedVersion="7" minRefreshableVersion="3" recordCount="1530" xr:uid="{00000000-000A-0000-FFFF-FFFF10000000}">
  <cacheSource type="worksheet">
    <worksheetSource name="Tableau46"/>
  </cacheSource>
  <cacheFields count="10">
    <cacheField name="Nom groupe" numFmtId="0">
      <sharedItems count="22">
        <s v="01 TS"/>
        <s v=""/>
        <s v="02 EE2 34"/>
        <s v="03 EE2 51"/>
        <s v="04 EE2 76"/>
        <s v="05 EE2 114"/>
        <s v="06 EE2 171"/>
        <s v="07 EE2 488"/>
        <s v="08 TriphenylP 0.18"/>
        <s v="09 TriphenylP 0.26"/>
        <s v="10 TriphenylP 0.4"/>
        <s v="11 TriphenylP 0.59"/>
        <s v="12 TriphenylP 0.89"/>
        <s v="13 TESTO"/>
        <s v="14 TESTO"/>
        <s v="15 TESTO + EE2"/>
        <s v="16 TESTO + FAD"/>
        <s v="17 TriphenylP 0.18 + TESTO"/>
        <s v="18  TriphenylP 0.26 + TESTO"/>
        <s v="19  TriphenylP 0.4 + TESTO"/>
        <s v="20  TriphenylP 0.59 + TESTO"/>
        <s v="21 TriphenylP 0.89 + TESTO"/>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4" maxValue="64"/>
    </cacheField>
    <cacheField name=" " numFmtId="0">
      <sharedItems containsBlank="1" count="24">
        <m/>
        <s v=" "/>
        <s v=" SD mean fluo "/>
        <s v=" 3.746 "/>
        <s v=" 2.5938 "/>
        <s v=" 3.0444 "/>
        <s v=" 5.272 "/>
        <s v=" 5.1426 "/>
        <s v=" 4.8566 "/>
        <s v=" 6.8808 "/>
        <s v=" 2.4869 "/>
        <s v=" 3.8408 "/>
        <s v=" 1.312 "/>
        <s v=" 2.8931 "/>
        <s v=" 7.0455 "/>
        <s v=" 5.1517 "/>
        <s v=" 3.9801 "/>
        <s v=" 7.6389 "/>
        <s v=" 2.0194 "/>
        <s v=" 3.9292 "/>
        <s v=" 5.382 "/>
        <s v=" 5.9845 "/>
        <s v=" 3.8373 "/>
        <s v=" 6.1641 "/>
      </sharedItems>
    </cacheField>
    <cacheField name=" total fluorescence" numFmtId="0">
      <sharedItems containsBlank="1" containsMixedTypes="1" containsNumber="1" containsInteger="1" minValue="15379" maxValue="7428484"/>
    </cacheField>
    <cacheField name="         " numFmtId="0">
      <sharedItems containsBlank="1" containsMixedTypes="1" containsNumber="1" containsInteger="1" minValue="572250" maxValue="572250"/>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75.392415046299" createdVersion="5" refreshedVersion="7" minRefreshableVersion="3" recordCount="1710" xr:uid="{00000000-000A-0000-FFFF-FFFF14000000}">
  <cacheSource type="worksheet">
    <worksheetSource name="Tableau467"/>
  </cacheSource>
  <cacheFields count="9">
    <cacheField name="Nom groupe" numFmtId="0">
      <sharedItems count="22">
        <s v="01 TS"/>
        <s v=""/>
        <s v="02 EE2 34"/>
        <s v="03 EE2 51"/>
        <s v="04 EE2 76"/>
        <s v="05 EE2 114"/>
        <s v="06 EE2 171"/>
        <s v="07 EE2 488"/>
        <s v="08 TRIPHENYLP 0.18"/>
        <s v="09 TRIPHENY P 0.26"/>
        <s v="10 TRIPHENYLP 0.4"/>
        <s v="11 TRIPHENYLP 0.59"/>
        <s v="12 TRIPHENYLP 0.89"/>
        <s v="13 TESTO"/>
        <s v="14 TESTO"/>
        <s v="15 TESTO + EE2"/>
        <s v="16 TESTO + FAD"/>
        <s v="17 TRIPHENYLP 0.18 + TESTO"/>
        <s v="18  TRIPHENYLP 0.26 + TESTO"/>
        <s v="19  TRIPHENYLP 0.4 + TESTO"/>
        <s v="20  TRIPHENYLP 0.59 + TESTO"/>
        <s v="21  TRIPHENYLP 0.89 + TESTO"/>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acheField>
    <cacheField name=" " numFmtId="0">
      <sharedItems containsBlank="1" count="24">
        <s v=" "/>
        <m/>
        <s v=" SD mean fluo "/>
        <s v=" 4.2201 "/>
        <s v=" 3.7052 "/>
        <s v=" 2.4272 "/>
        <s v=" 2.9454 "/>
        <s v=" 5.0932 "/>
        <s v=" 4.6902 "/>
        <s v=" 5.2297 "/>
        <s v=" 7.4753 "/>
        <s v=" 2.8148 "/>
        <s v=" 8.0533 "/>
        <s v=" 6.8122 "/>
        <s v=" 5.2581 "/>
        <s v=" 2.2501 "/>
        <s v=" 3.5463 "/>
        <s v=" 4.9721 "/>
        <s v=" 5.5073 "/>
        <s v=" 3.9716 "/>
        <s v=" 4.3794 "/>
        <s v=" 3.1823 "/>
        <s v=" 5.0452 "/>
        <s v=" 7.4874 "/>
      </sharedItems>
    </cacheField>
    <cacheField name=" total fluorescence" numFmtId="0">
      <sharedItems containsBlank="1" containsMixedTypes="1" containsNumber="1" containsInteger="1" minValue="16893" maxValue="8622779"/>
    </cacheField>
    <cacheField name="         " numFmtId="0">
      <sharedItems containsBlank="1"/>
    </cacheField>
    <cacheField name="nbre de larves" numFmtId="0">
      <sharedItems containsBlank="1" containsMixedTypes="1" containsNumber="1" containsInteger="1" minValue="23"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75.392415277776" createdVersion="6" refreshedVersion="7" minRefreshableVersion="3" recordCount="52" xr:uid="{8DEF666A-6C7D-4C16-AD6D-82242760D5D9}">
  <cacheSource type="worksheet">
    <worksheetSource name="liste_groupe"/>
  </cacheSource>
  <cacheFields count="6">
    <cacheField name="Nom sur le graphique" numFmtId="0">
      <sharedItems count="23">
        <s v="Témoin solvant"/>
        <s v="EE2-22,5ng/L"/>
        <s v="EE2-33,8ng/L"/>
        <s v="EE2-50,6ng/L"/>
        <s v="EE2-76ng/L"/>
        <s v="EE2-114ng/L"/>
        <s v="EE2-170,9ng/L"/>
        <s v="EE2-488ng/L"/>
        <s v="Triphénylphosphate-0,18mg/L"/>
        <s v="Triphénylphosphate-0,26mg/L"/>
        <s v="Triphénylphosphate-0,4mg/L"/>
        <s v="Triphénylphosphate-0,59mg/L"/>
        <s v="Triphénylphosphate-0,89mg/L"/>
        <s v=" "/>
        <s v="Testo -30µg/L"/>
        <s v="Testo 30µg/L + EE2 -64ng/L"/>
        <s v="Testo 30µg/L + FAD-10mg/L"/>
        <s v="Triphénylphosphate-0,18mg/L + Testostérone"/>
        <s v="Triphénylphosphate-0,26mg/L + Testostérone"/>
        <s v="Triphénylphosphate-0,4mg/L + Testostérone"/>
        <s v="Triphénylphosphate-0,59mg/L + Testostérone"/>
        <s v="Triphénylphosphate-0,89mg/L + Testostérone"/>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192.168.24.208\images\R&amp;D\Coralie\Triphenylphosphate\2021-CHG-CBA-TRIPHENYLP\plaque 1/@01 TS/A1_01- exclu.tif"/>
    <m/>
    <m/>
    <x v="0"/>
    <m/>
    <m/>
    <m/>
    <m/>
  </r>
  <r>
    <x v="0"/>
    <x v="0"/>
    <s v="\\192.168.24.208\images\R&amp;D\Coralie\Triphenylphosphate\2021-CHG-CBA-TRIPHENYLP\plaque 1/@01 TS/A1_02.tif "/>
    <s v=" 9062.9258 "/>
    <s v=" 76.9189 "/>
    <x v="1"/>
    <n v="697110"/>
    <m/>
    <m/>
    <m/>
  </r>
  <r>
    <x v="0"/>
    <x v="0"/>
    <s v="\\192.168.24.208\images\R&amp;D\Coralie\Triphenylphosphate\2021-CHG-CBA-TRIPHENYLP\plaque 1/@01 TS/A1_03.tif "/>
    <s v=" 9560.4134 "/>
    <s v=" 79.6335 "/>
    <x v="1"/>
    <n v="761329"/>
    <m/>
    <m/>
    <m/>
  </r>
  <r>
    <x v="0"/>
    <x v="1"/>
    <s v="\\192.168.24.208\images\R&amp;D\Coralie\Triphenylphosphate\2021-CHG-CBA-TRIPHENYLP\plaque 1/@01 TS/B1_01.tif "/>
    <s v=" 3828.4913 "/>
    <s v=" 69.1695 "/>
    <x v="1"/>
    <n v="264815"/>
    <m/>
    <m/>
    <m/>
  </r>
  <r>
    <x v="0"/>
    <x v="1"/>
    <s v="\\192.168.24.208\images\R&amp;D\Coralie\Triphenylphosphate\2021-CHG-CBA-TRIPHENYLP\plaque 1/@01 TS/B1_02- exclu.tif"/>
    <m/>
    <m/>
    <x v="0"/>
    <m/>
    <m/>
    <m/>
    <m/>
  </r>
  <r>
    <x v="0"/>
    <x v="1"/>
    <s v="\\192.168.24.208\images\R&amp;D\Coralie\Triphenylphosphate\2021-CHG-CBA-TRIPHENYLP\plaque 1/@01 TS/B1_03.tif "/>
    <s v=" 4434.1284 "/>
    <s v=" 67.7951 "/>
    <x v="1"/>
    <n v="300612"/>
    <m/>
    <m/>
    <m/>
  </r>
  <r>
    <x v="0"/>
    <x v="2"/>
    <s v="\\192.168.24.208\images\R&amp;D\Coralie\Triphenylphosphate\2021-CHG-CBA-TRIPHENYLP\plaque 1/@01 TS/C1_01.tif "/>
    <s v=" 2638.8471 "/>
    <s v=" 67.082 "/>
    <x v="1"/>
    <n v="177019"/>
    <m/>
    <m/>
    <m/>
  </r>
  <r>
    <x v="0"/>
    <x v="2"/>
    <s v="\\192.168.24.208\images\R&amp;D\Coralie\Triphenylphosphate\2021-CHG-CBA-TRIPHENYLP\plaque 1/@01 TS/C1_02.tif "/>
    <s v=" 735.4164 "/>
    <s v=" 63.6765 "/>
    <x v="1"/>
    <n v="46829"/>
    <m/>
    <m/>
    <m/>
  </r>
  <r>
    <x v="0"/>
    <x v="2"/>
    <s v="\\192.168.24.208\images\R&amp;D\Coralie\Triphenylphosphate\2021-CHG-CBA-TRIPHENYLP\plaque 1/@01 TS/C1_03.tif "/>
    <s v=" 4866.7263 "/>
    <s v=" 67.4933 "/>
    <x v="1"/>
    <n v="328472"/>
    <m/>
    <m/>
    <m/>
  </r>
  <r>
    <x v="0"/>
    <x v="3"/>
    <s v="\\192.168.24.208\images\R&amp;D\Coralie\Triphenylphosphate\2021-CHG-CBA-TRIPHENYLP\plaque 1/@01 TS/D1_01.tif "/>
    <s v=" 11615.2534 "/>
    <s v=" 74.4115 "/>
    <x v="1"/>
    <n v="864309"/>
    <m/>
    <m/>
    <m/>
  </r>
  <r>
    <x v="0"/>
    <x v="3"/>
    <s v="\\192.168.24.208\images\R&amp;D\Coralie\Triphenylphosphate\2021-CHG-CBA-TRIPHENYLP\plaque 1/@01 TS/D1_02.tif "/>
    <s v=" 3201.2244 "/>
    <s v=" 65.9662 "/>
    <x v="1"/>
    <n v="211173"/>
    <m/>
    <m/>
    <m/>
  </r>
  <r>
    <x v="0"/>
    <x v="3"/>
    <s v="\\192.168.24.208\images\R&amp;D\Coralie\Triphenylphosphate\2021-CHG-CBA-TRIPHENYLP\plaque 1/@01 TS/D1_03- exclu.tif"/>
    <m/>
    <m/>
    <x v="0"/>
    <m/>
    <m/>
    <m/>
    <m/>
  </r>
  <r>
    <x v="0"/>
    <x v="4"/>
    <s v="\\192.168.24.208\images\R&amp;D\Coralie\Triphenylphosphate\2021-CHG-CBA-TRIPHENYLP\plaque 1/@01 TS/E1_01.tif "/>
    <s v=" 6597.1179 "/>
    <s v=" 68.3639 "/>
    <x v="1"/>
    <n v="451005"/>
    <m/>
    <m/>
    <m/>
  </r>
  <r>
    <x v="0"/>
    <x v="4"/>
    <s v="\\192.168.24.208\images\R&amp;D\Coralie\Triphenylphosphate\2021-CHG-CBA-TRIPHENYLP\plaque 1/@01 TS/E1_02.tif "/>
    <s v=" 3633.8223 "/>
    <s v=" 64.4762 "/>
    <x v="1"/>
    <n v="234295"/>
    <m/>
    <m/>
    <m/>
  </r>
  <r>
    <x v="0"/>
    <x v="4"/>
    <s v="\\192.168.24.208\images\R&amp;D\Coralie\Triphenylphosphate\2021-CHG-CBA-TRIPHENYLP\plaque 1/@01 TS/E1_03- exclu.tif"/>
    <m/>
    <m/>
    <x v="0"/>
    <m/>
    <m/>
    <m/>
    <m/>
  </r>
  <r>
    <x v="0"/>
    <x v="5"/>
    <s v="\\192.168.24.208\images\R&amp;D\Coralie\Triphenylphosphate\2021-CHG-CBA-TRIPHENYLP\plaque 1/@01 TS/F1_01.tif "/>
    <s v=" 12329.0399 "/>
    <s v=" 71.5526 "/>
    <x v="1"/>
    <n v="882175"/>
    <m/>
    <m/>
    <m/>
  </r>
  <r>
    <x v="0"/>
    <x v="5"/>
    <s v="\\192.168.24.208\images\R&amp;D\Coralie\Triphenylphosphate\2021-CHG-CBA-TRIPHENYLP\plaque 1/@01 TS/F1_02.tif "/>
    <s v=" 12631.8585 "/>
    <s v=" 71.5959 "/>
    <x v="1"/>
    <n v="904389"/>
    <m/>
    <m/>
    <m/>
  </r>
  <r>
    <x v="0"/>
    <x v="5"/>
    <s v="\\192.168.24.208\images\R&amp;D\Coralie\Triphenylphosphate\2021-CHG-CBA-TRIPHENYLP\plaque 1/@01 TS/F1_03- exclu.tif"/>
    <m/>
    <m/>
    <x v="0"/>
    <m/>
    <m/>
    <m/>
    <m/>
  </r>
  <r>
    <x v="0"/>
    <x v="6"/>
    <s v="\\192.168.24.208\images\R&amp;D\Coralie\Triphenylphosphate\2021-CHG-CBA-TRIPHENYLP\plaque 1/@01 TS/G1_01.tif "/>
    <s v=" 6056.3705 "/>
    <s v=" 67.525 "/>
    <x v="1"/>
    <n v="408956"/>
    <m/>
    <m/>
    <m/>
  </r>
  <r>
    <x v="0"/>
    <x v="6"/>
    <s v="\\192.168.24.208\images\R&amp;D\Coralie\Triphenylphosphate\2021-CHG-CBA-TRIPHENYLP\plaque 1/@01 TS/G1_02.tif "/>
    <s v=" 2768.6265 "/>
    <s v=" 65.0078 "/>
    <x v="1"/>
    <n v="179982"/>
    <m/>
    <m/>
    <m/>
  </r>
  <r>
    <x v="0"/>
    <x v="6"/>
    <s v="\\192.168.24.208\images\R&amp;D\Coralie\Triphenylphosphate\2021-CHG-CBA-TRIPHENYLP\plaque 1/@01 TS/G1_03.tif "/>
    <s v=" 4823.4665 "/>
    <s v=" 70.0628 "/>
    <x v="1"/>
    <n v="337945"/>
    <m/>
    <m/>
    <m/>
  </r>
  <r>
    <x v="0"/>
    <x v="7"/>
    <s v="\\192.168.24.208\images\R&amp;D\Coralie\Triphenylphosphate\2021-CHG-CBA-TRIPHENYLP\plaque 1/@01 TS/H1_01.tif "/>
    <s v=" 5796.8118 "/>
    <s v=" 70.2836 "/>
    <x v="1"/>
    <n v="407421"/>
    <m/>
    <m/>
    <m/>
  </r>
  <r>
    <x v="0"/>
    <x v="7"/>
    <s v="\\192.168.24.208\images\R&amp;D\Coralie\Triphenylphosphate\2021-CHG-CBA-TRIPHENYLP\plaque 1/@01 TS/H1_02.tif "/>
    <s v=" 1925.0606 "/>
    <s v=" 67.6404 "/>
    <x v="1"/>
    <n v="130212"/>
    <m/>
    <m/>
    <m/>
  </r>
  <r>
    <x v="0"/>
    <x v="7"/>
    <s v="\\192.168.24.208\images\R&amp;D\Coralie\Triphenylphosphate\2021-CHG-CBA-TRIPHENYLP\plaque 1/@01 TS/H1_03.tif "/>
    <s v=" 3655.4522 "/>
    <s v=" 67.2544 "/>
    <x v="1"/>
    <n v="245845"/>
    <m/>
    <m/>
    <m/>
  </r>
  <r>
    <x v="1"/>
    <x v="8"/>
    <s v=" "/>
    <m/>
    <m/>
    <x v="0"/>
    <m/>
    <m/>
    <m/>
    <m/>
  </r>
  <r>
    <x v="1"/>
    <x v="8"/>
    <s v="group "/>
    <s v=" "/>
    <s v=" mean of mean fluo "/>
    <x v="2"/>
    <s v=" mean of total fluo "/>
    <s v=" SD total fluo "/>
    <s v=" n fluorescent "/>
    <s v=" n total"/>
  </r>
  <r>
    <x v="0"/>
    <x v="9"/>
    <s v="\\192.168.24.208\images\R&amp;D\Coralie\Triphenylphosphate\2021-CHG-CBA-TRIPHENYLP\plaque 1/@01 TS/ "/>
    <s v=" "/>
    <s v=" 69.2368 "/>
    <x v="3"/>
    <s v=" 388801.792 "/>
    <s v=" 319828.21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
    <x v="0"/>
    <s v="\\192.168.24.208\images\R&amp;D\Coralie\Triphenylphosphate\2021-CHG-CBA-TRIPHENYLP\plaque 1/@02 EE2 34/A2_01.tif "/>
    <s v=" 6186.1499 "/>
    <s v=" 68.9301 "/>
    <x v="1"/>
    <n v="426412"/>
    <m/>
    <m/>
    <m/>
  </r>
  <r>
    <x v="2"/>
    <x v="0"/>
    <s v="\\192.168.24.208\images\R&amp;D\Coralie\Triphenylphosphate\2021-CHG-CBA-TRIPHENYLP\plaque 1/@02 EE2 34/A2_02.tif "/>
    <s v=" 7267.6446 "/>
    <s v=" 71.8125 "/>
    <x v="1"/>
    <n v="521908"/>
    <m/>
    <m/>
    <m/>
  </r>
  <r>
    <x v="2"/>
    <x v="0"/>
    <s v="\\192.168.24.208\images\R&amp;D\Coralie\Triphenylphosphate\2021-CHG-CBA-TRIPHENYLP\plaque 1/@02 EE2 34/A2_03.tif "/>
    <s v=" 4390.8686 "/>
    <s v=" 66.2118 "/>
    <x v="1"/>
    <n v="290727"/>
    <m/>
    <m/>
    <m/>
  </r>
  <r>
    <x v="2"/>
    <x v="1"/>
    <s v="\\192.168.24.208\images\R&amp;D\Coralie\Triphenylphosphate\2021-CHG-CBA-TRIPHENYLP\plaque 1/@02 EE2 34/B2_01.tif "/>
    <s v=" 10490.4989 "/>
    <s v=" 72.6928 "/>
    <x v="1"/>
    <n v="762584"/>
    <m/>
    <m/>
    <m/>
  </r>
  <r>
    <x v="2"/>
    <x v="1"/>
    <s v="\\192.168.24.208\images\R&amp;D\Coralie\Triphenylphosphate\2021-CHG-CBA-TRIPHENYLP\plaque 1/@02 EE2 34/B2_02- exclu.tif"/>
    <m/>
    <m/>
    <x v="0"/>
    <m/>
    <m/>
    <m/>
    <m/>
  </r>
  <r>
    <x v="2"/>
    <x v="1"/>
    <s v="\\192.168.24.208\images\R&amp;D\Coralie\Triphenylphosphate\2021-CHG-CBA-TRIPHENYLP\plaque 1/@02 EE2 34/B2_03.tif "/>
    <s v=" 8067.9507 "/>
    <s v=" 69.1609 "/>
    <x v="1"/>
    <n v="557986"/>
    <m/>
    <m/>
    <m/>
  </r>
  <r>
    <x v="2"/>
    <x v="2"/>
    <s v="\\192.168.24.208\images\R&amp;D\Coralie\Triphenylphosphate\2021-CHG-CBA-TRIPHENYLP\plaque 1/@02 EE2 34/C2_01.tif "/>
    <s v=" 5493.9932 "/>
    <s v=" 71.9331 "/>
    <x v="1"/>
    <n v="395200"/>
    <m/>
    <m/>
    <m/>
  </r>
  <r>
    <x v="2"/>
    <x v="2"/>
    <s v="\\192.168.24.208\images\R&amp;D\Coralie\Triphenylphosphate\2021-CHG-CBA-TRIPHENYLP\plaque 1/@02 EE2 34/C2_02.tif "/>
    <s v=" 1773.6514 "/>
    <s v=" 67.4634 "/>
    <x v="1"/>
    <n v="119657"/>
    <m/>
    <m/>
    <m/>
  </r>
  <r>
    <x v="2"/>
    <x v="2"/>
    <s v="\\192.168.24.208\images\R&amp;D\Coralie\Triphenylphosphate\2021-CHG-CBA-TRIPHENYLP\plaque 1/@02 EE2 34/C2_03.tif "/>
    <s v=" 2898.4059 "/>
    <s v=" 65.4851 "/>
    <x v="1"/>
    <n v="189802"/>
    <m/>
    <m/>
    <m/>
  </r>
  <r>
    <x v="2"/>
    <x v="3"/>
    <s v="\\192.168.24.208\images\R&amp;D\Coralie\Triphenylphosphate\2021-CHG-CBA-TRIPHENYLP\plaque 1/@02 EE2 34/D2_01.tif "/>
    <s v=" 3244.4842 "/>
    <s v=" 63.8 "/>
    <x v="1"/>
    <n v="206998"/>
    <m/>
    <m/>
    <m/>
  </r>
  <r>
    <x v="2"/>
    <x v="3"/>
    <s v="\\192.168.24.208\images\R&amp;D\Coralie\Triphenylphosphate\2021-CHG-CBA-TRIPHENYLP\plaque 1/@02 EE2 34/D2_02.tif "/>
    <s v=" 10122.7907 "/>
    <s v=" 70.0833 "/>
    <x v="1"/>
    <n v="709439"/>
    <m/>
    <m/>
    <m/>
  </r>
  <r>
    <x v="2"/>
    <x v="3"/>
    <s v="\\192.168.24.208\images\R&amp;D\Coralie\Triphenylphosphate\2021-CHG-CBA-TRIPHENYLP\plaque 1/@02 EE2 34/D2_03.tif "/>
    <s v=" 3439.1532 "/>
    <s v=" 63.8365 "/>
    <x v="1"/>
    <n v="219543"/>
    <m/>
    <m/>
    <m/>
  </r>
  <r>
    <x v="2"/>
    <x v="4"/>
    <s v="\\192.168.24.208\images\R&amp;D\Coralie\Triphenylphosphate\2021-CHG-CBA-TRIPHENYLP\plaque 1/@02 EE2 34/E2_01.tif "/>
    <s v=" 1427.573 "/>
    <s v=" 66.1364 "/>
    <x v="1"/>
    <n v="94414"/>
    <m/>
    <m/>
    <m/>
  </r>
  <r>
    <x v="2"/>
    <x v="4"/>
    <s v="\\192.168.24.208\images\R&amp;D\Coralie\Triphenylphosphate\2021-CHG-CBA-TRIPHENYLP\plaque 1/@02 EE2 34/E2_02.tif "/>
    <s v=" 1168.0143 "/>
    <s v=" 64.537 "/>
    <x v="1"/>
    <n v="75380"/>
    <m/>
    <m/>
    <m/>
  </r>
  <r>
    <x v="2"/>
    <x v="4"/>
    <s v="\\192.168.24.208\images\R&amp;D\Coralie\Triphenylphosphate\2021-CHG-CBA-TRIPHENYLP\plaque 1/@02 EE2 34/E2_03.tif "/>
    <s v=" 2098.0998 "/>
    <s v=" 67.5361 "/>
    <x v="1"/>
    <n v="141697"/>
    <m/>
    <m/>
    <m/>
  </r>
  <r>
    <x v="2"/>
    <x v="5"/>
    <s v="\\192.168.24.208\images\R&amp;D\Coralie\Triphenylphosphate\2021-CHG-CBA-TRIPHENYLP\plaque 1/@02 EE2 34/F2_01- exclu.tif"/>
    <m/>
    <m/>
    <x v="0"/>
    <m/>
    <m/>
    <m/>
    <m/>
  </r>
  <r>
    <x v="2"/>
    <x v="5"/>
    <s v="\\192.168.24.208\images\R&amp;D\Coralie\Triphenylphosphate\2021-CHG-CBA-TRIPHENYLP\plaque 1/@02 EE2 34/F2_02- exclu.tif"/>
    <m/>
    <m/>
    <x v="0"/>
    <m/>
    <m/>
    <m/>
    <m/>
  </r>
  <r>
    <x v="2"/>
    <x v="5"/>
    <s v="\\192.168.24.208\images\R&amp;D\Coralie\Triphenylphosphate\2021-CHG-CBA-TRIPHENYLP\plaque 1/@02 EE2 34/F2_03- exclu.tif"/>
    <m/>
    <m/>
    <x v="0"/>
    <m/>
    <m/>
    <m/>
    <m/>
  </r>
  <r>
    <x v="2"/>
    <x v="6"/>
    <s v="\\192.168.24.208\images\R&amp;D\Coralie\Triphenylphosphate\2021-CHG-CBA-TRIPHENYLP\plaque 1/@02 EE2 34/G2_01.tif "/>
    <s v=" 886.8257 "/>
    <s v=" 63.9756 "/>
    <x v="1"/>
    <n v="56735"/>
    <m/>
    <m/>
    <m/>
  </r>
  <r>
    <x v="2"/>
    <x v="6"/>
    <s v="\\192.168.24.208\images\R&amp;D\Coralie\Triphenylphosphate\2021-CHG-CBA-TRIPHENYLP\plaque 1/@02 EE2 34/G2_02.tif "/>
    <s v=" 7808.392 "/>
    <s v=" 89.0914 "/>
    <x v="1"/>
    <n v="695661"/>
    <m/>
    <m/>
    <m/>
  </r>
  <r>
    <x v="2"/>
    <x v="6"/>
    <s v="\\192.168.24.208\images\R&amp;D\Coralie\Triphenylphosphate\2021-CHG-CBA-TRIPHENYLP\plaque 1/@02 EE2 34/G2_03.tif "/>
    <s v=" 6748.5271 "/>
    <s v=" 72.0449 "/>
    <x v="1"/>
    <n v="486197"/>
    <m/>
    <m/>
    <m/>
  </r>
  <r>
    <x v="2"/>
    <x v="7"/>
    <s v="\\192.168.24.208\images\R&amp;D\Coralie\Triphenylphosphate\2021-CHG-CBA-TRIPHENYLP\plaque 1/@02 EE2 34/H2_01.tif "/>
    <s v=" 9473.8938 "/>
    <s v=" 87.0594 "/>
    <x v="1"/>
    <n v="824791"/>
    <m/>
    <m/>
    <m/>
  </r>
  <r>
    <x v="2"/>
    <x v="7"/>
    <s v="\\192.168.24.208\images\R&amp;D\Coralie\Triphenylphosphate\2021-CHG-CBA-TRIPHENYLP\plaque 1/@02 EE2 34/H2_02.tif "/>
    <s v=" 10901.4669 "/>
    <s v=" 83.9821 "/>
    <x v="1"/>
    <n v="915529"/>
    <m/>
    <m/>
    <m/>
  </r>
  <r>
    <x v="2"/>
    <x v="7"/>
    <s v="\\192.168.24.208\images\R&amp;D\Coralie\Triphenylphosphate\2021-CHG-CBA-TRIPHENYLP\plaque 1/@02 EE2 34/H2_03.tif "/>
    <s v=" 10425.6092 "/>
    <s v=" 81.7656 "/>
    <x v="1"/>
    <n v="852456"/>
    <m/>
    <m/>
    <m/>
  </r>
  <r>
    <x v="1"/>
    <x v="8"/>
    <s v=" "/>
    <m/>
    <m/>
    <x v="0"/>
    <m/>
    <m/>
    <m/>
    <m/>
  </r>
  <r>
    <x v="1"/>
    <x v="8"/>
    <s v="group "/>
    <s v=" "/>
    <s v=" mean of mean fluo "/>
    <x v="2"/>
    <s v=" mean of total fluo "/>
    <s v=" SD total fluo "/>
    <s v=" n fluorescent "/>
    <s v=" n total"/>
  </r>
  <r>
    <x v="2"/>
    <x v="9"/>
    <s v="\\192.168.24.208\images\R&amp;D\Coralie\Triphenylphosphate\2021-CHG-CBA-TRIPHENYLP\plaque 1/@02 EE2 34/ "/>
    <s v=" "/>
    <s v=" 70.0797 "/>
    <x v="4"/>
    <s v=" 364642.208 "/>
    <s v=" 299980.71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3"/>
    <x v="0"/>
    <s v="\\192.168.24.208\images\R&amp;D\Coralie\Triphenylphosphate\2021-CHG-CBA-TRIPHENYLP\plaque 1/@03 EE2 51/A3_01.tif "/>
    <s v=" 13021.1966 "/>
    <s v=" 71.8472 "/>
    <x v="1"/>
    <n v="935536"/>
    <m/>
    <m/>
    <m/>
  </r>
  <r>
    <x v="3"/>
    <x v="0"/>
    <s v="\\192.168.24.208\images\R&amp;D\Coralie\Triphenylphosphate\2021-CHG-CBA-TRIPHENYLP\plaque 1/@03 EE2 51/A3_02.tif "/>
    <s v=" 15205.8159 "/>
    <s v=" 70.3528 "/>
    <x v="1"/>
    <n v="1069771"/>
    <m/>
    <m/>
    <m/>
  </r>
  <r>
    <x v="3"/>
    <x v="0"/>
    <s v="\\192.168.24.208\images\R&amp;D\Coralie\Triphenylphosphate\2021-CHG-CBA-TRIPHENYLP\plaque 1/@03 EE2 51/A3_03.tif "/>
    <s v=" 10771.6875 "/>
    <s v=" 66.8976 "/>
    <x v="1"/>
    <n v="720600"/>
    <m/>
    <m/>
    <m/>
  </r>
  <r>
    <x v="3"/>
    <x v="1"/>
    <s v="\\192.168.24.208\images\R&amp;D\Coralie\Triphenylphosphate\2021-CHG-CBA-TRIPHENYLP\plaque 1/@03 EE2 51/B3_01.tif "/>
    <s v=" 9452.264 "/>
    <s v=" 75.6247 "/>
    <x v="1"/>
    <n v="714825"/>
    <m/>
    <m/>
    <m/>
  </r>
  <r>
    <x v="3"/>
    <x v="1"/>
    <s v="\\192.168.24.208\images\R&amp;D\Coralie\Triphenylphosphate\2021-CHG-CBA-TRIPHENYLP\plaque 1/@03 EE2 51/B3_02.tif "/>
    <s v=" 5320.9541 "/>
    <s v=" 68.4309 "/>
    <x v="1"/>
    <n v="364118"/>
    <m/>
    <m/>
    <m/>
  </r>
  <r>
    <x v="3"/>
    <x v="1"/>
    <s v="\\192.168.24.208\images\R&amp;D\Coralie\Triphenylphosphate\2021-CHG-CBA-TRIPHENYLP\plaque 1/@03 EE2 51/B3_03.tif "/>
    <s v=" 8435.6589 "/>
    <s v=" 73.8282 "/>
    <x v="1"/>
    <n v="622790"/>
    <m/>
    <m/>
    <m/>
  </r>
  <r>
    <x v="3"/>
    <x v="2"/>
    <s v="\\192.168.24.208\images\R&amp;D\Coralie\Triphenylphosphate\2021-CHG-CBA-TRIPHENYLP\plaque 1/@03 EE2 51/C3_01- exclu.tif"/>
    <m/>
    <m/>
    <x v="0"/>
    <m/>
    <m/>
    <m/>
    <m/>
  </r>
  <r>
    <x v="3"/>
    <x v="2"/>
    <s v="\\192.168.24.208\images\R&amp;D\Coralie\Triphenylphosphate\2021-CHG-CBA-TRIPHENYLP\plaque 1/@03 EE2 51/C3_02.tif "/>
    <s v=" 2249.509 "/>
    <s v=" 64.5096 "/>
    <x v="1"/>
    <n v="145115"/>
    <m/>
    <m/>
    <m/>
  </r>
  <r>
    <x v="3"/>
    <x v="2"/>
    <s v="\\192.168.24.208\images\R&amp;D\Coralie\Triphenylphosphate\2021-CHG-CBA-TRIPHENYLP\plaque 1/@03 EE2 51/C3_03.tif "/>
    <s v=" 10836.5772 "/>
    <s v=" 71.3134 "/>
    <x v="1"/>
    <n v="772793"/>
    <m/>
    <m/>
    <m/>
  </r>
  <r>
    <x v="3"/>
    <x v="3"/>
    <s v="\\192.168.24.208\images\R&amp;D\Coralie\Triphenylphosphate\2021-CHG-CBA-TRIPHENYLP\plaque 1/@03 EE2 51/D3_01.tif "/>
    <s v=" 11593.6235 "/>
    <s v=" 78.8713 "/>
    <x v="1"/>
    <n v="914404"/>
    <m/>
    <m/>
    <m/>
  </r>
  <r>
    <x v="3"/>
    <x v="3"/>
    <s v="\\192.168.24.208\images\R&amp;D\Coralie\Triphenylphosphate\2021-CHG-CBA-TRIPHENYLP\plaque 1/@03 EE2 51/D3_02.tif "/>
    <s v=" 12004.5915 "/>
    <s v=" 77.9063 "/>
    <x v="1"/>
    <n v="935233"/>
    <m/>
    <m/>
    <m/>
  </r>
  <r>
    <x v="3"/>
    <x v="3"/>
    <s v="\\192.168.24.208\images\R&amp;D\Coralie\Triphenylphosphate\2021-CHG-CBA-TRIPHENYLP\plaque 1/@03 EE2 51/D3_03.tif "/>
    <s v=" 12047.8513 "/>
    <s v=" 82.3088 "/>
    <x v="1"/>
    <n v="991644"/>
    <m/>
    <m/>
    <m/>
  </r>
  <r>
    <x v="3"/>
    <x v="4"/>
    <s v="\\192.168.24.208\images\R&amp;D\Coralie\Triphenylphosphate\2021-CHG-CBA-TRIPHENYLP\plaque 1/@03 EE2 51/E3_01.tif "/>
    <s v=" 7894.9115 "/>
    <s v=" 72.0055 "/>
    <x v="1"/>
    <n v="568477"/>
    <m/>
    <m/>
    <m/>
  </r>
  <r>
    <x v="3"/>
    <x v="4"/>
    <s v="\\192.168.24.208\images\R&amp;D\Coralie\Triphenylphosphate\2021-CHG-CBA-TRIPHENYLP\plaque 1/@03 EE2 51/E3_02.tif "/>
    <s v=" 8738.4774 "/>
    <s v=" 82.0916 "/>
    <x v="1"/>
    <n v="717355"/>
    <m/>
    <m/>
    <m/>
  </r>
  <r>
    <x v="3"/>
    <x v="4"/>
    <s v="\\192.168.24.208\images\R&amp;D\Coralie\Triphenylphosphate\2021-CHG-CBA-TRIPHENYLP\plaque 1/@03 EE2 51/E3_03.tif "/>
    <s v=" 3547.3027 "/>
    <s v=" 65.311 "/>
    <x v="1"/>
    <n v="231678"/>
    <m/>
    <m/>
    <m/>
  </r>
  <r>
    <x v="3"/>
    <x v="5"/>
    <s v="\\192.168.24.208\images\R&amp;D\Coralie\Triphenylphosphate\2021-CHG-CBA-TRIPHENYLP\plaque 1/@03 EE2 51/F3_01.tif "/>
    <s v=" 9084.5557 "/>
    <s v=" 74.0095 "/>
    <x v="1"/>
    <n v="672344"/>
    <m/>
    <m/>
    <m/>
  </r>
  <r>
    <x v="3"/>
    <x v="5"/>
    <s v="\\192.168.24.208\images\R&amp;D\Coralie\Triphenylphosphate\2021-CHG-CBA-TRIPHENYLP\plaque 1/@03 EE2 51/F3_02.tif "/>
    <s v=" 9755.0825 "/>
    <s v=" 73.2993 "/>
    <x v="1"/>
    <n v="715041"/>
    <m/>
    <m/>
    <m/>
  </r>
  <r>
    <x v="3"/>
    <x v="5"/>
    <s v="\\192.168.24.208\images\R&amp;D\Coralie\Triphenylphosphate\2021-CHG-CBA-TRIPHENYLP\plaque 1/@03 EE2 51/F3_03.tif "/>
    <s v=" 8976.4063 "/>
    <s v=" 73.4651 "/>
    <x v="1"/>
    <n v="659452"/>
    <m/>
    <m/>
    <m/>
  </r>
  <r>
    <x v="3"/>
    <x v="6"/>
    <s v="\\192.168.24.208\images\R&amp;D\Coralie\Triphenylphosphate\2021-CHG-CBA-TRIPHENYLP\plaque 1/@03 EE2 51/G3_01- exclu.tif"/>
    <m/>
    <m/>
    <x v="0"/>
    <m/>
    <m/>
    <m/>
    <m/>
  </r>
  <r>
    <x v="3"/>
    <x v="6"/>
    <s v="\\192.168.24.208\images\R&amp;D\Coralie\Triphenylphosphate\2021-CHG-CBA-TRIPHENYLP\plaque 1/@03 EE2 51/G3_02- exclu.tif"/>
    <m/>
    <m/>
    <x v="0"/>
    <m/>
    <m/>
    <m/>
    <m/>
  </r>
  <r>
    <x v="3"/>
    <x v="6"/>
    <s v="\\192.168.24.208\images\R&amp;D\Coralie\Triphenylphosphate\2021-CHG-CBA-TRIPHENYLP\plaque 1/@03 EE2 51/G3_03- exclu.tif"/>
    <m/>
    <m/>
    <x v="0"/>
    <m/>
    <m/>
    <m/>
    <m/>
  </r>
  <r>
    <x v="3"/>
    <x v="7"/>
    <s v="\\192.168.24.208\images\R&amp;D\Coralie\Triphenylphosphate\2021-CHG-CBA-TRIPHENYLP\plaque 1/@03 EE2 51/H3_01.tif "/>
    <s v=" 2076.4699 "/>
    <s v=" 67.3958 "/>
    <x v="1"/>
    <n v="139945"/>
    <m/>
    <m/>
    <m/>
  </r>
  <r>
    <x v="3"/>
    <x v="7"/>
    <s v="\\192.168.24.208\images\R&amp;D\Coralie\Triphenylphosphate\2021-CHG-CBA-TRIPHENYLP\plaque 1/@03 EE2 51/H3_02.tif "/>
    <s v=" 3157.9646 "/>
    <n v="66"/>
    <x v="1"/>
    <n v="208426"/>
    <m/>
    <m/>
    <m/>
  </r>
  <r>
    <x v="3"/>
    <x v="7"/>
    <s v="\\192.168.24.208\images\R&amp;D\Coralie\Triphenylphosphate\2021-CHG-CBA-TRIPHENYLP\plaque 1/@03 EE2 51/H3_03.tif "/>
    <s v=" 6748.5271 "/>
    <s v=" 68.7532 "/>
    <x v="1"/>
    <n v="463983"/>
    <m/>
    <m/>
    <m/>
  </r>
  <r>
    <x v="1"/>
    <x v="8"/>
    <s v=" "/>
    <m/>
    <m/>
    <x v="0"/>
    <m/>
    <m/>
    <m/>
    <m/>
  </r>
  <r>
    <x v="1"/>
    <x v="8"/>
    <s v="group "/>
    <s v=" "/>
    <s v=" mean of mean fluo "/>
    <x v="2"/>
    <s v=" mean of total fluo "/>
    <s v=" SD total fluo "/>
    <s v=" n fluorescent "/>
    <s v=" n total"/>
  </r>
  <r>
    <x v="3"/>
    <x v="9"/>
    <s v="\\192.168.24.208\images\R&amp;D\Coralie\Triphenylphosphate\2021-CHG-CBA-TRIPHENYLP\plaque 1/@03 EE2 51/ "/>
    <s v=" "/>
    <s v=" 73.4543 "/>
    <x v="5"/>
    <s v=" 668529.625 "/>
    <s v=" 293732.362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4"/>
    <x v="0"/>
    <s v="\\192.168.24.208\images\R&amp;D\Coralie\Triphenylphosphate\2021-CHG-CBA-TRIPHENYLP\plaque 1/@04 EE2 76/A4_01.tif "/>
    <s v=" 10274.1999 "/>
    <s v=" 73.9242 "/>
    <x v="1"/>
    <n v="759512"/>
    <m/>
    <m/>
    <m/>
  </r>
  <r>
    <x v="4"/>
    <x v="0"/>
    <s v="\\192.168.24.208\images\R&amp;D\Coralie\Triphenylphosphate\2021-CHG-CBA-TRIPHENYLP\plaque 1/@04 EE2 76/A4_02.tif "/>
    <s v=" 1427.573 "/>
    <s v=" 64.7727 "/>
    <x v="1"/>
    <n v="92468"/>
    <m/>
    <m/>
    <m/>
  </r>
  <r>
    <x v="4"/>
    <x v="0"/>
    <s v="\\192.168.24.208\images\R&amp;D\Coralie\Triphenylphosphate\2021-CHG-CBA-TRIPHENYLP\plaque 1/@04 EE2 76/A4_03.tif "/>
    <s v=" 8284.2496 "/>
    <s v=" 69.248 "/>
    <x v="1"/>
    <n v="573668"/>
    <m/>
    <m/>
    <m/>
  </r>
  <r>
    <x v="4"/>
    <x v="1"/>
    <s v="\\192.168.24.208\images\R&amp;D\Coralie\Triphenylphosphate\2021-CHG-CBA-TRIPHENYLP\plaque 1/@04 EE2 76/B4_01.tif "/>
    <s v=" 6056.3705 "/>
    <s v=" 65.1857 "/>
    <x v="1"/>
    <n v="394789"/>
    <m/>
    <m/>
    <m/>
  </r>
  <r>
    <x v="4"/>
    <x v="1"/>
    <s v="\\192.168.24.208\images\R&amp;D\Coralie\Triphenylphosphate\2021-CHG-CBA-TRIPHENYLP\plaque 1/@04 EE2 76/B4_02.tif "/>
    <s v=" 6337.5591 "/>
    <s v=" 63.802 "/>
    <x v="1"/>
    <n v="404349"/>
    <m/>
    <m/>
    <m/>
  </r>
  <r>
    <x v="4"/>
    <x v="1"/>
    <s v="\\192.168.24.208\images\R&amp;D\Coralie\Triphenylphosphate\2021-CHG-CBA-TRIPHENYLP\plaque 1/@04 EE2 76/B4_03.tif "/>
    <s v=" 8457.2888 "/>
    <s v=" 65.3146 "/>
    <x v="1"/>
    <n v="552384"/>
    <m/>
    <m/>
    <m/>
  </r>
  <r>
    <x v="4"/>
    <x v="2"/>
    <s v="\\192.168.24.208\images\R&amp;D\Coralie\Triphenylphosphate\2021-CHG-CBA-TRIPHENYLP\plaque 1/@04 EE2 76/C4_01.tif "/>
    <s v=" 12545.3389 "/>
    <s v=" 69.3931 "/>
    <x v="1"/>
    <n v="870560"/>
    <m/>
    <m/>
    <m/>
  </r>
  <r>
    <x v="4"/>
    <x v="2"/>
    <s v="\\192.168.24.208\images\R&amp;D\Coralie\Triphenylphosphate\2021-CHG-CBA-TRIPHENYLP\plaque 1/@04 EE2 76/C4_02.tif "/>
    <s v=" 12783.2677 "/>
    <s v=" 72.8393 "/>
    <x v="1"/>
    <n v="931124"/>
    <m/>
    <m/>
    <m/>
  </r>
  <r>
    <x v="4"/>
    <x v="2"/>
    <s v="\\192.168.24.208\images\R&amp;D\Coralie\Triphenylphosphate\2021-CHG-CBA-TRIPHENYLP\plaque 1/@04 EE2 76/C4_03.tif "/>
    <s v=" 10274.1999 "/>
    <s v=" 75.6021 "/>
    <x v="1"/>
    <n v="776751"/>
    <m/>
    <m/>
    <m/>
  </r>
  <r>
    <x v="4"/>
    <x v="3"/>
    <s v="\\192.168.24.208\images\R&amp;D\Coralie\Triphenylphosphate\2021-CHG-CBA-TRIPHENYLP\plaque 1/@04 EE2 76/D4_01.tif "/>
    <s v=" 11571.9936 "/>
    <s v=" 65.4692 "/>
    <x v="1"/>
    <n v="757609"/>
    <m/>
    <m/>
    <m/>
  </r>
  <r>
    <x v="4"/>
    <x v="3"/>
    <s v="\\192.168.24.208\images\R&amp;D\Coralie\Triphenylphosphate\2021-CHG-CBA-TRIPHENYLP\plaque 1/@04 EE2 76/D4_02.tif "/>
    <s v=" 13042.8265 "/>
    <s v=" 68.2687 "/>
    <x v="1"/>
    <n v="890416"/>
    <m/>
    <m/>
    <m/>
  </r>
  <r>
    <x v="4"/>
    <x v="3"/>
    <s v="\\192.168.24.208\images\R&amp;D\Coralie\Triphenylphosphate\2021-CHG-CBA-TRIPHENYLP\plaque 1/@04 EE2 76/D4_03.tif "/>
    <s v=" 13215.8656 "/>
    <s v=" 69.5057 "/>
    <x v="1"/>
    <n v="918578"/>
    <m/>
    <m/>
    <m/>
  </r>
  <r>
    <x v="4"/>
    <x v="4"/>
    <s v="\\192.168.24.208\images\R&amp;D\Coralie\Triphenylphosphate\2021-CHG-CBA-TRIPHENYLP\plaque 1/@04 EE2 76/E4_01.tif "/>
    <s v=" 4239.4593 "/>
    <s v=" 65.801 "/>
    <x v="1"/>
    <n v="278961"/>
    <m/>
    <m/>
    <m/>
  </r>
  <r>
    <x v="4"/>
    <x v="4"/>
    <s v="\\192.168.24.208\images\R&amp;D\Coralie\Triphenylphosphate\2021-CHG-CBA-TRIPHENYLP\plaque 1/@04 EE2 76/E4_02.tif "/>
    <s v=" 2725.3667 "/>
    <s v=" 63.6825 "/>
    <x v="1"/>
    <n v="173558"/>
    <m/>
    <m/>
    <m/>
  </r>
  <r>
    <x v="4"/>
    <x v="4"/>
    <s v="\\192.168.24.208\images\R&amp;D\Coralie\Triphenylphosphate\2021-CHG-CBA-TRIPHENYLP\plaque 1/@04 EE2 76/E4_03.tif "/>
    <s v=" 3136.3347 "/>
    <s v=" 65.5862 "/>
    <x v="1"/>
    <n v="205700"/>
    <m/>
    <m/>
    <m/>
  </r>
  <r>
    <x v="4"/>
    <x v="5"/>
    <s v="\\192.168.24.208\images\R&amp;D\Coralie\Triphenylphosphate\2021-CHG-CBA-TRIPHENYLP\plaque 1/@04 EE2 76/F4_01- exclu.tif"/>
    <m/>
    <m/>
    <x v="0"/>
    <m/>
    <m/>
    <m/>
    <m/>
  </r>
  <r>
    <x v="4"/>
    <x v="5"/>
    <s v="\\192.168.24.208\images\R&amp;D\Coralie\Triphenylphosphate\2021-CHG-CBA-TRIPHENYLP\plaque 1/@04 EE2 76/F4_02- exclu.tif"/>
    <m/>
    <m/>
    <x v="0"/>
    <m/>
    <m/>
    <m/>
    <m/>
  </r>
  <r>
    <x v="4"/>
    <x v="5"/>
    <s v="\\192.168.24.208\images\R&amp;D\Coralie\Triphenylphosphate\2021-CHG-CBA-TRIPHENYLP\plaque 1/@04 EE2 76/F4_03- exclu.tif"/>
    <m/>
    <m/>
    <x v="0"/>
    <m/>
    <m/>
    <m/>
    <m/>
  </r>
  <r>
    <x v="4"/>
    <x v="6"/>
    <s v="\\192.168.24.208\images\R&amp;D\Coralie\Triphenylphosphate\2021-CHG-CBA-TRIPHENYLP\plaque 1/@04 EE2 76/G4_01- exclu.tif"/>
    <m/>
    <m/>
    <x v="0"/>
    <m/>
    <m/>
    <m/>
    <m/>
  </r>
  <r>
    <x v="4"/>
    <x v="6"/>
    <s v="\\192.168.24.208\images\R&amp;D\Coralie\Triphenylphosphate\2021-CHG-CBA-TRIPHENYLP\plaque 1/@04 EE2 76/G4_02- exclu.tif"/>
    <m/>
    <m/>
    <x v="0"/>
    <m/>
    <m/>
    <m/>
    <m/>
  </r>
  <r>
    <x v="4"/>
    <x v="6"/>
    <s v="\\192.168.24.208\images\R&amp;D\Coralie\Triphenylphosphate\2021-CHG-CBA-TRIPHENYLP\plaque 1/@04 EE2 76/G4_03- exclu.tif"/>
    <m/>
    <m/>
    <x v="0"/>
    <m/>
    <m/>
    <m/>
    <m/>
  </r>
  <r>
    <x v="4"/>
    <x v="7"/>
    <s v="\\192.168.24.208\images\R&amp;D\Coralie\Triphenylphosphate\2021-CHG-CBA-TRIPHENYLP\plaque 1/@04 EE2 76/H4_01- exclu.tif"/>
    <m/>
    <m/>
    <x v="0"/>
    <m/>
    <m/>
    <m/>
    <m/>
  </r>
  <r>
    <x v="4"/>
    <x v="7"/>
    <s v="\\192.168.24.208\images\R&amp;D\Coralie\Triphenylphosphate\2021-CHG-CBA-TRIPHENYLP\plaque 1/@04 EE2 76/H4_02.tif "/>
    <s v=" 4001.5305 "/>
    <s v=" 65.3405 "/>
    <x v="1"/>
    <n v="261462"/>
    <m/>
    <m/>
    <m/>
  </r>
  <r>
    <x v="4"/>
    <x v="7"/>
    <s v="\\192.168.24.208\images\R&amp;D\Coralie\Triphenylphosphate\2021-CHG-CBA-TRIPHENYLP\plaque 1/@04 EE2 76/H4_03.tif "/>
    <s v=" 3071.445 "/>
    <s v=" 64.4014 "/>
    <x v="1"/>
    <n v="197805"/>
    <m/>
    <m/>
    <m/>
  </r>
  <r>
    <x v="1"/>
    <x v="8"/>
    <s v=" "/>
    <m/>
    <m/>
    <x v="0"/>
    <m/>
    <m/>
    <m/>
    <m/>
  </r>
  <r>
    <x v="1"/>
    <x v="8"/>
    <s v="group "/>
    <s v=" "/>
    <s v=" mean of mean fluo "/>
    <x v="2"/>
    <s v=" mean of total fluo "/>
    <s v=" SD total fluo "/>
    <s v=" n fluorescent "/>
    <s v=" n total"/>
  </r>
  <r>
    <x v="4"/>
    <x v="9"/>
    <s v="\\192.168.24.208\images\R&amp;D\Coralie\Triphenylphosphate\2021-CHG-CBA-TRIPHENYLP\plaque 1/@04 EE2 76/ "/>
    <s v=" "/>
    <s v=" 71.5914 "/>
    <x v="6"/>
    <s v=" 655637.25 "/>
    <s v=" 359257.53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5"/>
    <x v="0"/>
    <s v="\\192.168.24.208\images\R&amp;D\Coralie\Triphenylphosphate\2021-CHG-CBA-TRIPHENYLP\plaque 1/@05 EE2 114/A5_01.tif "/>
    <s v=" 19228.9763 "/>
    <s v=" 66.1496 "/>
    <x v="1"/>
    <n v="1271989"/>
    <m/>
    <m/>
    <m/>
  </r>
  <r>
    <x v="5"/>
    <x v="0"/>
    <s v="\\192.168.24.208\images\R&amp;D\Coralie\Triphenylphosphate\2021-CHG-CBA-TRIPHENYLP\plaque 1/@05 EE2 114/A5_02.tif "/>
    <s v=" 18125.8517 "/>
    <s v=" 66.1456 "/>
    <x v="1"/>
    <n v="1198945"/>
    <m/>
    <m/>
    <m/>
  </r>
  <r>
    <x v="5"/>
    <x v="0"/>
    <s v="\\192.168.24.208\images\R&amp;D\Coralie\Triphenylphosphate\2021-CHG-CBA-TRIPHENYLP\plaque 1/@05 EE2 114/A5_03.tif "/>
    <s v=" 11593.6235 "/>
    <s v=" 63.9888 "/>
    <x v="1"/>
    <n v="741862"/>
    <m/>
    <m/>
    <m/>
  </r>
  <r>
    <x v="5"/>
    <x v="1"/>
    <s v="\\192.168.24.208\images\R&amp;D\Coralie\Triphenylphosphate\2021-CHG-CBA-TRIPHENYLP\plaque 1/@05 EE2 114/B5_01.tif "/>
    <s v=" 51673.8183 "/>
    <s v=" 70.8288 "/>
    <x v="1"/>
    <n v="3659994"/>
    <m/>
    <m/>
    <m/>
  </r>
  <r>
    <x v="5"/>
    <x v="1"/>
    <s v="\\192.168.24.208\images\R&amp;D\Coralie\Triphenylphosphate\2021-CHG-CBA-TRIPHENYLP\plaque 1/@05 EE2 114/B5_02.tif "/>
    <s v=" 54247.7757 "/>
    <s v=" 72.8262 "/>
    <x v="1"/>
    <n v="3950657"/>
    <m/>
    <m/>
    <m/>
  </r>
  <r>
    <x v="5"/>
    <x v="1"/>
    <s v="\\192.168.24.208\images\R&amp;D\Coralie\Triphenylphosphate\2021-CHG-CBA-TRIPHENYLP\plaque 1/@05 EE2 114/B5_03.tif "/>
    <s v=" 50332.7648 "/>
    <s v=" 73.3464 "/>
    <x v="1"/>
    <n v="3691726"/>
    <m/>
    <m/>
    <m/>
  </r>
  <r>
    <x v="5"/>
    <x v="2"/>
    <s v="\\192.168.24.208\images\R&amp;D\Coralie\Triphenylphosphate\2021-CHG-CBA-TRIPHENYLP\plaque 1/@05 EE2 114/C5_01.tif "/>
    <s v=" 5753.552 "/>
    <s v=" 64.1805 "/>
    <x v="1"/>
    <n v="369266"/>
    <m/>
    <m/>
    <m/>
  </r>
  <r>
    <x v="5"/>
    <x v="2"/>
    <s v="\\192.168.24.208\images\R&amp;D\Coralie\Triphenylphosphate\2021-CHG-CBA-TRIPHENYLP\plaque 1/@05 EE2 114/C5_02.tif "/>
    <s v=" 16244.0509 "/>
    <s v=" 73.229 "/>
    <x v="1"/>
    <n v="1189536"/>
    <m/>
    <m/>
    <m/>
  </r>
  <r>
    <x v="5"/>
    <x v="2"/>
    <s v="\\192.168.24.208\images\R&amp;D\Coralie\Triphenylphosphate\2021-CHG-CBA-TRIPHENYLP\plaque 1/@05 EE2 114/C5_03.tif "/>
    <s v=" 6921.5663 "/>
    <s v=" 66.5687 "/>
    <x v="1"/>
    <n v="460760"/>
    <m/>
    <m/>
    <m/>
  </r>
  <r>
    <x v="5"/>
    <x v="3"/>
    <s v="\\192.168.24.208\images\R&amp;D\Coralie\Triphenylphosphate\2021-CHG-CBA-TRIPHENYLP\plaque 1/@05 EE2 114/D5_01.tif "/>
    <s v=" 16157.5313 "/>
    <s v=" 66.1553 "/>
    <x v="1"/>
    <n v="1068906"/>
    <m/>
    <m/>
    <m/>
  </r>
  <r>
    <x v="5"/>
    <x v="3"/>
    <s v="\\192.168.24.208\images\R&amp;D\Coralie\Triphenylphosphate\2021-CHG-CBA-TRIPHENYLP\plaque 1/@05 EE2 114/D5_02.tif "/>
    <s v=" 19575.0546 "/>
    <s v=" 66.1713 "/>
    <x v="1"/>
    <n v="1295306"/>
    <m/>
    <m/>
    <m/>
  </r>
  <r>
    <x v="5"/>
    <x v="3"/>
    <s v="\\192.168.24.208\images\R&amp;D\Coralie\Triphenylphosphate\2021-CHG-CBA-TRIPHENYLP\plaque 1/@05 EE2 114/D5_03.tif "/>
    <s v=" 12350.6698 "/>
    <s v=" 65.0841 "/>
    <x v="1"/>
    <n v="803832"/>
    <m/>
    <m/>
    <m/>
  </r>
  <r>
    <x v="5"/>
    <x v="4"/>
    <s v="\\192.168.24.208\images\R&amp;D\Coralie\Triphenylphosphate\2021-CHG-CBA-TRIPHENYLP\plaque 1/@05 EE2 114/E5_01.tif "/>
    <s v=" 36230.0735 "/>
    <s v=" 69.3976 "/>
    <x v="1"/>
    <n v="2514281"/>
    <m/>
    <m/>
    <m/>
  </r>
  <r>
    <x v="5"/>
    <x v="4"/>
    <s v="\\192.168.24.208\images\R&amp;D\Coralie\Triphenylphosphate\2021-CHG-CBA-TRIPHENYLP\plaque 1/@05 EE2 114/E5_02.tif "/>
    <s v=" 30519.7813 "/>
    <s v=" 68.5245 "/>
    <x v="1"/>
    <n v="2091351"/>
    <m/>
    <m/>
    <m/>
  </r>
  <r>
    <x v="5"/>
    <x v="4"/>
    <s v="\\192.168.24.208\images\R&amp;D\Coralie\Triphenylphosphate\2021-CHG-CBA-TRIPHENYLP\plaque 1/@05 EE2 114/E5_03.tif "/>
    <s v=" 35970.5148 "/>
    <s v=" 68.7138 "/>
    <x v="1"/>
    <n v="2471670"/>
    <m/>
    <m/>
    <m/>
  </r>
  <r>
    <x v="5"/>
    <x v="5"/>
    <s v="\\192.168.24.208\images\R&amp;D\Coralie\Triphenylphosphate\2021-CHG-CBA-TRIPHENYLP\plaque 1/@05 EE2 114/F5_01.tif "/>
    <s v=" 4607.1676 "/>
    <s v=" 64.2535 "/>
    <x v="1"/>
    <n v="296027"/>
    <m/>
    <m/>
    <m/>
  </r>
  <r>
    <x v="5"/>
    <x v="5"/>
    <s v="\\192.168.24.208\images\R&amp;D\Coralie\Triphenylphosphate\2021-CHG-CBA-TRIPHENYLP\plaque 1/@05 EE2 114/F5_02.tif "/>
    <s v=" 3417.5234 "/>
    <s v=" 64.3987 "/>
    <x v="1"/>
    <n v="220084"/>
    <m/>
    <m/>
    <m/>
  </r>
  <r>
    <x v="5"/>
    <x v="5"/>
    <s v="\\192.168.24.208\images\R&amp;D\Coralie\Triphenylphosphate\2021-CHG-CBA-TRIPHENYLP\plaque 1/@05 EE2 114/F5_03.tif "/>
    <s v=" 3763.6017 "/>
    <s v=" 63.7989 "/>
    <x v="1"/>
    <n v="240113"/>
    <m/>
    <m/>
    <m/>
  </r>
  <r>
    <x v="5"/>
    <x v="6"/>
    <s v="\\192.168.24.208\images\R&amp;D\Coralie\Triphenylphosphate\2021-CHG-CBA-TRIPHENYLP\plaque 1/@05 EE2 114/G5_01.tif "/>
    <s v=" 37873.9455 "/>
    <s v=" 70.0891 "/>
    <x v="1"/>
    <n v="2654550"/>
    <m/>
    <m/>
    <m/>
  </r>
  <r>
    <x v="5"/>
    <x v="6"/>
    <s v="\\192.168.24.208\images\R&amp;D\Coralie\Triphenylphosphate\2021-CHG-CBA-TRIPHENYLP\plaque 1/@05 EE2 114/G5_02.tif "/>
    <s v=" 31536.3864 "/>
    <s v=" 69.1324 "/>
    <x v="1"/>
    <n v="2180185"/>
    <m/>
    <m/>
    <m/>
  </r>
  <r>
    <x v="5"/>
    <x v="6"/>
    <s v="\\192.168.24.208\images\R&amp;D\Coralie\Triphenylphosphate\2021-CHG-CBA-TRIPHENYLP\plaque 1/@05 EE2 114/G5_03.tif "/>
    <s v=" 30714.4504 "/>
    <s v=" 68.0275 "/>
    <x v="1"/>
    <n v="2089426"/>
    <m/>
    <m/>
    <m/>
  </r>
  <r>
    <x v="5"/>
    <x v="7"/>
    <s v="\\192.168.24.208\images\R&amp;D\Coralie\Triphenylphosphate\2021-CHG-CBA-TRIPHENYLP\plaque 1/@05 EE2 114/H5_01.tif "/>
    <s v=" 19228.9763 "/>
    <s v=" 68.6198 "/>
    <x v="1"/>
    <n v="1319488"/>
    <m/>
    <m/>
    <m/>
  </r>
  <r>
    <x v="5"/>
    <x v="7"/>
    <s v="\\192.168.24.208\images\R&amp;D\Coralie\Triphenylphosphate\2021-CHG-CBA-TRIPHENYLP\plaque 1/@05 EE2 114/H5_02.tif "/>
    <s v=" 17801.4033 "/>
    <s v=" 69.1762 "/>
    <x v="1"/>
    <n v="1231433"/>
    <m/>
    <m/>
    <m/>
  </r>
  <r>
    <x v="5"/>
    <x v="7"/>
    <s v="\\192.168.24.208\images\R&amp;D\Coralie\Triphenylphosphate\2021-CHG-CBA-TRIPHENYLP\plaque 1/@05 EE2 114/H5_03.tif "/>
    <s v=" 32509.7316 "/>
    <s v=" 78.7046 "/>
    <x v="1"/>
    <n v="2558665"/>
    <m/>
    <m/>
    <m/>
  </r>
  <r>
    <x v="1"/>
    <x v="8"/>
    <s v=" "/>
    <m/>
    <m/>
    <x v="0"/>
    <m/>
    <m/>
    <m/>
    <m/>
  </r>
  <r>
    <x v="1"/>
    <x v="8"/>
    <s v="group "/>
    <s v=" "/>
    <s v=" mean of mean fluo "/>
    <x v="2"/>
    <s v=" mean of total fluo "/>
    <s v=" SD total fluo "/>
    <s v=" n fluorescent "/>
    <s v=" n total"/>
  </r>
  <r>
    <x v="5"/>
    <x v="9"/>
    <s v="\\192.168.24.208\images\R&amp;D\Coralie\Triphenylphosphate\2021-CHG-CBA-TRIPHENYLP\plaque 1/@05 EE2 114/ "/>
    <s v=" "/>
    <s v=" 68.2296 "/>
    <x v="7"/>
    <s v=" 1648752.17 "/>
    <s v=" 1126650.6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6"/>
    <x v="0"/>
    <s v="\\192.168.24.208\images\R&amp;D\Coralie\Triphenylphosphate\2021-CHG-CBA-TRIPHENYLP\plaque 1/@06 EE2 171/A6_01.tif "/>
    <s v=" 37419.7177 "/>
    <s v=" 68.9971 "/>
    <x v="1"/>
    <n v="2581852"/>
    <m/>
    <m/>
    <m/>
  </r>
  <r>
    <x v="6"/>
    <x v="0"/>
    <s v="\\192.168.24.208\images\R&amp;D\Coralie\Triphenylphosphate\2021-CHG-CBA-TRIPHENYLP\plaque 1/@06 EE2 171/A6_02.tif "/>
    <s v=" 34824.1304 "/>
    <s v=" 68.036 "/>
    <x v="1"/>
    <n v="2369295"/>
    <m/>
    <m/>
    <m/>
  </r>
  <r>
    <x v="6"/>
    <x v="0"/>
    <s v="\\192.168.24.208\images\R&amp;D\Coralie\Triphenylphosphate\2021-CHG-CBA-TRIPHENYLP\plaque 1/@06 EE2 171/A6_03.tif "/>
    <s v=" 31860.8348 "/>
    <s v=" 67.4739 "/>
    <x v="1"/>
    <n v="2149774"/>
    <m/>
    <m/>
    <m/>
  </r>
  <r>
    <x v="6"/>
    <x v="1"/>
    <s v="\\192.168.24.208\images\R&amp;D\Coralie\Triphenylphosphate\2021-CHG-CBA-TRIPHENYLP\plaque 1/@06 EE2 171/B6_01.tif "/>
    <s v=" 33396.5573 "/>
    <s v=" 87.1846 "/>
    <x v="1"/>
    <n v="2911665"/>
    <m/>
    <m/>
    <m/>
  </r>
  <r>
    <x v="6"/>
    <x v="1"/>
    <s v="\\192.168.24.208\images\R&amp;D\Coralie\Triphenylphosphate\2021-CHG-CBA-TRIPHENYLP\plaque 1/@06 EE2 171/B6_02.tif "/>
    <s v=" 36814.0807 "/>
    <s v=" 82.4818 "/>
    <x v="1"/>
    <n v="3036491"/>
    <m/>
    <m/>
    <m/>
  </r>
  <r>
    <x v="6"/>
    <x v="1"/>
    <s v="\\192.168.24.208\images\R&amp;D\Coralie\Triphenylphosphate\2021-CHG-CBA-TRIPHENYLP\plaque 1/@06 EE2 171/B6_03.tif "/>
    <s v=" 35970.5148 "/>
    <s v=" 79.1996 "/>
    <x v="1"/>
    <n v="2848852"/>
    <m/>
    <m/>
    <m/>
  </r>
  <r>
    <x v="6"/>
    <x v="2"/>
    <s v="\\192.168.24.208\images\R&amp;D\Coralie\Triphenylphosphate\2021-CHG-CBA-TRIPHENYLP\plaque 1/@06 EE2 171/C6_01.tif "/>
    <s v=" 52214.5656 "/>
    <s v=" 77.2245 "/>
    <x v="1"/>
    <n v="4032245"/>
    <m/>
    <m/>
    <m/>
  </r>
  <r>
    <x v="6"/>
    <x v="2"/>
    <s v="\\192.168.24.208\images\R&amp;D\Coralie\Triphenylphosphate\2021-CHG-CBA-TRIPHENYLP\plaque 1/@06 EE2 171/C6_02.tif "/>
    <s v=" 47412.729 "/>
    <s v=" 75.286 "/>
    <x v="1"/>
    <n v="3569517"/>
    <m/>
    <m/>
    <m/>
  </r>
  <r>
    <x v="6"/>
    <x v="2"/>
    <s v="\\192.168.24.208\images\R&amp;D\Coralie\Triphenylphosphate\2021-CHG-CBA-TRIPHENYLP\plaque 1/@06 EE2 171/C6_03.tif "/>
    <s v=" 50376.0246 "/>
    <s v=" 76.4813 "/>
    <x v="1"/>
    <n v="3852825"/>
    <m/>
    <m/>
    <m/>
  </r>
  <r>
    <x v="6"/>
    <x v="3"/>
    <s v="\\192.168.24.208\images\R&amp;D\Coralie\Triphenylphosphate\2021-CHG-CBA-TRIPHENYLP\plaque 1/@06 EE2 171/D6_01.tif "/>
    <s v=" 58638.6443 "/>
    <s v=" 74.6282 "/>
    <x v="1"/>
    <n v="4376095"/>
    <m/>
    <m/>
    <m/>
  </r>
  <r>
    <x v="6"/>
    <x v="3"/>
    <s v="\\192.168.24.208\images\R&amp;D\Coralie\Triphenylphosphate\2021-CHG-CBA-TRIPHENYLP\plaque 1/@06 EE2 171/D6_02.tif "/>
    <s v=" 56086.3168 "/>
    <s v=" 70.7358 "/>
    <x v="1"/>
    <n v="3967312"/>
    <m/>
    <m/>
    <m/>
  </r>
  <r>
    <x v="6"/>
    <x v="3"/>
    <s v="\\192.168.24.208\images\R&amp;D\Coralie\Triphenylphosphate\2021-CHG-CBA-TRIPHENYLP\plaque 1/@06 EE2 171/D6_03.tif "/>
    <s v=" 55523.9395 "/>
    <s v=" 69.8524 "/>
    <x v="1"/>
    <n v="3878478"/>
    <m/>
    <m/>
    <m/>
  </r>
  <r>
    <x v="6"/>
    <x v="4"/>
    <s v="\\192.168.24.208\images\R&amp;D\Coralie\Triphenylphosphate\2021-CHG-CBA-TRIPHENYLP\plaque 1/@06 EE2 171/E6_01.tif "/>
    <s v=" 22343.6812 "/>
    <s v=" 66.9952 "/>
    <x v="1"/>
    <n v="1496918"/>
    <m/>
    <m/>
    <m/>
  </r>
  <r>
    <x v="6"/>
    <x v="4"/>
    <s v="\\192.168.24.208\images\R&amp;D\Coralie\Triphenylphosphate\2021-CHG-CBA-TRIPHENYLP\plaque 1/@06 EE2 171/E6_02.tif "/>
    <s v=" 20526.77 "/>
    <s v=" 66.8188 "/>
    <x v="1"/>
    <n v="1371573"/>
    <m/>
    <m/>
    <m/>
  </r>
  <r>
    <x v="6"/>
    <x v="4"/>
    <s v="\\192.168.24.208\images\R&amp;D\Coralie\Triphenylphosphate\2021-CHG-CBA-TRIPHENYLP\plaque 1/@06 EE2 171/E6_03.tif "/>
    <s v=" 25220.4571 "/>
    <s v=" 68.0943 "/>
    <x v="1"/>
    <n v="1717370"/>
    <m/>
    <m/>
    <m/>
  </r>
  <r>
    <x v="6"/>
    <x v="5"/>
    <s v="\\192.168.24.208\images\R&amp;D\Coralie\Triphenylphosphate\2021-CHG-CBA-TRIPHENYLP\plaque 1/@06 EE2 171/F6_01.tif "/>
    <s v=" 32920.6996 "/>
    <s v=" 77.4126 "/>
    <x v="1"/>
    <n v="2548477"/>
    <m/>
    <m/>
    <m/>
  </r>
  <r>
    <x v="6"/>
    <x v="5"/>
    <s v="\\192.168.24.208\images\R&amp;D\Coralie\Triphenylphosphate\2021-CHG-CBA-TRIPHENYLP\plaque 1/@06 EE2 171/F6_02.tif "/>
    <s v=" 34694.351 "/>
    <s v=" 75.5536 "/>
    <x v="1"/>
    <n v="2621284"/>
    <m/>
    <m/>
    <m/>
  </r>
  <r>
    <x v="6"/>
    <x v="5"/>
    <s v="\\192.168.24.208\images\R&amp;D\Coralie\Triphenylphosphate\2021-CHG-CBA-TRIPHENYLP\plaque 1/@06 EE2 171/F6_03.tif "/>
    <s v=" 29589.6959 "/>
    <s v=" 74.992 "/>
    <x v="1"/>
    <n v="2218989"/>
    <m/>
    <m/>
    <m/>
  </r>
  <r>
    <x v="6"/>
    <x v="6"/>
    <s v="\\192.168.24.208\images\R&amp;D\Coralie\Triphenylphosphate\2021-CHG-CBA-TRIPHENYLP\plaque 1/@06 EE2 171/G6_01.tif "/>
    <s v=" 9365.7444 "/>
    <s v=" 65.8845 "/>
    <x v="1"/>
    <n v="617058"/>
    <m/>
    <m/>
    <m/>
  </r>
  <r>
    <x v="6"/>
    <x v="6"/>
    <s v="\\192.168.24.208\images\R&amp;D\Coralie\Triphenylphosphate\2021-CHG-CBA-TRIPHENYLP\plaque 1/@06 EE2 171/G6_02.tif "/>
    <s v=" 8176.1002 "/>
    <s v=" 67.1349 "/>
    <x v="1"/>
    <n v="548902"/>
    <m/>
    <m/>
    <m/>
  </r>
  <r>
    <x v="6"/>
    <x v="6"/>
    <s v="\\192.168.24.208\images\R&amp;D\Coralie\Triphenylphosphate\2021-CHG-CBA-TRIPHENYLP\plaque 1/@06 EE2 171/G6_03.tif "/>
    <s v=" 14492.0294 "/>
    <s v=" 67.1552 "/>
    <x v="1"/>
    <n v="973215"/>
    <m/>
    <m/>
    <m/>
  </r>
  <r>
    <x v="6"/>
    <x v="7"/>
    <s v="\\192.168.24.208\images\R&amp;D\Coralie\Triphenylphosphate\2021-CHG-CBA-TRIPHENYLP\plaque 1/@06 EE2 171/H6_01.tif "/>
    <s v=" 40036.935 "/>
    <s v=" 83.1529 "/>
    <x v="1"/>
    <n v="3329187"/>
    <m/>
    <m/>
    <m/>
  </r>
  <r>
    <x v="6"/>
    <x v="7"/>
    <s v="\\192.168.24.208\images\R&amp;D\Coralie\Triphenylphosphate\2021-CHG-CBA-TRIPHENYLP\plaque 1/@06 EE2 171/H6_02.tif "/>
    <s v=" 39647.5969 "/>
    <s v=" 82.9853 "/>
    <x v="1"/>
    <n v="3290167"/>
    <m/>
    <m/>
    <m/>
  </r>
  <r>
    <x v="6"/>
    <x v="7"/>
    <s v="\\192.168.24.208\images\R&amp;D\Coralie\Triphenylphosphate\2021-CHG-CBA-TRIPHENYLP\plaque 1/@06 EE2 171/H6_03.tif "/>
    <s v=" 44124.985 "/>
    <s v=" 69.8711 "/>
    <x v="1"/>
    <n v="3083060"/>
    <m/>
    <m/>
    <m/>
  </r>
  <r>
    <x v="1"/>
    <x v="8"/>
    <s v=" "/>
    <m/>
    <m/>
    <x v="0"/>
    <m/>
    <m/>
    <m/>
    <m/>
  </r>
  <r>
    <x v="1"/>
    <x v="8"/>
    <s v="group "/>
    <s v=" "/>
    <s v=" mean of mean fluo "/>
    <x v="2"/>
    <s v=" mean of total fluo "/>
    <s v=" SD total fluo "/>
    <s v=" n fluorescent "/>
    <s v=" n total"/>
  </r>
  <r>
    <x v="6"/>
    <x v="9"/>
    <s v="\\192.168.24.208\images\R&amp;D\Coralie\Triphenylphosphate\2021-CHG-CBA-TRIPHENYLP\plaque 1/@06 EE2 171/ "/>
    <s v=" "/>
    <s v=" 73.4847 "/>
    <x v="8"/>
    <s v=" 2641275.04 "/>
    <s v=" 1092750.7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7"/>
    <x v="0"/>
    <s v="\\192.168.24.208\images\R&amp;D\Coralie\Triphenylphosphate\2021-CHG-CBA-TRIPHENYLP\plaque 1/@07 EE2 488/A7_01.tif "/>
    <s v=" 83166.9448 "/>
    <s v=" 99.9025 "/>
    <x v="1"/>
    <n v="8308583"/>
    <m/>
    <m/>
    <m/>
  </r>
  <r>
    <x v="7"/>
    <x v="0"/>
    <s v="\\192.168.24.208\images\R&amp;D\Coralie\Triphenylphosphate\2021-CHG-CBA-TRIPHENYLP\plaque 1/@07 EE2 488/A7_02.tif "/>
    <s v=" 79511.4927 "/>
    <s v=" 98.2456 "/>
    <x v="1"/>
    <n v="7811658"/>
    <m/>
    <m/>
    <m/>
  </r>
  <r>
    <x v="7"/>
    <x v="0"/>
    <s v="\\192.168.24.208\images\R&amp;D\Coralie\Triphenylphosphate\2021-CHG-CBA-TRIPHENYLP\plaque 1/@07 EE2 488/A7_03.tif "/>
    <s v=" 86022.0909 "/>
    <s v=" 98.4011 "/>
    <x v="1"/>
    <n v="8464665"/>
    <m/>
    <m/>
    <m/>
  </r>
  <r>
    <x v="7"/>
    <x v="1"/>
    <s v="\\192.168.24.208\images\R&amp;D\Coralie\Triphenylphosphate\2021-CHG-CBA-TRIPHENYLP\plaque 1/@07 EE2 488/B7_01.tif "/>
    <s v=" 59330.801 "/>
    <s v=" 97.731 "/>
    <x v="1"/>
    <n v="5798456"/>
    <m/>
    <m/>
    <m/>
  </r>
  <r>
    <x v="7"/>
    <x v="1"/>
    <s v="\\192.168.24.208\images\R&amp;D\Coralie\Triphenylphosphate\2021-CHG-CBA-TRIPHENYLP\plaque 1/@07 EE2 488/B7_02.tif "/>
    <s v=" 56843.3631 "/>
    <s v=" 98.6267 "/>
    <x v="1"/>
    <n v="5606274"/>
    <m/>
    <m/>
    <m/>
  </r>
  <r>
    <x v="7"/>
    <x v="1"/>
    <s v="\\192.168.24.208\images\R&amp;D\Coralie\Triphenylphosphate\2021-CHG-CBA-TRIPHENYLP\plaque 1/@07 EE2 488/B7_03.tif "/>
    <s v=" 68545.1361 "/>
    <s v=" 94.1606 "/>
    <x v="1"/>
    <n v="6454252"/>
    <m/>
    <m/>
    <m/>
  </r>
  <r>
    <x v="7"/>
    <x v="2"/>
    <s v="\\192.168.24.208\images\R&amp;D\Coralie\Triphenylphosphate\2021-CHG-CBA-TRIPHENYLP\plaque 1/@07 EE2 488/C7_01.tif "/>
    <s v=" 65906.2889 "/>
    <s v=" 100.4503 "/>
    <x v="1"/>
    <n v="6620305"/>
    <m/>
    <m/>
    <m/>
  </r>
  <r>
    <x v="7"/>
    <x v="2"/>
    <s v="\\192.168.24.208\images\R&amp;D\Coralie\Triphenylphosphate\2021-CHG-CBA-TRIPHENYLP\plaque 1/@07 EE2 488/C7_02.tif "/>
    <s v=" 59958.0679 "/>
    <s v=" 102.3405 "/>
    <x v="1"/>
    <n v="6136142"/>
    <m/>
    <m/>
    <m/>
  </r>
  <r>
    <x v="7"/>
    <x v="2"/>
    <s v="\\192.168.24.208\images\R&amp;D\Coralie\Triphenylphosphate\2021-CHG-CBA-TRIPHENYLP\plaque 1/@07 EE2 488/C7_03.tif "/>
    <s v=" 63656.7799 "/>
    <s v=" 103.2446 "/>
    <x v="1"/>
    <n v="6572222"/>
    <m/>
    <m/>
    <m/>
  </r>
  <r>
    <x v="7"/>
    <x v="3"/>
    <s v="\\192.168.24.208\images\R&amp;D\Coralie\Triphenylphosphate\2021-CHG-CBA-TRIPHENYLP\plaque 1/@07 EE2 488/D7_01.tif "/>
    <s v=" 75012.4746 "/>
    <s v=" 92.9432 "/>
    <x v="1"/>
    <n v="6971899"/>
    <m/>
    <m/>
    <m/>
  </r>
  <r>
    <x v="7"/>
    <x v="3"/>
    <s v="\\192.168.24.208\images\R&amp;D\Coralie\Triphenylphosphate\2021-CHG-CBA-TRIPHENYLP\plaque 1/@07 EE2 488/D7_02.tif "/>
    <s v=" 74147.2788 "/>
    <s v=" 92.6651 "/>
    <x v="1"/>
    <n v="6870866"/>
    <m/>
    <m/>
    <m/>
  </r>
  <r>
    <x v="7"/>
    <x v="3"/>
    <s v="\\192.168.24.208\images\R&amp;D\Coralie\Triphenylphosphate\2021-CHG-CBA-TRIPHENYLP\plaque 1/@07 EE2 488/D7_03.tif "/>
    <s v=" 76937.5352 "/>
    <s v=" 92.5294 "/>
    <x v="1"/>
    <n v="7118982"/>
    <m/>
    <m/>
    <m/>
  </r>
  <r>
    <x v="7"/>
    <x v="4"/>
    <s v="\\192.168.24.208\images\R&amp;D\Coralie\Triphenylphosphate\2021-CHG-CBA-TRIPHENYLP\plaque 1/@07 EE2 488/E7_01.tif "/>
    <s v=" 43627.4975 "/>
    <s v=" 97.7605 "/>
    <x v="1"/>
    <n v="4265048"/>
    <m/>
    <m/>
    <m/>
  </r>
  <r>
    <x v="7"/>
    <x v="4"/>
    <s v="\\192.168.24.208\images\R&amp;D\Coralie\Triphenylphosphate\2021-CHG-CBA-TRIPHENYLP\plaque 1/@07 EE2 488/E7_02.tif "/>
    <s v=" 40383.0133 "/>
    <s v=" 100.1639 "/>
    <x v="1"/>
    <n v="4044920"/>
    <m/>
    <m/>
    <m/>
  </r>
  <r>
    <x v="7"/>
    <x v="4"/>
    <s v="\\192.168.24.208\images\R&amp;D\Coralie\Triphenylphosphate\2021-CHG-CBA-TRIPHENYLP\plaque 1/@07 EE2 488/E7_03.tif "/>
    <s v=" 55740.2385 "/>
    <s v=" 87.2433 "/>
    <x v="1"/>
    <n v="4862963"/>
    <m/>
    <m/>
    <m/>
  </r>
  <r>
    <x v="7"/>
    <x v="5"/>
    <s v="\\192.168.24.208\images\R&amp;D\Coralie\Triphenylphosphate\2021-CHG-CBA-TRIPHENYLP\plaque 1/@07 EE2 488/F7_01.tif "/>
    <s v=" 45379.5189 "/>
    <s v=" 96.2602 "/>
    <x v="1"/>
    <n v="4368244"/>
    <m/>
    <m/>
    <m/>
  </r>
  <r>
    <x v="7"/>
    <x v="5"/>
    <s v="\\192.168.24.208\images\R&amp;D\Coralie\Triphenylphosphate\2021-CHG-CBA-TRIPHENYLP\plaque 1/@07 EE2 488/F7_02.tif "/>
    <s v=" 43389.5686 "/>
    <s v=" 97.9671 "/>
    <x v="1"/>
    <n v="4250750"/>
    <m/>
    <m/>
    <m/>
  </r>
  <r>
    <x v="7"/>
    <x v="5"/>
    <s v="\\192.168.24.208\images\R&amp;D\Coralie\Triphenylphosphate\2021-CHG-CBA-TRIPHENYLP\plaque 1/@07 EE2 488/F7_03.tif "/>
    <s v=" 47066.6507 "/>
    <s v=" 93.9476 "/>
    <x v="1"/>
    <n v="4421799"/>
    <m/>
    <m/>
    <m/>
  </r>
  <r>
    <x v="7"/>
    <x v="6"/>
    <s v="\\192.168.24.208\images\R&amp;D\Coralie\Triphenylphosphate\2021-CHG-CBA-TRIPHENYLP\plaque 1/@07 EE2 488/G7_01.tif "/>
    <s v=" 52820.2027 "/>
    <s v=" 97.1441 "/>
    <x v="1"/>
    <n v="5131173"/>
    <m/>
    <m/>
    <m/>
  </r>
  <r>
    <x v="7"/>
    <x v="6"/>
    <s v="\\192.168.24.208\images\R&amp;D\Coralie\Triphenylphosphate\2021-CHG-CBA-TRIPHENYLP\plaque 1/@07 EE2 488/G7_02.tif "/>
    <s v=" 59503.8401 "/>
    <s v=" 94.1618 "/>
    <x v="1"/>
    <n v="5602986"/>
    <m/>
    <m/>
    <m/>
  </r>
  <r>
    <x v="7"/>
    <x v="6"/>
    <s v="\\192.168.24.208\images\R&amp;D\Coralie\Triphenylphosphate\2021-CHG-CBA-TRIPHENYLP\plaque 1/@07 EE2 488/G7_03.tif "/>
    <s v=" 48991.7113 "/>
    <s v=" 96.5448 "/>
    <x v="1"/>
    <n v="4729896"/>
    <m/>
    <m/>
    <m/>
  </r>
  <r>
    <x v="7"/>
    <x v="7"/>
    <s v="\\192.168.24.208\images\R&amp;D\Coralie\Triphenylphosphate\2021-CHG-CBA-TRIPHENYLP\plaque 1/@07 EE2 488/H7_01.tif "/>
    <s v=" 62380.6161 "/>
    <s v=" 93.2021 "/>
    <x v="1"/>
    <n v="5814008"/>
    <m/>
    <m/>
    <m/>
  </r>
  <r>
    <x v="7"/>
    <x v="7"/>
    <s v="\\192.168.24.208\images\R&amp;D\Coralie\Triphenylphosphate\2021-CHG-CBA-TRIPHENYLP\plaque 1/@07 EE2 488/H7_02.tif "/>
    <s v=" 64392.1963 "/>
    <s v=" 92.433 "/>
    <x v="1"/>
    <n v="5951963"/>
    <m/>
    <m/>
    <m/>
  </r>
  <r>
    <x v="7"/>
    <x v="7"/>
    <s v="\\192.168.24.208\images\R&amp;D\Coralie\Triphenylphosphate\2021-CHG-CBA-TRIPHENYLP\plaque 1/@07 EE2 488/H7_03.tif "/>
    <s v=" 62250.8367 "/>
    <s v=" 92.6894 "/>
    <x v="1"/>
    <n v="5769991"/>
    <m/>
    <m/>
    <m/>
  </r>
  <r>
    <x v="1"/>
    <x v="8"/>
    <s v=" "/>
    <m/>
    <m/>
    <x v="0"/>
    <m/>
    <m/>
    <m/>
    <m/>
  </r>
  <r>
    <x v="1"/>
    <x v="8"/>
    <s v="group "/>
    <s v=" "/>
    <s v=" mean of mean fluo "/>
    <x v="2"/>
    <s v=" mean of total fluo "/>
    <s v=" SD total fluo "/>
    <s v=" n fluorescent "/>
    <s v=" n total"/>
  </r>
  <r>
    <x v="7"/>
    <x v="9"/>
    <s v="\\192.168.24.208\images\R&amp;D\Coralie\Triphenylphosphate\2021-CHG-CBA-TRIPHENYLP\plaque 1/@07 EE2 488/ "/>
    <s v=" "/>
    <s v=" 96.2816 "/>
    <x v="9"/>
    <s v=" 5914501.88 "/>
    <s v=" 1277779.4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8"/>
    <x v="0"/>
    <s v="\\192.168.24.208\images\R&amp;D\Coralie\Triphenylphosphate\2021-CHG-CBA-TRIPHENYLP\plaque 1/@08 TRIPHENYLP 0.18/A8_01.tif "/>
    <s v=" 3266.1141 "/>
    <s v=" 67.9536 "/>
    <x v="1"/>
    <n v="221944"/>
    <m/>
    <m/>
    <m/>
  </r>
  <r>
    <x v="8"/>
    <x v="0"/>
    <s v="\\192.168.24.208\images\R&amp;D\Coralie\Triphenylphosphate\2021-CHG-CBA-TRIPHENYLP\plaque 1/@08 TRIPHENYLP 0.18/A8_02.tif "/>
    <s v=" 5018.1356 "/>
    <s v=" 67.7931 "/>
    <x v="1"/>
    <n v="340195"/>
    <m/>
    <m/>
    <m/>
  </r>
  <r>
    <x v="8"/>
    <x v="0"/>
    <s v="\\192.168.24.208\images\R&amp;D\Coralie\Triphenylphosphate\2021-CHG-CBA-TRIPHENYLP\plaque 1/@08 TRIPHENYLP 0.18/A8_03.tif "/>
    <s v=" 4499.0181 "/>
    <s v=" 69.8077 "/>
    <x v="1"/>
    <n v="314066"/>
    <m/>
    <m/>
    <m/>
  </r>
  <r>
    <x v="8"/>
    <x v="1"/>
    <s v="\\192.168.24.208\images\R&amp;D\Coralie\Triphenylphosphate\2021-CHG-CBA-TRIPHENYLP\plaque 1/@08 TRIPHENYLP 0.18/B8_01.tif "/>
    <s v=" 7570.4631 "/>
    <s v=" 74.3857 "/>
    <x v="1"/>
    <n v="563134"/>
    <m/>
    <m/>
    <m/>
  </r>
  <r>
    <x v="8"/>
    <x v="1"/>
    <s v="\\192.168.24.208\images\R&amp;D\Coralie\Triphenylphosphate\2021-CHG-CBA-TRIPHENYLP\plaque 1/@08 TRIPHENYLP 0.18/B8_02.tif "/>
    <s v=" 9430.6341 "/>
    <s v=" 73.5367 "/>
    <x v="1"/>
    <n v="693498"/>
    <m/>
    <m/>
    <m/>
  </r>
  <r>
    <x v="8"/>
    <x v="1"/>
    <s v="\\192.168.24.208\images\R&amp;D\Coralie\Triphenylphosphate\2021-CHG-CBA-TRIPHENYLP\plaque 1/@08 TRIPHENYLP 0.18/B8_03.tif "/>
    <s v=" 8976.4063 "/>
    <s v=" 73.7831 "/>
    <x v="1"/>
    <n v="662307"/>
    <m/>
    <m/>
    <m/>
  </r>
  <r>
    <x v="8"/>
    <x v="2"/>
    <s v="\\192.168.24.208\images\R&amp;D\Coralie\Triphenylphosphate\2021-CHG-CBA-TRIPHENYLP\plaque 1/@08 TRIPHENYLP 0.18/C8_01.tif "/>
    <s v=" 692.1566 "/>
    <s v=" 63.6875 "/>
    <x v="1"/>
    <n v="44082"/>
    <m/>
    <m/>
    <m/>
  </r>
  <r>
    <x v="8"/>
    <x v="2"/>
    <s v="\\192.168.24.208\images\R&amp;D\Coralie\Triphenylphosphate\2021-CHG-CBA-TRIPHENYLP\plaque 1/@08 TRIPHENYLP 0.18/C8_02- exclu.tif"/>
    <m/>
    <m/>
    <x v="0"/>
    <m/>
    <m/>
    <m/>
    <m/>
  </r>
  <r>
    <x v="8"/>
    <x v="2"/>
    <s v="\\192.168.24.208\images\R&amp;D\Coralie\Triphenylphosphate\2021-CHG-CBA-TRIPHENYLP\plaque 1/@08 TRIPHENYLP 0.18/C8_03.tif "/>
    <s v=" 410.968 "/>
    <s v=" 63.8421 "/>
    <x v="1"/>
    <n v="26237"/>
    <m/>
    <m/>
    <m/>
  </r>
  <r>
    <x v="8"/>
    <x v="3"/>
    <s v="\\192.168.24.208\images\R&amp;D\Coralie\Triphenylphosphate\2021-CHG-CBA-TRIPHENYLP\plaque 1/@08 TRIPHENYLP 0.18/D8_01.tif "/>
    <s v=" 9192.7052 "/>
    <s v=" 69.4518 "/>
    <x v="1"/>
    <n v="638450"/>
    <m/>
    <m/>
    <m/>
  </r>
  <r>
    <x v="8"/>
    <x v="3"/>
    <s v="\\192.168.24.208\images\R&amp;D\Coralie\Triphenylphosphate\2021-CHG-CBA-TRIPHENYLP\plaque 1/@08 TRIPHENYLP 0.18/D8_02.tif "/>
    <s v=" 8998.0362 "/>
    <s v=" 71.2019 "/>
    <x v="1"/>
    <n v="640677"/>
    <m/>
    <m/>
    <m/>
  </r>
  <r>
    <x v="8"/>
    <x v="3"/>
    <s v="\\192.168.24.208\images\R&amp;D\Coralie\Triphenylphosphate\2021-CHG-CBA-TRIPHENYLP\plaque 1/@08 TRIPHENYLP 0.18/D8_03.tif "/>
    <s v=" 10901.4669 "/>
    <s v=" 69.9802 "/>
    <x v="1"/>
    <n v="762886"/>
    <m/>
    <m/>
    <m/>
  </r>
  <r>
    <x v="8"/>
    <x v="4"/>
    <s v="\\192.168.24.208\images\R&amp;D\Coralie\Triphenylphosphate\2021-CHG-CBA-TRIPHENYLP\plaque 1/@08 TRIPHENYLP 0.18/E8_01.tif "/>
    <s v=" 3979.9006 "/>
    <s v=" 66.3207 "/>
    <x v="1"/>
    <n v="263950"/>
    <m/>
    <m/>
    <m/>
  </r>
  <r>
    <x v="8"/>
    <x v="4"/>
    <s v="\\192.168.24.208\images\R&amp;D\Coralie\Triphenylphosphate\2021-CHG-CBA-TRIPHENYLP\plaque 1/@08 TRIPHENYLP 0.18/E8_02- exclu.tif"/>
    <m/>
    <m/>
    <x v="0"/>
    <m/>
    <m/>
    <m/>
    <m/>
  </r>
  <r>
    <x v="8"/>
    <x v="4"/>
    <s v="\\192.168.24.208\images\R&amp;D\Coralie\Triphenylphosphate\2021-CHG-CBA-TRIPHENYLP\plaque 1/@08 TRIPHENYLP 0.18/E8_03.tif "/>
    <s v=" 5126.285 "/>
    <s v=" 69.5654 "/>
    <x v="1"/>
    <n v="356612"/>
    <m/>
    <m/>
    <m/>
  </r>
  <r>
    <x v="8"/>
    <x v="5"/>
    <s v="\\192.168.24.208\images\R&amp;D\Coralie\Triphenylphosphate\2021-CHG-CBA-TRIPHENYLP\plaque 1/@08 TRIPHENYLP 0.18/F8_01.tif "/>
    <s v=" 5147.9149 "/>
    <s v=" 71.0672 "/>
    <x v="1"/>
    <n v="365848"/>
    <m/>
    <m/>
    <m/>
  </r>
  <r>
    <x v="8"/>
    <x v="5"/>
    <s v="\\192.168.24.208\images\R&amp;D\Coralie\Triphenylphosphate\2021-CHG-CBA-TRIPHENYLP\plaque 1/@08 TRIPHENYLP 0.18/F8_02.tif "/>
    <s v=" 5277.6943 "/>
    <s v=" 68.418 "/>
    <x v="1"/>
    <n v="361089"/>
    <m/>
    <m/>
    <m/>
  </r>
  <r>
    <x v="8"/>
    <x v="5"/>
    <s v="\\192.168.24.208\images\R&amp;D\Coralie\Triphenylphosphate\2021-CHG-CBA-TRIPHENYLP\plaque 1/@08 TRIPHENYLP 0.18/F8_03.tif "/>
    <s v=" 4023.1604 "/>
    <s v=" 67.9355 "/>
    <x v="1"/>
    <n v="273315"/>
    <m/>
    <m/>
    <m/>
  </r>
  <r>
    <x v="8"/>
    <x v="6"/>
    <s v="\\192.168.24.208\images\R&amp;D\Coralie\Triphenylphosphate\2021-CHG-CBA-TRIPHENYLP\plaque 1/@08 TRIPHENYLP 0.18/G8_01.tif "/>
    <s v=" 6294.2993 "/>
    <s v=" 71.7251 "/>
    <x v="1"/>
    <n v="451459"/>
    <m/>
    <m/>
    <m/>
  </r>
  <r>
    <x v="8"/>
    <x v="6"/>
    <s v="\\192.168.24.208\images\R&amp;D\Coralie\Triphenylphosphate\2021-CHG-CBA-TRIPHENYLP\plaque 1/@08 TRIPHENYLP 0.18/G8_02.tif "/>
    <s v=" 627.2669 "/>
    <s v=" 63.4483 "/>
    <x v="1"/>
    <n v="39799"/>
    <m/>
    <m/>
    <m/>
  </r>
  <r>
    <x v="8"/>
    <x v="6"/>
    <s v="\\192.168.24.208\images\R&amp;D\Coralie\Triphenylphosphate\2021-CHG-CBA-TRIPHENYLP\plaque 1/@08 TRIPHENYLP 0.18/G8_03.tif "/>
    <s v=" 1708.7617 "/>
    <s v=" 65.6076 "/>
    <x v="1"/>
    <n v="112108"/>
    <m/>
    <m/>
    <m/>
  </r>
  <r>
    <x v="8"/>
    <x v="7"/>
    <s v="\\192.168.24.208\images\R&amp;D\Coralie\Triphenylphosphate\2021-CHG-CBA-TRIPHENYLP\plaque 1/@08 TRIPHENYLP 0.18/H8_01.tif "/>
    <s v=" 1881.8008 "/>
    <s v=" 67.092 "/>
    <x v="1"/>
    <n v="126254"/>
    <m/>
    <m/>
    <m/>
  </r>
  <r>
    <x v="8"/>
    <x v="7"/>
    <s v="\\192.168.24.208\images\R&amp;D\Coralie\Triphenylphosphate\2021-CHG-CBA-TRIPHENYLP\plaque 1/@08 TRIPHENYLP 0.18/H8_02.tif "/>
    <s v=" 1687.1318 "/>
    <s v=" 68.3077 "/>
    <x v="1"/>
    <n v="115244"/>
    <m/>
    <m/>
    <m/>
  </r>
  <r>
    <x v="8"/>
    <x v="7"/>
    <s v="\\192.168.24.208\images\R&amp;D\Coralie\Triphenylphosphate\2021-CHG-CBA-TRIPHENYLP\plaque 1/@08 TRIPHENYLP 0.18/H8_03.tif "/>
    <s v=" 4304.349 "/>
    <s v=" 67.1307 "/>
    <x v="1"/>
    <n v="288954"/>
    <m/>
    <m/>
    <m/>
  </r>
  <r>
    <x v="1"/>
    <x v="8"/>
    <s v=" "/>
    <m/>
    <m/>
    <x v="0"/>
    <m/>
    <m/>
    <m/>
    <m/>
  </r>
  <r>
    <x v="1"/>
    <x v="8"/>
    <s v="group "/>
    <s v=" "/>
    <s v=" mean of mean fluo "/>
    <x v="2"/>
    <s v=" mean of total fluo "/>
    <s v=" SD total fluo "/>
    <s v=" n fluorescent "/>
    <s v=" n total"/>
  </r>
  <r>
    <x v="8"/>
    <x v="9"/>
    <s v="\\192.168.24.208\images\R&amp;D\Coralie\Triphenylphosphate\2021-CHG-CBA-TRIPHENYLP\plaque 1/@08 TRIPHENYLP 0.18/ "/>
    <s v=" "/>
    <s v=" 68.3088 "/>
    <x v="10"/>
    <s v=" 321849.167 "/>
    <s v=" 236409.39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9"/>
    <x v="0"/>
    <s v="\\192.168.24.208\images\R&amp;D\Coralie\Triphenylphosphate\2021-CHG-CBA-TRIPHENYLP\plaque 1/@09 TRIPHENYLP 0.26/A9_01.tif "/>
    <s v=" 7678.6126 "/>
    <s v=" 73.7042 "/>
    <x v="1"/>
    <n v="565946"/>
    <m/>
    <m/>
    <m/>
  </r>
  <r>
    <x v="9"/>
    <x v="0"/>
    <s v="\\192.168.24.208\images\R&amp;D\Coralie\Triphenylphosphate\2021-CHG-CBA-TRIPHENYLP\plaque 1/@09 TRIPHENYLP 0.26/A9_02.tif "/>
    <s v=" 14924.6273 "/>
    <s v=" 72.5043 "/>
    <x v="1"/>
    <n v="1082100"/>
    <m/>
    <m/>
    <m/>
  </r>
  <r>
    <x v="9"/>
    <x v="0"/>
    <s v="\\192.168.24.208\images\R&amp;D\Coralie\Triphenylphosphate\2021-CHG-CBA-TRIPHENYLP\plaque 1/@09 TRIPHENYLP 0.26/A9_03.tif "/>
    <s v=" 15011.1469 "/>
    <s v=" 69.3429 "/>
    <x v="1"/>
    <n v="1040917"/>
    <m/>
    <m/>
    <m/>
  </r>
  <r>
    <x v="9"/>
    <x v="1"/>
    <s v="\\192.168.24.208\images\R&amp;D\Coralie\Triphenylphosphate\2021-CHG-CBA-TRIPHENYLP\plaque 1/@09 TRIPHENYLP 0.26/B9_01.tif "/>
    <s v=" 2076.4699 "/>
    <s v=" 64.6146 "/>
    <x v="1"/>
    <n v="134170"/>
    <m/>
    <m/>
    <m/>
  </r>
  <r>
    <x v="9"/>
    <x v="1"/>
    <s v="\\192.168.24.208\images\R&amp;D\Coralie\Triphenylphosphate\2021-CHG-CBA-TRIPHENYLP\plaque 1/@09 TRIPHENYLP 0.26/B9_02.tif "/>
    <s v=" 4304.349 "/>
    <s v=" 67.5477 "/>
    <x v="1"/>
    <n v="290749"/>
    <m/>
    <m/>
    <m/>
  </r>
  <r>
    <x v="9"/>
    <x v="1"/>
    <s v="\\192.168.24.208\images\R&amp;D\Coralie\Triphenylphosphate\2021-CHG-CBA-TRIPHENYLP\plaque 1/@09 TRIPHENYLP 0.26/B9_03.tif "/>
    <s v=" 2054.84 "/>
    <s v=" 64.1158 "/>
    <x v="1"/>
    <n v="131748"/>
    <m/>
    <m/>
    <m/>
  </r>
  <r>
    <x v="9"/>
    <x v="2"/>
    <s v="\\192.168.24.208\images\R&amp;D\Coralie\Triphenylphosphate\2021-CHG-CBA-TRIPHENYLP\plaque 1/@09 TRIPHENYLP 0.26/C9_01.tif "/>
    <s v=" 5688.6623 "/>
    <s v=" 68.1141 "/>
    <x v="1"/>
    <n v="387478"/>
    <m/>
    <m/>
    <m/>
  </r>
  <r>
    <x v="9"/>
    <x v="2"/>
    <s v="\\192.168.24.208\images\R&amp;D\Coralie\Triphenylphosphate\2021-CHG-CBA-TRIPHENYLP\plaque 1/@09 TRIPHENYLP 0.26/C9_02.tif "/>
    <s v=" 1341.0535 "/>
    <s v=" 66.1452 "/>
    <x v="1"/>
    <n v="88704"/>
    <m/>
    <m/>
    <m/>
  </r>
  <r>
    <x v="9"/>
    <x v="2"/>
    <s v="\\192.168.24.208\images\R&amp;D\Coralie\Triphenylphosphate\2021-CHG-CBA-TRIPHENYLP\plaque 1/@09 TRIPHENYLP 0.26/C9_03.tif "/>
    <s v=" 584.0072 "/>
    <s v=" 63.8889 "/>
    <x v="1"/>
    <n v="37312"/>
    <m/>
    <m/>
    <m/>
  </r>
  <r>
    <x v="9"/>
    <x v="3"/>
    <s v="\\192.168.24.208\images\R&amp;D\Coralie\Triphenylphosphate\2021-CHG-CBA-TRIPHENYLP\plaque 1/@09 TRIPHENYLP 0.26/D9_01.tif "/>
    <s v=" 2357.6585 "/>
    <s v=" 65.7798 "/>
    <x v="1"/>
    <n v="155086"/>
    <m/>
    <m/>
    <m/>
  </r>
  <r>
    <x v="9"/>
    <x v="3"/>
    <s v="\\192.168.24.208\images\R&amp;D\Coralie\Triphenylphosphate\2021-CHG-CBA-TRIPHENYLP\plaque 1/@09 TRIPHENYLP 0.26/D9_02.tif "/>
    <s v=" 454.2278 "/>
    <s v=" 63.8095 "/>
    <x v="1"/>
    <n v="28984"/>
    <m/>
    <m/>
    <m/>
  </r>
  <r>
    <x v="9"/>
    <x v="3"/>
    <s v="\\192.168.24.208\images\R&amp;D\Coralie\Triphenylphosphate\2021-CHG-CBA-TRIPHENYLP\plaque 1/@09 TRIPHENYLP 0.26/D9_03.tif "/>
    <s v=" 627.2669 "/>
    <s v=" 65.4828 "/>
    <x v="1"/>
    <n v="41075"/>
    <m/>
    <m/>
    <m/>
  </r>
  <r>
    <x v="9"/>
    <x v="4"/>
    <s v="\\192.168.24.208\images\R&amp;D\Coralie\Triphenylphosphate\2021-CHG-CBA-TRIPHENYLP\plaque 1/@09 TRIPHENYLP 0.26/E9_01.tif "/>
    <s v=" 10793.3174 "/>
    <s v=" 74.1303 "/>
    <x v="1"/>
    <n v="800111"/>
    <m/>
    <m/>
    <m/>
  </r>
  <r>
    <x v="9"/>
    <x v="4"/>
    <s v="\\192.168.24.208\images\R&amp;D\Coralie\Triphenylphosphate\2021-CHG-CBA-TRIPHENYLP\plaque 1/@09 TRIPHENYLP 0.26/E9_02.tif "/>
    <s v=" 7613.7229 "/>
    <s v=" 72.4631 "/>
    <x v="1"/>
    <n v="551714"/>
    <m/>
    <m/>
    <m/>
  </r>
  <r>
    <x v="9"/>
    <x v="4"/>
    <s v="\\192.168.24.208\images\R&amp;D\Coralie\Triphenylphosphate\2021-CHG-CBA-TRIPHENYLP\plaque 1/@09 TRIPHENYLP 0.26/E9_03.tif "/>
    <s v=" 9409.0042 "/>
    <s v=" 70.7287 "/>
    <x v="1"/>
    <n v="665487"/>
    <m/>
    <m/>
    <m/>
  </r>
  <r>
    <x v="9"/>
    <x v="5"/>
    <s v="\\192.168.24.208\images\R&amp;D\Coralie\Triphenylphosphate\2021-CHG-CBA-TRIPHENYLP\plaque 1/@09 TRIPHENYLP 0.26/F9_01.tif "/>
    <s v=" 15422.1149 "/>
    <s v=" 86.4278 "/>
    <x v="1"/>
    <n v="1332899"/>
    <m/>
    <m/>
    <m/>
  </r>
  <r>
    <x v="9"/>
    <x v="5"/>
    <s v="\\192.168.24.208\images\R&amp;D\Coralie\Triphenylphosphate\2021-CHG-CBA-TRIPHENYLP\plaque 1/@09 TRIPHENYLP 0.26/F9_02.tif "/>
    <s v=" 7894.9115 "/>
    <s v=" 71.7863 "/>
    <x v="1"/>
    <n v="566746"/>
    <m/>
    <m/>
    <m/>
  </r>
  <r>
    <x v="9"/>
    <x v="5"/>
    <s v="\\192.168.24.208\images\R&amp;D\Coralie\Triphenylphosphate\2021-CHG-CBA-TRIPHENYLP\plaque 1/@09 TRIPHENYLP 0.26/F9_03.tif "/>
    <s v=" 18991.0475 "/>
    <s v=" 88.3793 "/>
    <x v="1"/>
    <n v="1678415"/>
    <m/>
    <m/>
    <m/>
  </r>
  <r>
    <x v="9"/>
    <x v="6"/>
    <s v="\\192.168.24.208\images\R&amp;D\Coralie\Triphenylphosphate\2021-CHG-CBA-TRIPHENYLP\plaque 1/@09 TRIPHENYLP 0.26/G9_01.tif "/>
    <s v=" 12610.2286 "/>
    <s v=" 83.307 "/>
    <x v="1"/>
    <n v="1050521"/>
    <m/>
    <m/>
    <m/>
  </r>
  <r>
    <x v="9"/>
    <x v="6"/>
    <s v="\\192.168.24.208\images\R&amp;D\Coralie\Triphenylphosphate\2021-CHG-CBA-TRIPHENYLP\plaque 1/@09 TRIPHENYLP 0.26/G9_02- exclu.tif"/>
    <m/>
    <m/>
    <x v="0"/>
    <m/>
    <m/>
    <m/>
    <m/>
  </r>
  <r>
    <x v="9"/>
    <x v="6"/>
    <s v="\\192.168.24.208\images\R&amp;D\Coralie\Triphenylphosphate\2021-CHG-CBA-TRIPHENYLP\plaque 1/@09 TRIPHENYLP 0.26/G9_03.tif "/>
    <s v=" 9192.7052 "/>
    <s v=" 80.1718 "/>
    <x v="1"/>
    <n v="736995"/>
    <m/>
    <m/>
    <m/>
  </r>
  <r>
    <x v="9"/>
    <x v="7"/>
    <s v="\\192.168.24.208\images\R&amp;D\Coralie\Triphenylphosphate\2021-CHG-CBA-TRIPHENYLP\plaque 1/@09 TRIPHENYLP 0.26/H9_01.tif "/>
    <s v=" 6640.3777 "/>
    <s v=" 66.7394 "/>
    <x v="1"/>
    <n v="443175"/>
    <m/>
    <m/>
    <m/>
  </r>
  <r>
    <x v="9"/>
    <x v="7"/>
    <s v="\\192.168.24.208\images\R&amp;D\Coralie\Triphenylphosphate\2021-CHG-CBA-TRIPHENYLP\plaque 1/@09 TRIPHENYLP 0.26/H9_02.tif "/>
    <s v=" 8132.8404 "/>
    <s v=" 67.1543 "/>
    <x v="1"/>
    <n v="546155"/>
    <m/>
    <m/>
    <m/>
  </r>
  <r>
    <x v="9"/>
    <x v="7"/>
    <s v="\\192.168.24.208\images\R&amp;D\Coralie\Triphenylphosphate\2021-CHG-CBA-TRIPHENYLP\plaque 1/@09 TRIPHENYLP 0.26/H9_03.tif "/>
    <s v=" 3720.3419 "/>
    <s v=" 66.8256 "/>
    <x v="1"/>
    <n v="248614"/>
    <m/>
    <m/>
    <m/>
  </r>
  <r>
    <x v="1"/>
    <x v="8"/>
    <s v=" "/>
    <m/>
    <m/>
    <x v="0"/>
    <m/>
    <m/>
    <m/>
    <m/>
  </r>
  <r>
    <x v="1"/>
    <x v="8"/>
    <s v="group "/>
    <s v=" "/>
    <s v=" mean of mean fluo "/>
    <x v="2"/>
    <s v=" mean of total fluo "/>
    <s v=" SD total fluo "/>
    <s v=" n fluorescent "/>
    <s v=" n total"/>
  </r>
  <r>
    <x v="9"/>
    <x v="9"/>
    <s v="\\192.168.24.208\images\R&amp;D\Coralie\Triphenylphosphate\2021-CHG-CBA-TRIPHENYLP\plaque 1/@09 TRIPHENYLP 0.26/ "/>
    <s v=" "/>
    <s v=" 71.7017 "/>
    <x v="11"/>
    <s v=" 575073.958 "/>
    <s v=" 460679.76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0"/>
    <x v="0"/>
    <s v="\\192.168.24.208\images\R&amp;D\Coralie\Triphenylphosphate\2021-CHG-CBA-TRIPHENYLP\plaque 1/@10 TRIPHENYLP 0.4/A10_01.tif "/>
    <s v=" 8327.5094 "/>
    <s v=" 72.0831 "/>
    <x v="1"/>
    <n v="600273"/>
    <m/>
    <m/>
    <m/>
  </r>
  <r>
    <x v="10"/>
    <x v="0"/>
    <s v="\\192.168.24.208\images\R&amp;D\Coralie\Triphenylphosphate\2021-CHG-CBA-TRIPHENYLP\plaque 1/@10 TRIPHENYLP 0.4/A10_02.tif "/>
    <s v=" 8630.328 "/>
    <s v=" 71.3609 "/>
    <x v="1"/>
    <n v="615868"/>
    <m/>
    <m/>
    <m/>
  </r>
  <r>
    <x v="10"/>
    <x v="0"/>
    <s v="\\192.168.24.208\images\R&amp;D\Coralie\Triphenylphosphate\2021-CHG-CBA-TRIPHENYLP\plaque 1/@10 TRIPHENYLP 0.4/A10_03.tif "/>
    <s v=" 8111.2105 "/>
    <s v=" 69.5093 "/>
    <x v="1"/>
    <n v="563805"/>
    <m/>
    <m/>
    <m/>
  </r>
  <r>
    <x v="10"/>
    <x v="1"/>
    <s v="\\192.168.24.208\images\R&amp;D\Coralie\Triphenylphosphate\2021-CHG-CBA-TRIPHENYLP\plaque 1/@10 TRIPHENYLP 0.4/B10_01.tif "/>
    <s v=" 6229.4097 "/>
    <s v=" 73.7292 "/>
    <x v="1"/>
    <n v="459289"/>
    <m/>
    <m/>
    <m/>
  </r>
  <r>
    <x v="10"/>
    <x v="1"/>
    <s v="\\192.168.24.208\images\R&amp;D\Coralie\Triphenylphosphate\2021-CHG-CBA-TRIPHENYLP\plaque 1/@10 TRIPHENYLP 0.4/B10_02.tif "/>
    <s v=" 1600.6122 "/>
    <s v=" 65.3243 "/>
    <x v="1"/>
    <n v="104559"/>
    <m/>
    <m/>
    <m/>
  </r>
  <r>
    <x v="10"/>
    <x v="1"/>
    <s v="\\192.168.24.208\images\R&amp;D\Coralie\Triphenylphosphate\2021-CHG-CBA-TRIPHENYLP\plaque 1/@10 TRIPHENYLP 0.4/B10_03.tif "/>
    <s v=" 1968.3204 "/>
    <s v=" 66.1209 "/>
    <x v="1"/>
    <n v="130147"/>
    <m/>
    <m/>
    <m/>
  </r>
  <r>
    <x v="10"/>
    <x v="2"/>
    <s v="\\192.168.24.208\images\R&amp;D\Coralie\Triphenylphosphate\2021-CHG-CBA-TRIPHENYLP\plaque 1/@10 TRIPHENYLP 0.4/C10_01.tif "/>
    <s v=" 8933.1465 "/>
    <s v=" 68.4528 "/>
    <x v="1"/>
    <n v="611499"/>
    <m/>
    <m/>
    <m/>
  </r>
  <r>
    <x v="10"/>
    <x v="2"/>
    <s v="\\192.168.24.208\images\R&amp;D\Coralie\Triphenylphosphate\2021-CHG-CBA-TRIPHENYLP\plaque 1/@10 TRIPHENYLP 0.4/C10_02.tif "/>
    <s v=" 6272.6694 "/>
    <s v=" 67.4897 "/>
    <x v="1"/>
    <n v="423340"/>
    <m/>
    <m/>
    <m/>
  </r>
  <r>
    <x v="10"/>
    <x v="2"/>
    <s v="\\192.168.24.208\images\R&amp;D\Coralie\Triphenylphosphate\2021-CHG-CBA-TRIPHENYLP\plaque 1/@10 TRIPHENYLP 0.4/C10_03.tif "/>
    <s v=" 9041.296 "/>
    <s v=" 69.7943 "/>
    <x v="1"/>
    <n v="631031"/>
    <m/>
    <m/>
    <m/>
  </r>
  <r>
    <x v="10"/>
    <x v="3"/>
    <s v="\\192.168.24.208\images\R&amp;D\Coralie\Triphenylphosphate\2021-CHG-CBA-TRIPHENYLP\plaque 1/@10 TRIPHENYLP 0.4/D10_01.tif "/>
    <s v=" 11463.8442 "/>
    <s v=" 75.2717 "/>
    <x v="1"/>
    <n v="862903"/>
    <m/>
    <m/>
    <m/>
  </r>
  <r>
    <x v="10"/>
    <x v="3"/>
    <s v="\\192.168.24.208\images\R&amp;D\Coralie\Triphenylphosphate\2021-CHG-CBA-TRIPHENYLP\plaque 1/@10 TRIPHENYLP 0.4/D10_02.tif "/>
    <s v=" 10966.3566 "/>
    <s v=" 72.0473 "/>
    <x v="1"/>
    <n v="790097"/>
    <m/>
    <m/>
    <m/>
  </r>
  <r>
    <x v="10"/>
    <x v="3"/>
    <s v="\\192.168.24.208\images\R&amp;D\Coralie\Triphenylphosphate\2021-CHG-CBA-TRIPHENYLP\plaque 1/@10 TRIPHENYLP 0.4/D10_03.tif "/>
    <s v=" 11680.1431 "/>
    <s v=" 73.1704 "/>
    <x v="1"/>
    <n v="854640"/>
    <m/>
    <m/>
    <m/>
  </r>
  <r>
    <x v="10"/>
    <x v="4"/>
    <s v="\\192.168.24.208\images\R&amp;D\Coralie\Triphenylphosphate\2021-CHG-CBA-TRIPHENYLP\plaque 1/@10 TRIPHENYLP 0.4/E10_01.tif "/>
    <s v=" 14189.2109 "/>
    <s v=" 65.6768 "/>
    <x v="1"/>
    <n v="931902"/>
    <m/>
    <m/>
    <m/>
  </r>
  <r>
    <x v="10"/>
    <x v="4"/>
    <s v="\\192.168.24.208\images\R&amp;D\Coralie\Triphenylphosphate\2021-CHG-CBA-TRIPHENYLP\plaque 1/@10 TRIPHENYLP 0.4/E10_02.tif "/>
    <s v=" 11874.8122 "/>
    <s v=" 65.6867 "/>
    <x v="1"/>
    <n v="780017"/>
    <m/>
    <m/>
    <m/>
  </r>
  <r>
    <x v="10"/>
    <x v="4"/>
    <s v="\\192.168.24.208\images\R&amp;D\Coralie\Triphenylphosphate\2021-CHG-CBA-TRIPHENYLP\plaque 1/@10 TRIPHENYLP 0.4/E10_03.tif "/>
    <s v=" 9625.3031 "/>
    <s v=" 66.3191 "/>
    <x v="1"/>
    <n v="638341"/>
    <m/>
    <m/>
    <m/>
  </r>
  <r>
    <x v="10"/>
    <x v="5"/>
    <s v="\\192.168.24.208\images\R&amp;D\Coralie\Triphenylphosphate\2021-CHG-CBA-TRIPHENYLP\plaque 1/@10 TRIPHENYLP 0.4/F10_01.tif "/>
    <s v=" 8089.5806 "/>
    <s v=" 66.7299 "/>
    <x v="1"/>
    <n v="539817"/>
    <m/>
    <m/>
    <m/>
  </r>
  <r>
    <x v="10"/>
    <x v="5"/>
    <s v="\\192.168.24.208\images\R&amp;D\Coralie\Triphenylphosphate\2021-CHG-CBA-TRIPHENYLP\plaque 1/@10 TRIPHENYLP 0.4/F10_02.tif "/>
    <s v=" 7656.9827 "/>
    <s v=" 66.0169 "/>
    <x v="1"/>
    <n v="505491"/>
    <m/>
    <m/>
    <m/>
  </r>
  <r>
    <x v="10"/>
    <x v="5"/>
    <s v="\\192.168.24.208\images\R&amp;D\Coralie\Triphenylphosphate\2021-CHG-CBA-TRIPHENYLP\plaque 1/@10 TRIPHENYLP 0.4/F10_03.tif "/>
    <s v=" 9517.1536 "/>
    <s v=" 65.6227 "/>
    <x v="1"/>
    <n v="624542"/>
    <m/>
    <m/>
    <m/>
  </r>
  <r>
    <x v="10"/>
    <x v="6"/>
    <s v="\\192.168.24.208\images\R&amp;D\Coralie\Triphenylphosphate\2021-CHG-CBA-TRIPHENYLP\plaque 1/@10 TRIPHENYLP 0.4/G10_01.tif "/>
    <s v=" 25934.2437 "/>
    <s v=" 73.6797 "/>
    <x v="1"/>
    <n v="1910828"/>
    <m/>
    <m/>
    <m/>
  </r>
  <r>
    <x v="10"/>
    <x v="6"/>
    <s v="\\192.168.24.208\images\R&amp;D\Coralie\Triphenylphosphate\2021-CHG-CBA-TRIPHENYLP\plaque 1/@10 TRIPHENYLP 0.4/G10_02.tif "/>
    <s v=" 20548.3999 "/>
    <s v=" 85.0768 "/>
    <x v="1"/>
    <n v="1748193"/>
    <m/>
    <m/>
    <m/>
  </r>
  <r>
    <x v="10"/>
    <x v="6"/>
    <s v="\\192.168.24.208\images\R&amp;D\Coralie\Triphenylphosphate\2021-CHG-CBA-TRIPHENYLP\plaque 1/@10 TRIPHENYLP 0.4/G10_03.tif "/>
    <s v=" 20937.738 "/>
    <s v=" 70.5362 "/>
    <x v="1"/>
    <n v="1476868"/>
    <m/>
    <m/>
    <m/>
  </r>
  <r>
    <x v="10"/>
    <x v="7"/>
    <s v="\\192.168.24.208\images\R&amp;D\Coralie\Triphenylphosphate\2021-CHG-CBA-TRIPHENYLP\plaque 1/@10 TRIPHENYLP 0.4/H10_01- exclu.tif"/>
    <m/>
    <m/>
    <x v="0"/>
    <m/>
    <m/>
    <m/>
    <m/>
  </r>
  <r>
    <x v="10"/>
    <x v="7"/>
    <s v="\\192.168.24.208\images\R&amp;D\Coralie\Triphenylphosphate\2021-CHG-CBA-TRIPHENYLP\plaque 1/@10 TRIPHENYLP 0.4/H10_02- exclu.tif"/>
    <m/>
    <m/>
    <x v="0"/>
    <m/>
    <m/>
    <m/>
    <m/>
  </r>
  <r>
    <x v="10"/>
    <x v="7"/>
    <s v="\\192.168.24.208\images\R&amp;D\Coralie\Triphenylphosphate\2021-CHG-CBA-TRIPHENYLP\plaque 1/@10 TRIPHENYLP 0.4/H10_03- exclu.tif"/>
    <m/>
    <m/>
    <x v="0"/>
    <m/>
    <m/>
    <m/>
    <m/>
  </r>
  <r>
    <x v="1"/>
    <x v="8"/>
    <s v=" "/>
    <m/>
    <m/>
    <x v="0"/>
    <m/>
    <m/>
    <m/>
    <m/>
  </r>
  <r>
    <x v="1"/>
    <x v="8"/>
    <s v="group "/>
    <s v=" "/>
    <s v=" mean of mean fluo "/>
    <x v="2"/>
    <s v=" mean of total fluo "/>
    <s v=" SD total fluo "/>
    <s v=" n fluorescent "/>
    <s v=" n total"/>
  </r>
  <r>
    <x v="10"/>
    <x v="9"/>
    <s v="\\192.168.24.208\images\R&amp;D\Coralie\Triphenylphosphate\2021-CHG-CBA-TRIPHENYLP\plaque 1/@10 TRIPHENYLP 0.4/ "/>
    <s v=" "/>
    <s v=" 69.307 "/>
    <x v="12"/>
    <s v=" 659990.25 "/>
    <s v=" 493575.665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1"/>
    <x v="0"/>
    <s v="\\192.168.24.208\images\R&amp;D\Coralie\Triphenylphosphate\2021-CHG-CBA-TRIPHENYLP\plaque 1/@11 TRIPHENYLP 0.59/A11_01.tif "/>
    <s v=" 9560.4134 "/>
    <s v=" 70.8959 "/>
    <x v="1"/>
    <n v="677794"/>
    <m/>
    <m/>
    <m/>
  </r>
  <r>
    <x v="11"/>
    <x v="0"/>
    <s v="\\192.168.24.208\images\R&amp;D\Coralie\Triphenylphosphate\2021-CHG-CBA-TRIPHENYLP\plaque 1/@11 TRIPHENYLP 0.59/A11_02.tif "/>
    <s v=" 4672.0572 "/>
    <s v=" 66.4676 "/>
    <x v="1"/>
    <n v="310540"/>
    <m/>
    <m/>
    <m/>
  </r>
  <r>
    <x v="11"/>
    <x v="0"/>
    <s v="\\192.168.24.208\images\R&amp;D\Coralie\Triphenylphosphate\2021-CHG-CBA-TRIPHENYLP\plaque 1/@11 TRIPHENYLP 0.59/A11_03.tif "/>
    <s v=" 4239.4593 "/>
    <s v=" 64.3112 "/>
    <x v="1"/>
    <n v="272645"/>
    <m/>
    <m/>
    <m/>
  </r>
  <r>
    <x v="11"/>
    <x v="1"/>
    <s v="\\192.168.24.208\images\R&amp;D\Coralie\Triphenylphosphate\2021-CHG-CBA-TRIPHENYLP\plaque 1/@11 TRIPHENYLP 0.59/B11_01.tif "/>
    <s v=" 22386.9409 "/>
    <s v=" 71.3005 "/>
    <x v="1"/>
    <n v="1596200"/>
    <m/>
    <m/>
    <m/>
  </r>
  <r>
    <x v="11"/>
    <x v="1"/>
    <s v="\\192.168.24.208\images\R&amp;D\Coralie\Triphenylphosphate\2021-CHG-CBA-TRIPHENYLP\plaque 1/@11 TRIPHENYLP 0.59/B11_02.tif "/>
    <s v=" 22235.5317 "/>
    <s v=" 67.4008 "/>
    <x v="1"/>
    <n v="1498692"/>
    <m/>
    <m/>
    <m/>
  </r>
  <r>
    <x v="11"/>
    <x v="1"/>
    <s v="\\192.168.24.208\images\R&amp;D\Coralie\Triphenylphosphate\2021-CHG-CBA-TRIPHENYLP\plaque 1/@11 TRIPHENYLP 0.59/B11_03.tif "/>
    <s v=" 17693.2538 "/>
    <s v=" 66.9719 "/>
    <x v="1"/>
    <n v="1184951"/>
    <m/>
    <m/>
    <m/>
  </r>
  <r>
    <x v="11"/>
    <x v="2"/>
    <s v="\\192.168.24.208\images\R&amp;D\Coralie\Triphenylphosphate\2021-CHG-CBA-TRIPHENYLP\plaque 1/@11 TRIPHENYLP 0.59/C11_01.tif "/>
    <s v=" 6251.0395 "/>
    <s v=" 63.9135 "/>
    <x v="1"/>
    <n v="399526"/>
    <m/>
    <m/>
    <m/>
  </r>
  <r>
    <x v="11"/>
    <x v="2"/>
    <s v="\\192.168.24.208\images\R&amp;D\Coralie\Triphenylphosphate\2021-CHG-CBA-TRIPHENYLP\plaque 1/@11 TRIPHENYLP 0.59/C11_02.tif "/>
    <s v=" 11528.7338 "/>
    <s v=" 68.4747 "/>
    <x v="1"/>
    <n v="789426"/>
    <m/>
    <m/>
    <m/>
  </r>
  <r>
    <x v="11"/>
    <x v="2"/>
    <s v="\\192.168.24.208\images\R&amp;D\Coralie\Triphenylphosphate\2021-CHG-CBA-TRIPHENYLP\plaque 1/@11 TRIPHENYLP 0.59/C11_03.tif "/>
    <s v=" 17195.7662 "/>
    <s v=" 69.3057 "/>
    <x v="1"/>
    <n v="1191764"/>
    <m/>
    <m/>
    <m/>
  </r>
  <r>
    <x v="11"/>
    <x v="3"/>
    <s v="\\192.168.24.208\images\R&amp;D\Coralie\Triphenylphosphate\2021-CHG-CBA-TRIPHENYLP\plaque 1/@11 TRIPHENYLP 0.59/D11_01.tif "/>
    <s v=" 41334.7286 "/>
    <s v=" 80.887 "/>
    <x v="1"/>
    <n v="3343441"/>
    <m/>
    <m/>
    <m/>
  </r>
  <r>
    <x v="11"/>
    <x v="3"/>
    <s v="\\192.168.24.208\images\R&amp;D\Coralie\Triphenylphosphate\2021-CHG-CBA-TRIPHENYLP\plaque 1/@11 TRIPHENYLP 0.59/D11_02.tif "/>
    <s v=" 43973.5758 "/>
    <s v=" 76.3743 "/>
    <x v="1"/>
    <n v="3358452"/>
    <m/>
    <m/>
    <m/>
  </r>
  <r>
    <x v="11"/>
    <x v="3"/>
    <s v="\\192.168.24.208\images\R&amp;D\Coralie\Triphenylphosphate\2021-CHG-CBA-TRIPHENYLP\plaque 1/@11 TRIPHENYLP 0.59/D11_03- exclu.tif"/>
    <m/>
    <m/>
    <x v="0"/>
    <m/>
    <m/>
    <m/>
    <m/>
  </r>
  <r>
    <x v="11"/>
    <x v="4"/>
    <s v="\\192.168.24.208\images\R&amp;D\Coralie\Triphenylphosphate\2021-CHG-CBA-TRIPHENYLP\plaque 1/@11 TRIPHENYLP 0.59/E11_01.tif "/>
    <s v=" 38544.4722 "/>
    <s v=" 69.8266 "/>
    <x v="1"/>
    <n v="2691429"/>
    <m/>
    <m/>
    <m/>
  </r>
  <r>
    <x v="11"/>
    <x v="4"/>
    <s v="\\192.168.24.208\images\R&amp;D\Coralie\Triphenylphosphate\2021-CHG-CBA-TRIPHENYLP\plaque 1/@11 TRIPHENYLP 0.59/E11_02.tif "/>
    <s v=" 34283.383 "/>
    <s v=" 67.8259 "/>
    <x v="1"/>
    <n v="2325300"/>
    <m/>
    <m/>
    <m/>
  </r>
  <r>
    <x v="11"/>
    <x v="4"/>
    <s v="\\192.168.24.208\images\R&amp;D\Coralie\Triphenylphosphate\2021-CHG-CBA-TRIPHENYLP\plaque 1/@11 TRIPHENYLP 0.59/E11_03.tif "/>
    <s v=" 30346.7422 "/>
    <s v=" 71.0428 "/>
    <x v="1"/>
    <n v="2155916"/>
    <m/>
    <m/>
    <m/>
  </r>
  <r>
    <x v="11"/>
    <x v="5"/>
    <s v="\\192.168.24.208\images\R&amp;D\Coralie\Triphenylphosphate\2021-CHG-CBA-TRIPHENYLP\plaque 1/@11 TRIPHENYLP 0.59/F11_01.tif "/>
    <s v=" 8262.6197 "/>
    <s v=" 64.9869 "/>
    <x v="1"/>
    <n v="536962"/>
    <m/>
    <m/>
    <m/>
  </r>
  <r>
    <x v="11"/>
    <x v="5"/>
    <s v="\\192.168.24.208\images\R&amp;D\Coralie\Triphenylphosphate\2021-CHG-CBA-TRIPHENYLP\plaque 1/@11 TRIPHENYLP 0.59/F11_02.tif "/>
    <s v=" 11442.2143 "/>
    <s v=" 69.7958 "/>
    <x v="1"/>
    <n v="798619"/>
    <m/>
    <m/>
    <m/>
  </r>
  <r>
    <x v="11"/>
    <x v="5"/>
    <s v="\\192.168.24.208\images\R&amp;D\Coralie\Triphenylphosphate\2021-CHG-CBA-TRIPHENYLP\plaque 1/@11 TRIPHENYLP 0.59/F11_03.tif "/>
    <s v=" 12004.5915 "/>
    <s v=" 68.9946 "/>
    <x v="1"/>
    <n v="828252"/>
    <m/>
    <m/>
    <m/>
  </r>
  <r>
    <x v="11"/>
    <x v="6"/>
    <s v="\\192.168.24.208\images\R&amp;D\Coralie\Triphenylphosphate\2021-CHG-CBA-TRIPHENYLP\plaque 1/@11 TRIPHENYLP 0.59/G11_01- exclu.tif"/>
    <m/>
    <m/>
    <x v="0"/>
    <m/>
    <m/>
    <m/>
    <m/>
  </r>
  <r>
    <x v="11"/>
    <x v="6"/>
    <s v="\\192.168.24.208\images\R&amp;D\Coralie\Triphenylphosphate\2021-CHG-CBA-TRIPHENYLP\plaque 1/@11 TRIPHENYLP 0.59/G11_02- exclu.tif"/>
    <m/>
    <m/>
    <x v="0"/>
    <m/>
    <m/>
    <m/>
    <m/>
  </r>
  <r>
    <x v="11"/>
    <x v="6"/>
    <s v="\\192.168.24.208\images\R&amp;D\Coralie\Triphenylphosphate\2021-CHG-CBA-TRIPHENYLP\plaque 1/@11 TRIPHENYLP 0.59/G11_03.tif "/>
    <s v=" 13561.9439 "/>
    <s v=" 67.0367 "/>
    <x v="1"/>
    <n v="909148"/>
    <m/>
    <m/>
    <m/>
  </r>
  <r>
    <x v="11"/>
    <x v="7"/>
    <s v="\\192.168.24.208\images\R&amp;D\Coralie\Triphenylphosphate\2021-CHG-CBA-TRIPHENYLP\plaque 1/@11 TRIPHENYLP 0.59/H11_01.tif "/>
    <s v=" 20115.802 "/>
    <s v=" 66.1022 "/>
    <x v="1"/>
    <n v="1329698"/>
    <m/>
    <m/>
    <m/>
  </r>
  <r>
    <x v="11"/>
    <x v="7"/>
    <s v="\\192.168.24.208\images\R&amp;D\Coralie\Triphenylphosphate\2021-CHG-CBA-TRIPHENYLP\plaque 1/@11 TRIPHENYLP 0.59/H11_02.tif "/>
    <s v=" 13129.346 "/>
    <s v=" 65.0395 "/>
    <x v="1"/>
    <n v="853927"/>
    <m/>
    <m/>
    <m/>
  </r>
  <r>
    <x v="11"/>
    <x v="7"/>
    <s v="\\192.168.24.208\images\R&amp;D\Coralie\Triphenylphosphate\2021-CHG-CBA-TRIPHENYLP\plaque 1/@11 TRIPHENYLP 0.59/H11_03.tif "/>
    <s v=" 20223.9515 "/>
    <s v=" 65.923 "/>
    <x v="1"/>
    <n v="1333223"/>
    <m/>
    <m/>
    <m/>
  </r>
  <r>
    <x v="1"/>
    <x v="8"/>
    <s v=" "/>
    <m/>
    <m/>
    <x v="0"/>
    <m/>
    <m/>
    <m/>
    <m/>
  </r>
  <r>
    <x v="1"/>
    <x v="8"/>
    <s v="group "/>
    <s v=" "/>
    <s v=" mean of mean fluo "/>
    <x v="2"/>
    <s v=" mean of total fluo "/>
    <s v=" SD total fluo "/>
    <s v=" n fluorescent "/>
    <s v=" n total"/>
  </r>
  <r>
    <x v="11"/>
    <x v="9"/>
    <s v="\\192.168.24.208\images\R&amp;D\Coralie\Triphenylphosphate\2021-CHG-CBA-TRIPHENYLP\plaque 1/@11 TRIPHENYLP 0.59/ "/>
    <s v=" "/>
    <s v=" 68.7034 "/>
    <x v="13"/>
    <s v=" 1311563.79 "/>
    <s v=" 981556.24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2"/>
    <x v="0"/>
    <s v="\\192.168.24.208\images\R&amp;D\Coralie\Triphenylphosphate\2021-CHG-CBA-TRIPHENYLP\plaque 1/@12 TRIPHENYLP 0.89/A12_01.tif "/>
    <s v=" 61537.0502 "/>
    <s v=" 76.7026 "/>
    <x v="1"/>
    <n v="4720054"/>
    <m/>
    <m/>
    <m/>
  </r>
  <r>
    <x v="12"/>
    <x v="0"/>
    <s v="\\192.168.24.208\images\R&amp;D\Coralie\Triphenylphosphate\2021-CHG-CBA-TRIPHENYLP\plaque 1/@12 TRIPHENYLP 0.89/A12_02.tif "/>
    <s v=" 65992.8085 "/>
    <s v=" 73.9826 "/>
    <x v="1"/>
    <n v="4882321"/>
    <m/>
    <m/>
    <m/>
  </r>
  <r>
    <x v="12"/>
    <x v="0"/>
    <s v="\\192.168.24.208\images\R&amp;D\Coralie\Triphenylphosphate\2021-CHG-CBA-TRIPHENYLP\plaque 1/@12 TRIPHENYLP 0.89/A12_03.tif "/>
    <s v=" 78083.9196 "/>
    <s v=" 74.2249 "/>
    <x v="1"/>
    <n v="5795774"/>
    <m/>
    <m/>
    <m/>
  </r>
  <r>
    <x v="12"/>
    <x v="1"/>
    <s v="\\192.168.24.208\images\R&amp;D\Coralie\Triphenylphosphate\2021-CHG-CBA-TRIPHENYLP\plaque 1/@12 TRIPHENYLP 0.89/B12_01- exclu.tif"/>
    <m/>
    <m/>
    <x v="0"/>
    <m/>
    <m/>
    <m/>
    <m/>
  </r>
  <r>
    <x v="12"/>
    <x v="1"/>
    <s v="\\192.168.24.208\images\R&amp;D\Coralie\Triphenylphosphate\2021-CHG-CBA-TRIPHENYLP\plaque 1/@12 TRIPHENYLP 0.89/B12_02- exclu.tif"/>
    <m/>
    <m/>
    <x v="0"/>
    <m/>
    <m/>
    <m/>
    <m/>
  </r>
  <r>
    <x v="12"/>
    <x v="1"/>
    <s v="\\192.168.24.208\images\R&amp;D\Coralie\Triphenylphosphate\2021-CHG-CBA-TRIPHENYLP\plaque 1/@12 TRIPHENYLP 0.89/B12_03- exclu.tif"/>
    <m/>
    <m/>
    <x v="0"/>
    <m/>
    <m/>
    <m/>
    <m/>
  </r>
  <r>
    <x v="12"/>
    <x v="2"/>
    <s v="\\192.168.24.208\images\R&amp;D\Coralie\Triphenylphosphate\2021-CHG-CBA-TRIPHENYLP\plaque 1/@12 TRIPHENYLP 0.89/C12_01.tif "/>
    <s v=" 40036.935 "/>
    <s v=" 75.4073 "/>
    <x v="1"/>
    <n v="3019079"/>
    <m/>
    <m/>
    <m/>
  </r>
  <r>
    <x v="12"/>
    <x v="2"/>
    <s v="\\192.168.24.208\images\R&amp;D\Coralie\Triphenylphosphate\2021-CHG-CBA-TRIPHENYLP\plaque 1/@12 TRIPHENYLP 0.89/C12_02- exclu.tif"/>
    <m/>
    <m/>
    <x v="0"/>
    <m/>
    <m/>
    <m/>
    <m/>
  </r>
  <r>
    <x v="12"/>
    <x v="2"/>
    <s v="\\192.168.24.208\images\R&amp;D\Coralie\Triphenylphosphate\2021-CHG-CBA-TRIPHENYLP\plaque 1/@12 TRIPHENYLP 0.89/C12_03- exclu.tif"/>
    <m/>
    <m/>
    <x v="0"/>
    <m/>
    <m/>
    <m/>
    <m/>
  </r>
  <r>
    <x v="12"/>
    <x v="3"/>
    <s v="\\192.168.24.208\images\R&amp;D\Coralie\Triphenylphosphate\2021-CHG-CBA-TRIPHENYLP\plaque 1/@12 TRIPHENYLP 0.89/D12_01.tif "/>
    <s v=" 17282.2858 "/>
    <s v=" 67.781 "/>
    <x v="1"/>
    <n v="1171410"/>
    <m/>
    <m/>
    <m/>
  </r>
  <r>
    <x v="12"/>
    <x v="3"/>
    <s v="\\192.168.24.208\images\R&amp;D\Coralie\Triphenylphosphate\2021-CHG-CBA-TRIPHENYLP\plaque 1/@12 TRIPHENYLP 0.89/D12_02.tif "/>
    <s v=" 22603.2399 "/>
    <s v=" 70.7933 "/>
    <x v="1"/>
    <n v="1600158"/>
    <m/>
    <m/>
    <m/>
  </r>
  <r>
    <x v="12"/>
    <x v="3"/>
    <s v="\\192.168.24.208\images\R&amp;D\Coralie\Triphenylphosphate\2021-CHG-CBA-TRIPHENYLP\plaque 1/@12 TRIPHENYLP 0.89/D12_03.tif "/>
    <s v=" 17693.2538 "/>
    <s v=" 70.6259 "/>
    <x v="1"/>
    <n v="1249602"/>
    <m/>
    <m/>
    <m/>
  </r>
  <r>
    <x v="12"/>
    <x v="4"/>
    <s v="\\192.168.24.208\images\R&amp;D\Coralie\Triphenylphosphate\2021-CHG-CBA-TRIPHENYLP\plaque 1/@12 TRIPHENYLP 0.89/E12_01.tif "/>
    <s v=" 57470.63 "/>
    <s v=" 70.0215 "/>
    <x v="1"/>
    <n v="4024177"/>
    <m/>
    <m/>
    <m/>
  </r>
  <r>
    <x v="12"/>
    <x v="4"/>
    <s v="\\192.168.24.208\images\R&amp;D\Coralie\Triphenylphosphate\2021-CHG-CBA-TRIPHENYLP\plaque 1/@12 TRIPHENYLP 0.89/E12_02.tif "/>
    <s v=" 59503.8401 "/>
    <s v=" 72.2174 "/>
    <x v="1"/>
    <n v="4297211"/>
    <m/>
    <m/>
    <m/>
  </r>
  <r>
    <x v="12"/>
    <x v="4"/>
    <s v="\\192.168.24.208\images\R&amp;D\Coralie\Triphenylphosphate\2021-CHG-CBA-TRIPHENYLP\plaque 1/@12 TRIPHENYLP 0.89/E12_03.tif "/>
    <s v=" 56497.2848 "/>
    <s v=" 69.1382 "/>
    <x v="1"/>
    <n v="3906121"/>
    <m/>
    <m/>
    <m/>
  </r>
  <r>
    <x v="12"/>
    <x v="5"/>
    <s v="\\192.168.24.208\images\R&amp;D\Coralie\Triphenylphosphate\2021-CHG-CBA-TRIPHENYLP\plaque 1/@12 TRIPHENYLP 0.89/F12_01.tif "/>
    <s v=" 33136.9986 "/>
    <s v=" 80.7389 "/>
    <x v="1"/>
    <n v="2675445"/>
    <m/>
    <m/>
    <m/>
  </r>
  <r>
    <x v="12"/>
    <x v="5"/>
    <s v="\\192.168.24.208\images\R&amp;D\Coralie\Triphenylphosphate\2021-CHG-CBA-TRIPHENYLP\plaque 1/@12 TRIPHENYLP 0.89/F12_02.tif "/>
    <s v=" 43389.5686 "/>
    <s v=" 85.1167 "/>
    <x v="1"/>
    <n v="3693175"/>
    <m/>
    <m/>
    <m/>
  </r>
  <r>
    <x v="12"/>
    <x v="5"/>
    <s v="\\192.168.24.208\images\R&amp;D\Coralie\Triphenylphosphate\2021-CHG-CBA-TRIPHENYLP\plaque 1/@12 TRIPHENYLP 0.89/F12_03.tif "/>
    <s v=" 47347.8393 "/>
    <s v=" 79.6181 "/>
    <x v="1"/>
    <n v="3769745"/>
    <m/>
    <m/>
    <m/>
  </r>
  <r>
    <x v="12"/>
    <x v="6"/>
    <s v="\\192.168.24.208\images\R&amp;D\Coralie\Triphenylphosphate\2021-CHG-CBA-TRIPHENYLP\plaque 1/@12 TRIPHENYLP 0.89/G12_01- exclu.tif"/>
    <m/>
    <m/>
    <x v="0"/>
    <m/>
    <m/>
    <m/>
    <m/>
  </r>
  <r>
    <x v="12"/>
    <x v="6"/>
    <s v="\\192.168.24.208\images\R&amp;D\Coralie\Triphenylphosphate\2021-CHG-CBA-TRIPHENYLP\plaque 1/@12 TRIPHENYLP 0.89/G12_02- exclu.tif"/>
    <m/>
    <m/>
    <x v="0"/>
    <m/>
    <m/>
    <m/>
    <m/>
  </r>
  <r>
    <x v="12"/>
    <x v="6"/>
    <s v="\\192.168.24.208\images\R&amp;D\Coralie\Triphenylphosphate\2021-CHG-CBA-TRIPHENYLP\plaque 1/@12 TRIPHENYLP 0.89/G12_03- exclu.tif"/>
    <m/>
    <m/>
    <x v="0"/>
    <m/>
    <m/>
    <m/>
    <m/>
  </r>
  <r>
    <x v="12"/>
    <x v="7"/>
    <s v="\\192.168.24.208\images\R&amp;D\Coralie\Triphenylphosphate\2021-CHG-CBA-TRIPHENYLP\plaque 1/@12 TRIPHENYLP 0.89/H12_01- exclu.tif"/>
    <m/>
    <m/>
    <x v="0"/>
    <m/>
    <m/>
    <m/>
    <m/>
  </r>
  <r>
    <x v="12"/>
    <x v="7"/>
    <s v="\\192.168.24.208\images\R&amp;D\Coralie\Triphenylphosphate\2021-CHG-CBA-TRIPHENYLP\plaque 1/@12 TRIPHENYLP 0.89/H12_02- exclu.tif"/>
    <m/>
    <m/>
    <x v="0"/>
    <m/>
    <m/>
    <m/>
    <m/>
  </r>
  <r>
    <x v="12"/>
    <x v="7"/>
    <s v="\\192.168.24.208\images\R&amp;D\Coralie\Triphenylphosphate\2021-CHG-CBA-TRIPHENYLP\plaque 1/@12 TRIPHENYLP 0.89/H12_03- exclu.tif"/>
    <m/>
    <m/>
    <x v="0"/>
    <m/>
    <m/>
    <m/>
    <m/>
  </r>
  <r>
    <x v="1"/>
    <x v="8"/>
    <s v=" "/>
    <m/>
    <m/>
    <x v="0"/>
    <m/>
    <m/>
    <m/>
    <m/>
  </r>
  <r>
    <x v="1"/>
    <x v="8"/>
    <s v="group "/>
    <s v=" "/>
    <s v=" mean of mean fluo "/>
    <x v="2"/>
    <s v=" mean of total fluo "/>
    <s v=" SD total fluo "/>
    <s v=" n fluorescent "/>
    <s v=" n total"/>
  </r>
  <r>
    <x v="12"/>
    <x v="9"/>
    <s v="\\192.168.24.208\images\R&amp;D\Coralie\Triphenylphosphate\2021-CHG-CBA-TRIPHENYLP\plaque 1/@12 TRIPHENYLP 0.89/ "/>
    <s v=" "/>
    <s v=" 70.0437 "/>
    <x v="14"/>
    <s v=" 1914918.08 "/>
    <s v=" 1995216.4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3"/>
    <x v="0"/>
    <s v="\\192.168.24.208\images\R&amp;D\Coralie\Triphenylphosphate\2021-CHG-CBA-TRIPHENYLP\plaque 2/@01 TESTO/A1_01.tif "/>
    <s v=" 74017.4994 "/>
    <s v=" 78.109 "/>
    <x v="1"/>
    <n v="5781433"/>
    <m/>
    <m/>
    <m/>
  </r>
  <r>
    <x v="13"/>
    <x v="0"/>
    <s v="\\192.168.24.208\images\R&amp;D\Coralie\Triphenylphosphate\2021-CHG-CBA-TRIPHENYLP\plaque 2/@01 TESTO/A1_02.tif "/>
    <s v=" 78235.3289 "/>
    <s v=" 76.9137 "/>
    <x v="1"/>
    <n v="6017372"/>
    <m/>
    <m/>
    <m/>
  </r>
  <r>
    <x v="13"/>
    <x v="0"/>
    <s v="\\192.168.24.208\images\R&amp;D\Coralie\Triphenylphosphate\2021-CHG-CBA-TRIPHENYLP\plaque 2/@01 TESTO/A1_03.tif "/>
    <s v=" 68739.8051 "/>
    <s v=" 77.1381 "/>
    <x v="1"/>
    <n v="5302461"/>
    <m/>
    <m/>
    <m/>
  </r>
  <r>
    <x v="13"/>
    <x v="1"/>
    <s v="\\192.168.24.208\images\R&amp;D\Coralie\Triphenylphosphate\2021-CHG-CBA-TRIPHENYLP\plaque 2/@01 TESTO/B1_01.tif "/>
    <s v=" 48018.3661 "/>
    <s v=" 70.9833 "/>
    <x v="1"/>
    <n v="3408504"/>
    <m/>
    <m/>
    <m/>
  </r>
  <r>
    <x v="13"/>
    <x v="1"/>
    <s v="\\192.168.24.208\images\R&amp;D\Coralie\Triphenylphosphate\2021-CHG-CBA-TRIPHENYLP\plaque 2/@01 TESTO/B1_02.tif "/>
    <s v=" 37116.8992 "/>
    <s v=" 70.1101 "/>
    <x v="1"/>
    <n v="2602271"/>
    <m/>
    <m/>
    <m/>
  </r>
  <r>
    <x v="13"/>
    <x v="1"/>
    <s v="\\192.168.24.208\images\R&amp;D\Coralie\Triphenylphosphate\2021-CHG-CBA-TRIPHENYLP\plaque 2/@01 TESTO/B1_03.tif "/>
    <s v=" 44860.4015 "/>
    <s v=" 70.2473 "/>
    <x v="1"/>
    <n v="3151324"/>
    <m/>
    <m/>
    <m/>
  </r>
  <r>
    <x v="13"/>
    <x v="2"/>
    <s v="\\192.168.24.208\images\R&amp;D\Coralie\Triphenylphosphate\2021-CHG-CBA-TRIPHENYLP\plaque 2/@01 TESTO/C1_01.tif "/>
    <s v=" 36468.0023 "/>
    <s v=" 71.6364 "/>
    <x v="1"/>
    <n v="2612437"/>
    <m/>
    <m/>
    <m/>
  </r>
  <r>
    <x v="13"/>
    <x v="2"/>
    <s v="\\192.168.24.208\images\R&amp;D\Coralie\Triphenylphosphate\2021-CHG-CBA-TRIPHENYLP\plaque 2/@01 TESTO/C1_02.tif "/>
    <s v=" 43778.9067 "/>
    <s v=" 70.4417 "/>
    <x v="1"/>
    <n v="3083861"/>
    <m/>
    <m/>
    <m/>
  </r>
  <r>
    <x v="13"/>
    <x v="2"/>
    <s v="\\192.168.24.208\images\R&amp;D\Coralie\Triphenylphosphate\2021-CHG-CBA-TRIPHENYLP\plaque 2/@01 TESTO/C1_03.tif "/>
    <s v=" 38436.3228 "/>
    <s v=" 71.202 "/>
    <x v="1"/>
    <n v="2736744"/>
    <m/>
    <m/>
    <m/>
  </r>
  <r>
    <x v="13"/>
    <x v="3"/>
    <s v="\\192.168.24.208\images\R&amp;D\Coralie\Triphenylphosphate\2021-CHG-CBA-TRIPHENYLP\plaque 2/@01 TESTO/D1_01.tif "/>
    <s v=" 42070.1451 "/>
    <s v=" 70.0761 "/>
    <x v="1"/>
    <n v="2948111"/>
    <m/>
    <m/>
    <m/>
  </r>
  <r>
    <x v="13"/>
    <x v="3"/>
    <s v="\\192.168.24.208\images\R&amp;D\Coralie\Triphenylphosphate\2021-CHG-CBA-TRIPHENYLP\plaque 2/@01 TESTO/D1_02.tif "/>
    <s v=" 42070.1451 "/>
    <s v=" 70.292 "/>
    <x v="1"/>
    <n v="2957196"/>
    <m/>
    <m/>
    <m/>
  </r>
  <r>
    <x v="13"/>
    <x v="3"/>
    <s v="\\192.168.24.208\images\R&amp;D\Coralie\Triphenylphosphate\2021-CHG-CBA-TRIPHENYLP\plaque 2/@01 TESTO/D1_03.tif "/>
    <s v=" 38241.6537 "/>
    <s v=" 69.8614 "/>
    <x v="1"/>
    <n v="2671616"/>
    <m/>
    <m/>
    <m/>
  </r>
  <r>
    <x v="13"/>
    <x v="4"/>
    <s v="\\192.168.24.208\images\R&amp;D\Coralie\Triphenylphosphate\2021-CHG-CBA-TRIPHENYLP\plaque 2/@01 TESTO/E1_01.tif "/>
    <s v=" 41291.4688 "/>
    <s v=" 78.9853 "/>
    <x v="1"/>
    <n v="3261420"/>
    <m/>
    <m/>
    <m/>
  </r>
  <r>
    <x v="13"/>
    <x v="4"/>
    <s v="\\192.168.24.208\images\R&amp;D\Coralie\Triphenylphosphate\2021-CHG-CBA-TRIPHENYLP\plaque 2/@01 TESTO/E1_02.tif "/>
    <s v=" 39517.8175 "/>
    <s v=" 78.977 "/>
    <x v="1"/>
    <n v="3120999"/>
    <m/>
    <m/>
    <m/>
  </r>
  <r>
    <x v="13"/>
    <x v="4"/>
    <s v="\\192.168.24.208\images\R&amp;D\Coralie\Triphenylphosphate\2021-CHG-CBA-TRIPHENYLP\plaque 2/@01 TESTO/E1_03.tif "/>
    <s v=" 41334.7286 "/>
    <s v=" 77.5118 "/>
    <x v="1"/>
    <n v="3203928"/>
    <m/>
    <m/>
    <m/>
  </r>
  <r>
    <x v="13"/>
    <x v="5"/>
    <s v="\\192.168.24.208\images\R&amp;D\Coralie\Triphenylphosphate\2021-CHG-CBA-TRIPHENYLP\plaque 2/@01 TESTO/F1_01.tif "/>
    <s v=" 55026.4519 "/>
    <s v=" 72.9222 "/>
    <x v="1"/>
    <n v="4012648"/>
    <m/>
    <m/>
    <m/>
  </r>
  <r>
    <x v="13"/>
    <x v="5"/>
    <s v="\\192.168.24.208\images\R&amp;D\Coralie\Triphenylphosphate\2021-CHG-CBA-TRIPHENYLP\plaque 2/@01 TESTO/F1_02.tif "/>
    <s v=" 55394.1601 "/>
    <s v=" 73.7403 "/>
    <x v="1"/>
    <n v="4084784"/>
    <m/>
    <m/>
    <m/>
  </r>
  <r>
    <x v="13"/>
    <x v="5"/>
    <s v="\\192.168.24.208\images\R&amp;D\Coralie\Triphenylphosphate\2021-CHG-CBA-TRIPHENYLP\plaque 2/@01 TESTO/F1_03.tif "/>
    <s v=" 50635.5833 "/>
    <s v=" 71.7826 "/>
    <x v="1"/>
    <n v="3634752"/>
    <m/>
    <m/>
    <m/>
  </r>
  <r>
    <x v="13"/>
    <x v="6"/>
    <s v="\\192.168.24.208\images\R&amp;D\Coralie\Triphenylphosphate\2021-CHG-CBA-TRIPHENYLP\plaque 2/@01 TESTO/G1_01.tif "/>
    <s v=" 20743.0689 "/>
    <s v=" 70.316 "/>
    <x v="1"/>
    <n v="1458569"/>
    <m/>
    <m/>
    <m/>
  </r>
  <r>
    <x v="13"/>
    <x v="6"/>
    <s v="\\192.168.24.208\images\R&amp;D\Coralie\Triphenylphosphate\2021-CHG-CBA-TRIPHENYLP\plaque 2/@01 TESTO/G1_02.tif "/>
    <s v=" 20137.4319 "/>
    <s v=" 73.1622 "/>
    <x v="1"/>
    <n v="1473299"/>
    <m/>
    <m/>
    <m/>
  </r>
  <r>
    <x v="13"/>
    <x v="6"/>
    <s v="\\192.168.24.208\images\R&amp;D\Coralie\Triphenylphosphate\2021-CHG-CBA-TRIPHENYLP\plaque 2/@01 TESTO/G1_03.tif "/>
    <s v=" 20029.2824 "/>
    <s v=" 70.5497 "/>
    <x v="1"/>
    <n v="1413059"/>
    <m/>
    <m/>
    <m/>
  </r>
  <r>
    <x v="13"/>
    <x v="7"/>
    <s v="\\192.168.24.208\images\R&amp;D\Coralie\Triphenylphosphate\2021-CHG-CBA-TRIPHENYLP\plaque 2/@01 TESTO/H1_01.tif "/>
    <s v=" 53274.4305 "/>
    <s v=" 75.7121 "/>
    <x v="1"/>
    <n v="4033521"/>
    <m/>
    <m/>
    <m/>
  </r>
  <r>
    <x v="13"/>
    <x v="7"/>
    <s v="\\192.168.24.208\images\R&amp;D\Coralie\Triphenylphosphate\2021-CHG-CBA-TRIPHENYLP\plaque 2/@01 TESTO/H1_02.tif "/>
    <s v=" 69475.2215 "/>
    <s v=" 76.6242 "/>
    <x v="1"/>
    <n v="5323485"/>
    <m/>
    <m/>
    <m/>
  </r>
  <r>
    <x v="13"/>
    <x v="7"/>
    <s v="\\192.168.24.208\images\R&amp;D\Coralie\Triphenylphosphate\2021-CHG-CBA-TRIPHENYLP\plaque 2/@01 TESTO/H1_03.tif "/>
    <s v=" 58076.2671 "/>
    <s v=" 74.2156 "/>
    <x v="1"/>
    <n v="4310167"/>
    <m/>
    <m/>
    <m/>
  </r>
  <r>
    <x v="1"/>
    <x v="8"/>
    <s v=" "/>
    <m/>
    <m/>
    <x v="0"/>
    <m/>
    <m/>
    <m/>
    <m/>
  </r>
  <r>
    <x v="1"/>
    <x v="8"/>
    <s v="group "/>
    <s v=" "/>
    <s v=" mean of mean fluo "/>
    <x v="2"/>
    <s v=" mean of total fluo "/>
    <s v=" SD total fluo "/>
    <s v=" n fluorescent "/>
    <s v=" n total"/>
  </r>
  <r>
    <x v="13"/>
    <x v="9"/>
    <s v="\\192.168.24.208\images\R&amp;D\Coralie\Triphenylphosphate\2021-CHG-CBA-TRIPHENYLP\plaque 2/@01 TESTO/ "/>
    <s v=" "/>
    <s v=" 73.3963 "/>
    <x v="15"/>
    <s v=" 3441831.71 "/>
    <s v=" 1255978.95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4"/>
    <x v="0"/>
    <s v="\\192.168.24.208\images\R&amp;D\Coralie\Triphenylphosphate\2021-CHG-CBA-TRIPHENYLP\plaque 2/@02 TESTO/A2_01.tif "/>
    <s v=" 45812.1168 "/>
    <s v=" 73.1681 "/>
    <x v="1"/>
    <n v="3351985"/>
    <m/>
    <m/>
    <m/>
  </r>
  <r>
    <x v="14"/>
    <x v="0"/>
    <s v="\\192.168.24.208\images\R&amp;D\Coralie\Triphenylphosphate\2021-CHG-CBA-TRIPHENYLP\plaque 2/@02 TESTO/A2_02.tif "/>
    <s v=" 44925.2911 "/>
    <s v=" 72.4863 "/>
    <x v="1"/>
    <n v="3256467"/>
    <m/>
    <m/>
    <m/>
  </r>
  <r>
    <x v="14"/>
    <x v="0"/>
    <s v="\\192.168.24.208\images\R&amp;D\Coralie\Triphenylphosphate\2021-CHG-CBA-TRIPHENYLP\plaque 2/@02 TESTO/A2_03.tif "/>
    <s v=" 50700.473 "/>
    <s v=" 73.6583 "/>
    <x v="1"/>
    <n v="3734509"/>
    <m/>
    <m/>
    <m/>
  </r>
  <r>
    <x v="14"/>
    <x v="1"/>
    <s v="\\192.168.24.208\images\R&amp;D\Coralie\Triphenylphosphate\2021-CHG-CBA-TRIPHENYLP\plaque 2/@02 TESTO/B2_01.tif "/>
    <s v=" 38155.1341 "/>
    <s v=" 70.6497 "/>
    <x v="1"/>
    <n v="2695647"/>
    <m/>
    <m/>
    <m/>
  </r>
  <r>
    <x v="14"/>
    <x v="1"/>
    <s v="\\192.168.24.208\images\R&amp;D\Coralie\Triphenylphosphate\2021-CHG-CBA-TRIPHENYLP\plaque 2/@02 TESTO/B2_02.tif "/>
    <s v=" 43151.6398 "/>
    <s v=" 71.1789 "/>
    <x v="1"/>
    <n v="3071488"/>
    <m/>
    <m/>
    <m/>
  </r>
  <r>
    <x v="14"/>
    <x v="1"/>
    <s v="\\192.168.24.208\images\R&amp;D\Coralie\Triphenylphosphate\2021-CHG-CBA-TRIPHENYLP\plaque 2/@02 TESTO/B2_03.tif "/>
    <s v=" 33396.5573 "/>
    <s v=" 70.9288 "/>
    <x v="1"/>
    <n v="2368776"/>
    <m/>
    <m/>
    <m/>
  </r>
  <r>
    <x v="14"/>
    <x v="2"/>
    <s v="\\192.168.24.208\images\R&amp;D\Coralie\Triphenylphosphate\2021-CHG-CBA-TRIPHENYLP\plaque 2/@02 TESTO/C2_01.tif "/>
    <s v=" 51825.2275 "/>
    <s v=" 72.9967 "/>
    <x v="1"/>
    <n v="3783069"/>
    <m/>
    <m/>
    <m/>
  </r>
  <r>
    <x v="14"/>
    <x v="2"/>
    <s v="\\192.168.24.208\images\R&amp;D\Coralie\Triphenylphosphate\2021-CHG-CBA-TRIPHENYLP\plaque 2/@02 TESTO/C2_02.tif "/>
    <s v=" 45249.7396 "/>
    <s v=" 71.5268 "/>
    <x v="1"/>
    <n v="3236568"/>
    <m/>
    <m/>
    <m/>
  </r>
  <r>
    <x v="14"/>
    <x v="2"/>
    <s v="\\192.168.24.208\images\R&amp;D\Coralie\Triphenylphosphate\2021-CHG-CBA-TRIPHENYLP\plaque 2/@02 TESTO/C2_03- exclu.tif"/>
    <m/>
    <m/>
    <x v="0"/>
    <m/>
    <m/>
    <m/>
    <m/>
  </r>
  <r>
    <x v="14"/>
    <x v="3"/>
    <s v="\\192.168.24.208\images\R&amp;D\Coralie\Triphenylphosphate\2021-CHG-CBA-TRIPHENYLP\plaque 2/@02 TESTO/D2_01.tif "/>
    <s v=" 50440.9143 "/>
    <s v=" 70.566 "/>
    <x v="1"/>
    <n v="3559415"/>
    <m/>
    <m/>
    <m/>
  </r>
  <r>
    <x v="14"/>
    <x v="3"/>
    <s v="\\192.168.24.208\images\R&amp;D\Coralie\Triphenylphosphate\2021-CHG-CBA-TRIPHENYLP\plaque 2/@02 TESTO/D2_02.tif "/>
    <s v=" 45314.6292 "/>
    <s v=" 70.2797 "/>
    <x v="1"/>
    <n v="3184699"/>
    <m/>
    <m/>
    <m/>
  </r>
  <r>
    <x v="14"/>
    <x v="3"/>
    <s v="\\192.168.24.208\images\R&amp;D\Coralie\Triphenylphosphate\2021-CHG-CBA-TRIPHENYLP\plaque 2/@02 TESTO/D2_03.tif "/>
    <s v=" 43065.1202 "/>
    <s v=" 68.6052 "/>
    <x v="1"/>
    <n v="2954492"/>
    <m/>
    <m/>
    <m/>
  </r>
  <r>
    <x v="14"/>
    <x v="4"/>
    <s v="\\192.168.24.208\images\R&amp;D\Coralie\Triphenylphosphate\2021-CHG-CBA-TRIPHENYLP\plaque 2/@02 TESTO/E2_01.tif "/>
    <s v=" 52949.9821 "/>
    <s v=" 78.2149 "/>
    <x v="1"/>
    <n v="4141476"/>
    <m/>
    <m/>
    <m/>
  </r>
  <r>
    <x v="14"/>
    <x v="4"/>
    <s v="\\192.168.24.208\images\R&amp;D\Coralie\Triphenylphosphate\2021-CHG-CBA-TRIPHENYLP\plaque 2/@02 TESTO/E2_02.tif "/>
    <s v=" 62986.2532 "/>
    <s v=" 78.4698 "/>
    <x v="1"/>
    <n v="4942517"/>
    <m/>
    <m/>
    <m/>
  </r>
  <r>
    <x v="14"/>
    <x v="4"/>
    <s v="\\192.168.24.208\images\R&amp;D\Coralie\Triphenylphosphate\2021-CHG-CBA-TRIPHENYLP\plaque 2/@02 TESTO/E2_03.tif "/>
    <s v=" 54485.7046 "/>
    <s v=" 78.052 "/>
    <x v="1"/>
    <n v="4252718"/>
    <m/>
    <m/>
    <m/>
  </r>
  <r>
    <x v="14"/>
    <x v="5"/>
    <s v="\\192.168.24.208\images\R&amp;D\Coralie\Triphenylphosphate\2021-CHG-CBA-TRIPHENYLP\plaque 2/@02 TESTO/F2_01.tif "/>
    <s v=" 47564.1383 "/>
    <s v=" 75.9986 "/>
    <x v="1"/>
    <n v="3614810"/>
    <m/>
    <m/>
    <m/>
  </r>
  <r>
    <x v="14"/>
    <x v="5"/>
    <s v="\\192.168.24.208\images\R&amp;D\Coralie\Triphenylphosphate\2021-CHG-CBA-TRIPHENYLP\plaque 2/@02 TESTO/F2_02.tif "/>
    <s v=" 47845.3269 "/>
    <s v=" 76.2685 "/>
    <x v="1"/>
    <n v="3649093"/>
    <m/>
    <m/>
    <m/>
  </r>
  <r>
    <x v="14"/>
    <x v="5"/>
    <s v="\\192.168.24.208\images\R&amp;D\Coralie\Triphenylphosphate\2021-CHG-CBA-TRIPHENYLP\plaque 2/@02 TESTO/F2_03.tif "/>
    <s v=" 50527.4339 "/>
    <s v=" 75.6948 "/>
    <x v="1"/>
    <n v="3824663"/>
    <m/>
    <m/>
    <m/>
  </r>
  <r>
    <x v="14"/>
    <x v="6"/>
    <s v="\\192.168.24.208\images\R&amp;D\Coralie\Triphenylphosphate\2021-CHG-CBA-TRIPHENYLP\plaque 2/@02 TESTO/G2_01- exclu.tif"/>
    <m/>
    <m/>
    <x v="0"/>
    <m/>
    <m/>
    <m/>
    <m/>
  </r>
  <r>
    <x v="14"/>
    <x v="6"/>
    <s v="\\192.168.24.208\images\R&amp;D\Coralie\Triphenylphosphate\2021-CHG-CBA-TRIPHENYLP\plaque 2/@02 TESTO/G2_02.tif "/>
    <s v=" 40339.7535 "/>
    <s v=" 70.0257 "/>
    <x v="1"/>
    <n v="2824821"/>
    <m/>
    <m/>
    <m/>
  </r>
  <r>
    <x v="14"/>
    <x v="6"/>
    <s v="\\192.168.24.208\images\R&amp;D\Coralie\Triphenylphosphate\2021-CHG-CBA-TRIPHENYLP\plaque 2/@02 TESTO/G2_03.tif "/>
    <s v=" 40166.7143 "/>
    <s v=" 73.8266 "/>
    <x v="1"/>
    <n v="2965372"/>
    <m/>
    <m/>
    <m/>
  </r>
  <r>
    <x v="14"/>
    <x v="7"/>
    <s v="\\192.168.24.208\images\R&amp;D\Coralie\Triphenylphosphate\2021-CHG-CBA-TRIPHENYLP\plaque 2/@02 TESTO/H2_01.tif "/>
    <s v=" 53144.6511 "/>
    <s v=" 75.5389 "/>
    <x v="1"/>
    <n v="4014487"/>
    <m/>
    <m/>
    <m/>
  </r>
  <r>
    <x v="14"/>
    <x v="7"/>
    <s v="\\192.168.24.208\images\R&amp;D\Coralie\Triphenylphosphate\2021-CHG-CBA-TRIPHENYLP\plaque 2/@02 TESTO/H2_02.tif "/>
    <s v=" 51652.1884 "/>
    <s v=" 74.7475 "/>
    <x v="1"/>
    <n v="3860871"/>
    <m/>
    <m/>
    <m/>
  </r>
  <r>
    <x v="14"/>
    <x v="7"/>
    <s v="\\192.168.24.208\images\R&amp;D\Coralie\Triphenylphosphate\2021-CHG-CBA-TRIPHENYLP\plaque 2/@02 TESTO/H2_03.tif "/>
    <s v=" 51652.1884 "/>
    <s v=" 75.0218 "/>
    <x v="1"/>
    <n v="3875039"/>
    <m/>
    <m/>
    <m/>
  </r>
  <r>
    <x v="1"/>
    <x v="8"/>
    <s v=" "/>
    <m/>
    <m/>
    <x v="0"/>
    <m/>
    <m/>
    <m/>
    <m/>
  </r>
  <r>
    <x v="1"/>
    <x v="8"/>
    <s v="group "/>
    <s v=" "/>
    <s v=" mean of mean fluo "/>
    <x v="2"/>
    <s v=" mean of total fluo "/>
    <s v=" SD total fluo "/>
    <s v=" n fluorescent "/>
    <s v=" n total"/>
  </r>
  <r>
    <x v="14"/>
    <x v="9"/>
    <s v="\\192.168.24.208\images\R&amp;D\Coralie\Triphenylphosphate\2021-CHG-CBA-TRIPHENYLP\plaque 2/@02 TESTO/ "/>
    <s v=" "/>
    <s v=" 73.1099 "/>
    <x v="16"/>
    <s v=" 3379210.42 "/>
    <s v=" 776163.832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5"/>
    <x v="0"/>
    <s v="\\192.168.24.208\images\R&amp;D\Coralie\Triphenylphosphate\2021-CHG-CBA-TRIPHENYLP\plaque 2/@03 TESTO + EE2/A3_01.tif "/>
    <s v=" 51457.5193 "/>
    <s v=" 82.652 "/>
    <x v="1"/>
    <n v="4253065"/>
    <m/>
    <m/>
    <m/>
  </r>
  <r>
    <x v="15"/>
    <x v="0"/>
    <s v="\\192.168.24.208\images\R&amp;D\Coralie\Triphenylphosphate\2021-CHG-CBA-TRIPHENYLP\plaque 2/@03 TESTO + EE2/A3_02.tif "/>
    <s v=" 57643.6692 "/>
    <s v=" 80.8765 "/>
    <x v="1"/>
    <n v="4662021"/>
    <m/>
    <m/>
    <m/>
  </r>
  <r>
    <x v="15"/>
    <x v="0"/>
    <s v="\\192.168.24.208\images\R&amp;D\Coralie\Triphenylphosphate\2021-CHG-CBA-TRIPHENYLP\plaque 2/@03 TESTO + EE2/A3_03.tif "/>
    <s v=" 59438.9504 "/>
    <s v=" 80.4272 "/>
    <x v="1"/>
    <n v="4780510"/>
    <m/>
    <m/>
    <m/>
  </r>
  <r>
    <x v="15"/>
    <x v="1"/>
    <s v="\\192.168.24.208\images\R&amp;D\Coralie\Triphenylphosphate\2021-CHG-CBA-TRIPHENYLP\plaque 2/@03 TESTO + EE2/B3_01.tif "/>
    <s v=" 62402.246 "/>
    <s v=" 77.6381 "/>
    <x v="1"/>
    <n v="4844794"/>
    <m/>
    <m/>
    <m/>
  </r>
  <r>
    <x v="15"/>
    <x v="1"/>
    <s v="\\192.168.24.208\images\R&amp;D\Coralie\Triphenylphosphate\2021-CHG-CBA-TRIPHENYLP\plaque 2/@03 TESTO + EE2/B3_02.tif "/>
    <s v=" 65625.1003 "/>
    <s v=" 80.0946 "/>
    <x v="1"/>
    <n v="5256216"/>
    <m/>
    <m/>
    <m/>
  </r>
  <r>
    <x v="15"/>
    <x v="1"/>
    <s v="\\192.168.24.208\images\R&amp;D\Coralie\Triphenylphosphate\2021-CHG-CBA-TRIPHENYLP\plaque 2/@03 TESTO + EE2/B3_03.tif "/>
    <s v=" 66295.627 "/>
    <s v=" 81.1044 "/>
    <x v="1"/>
    <n v="5376867"/>
    <m/>
    <m/>
    <m/>
  </r>
  <r>
    <x v="15"/>
    <x v="2"/>
    <s v="\\192.168.24.208\images\R&amp;D\Coralie\Triphenylphosphate\2021-CHG-CBA-TRIPHENYLP\plaque 2/@03 TESTO + EE2/C3_01.tif "/>
    <s v=" 57643.6692 "/>
    <s v=" 76.8326 "/>
    <x v="1"/>
    <n v="4428916"/>
    <m/>
    <m/>
    <m/>
  </r>
  <r>
    <x v="15"/>
    <x v="2"/>
    <s v="\\192.168.24.208\images\R&amp;D\Coralie\Triphenylphosphate\2021-CHG-CBA-TRIPHENYLP\plaque 2/@03 TESTO + EE2/C3_02.tif "/>
    <s v=" 52690.4233 "/>
    <s v=" 76.4963 "/>
    <x v="1"/>
    <n v="4030623"/>
    <m/>
    <m/>
    <m/>
  </r>
  <r>
    <x v="15"/>
    <x v="2"/>
    <s v="\\192.168.24.208\images\R&amp;D\Coralie\Triphenylphosphate\2021-CHG-CBA-TRIPHENYLP\plaque 2/@03 TESTO + EE2/C3_03.tif "/>
    <s v=" 47780.4372 "/>
    <s v=" 76.2096 "/>
    <x v="1"/>
    <n v="3641328"/>
    <m/>
    <m/>
    <m/>
  </r>
  <r>
    <x v="15"/>
    <x v="3"/>
    <s v="\\192.168.24.208\images\R&amp;D\Coralie\Triphenylphosphate\2021-CHG-CBA-TRIPHENYLP\plaque 2/@03 TESTO + EE2/D3_01.tif "/>
    <s v=" 35191.8386 "/>
    <s v=" 89.2348 "/>
    <x v="1"/>
    <n v="3140336"/>
    <m/>
    <m/>
    <m/>
  </r>
  <r>
    <x v="15"/>
    <x v="3"/>
    <s v="\\192.168.24.208\images\R&amp;D\Coralie\Triphenylphosphate\2021-CHG-CBA-TRIPHENYLP\plaque 2/@03 TESTO + EE2/D3_02.tif "/>
    <s v=" 43627.4975 "/>
    <s v=" 84.1596 "/>
    <x v="1"/>
    <n v="3671675"/>
    <m/>
    <m/>
    <m/>
  </r>
  <r>
    <x v="15"/>
    <x v="3"/>
    <s v="\\192.168.24.208\images\R&amp;D\Coralie\Triphenylphosphate\2021-CHG-CBA-TRIPHENYLP\plaque 2/@03 TESTO + EE2/D3_03.tif "/>
    <s v=" 42610.8924 "/>
    <s v=" 85.4264 "/>
    <x v="1"/>
    <n v="3640095"/>
    <m/>
    <m/>
    <m/>
  </r>
  <r>
    <x v="15"/>
    <x v="4"/>
    <s v="\\192.168.24.208\images\R&amp;D\Coralie\Triphenylphosphate\2021-CHG-CBA-TRIPHENYLP\plaque 2/@03 TESTO + EE2/E3_01.tif "/>
    <s v=" 33677.7459 "/>
    <s v=" 74.7752 "/>
    <x v="1"/>
    <n v="2518260"/>
    <m/>
    <m/>
    <m/>
  </r>
  <r>
    <x v="15"/>
    <x v="4"/>
    <s v="\\192.168.24.208\images\R&amp;D\Coralie\Triphenylphosphate\2021-CHG-CBA-TRIPHENYLP\plaque 2/@03 TESTO + EE2/E3_02.tif "/>
    <s v=" 29135.4681 "/>
    <s v=" 77.8263 "/>
    <x v="1"/>
    <n v="2267505"/>
    <m/>
    <m/>
    <m/>
  </r>
  <r>
    <x v="15"/>
    <x v="4"/>
    <s v="\\192.168.24.208\images\R&amp;D\Coralie\Triphenylphosphate\2021-CHG-CBA-TRIPHENYLP\plaque 2/@03 TESTO + EE2/E3_03.tif "/>
    <s v=" 35278.3581 "/>
    <s v=" 75.1159 "/>
    <x v="1"/>
    <n v="2649965"/>
    <m/>
    <m/>
    <m/>
  </r>
  <r>
    <x v="15"/>
    <x v="5"/>
    <s v="\\192.168.24.208\images\R&amp;D\Coralie\Triphenylphosphate\2021-CHG-CBA-TRIPHENYLP\plaque 2/@03 TESTO + EE2/F3_01.tif "/>
    <s v=" 41204.9493 "/>
    <s v=" 85.3864 "/>
    <x v="1"/>
    <n v="3518340"/>
    <m/>
    <m/>
    <m/>
  </r>
  <r>
    <x v="15"/>
    <x v="5"/>
    <s v="\\192.168.24.208\images\R&amp;D\Coralie\Triphenylphosphate\2021-CHG-CBA-TRIPHENYLP\plaque 2/@03 TESTO + EE2/F3_02.tif "/>
    <s v=" 38933.8103 "/>
    <s v=" 90.1172 "/>
    <x v="1"/>
    <n v="3508607"/>
    <m/>
    <m/>
    <m/>
  </r>
  <r>
    <x v="15"/>
    <x v="5"/>
    <s v="\\192.168.24.208\images\R&amp;D\Coralie\Triphenylphosphate\2021-CHG-CBA-TRIPHENYLP\plaque 2/@03 TESTO + EE2/F3_03.tif "/>
    <s v=" 42156.6646 "/>
    <s v=" 88.0518 "/>
    <x v="1"/>
    <n v="3711971"/>
    <m/>
    <m/>
    <m/>
  </r>
  <r>
    <x v="15"/>
    <x v="6"/>
    <s v="\\192.168.24.208\images\R&amp;D\Coralie\Triphenylphosphate\2021-CHG-CBA-TRIPHENYLP\plaque 2/@03 TESTO + EE2/G3_01.tif "/>
    <s v=" 41724.0667 "/>
    <s v=" 85.2763 "/>
    <x v="1"/>
    <n v="3558074"/>
    <m/>
    <m/>
    <m/>
  </r>
  <r>
    <x v="15"/>
    <x v="6"/>
    <s v="\\192.168.24.208\images\R&amp;D\Coralie\Triphenylphosphate\2021-CHG-CBA-TRIPHENYLP\plaque 2/@03 TESTO + EE2/G3_02.tif "/>
    <s v=" 40426.2731 "/>
    <s v=" 85.0107 "/>
    <x v="1"/>
    <n v="3436666"/>
    <m/>
    <m/>
    <m/>
  </r>
  <r>
    <x v="15"/>
    <x v="6"/>
    <s v="\\192.168.24.208\images\R&amp;D\Coralie\Triphenylphosphate\2021-CHG-CBA-TRIPHENYLP\plaque 2/@03 TESTO + EE2/G3_03.tif "/>
    <s v=" 38912.1804 "/>
    <s v=" 84.8038 "/>
    <x v="1"/>
    <n v="3299900"/>
    <m/>
    <m/>
    <m/>
  </r>
  <r>
    <x v="15"/>
    <x v="7"/>
    <s v="\\192.168.24.208\images\R&amp;D\Coralie\Triphenylphosphate\2021-CHG-CBA-TRIPHENYLP\plaque 2/@03 TESTO + EE2/H3_01.tif "/>
    <s v=" 54593.854 "/>
    <s v=" 74.0194 "/>
    <x v="1"/>
    <n v="4041005"/>
    <m/>
    <m/>
    <m/>
  </r>
  <r>
    <x v="15"/>
    <x v="7"/>
    <s v="\\192.168.24.208\images\R&amp;D\Coralie\Triphenylphosphate\2021-CHG-CBA-TRIPHENYLP\plaque 2/@03 TESTO + EE2/H3_02.tif "/>
    <s v=" 61364.0111 "/>
    <s v=" 75.9626 "/>
    <x v="1"/>
    <n v="4661372"/>
    <m/>
    <m/>
    <m/>
  </r>
  <r>
    <x v="15"/>
    <x v="7"/>
    <s v="\\192.168.24.208\images\R&amp;D\Coralie\Triphenylphosphate\2021-CHG-CBA-TRIPHENYLP\plaque 2/@03 TESTO + EE2/H3_03- exclu.tif"/>
    <m/>
    <m/>
    <x v="0"/>
    <m/>
    <m/>
    <m/>
    <m/>
  </r>
  <r>
    <x v="1"/>
    <x v="8"/>
    <s v=" "/>
    <m/>
    <m/>
    <x v="0"/>
    <m/>
    <m/>
    <m/>
    <m/>
  </r>
  <r>
    <x v="1"/>
    <x v="8"/>
    <s v="group "/>
    <s v=" "/>
    <s v=" mean of mean fluo "/>
    <x v="2"/>
    <s v=" mean of total fluo "/>
    <s v=" SD total fluo "/>
    <s v=" n fluorescent "/>
    <s v=" n total"/>
  </r>
  <r>
    <x v="15"/>
    <x v="9"/>
    <s v="\\192.168.24.208\images\R&amp;D\Coralie\Triphenylphosphate\2021-CHG-CBA-TRIPHENYLP\plaque 2/@03 TESTO + EE2/ "/>
    <s v=" "/>
    <s v=" 80.8812 "/>
    <x v="17"/>
    <s v=" 3874344.08 "/>
    <s v=" 813884.82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6"/>
    <x v="0"/>
    <s v="\\192.168.24.208\images\R&amp;D\Coralie\Triphenylphosphate\2021-CHG-CBA-TRIPHENYLP\plaque 2/@04 TESTO + FAD/A4_01- exclu.tif"/>
    <m/>
    <m/>
    <x v="0"/>
    <m/>
    <m/>
    <m/>
    <m/>
  </r>
  <r>
    <x v="16"/>
    <x v="0"/>
    <s v="\\192.168.24.208\images\R&amp;D\Coralie\Triphenylphosphate\2021-CHG-CBA-TRIPHENYLP\plaque 2/@04 TESTO + FAD/A4_02.tif "/>
    <s v=" 4261.0892 "/>
    <s v=" 66.6853 "/>
    <x v="1"/>
    <n v="284152"/>
    <m/>
    <m/>
    <m/>
  </r>
  <r>
    <x v="16"/>
    <x v="0"/>
    <s v="\\192.168.24.208\images\R&amp;D\Coralie\Triphenylphosphate\2021-CHG-CBA-TRIPHENYLP\plaque 2/@04 TESTO + FAD/A4_03.tif "/>
    <s v=" 5147.9149 "/>
    <s v=" 67.7941 "/>
    <x v="1"/>
    <n v="348998"/>
    <m/>
    <m/>
    <m/>
  </r>
  <r>
    <x v="16"/>
    <x v="1"/>
    <s v="\\192.168.24.208\images\R&amp;D\Coralie\Triphenylphosphate\2021-CHG-CBA-TRIPHENYLP\plaque 2/@04 TESTO + FAD/B4_01.tif "/>
    <s v=" 432.5979 "/>
    <n v="63"/>
    <x v="1"/>
    <n v="27254"/>
    <m/>
    <m/>
    <m/>
  </r>
  <r>
    <x v="16"/>
    <x v="1"/>
    <s v="\\192.168.24.208\images\R&amp;D\Coralie\Triphenylphosphate\2021-CHG-CBA-TRIPHENYLP\plaque 2/@04 TESTO + FAD/B4_02- exclu.tif"/>
    <m/>
    <m/>
    <x v="0"/>
    <m/>
    <m/>
    <m/>
    <m/>
  </r>
  <r>
    <x v="16"/>
    <x v="1"/>
    <s v="\\192.168.24.208\images\R&amp;D\Coralie\Triphenylphosphate\2021-CHG-CBA-TRIPHENYLP\plaque 2/@04 TESTO + FAD/B4_03.tif "/>
    <s v=" 670.5267 "/>
    <n v="64"/>
    <x v="1"/>
    <n v="42914"/>
    <m/>
    <m/>
    <m/>
  </r>
  <r>
    <x v="16"/>
    <x v="2"/>
    <s v="\\192.168.24.208\images\R&amp;D\Coralie\Triphenylphosphate\2021-CHG-CBA-TRIPHENYLP\plaque 2/@04 TESTO + FAD/C4_01.tif "/>
    <s v=" 7029.7158 "/>
    <s v=" 71.4 "/>
    <x v="1"/>
    <n v="501922"/>
    <m/>
    <m/>
    <m/>
  </r>
  <r>
    <x v="16"/>
    <x v="2"/>
    <s v="\\192.168.24.208\images\R&amp;D\Coralie\Triphenylphosphate\2021-CHG-CBA-TRIPHENYLP\plaque 2/@04 TESTO + FAD/C4_02.tif "/>
    <s v=" 6056.3705 "/>
    <s v=" 73.6536 "/>
    <x v="1"/>
    <n v="446073"/>
    <m/>
    <m/>
    <m/>
  </r>
  <r>
    <x v="16"/>
    <x v="2"/>
    <s v="\\192.168.24.208\images\R&amp;D\Coralie\Triphenylphosphate\2021-CHG-CBA-TRIPHENYLP\plaque 2/@04 TESTO + FAD/C4_03.tif "/>
    <s v=" 5731.9221 "/>
    <s v=" 70.6528 "/>
    <x v="1"/>
    <n v="404977"/>
    <m/>
    <m/>
    <m/>
  </r>
  <r>
    <x v="16"/>
    <x v="3"/>
    <s v="\\192.168.24.208\images\R&amp;D\Coralie\Triphenylphosphate\2021-CHG-CBA-TRIPHENYLP\plaque 2/@04 TESTO + FAD/D4_01.tif "/>
    <s v=" 7873.2816 "/>
    <s v=" 72.794 "/>
    <x v="1"/>
    <n v="573127"/>
    <m/>
    <m/>
    <m/>
  </r>
  <r>
    <x v="16"/>
    <x v="3"/>
    <s v="\\192.168.24.208\images\R&amp;D\Coralie\Triphenylphosphate\2021-CHG-CBA-TRIPHENYLP\plaque 2/@04 TESTO + FAD/D4_02.tif "/>
    <s v=" 1860.1709 "/>
    <s v=" 66.9884 "/>
    <x v="1"/>
    <n v="124610"/>
    <m/>
    <m/>
    <m/>
  </r>
  <r>
    <x v="16"/>
    <x v="3"/>
    <s v="\\192.168.24.208\images\R&amp;D\Coralie\Triphenylphosphate\2021-CHG-CBA-TRIPHENYLP\plaque 2/@04 TESTO + FAD/D4_03.tif "/>
    <s v=" 7721.8724 "/>
    <s v=" 74.1261 "/>
    <x v="1"/>
    <n v="572392"/>
    <m/>
    <m/>
    <m/>
  </r>
  <r>
    <x v="16"/>
    <x v="4"/>
    <s v="\\192.168.24.208\images\R&amp;D\Coralie\Triphenylphosphate\2021-CHG-CBA-TRIPHENYLP\plaque 2/@04 TESTO + FAD/E4_01.tif "/>
    <s v=" 2162.9895 "/>
    <s v=" 65.47 "/>
    <x v="1"/>
    <n v="141611"/>
    <m/>
    <m/>
    <m/>
  </r>
  <r>
    <x v="16"/>
    <x v="4"/>
    <s v="\\192.168.24.208\images\R&amp;D\Coralie\Triphenylphosphate\2021-CHG-CBA-TRIPHENYLP\plaque 2/@04 TESTO + FAD/E4_02.tif "/>
    <s v=" 3395.8935 "/>
    <s v=" 66.1338 "/>
    <x v="1"/>
    <n v="224583"/>
    <m/>
    <m/>
    <m/>
  </r>
  <r>
    <x v="16"/>
    <x v="4"/>
    <s v="\\192.168.24.208\images\R&amp;D\Coralie\Triphenylphosphate\2021-CHG-CBA-TRIPHENYLP\plaque 2/@04 TESTO + FAD/E4_03.tif "/>
    <s v=" 2703.7368 "/>
    <s v=" 66.456 "/>
    <x v="1"/>
    <n v="179680"/>
    <m/>
    <m/>
    <m/>
  </r>
  <r>
    <x v="16"/>
    <x v="5"/>
    <s v="\\192.168.24.208\images\R&amp;D\Coralie\Triphenylphosphate\2021-CHG-CBA-TRIPHENYLP\plaque 2/@04 TESTO + FAD/F4_01.tif "/>
    <s v=" 843.5659 "/>
    <s v=" 63.2051 "/>
    <x v="1"/>
    <n v="53318"/>
    <m/>
    <m/>
    <m/>
  </r>
  <r>
    <x v="16"/>
    <x v="5"/>
    <s v="\\192.168.24.208\images\R&amp;D\Coralie\Triphenylphosphate\2021-CHG-CBA-TRIPHENYLP\plaque 2/@04 TESTO + FAD/F4_02.tif "/>
    <s v=" 1124.7545 "/>
    <s v=" 62.0962 "/>
    <x v="1"/>
    <n v="69843"/>
    <m/>
    <m/>
    <m/>
  </r>
  <r>
    <x v="16"/>
    <x v="5"/>
    <s v="\\192.168.24.208\images\R&amp;D\Coralie\Triphenylphosphate\2021-CHG-CBA-TRIPHENYLP\plaque 2/@04 TESTO + FAD/F4_03.tif "/>
    <s v=" 2984.9255 "/>
    <s v=" 64.8116 "/>
    <x v="1"/>
    <n v="193458"/>
    <m/>
    <m/>
    <m/>
  </r>
  <r>
    <x v="16"/>
    <x v="6"/>
    <s v="\\192.168.24.208\images\R&amp;D\Coralie\Triphenylphosphate\2021-CHG-CBA-TRIPHENYLP\plaque 2/@04 TESTO + FAD/G4_01.tif "/>
    <s v=" 5342.584 "/>
    <s v=" 71.5182 "/>
    <x v="1"/>
    <n v="382092"/>
    <m/>
    <m/>
    <m/>
  </r>
  <r>
    <x v="16"/>
    <x v="6"/>
    <s v="\\192.168.24.208\images\R&amp;D\Coralie\Triphenylphosphate\2021-CHG-CBA-TRIPHENYLP\plaque 2/@04 TESTO + FAD/G4_02.tif "/>
    <s v=" 6467.3385 "/>
    <s v=" 69.5284 "/>
    <x v="1"/>
    <n v="449664"/>
    <m/>
    <m/>
    <m/>
  </r>
  <r>
    <x v="16"/>
    <x v="6"/>
    <s v="\\192.168.24.208\images\R&amp;D\Coralie\Triphenylphosphate\2021-CHG-CBA-TRIPHENYLP\plaque 2/@04 TESTO + FAD/G4_03- exclu.tif"/>
    <m/>
    <m/>
    <x v="0"/>
    <m/>
    <m/>
    <m/>
    <m/>
  </r>
  <r>
    <x v="16"/>
    <x v="7"/>
    <s v="\\192.168.24.208\images\R&amp;D\Coralie\Triphenylphosphate\2021-CHG-CBA-TRIPHENYLP\plaque 2/@04 TESTO + FAD/H4_01.tif "/>
    <s v=" 1189.6442 "/>
    <s v=" 64.2 "/>
    <x v="1"/>
    <n v="76375"/>
    <m/>
    <m/>
    <m/>
  </r>
  <r>
    <x v="16"/>
    <x v="7"/>
    <s v="\\192.168.24.208\images\R&amp;D\Coralie\Triphenylphosphate\2021-CHG-CBA-TRIPHENYLP\plaque 2/@04 TESTO + FAD/H4_02.tif "/>
    <s v=" 930.0855 "/>
    <s v=" 63.907 "/>
    <x v="1"/>
    <n v="59439"/>
    <m/>
    <m/>
    <m/>
  </r>
  <r>
    <x v="16"/>
    <x v="7"/>
    <s v="\\192.168.24.208\images\R&amp;D\Coralie\Triphenylphosphate\2021-CHG-CBA-TRIPHENYLP\plaque 2/@04 TESTO + FAD/H4_03.tif "/>
    <s v=" 2076.4699 "/>
    <s v=" 65.7917 "/>
    <x v="1"/>
    <n v="136614"/>
    <m/>
    <m/>
    <m/>
  </r>
  <r>
    <x v="1"/>
    <x v="8"/>
    <s v=" "/>
    <m/>
    <m/>
    <x v="0"/>
    <m/>
    <m/>
    <m/>
    <m/>
  </r>
  <r>
    <x v="1"/>
    <x v="8"/>
    <s v="group "/>
    <s v=" "/>
    <s v=" mean of mean fluo "/>
    <x v="2"/>
    <s v=" mean of total fluo "/>
    <s v=" SD total fluo "/>
    <s v=" n fluorescent "/>
    <s v=" n total"/>
  </r>
  <r>
    <x v="16"/>
    <x v="9"/>
    <s v="\\192.168.24.208\images\R&amp;D\Coralie\Triphenylphosphate\2021-CHG-CBA-TRIPHENYLP\plaque 2/@04 TESTO + FAD/ "/>
    <s v=" "/>
    <s v=" 67.184 "/>
    <x v="18"/>
    <s v=" 231122.667 "/>
    <s v=" 182247.71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7"/>
    <x v="0"/>
    <s v="\\192.168.24.208\images\R&amp;D\Coralie\Triphenylphosphate\2021-CHG-CBA-TRIPHENYLP\plaque 2/@05 TRIPHENYLP 0.18 + TESTO/A5_01.tif "/>
    <s v=" 49727.1278 "/>
    <s v=" 76.3236 "/>
    <x v="1"/>
    <n v="3795354"/>
    <m/>
    <m/>
    <m/>
  </r>
  <r>
    <x v="17"/>
    <x v="0"/>
    <s v="\\192.168.24.208\images\R&amp;D\Coralie\Triphenylphosphate\2021-CHG-CBA-TRIPHENYLP\plaque 2/@05 TRIPHENYLP 0.18 + TESTO/A5_02.tif "/>
    <s v=" 51414.2595 "/>
    <s v=" 76.9727 "/>
    <x v="1"/>
    <n v="3957492"/>
    <m/>
    <m/>
    <m/>
  </r>
  <r>
    <x v="17"/>
    <x v="0"/>
    <s v="\\192.168.24.208\images\R&amp;D\Coralie\Triphenylphosphate\2021-CHG-CBA-TRIPHENYLP\plaque 2/@05 TRIPHENYLP 0.18 + TESTO/A5_03.tif "/>
    <s v=" 52863.4625 "/>
    <s v=" 77.7255 "/>
    <x v="1"/>
    <n v="4108836"/>
    <m/>
    <m/>
    <m/>
  </r>
  <r>
    <x v="17"/>
    <x v="1"/>
    <s v="\\192.168.24.208\images\R&amp;D\Coralie\Triphenylphosphate\2021-CHG-CBA-TRIPHENYLP\plaque 2/@05 TRIPHENYLP 0.18 + TESTO/B5_01.tif "/>
    <s v=" 58573.7547 "/>
    <s v=" 77.5321 "/>
    <x v="1"/>
    <n v="4541348"/>
    <m/>
    <m/>
    <m/>
  </r>
  <r>
    <x v="17"/>
    <x v="1"/>
    <s v="\\192.168.24.208\images\R&amp;D\Coralie\Triphenylphosphate\2021-CHG-CBA-TRIPHENYLP\plaque 2/@05 TRIPHENYLP 0.18 + TESTO/B5_02.tif "/>
    <s v=" 72676.446 "/>
    <s v=" 77.6074 "/>
    <x v="1"/>
    <n v="5640233"/>
    <m/>
    <m/>
    <m/>
  </r>
  <r>
    <x v="17"/>
    <x v="1"/>
    <s v="\\192.168.24.208\images\R&amp;D\Coralie\Triphenylphosphate\2021-CHG-CBA-TRIPHENYLP\plaque 2/@05 TRIPHENYLP 0.18 + TESTO/B5_03.tif "/>
    <s v=" 66144.2178 "/>
    <s v=" 76.2312 "/>
    <x v="1"/>
    <n v="5042253"/>
    <m/>
    <m/>
    <m/>
  </r>
  <r>
    <x v="17"/>
    <x v="2"/>
    <s v="\\192.168.24.208\images\R&amp;D\Coralie\Triphenylphosphate\2021-CHG-CBA-TRIPHENYLP\plaque 2/@05 TRIPHENYLP 0.18 + TESTO/C5_01.tif "/>
    <s v=" 66360.5167 "/>
    <s v=" 77.515 "/>
    <x v="1"/>
    <n v="5143935"/>
    <m/>
    <m/>
    <m/>
  </r>
  <r>
    <x v="17"/>
    <x v="2"/>
    <s v="\\192.168.24.208\images\R&amp;D\Coralie\Triphenylphosphate\2021-CHG-CBA-TRIPHENYLP\plaque 2/@05 TRIPHENYLP 0.18 + TESTO/C5_02.tif "/>
    <s v=" 62726.6944 "/>
    <s v=" 76.5976 "/>
    <x v="1"/>
    <n v="4804713"/>
    <m/>
    <m/>
    <m/>
  </r>
  <r>
    <x v="17"/>
    <x v="2"/>
    <s v="\\192.168.24.208\images\R&amp;D\Coralie\Triphenylphosphate\2021-CHG-CBA-TRIPHENYLP\plaque 2/@05 TRIPHENYLP 0.18 + TESTO/C5_03.tif "/>
    <s v=" 66079.3281 "/>
    <s v=" 78.0966 "/>
    <x v="1"/>
    <n v="5160568"/>
    <m/>
    <m/>
    <m/>
  </r>
  <r>
    <x v="17"/>
    <x v="3"/>
    <s v="\\192.168.24.208\images\R&amp;D\Coralie\Triphenylphosphate\2021-CHG-CBA-TRIPHENYLP\plaque 2/@05 TRIPHENYLP 0.18 + TESTO/D5_01.tif "/>
    <s v=" 41788.9564 "/>
    <s v=" 82.2355 "/>
    <x v="1"/>
    <n v="3436536"/>
    <m/>
    <m/>
    <m/>
  </r>
  <r>
    <x v="17"/>
    <x v="3"/>
    <s v="\\192.168.24.208\images\R&amp;D\Coralie\Triphenylphosphate\2021-CHG-CBA-TRIPHENYLP\plaque 2/@05 TRIPHENYLP 0.18 + TESTO/D5_02.tif "/>
    <s v=" 52495.7543 "/>
    <s v=" 80.9567 "/>
    <x v="1"/>
    <n v="4249885"/>
    <m/>
    <m/>
    <m/>
  </r>
  <r>
    <x v="17"/>
    <x v="3"/>
    <s v="\\192.168.24.208\images\R&amp;D\Coralie\Triphenylphosphate\2021-CHG-CBA-TRIPHENYLP\plaque 2/@05 TRIPHENYLP 0.18 + TESTO/D5_03.tif "/>
    <s v=" 40880.5008 "/>
    <s v=" 82.2333 "/>
    <x v="1"/>
    <n v="3361740"/>
    <m/>
    <m/>
    <m/>
  </r>
  <r>
    <x v="17"/>
    <x v="4"/>
    <s v="\\192.168.24.208\images\R&amp;D\Coralie\Triphenylphosphate\2021-CHG-CBA-TRIPHENYLP\plaque 2/@05 TRIPHENYLP 0.18 + TESTO/E5_01.tif "/>
    <s v=" 58119.5269 "/>
    <s v=" 72.3409 "/>
    <x v="1"/>
    <n v="4204419"/>
    <m/>
    <m/>
    <m/>
  </r>
  <r>
    <x v="17"/>
    <x v="4"/>
    <s v="\\192.168.24.208\images\R&amp;D\Coralie\Triphenylphosphate\2021-CHG-CBA-TRIPHENYLP\plaque 2/@05 TRIPHENYLP 0.18 + TESTO/E5_02.tif "/>
    <s v=" 57730.1888 "/>
    <s v=" 77.9569 "/>
    <x v="1"/>
    <n v="4500467"/>
    <m/>
    <m/>
    <m/>
  </r>
  <r>
    <x v="17"/>
    <x v="4"/>
    <s v="\\192.168.24.208\images\R&amp;D\Coralie\Triphenylphosphate\2021-CHG-CBA-TRIPHENYLP\plaque 2/@05 TRIPHENYLP 0.18 + TESTO/E5_03.tif "/>
    <s v=" 56345.8755 "/>
    <s v=" 78.1209 "/>
    <x v="1"/>
    <n v="4401792"/>
    <m/>
    <m/>
    <m/>
  </r>
  <r>
    <x v="17"/>
    <x v="5"/>
    <s v="\\192.168.24.208\images\R&amp;D\Coralie\Triphenylphosphate\2021-CHG-CBA-TRIPHENYLP\plaque 2/@05 TRIPHENYLP 0.18 + TESTO/F5_01.tif "/>
    <s v=" 54074.7366 "/>
    <s v=" 87.2896 "/>
    <x v="1"/>
    <n v="4720162"/>
    <m/>
    <m/>
    <m/>
  </r>
  <r>
    <x v="17"/>
    <x v="5"/>
    <s v="\\192.168.24.208\images\R&amp;D\Coralie\Triphenylphosphate\2021-CHG-CBA-TRIPHENYLP\plaque 2/@05 TRIPHENYLP 0.18 + TESTO/F5_02- exclu.tif"/>
    <m/>
    <m/>
    <x v="0"/>
    <m/>
    <m/>
    <m/>
    <m/>
  </r>
  <r>
    <x v="17"/>
    <x v="5"/>
    <s v="\\192.168.24.208\images\R&amp;D\Coralie\Triphenylphosphate\2021-CHG-CBA-TRIPHENYLP\plaque 2/@05 TRIPHENYLP 0.18 + TESTO/F5_03.tif "/>
    <s v=" 55891.6477 "/>
    <s v=" 88.2144 "/>
    <x v="1"/>
    <n v="4930448"/>
    <m/>
    <m/>
    <m/>
  </r>
  <r>
    <x v="17"/>
    <x v="6"/>
    <s v="\\192.168.24.208\images\R&amp;D\Coralie\Triphenylphosphate\2021-CHG-CBA-TRIPHENYLP\plaque 2/@05 TRIPHENYLP 0.18 + TESTO/G5_01- exclu.tif"/>
    <m/>
    <m/>
    <x v="0"/>
    <m/>
    <m/>
    <m/>
    <m/>
  </r>
  <r>
    <x v="17"/>
    <x v="6"/>
    <s v="\\192.168.24.208\images\R&amp;D\Coralie\Triphenylphosphate\2021-CHG-CBA-TRIPHENYLP\plaque 2/@05 TRIPHENYLP 0.18 + TESTO/G5_02.tif "/>
    <s v=" 36100.2941 "/>
    <s v=" 81.2373 "/>
    <x v="1"/>
    <n v="2932689"/>
    <m/>
    <m/>
    <m/>
  </r>
  <r>
    <x v="17"/>
    <x v="6"/>
    <s v="\\192.168.24.208\images\R&amp;D\Coralie\Triphenylphosphate\2021-CHG-CBA-TRIPHENYLP\plaque 2/@05 TRIPHENYLP 0.18 + TESTO/G5_03.tif "/>
    <s v=" 35256.7282 "/>
    <s v=" 83.4675 "/>
    <x v="1"/>
    <n v="2942790"/>
    <m/>
    <m/>
    <m/>
  </r>
  <r>
    <x v="17"/>
    <x v="7"/>
    <s v="\\192.168.24.208\images\R&amp;D\Coralie\Triphenylphosphate\2021-CHG-CBA-TRIPHENYLP\plaque 2/@05 TRIPHENYLP 0.18 + TESTO/H5_01.tif "/>
    <s v=" 37592.7569 "/>
    <s v=" 72.6824 "/>
    <x v="1"/>
    <n v="2732332"/>
    <m/>
    <m/>
    <m/>
  </r>
  <r>
    <x v="17"/>
    <x v="7"/>
    <s v="\\192.168.24.208\images\R&amp;D\Coralie\Triphenylphosphate\2021-CHG-CBA-TRIPHENYLP\plaque 2/@05 TRIPHENYLP 0.18 + TESTO/H5_02.tif "/>
    <s v=" 39820.636 "/>
    <s v=" 74.9473 "/>
    <x v="1"/>
    <n v="2984450"/>
    <m/>
    <m/>
    <m/>
  </r>
  <r>
    <x v="17"/>
    <x v="7"/>
    <s v="\\192.168.24.208\images\R&amp;D\Coralie\Triphenylphosphate\2021-CHG-CBA-TRIPHENYLP\plaque 2/@05 TRIPHENYLP 0.18 + TESTO/H5_03.tif "/>
    <s v=" 35581.1767 "/>
    <s v=" 72.6723 "/>
    <x v="1"/>
    <n v="2585767"/>
    <m/>
    <m/>
    <m/>
  </r>
  <r>
    <x v="1"/>
    <x v="8"/>
    <s v=" "/>
    <m/>
    <m/>
    <x v="0"/>
    <m/>
    <m/>
    <m/>
    <m/>
  </r>
  <r>
    <x v="1"/>
    <x v="8"/>
    <s v="group "/>
    <s v=" "/>
    <s v=" mean of mean fluo "/>
    <x v="2"/>
    <s v=" mean of total fluo "/>
    <s v=" SD total fluo "/>
    <s v=" n fluorescent "/>
    <s v=" n total"/>
  </r>
  <r>
    <x v="17"/>
    <x v="9"/>
    <s v="\\192.168.24.208\images\R&amp;D\Coralie\Triphenylphosphate\2021-CHG-CBA-TRIPHENYLP\plaque 2/@05 TRIPHENYLP 0.18 + TESTO/ "/>
    <s v=" "/>
    <s v=" 79.1488 "/>
    <x v="19"/>
    <s v=" 4069328.46 "/>
    <s v=" 900605.13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8"/>
    <x v="0"/>
    <s v="\\192.168.24.208\images\R&amp;D\Coralie\Triphenylphosphate\2021-CHG-CBA-TRIPHENYLP\plaque 2/@06 TRIPHENYLP 0.26 + TESTO/A6_01.tif "/>
    <s v=" 40339.7535 "/>
    <s v=" 85.1657 "/>
    <x v="1"/>
    <n v="3435563"/>
    <m/>
    <m/>
    <m/>
  </r>
  <r>
    <x v="18"/>
    <x v="0"/>
    <s v="\\192.168.24.208\images\R&amp;D\Coralie\Triphenylphosphate\2021-CHG-CBA-TRIPHENYLP\plaque 2/@06 TRIPHENYLP 0.26 + TESTO/A6_02.tif "/>
    <s v=" 44362.9139 "/>
    <s v=" 82.9907 "/>
    <x v="1"/>
    <n v="3681711"/>
    <m/>
    <m/>
    <m/>
  </r>
  <r>
    <x v="18"/>
    <x v="0"/>
    <s v="\\192.168.24.208\images\R&amp;D\Coralie\Triphenylphosphate\2021-CHG-CBA-TRIPHENYLP\plaque 2/@06 TRIPHENYLP 0.26 + TESTO/A6_03.tif "/>
    <s v=" 42870.4512 "/>
    <s v=" 79.9183 "/>
    <x v="1"/>
    <n v="3426132"/>
    <m/>
    <m/>
    <m/>
  </r>
  <r>
    <x v="18"/>
    <x v="1"/>
    <s v="\\192.168.24.208\images\R&amp;D\Coralie\Triphenylphosphate\2021-CHG-CBA-TRIPHENYLP\plaque 2/@06 TRIPHENYLP 0.26 + TESTO/B6_01.tif "/>
    <s v=" 57384.1105 "/>
    <s v=" 82.3554 "/>
    <x v="1"/>
    <n v="4725894"/>
    <m/>
    <m/>
    <m/>
  </r>
  <r>
    <x v="18"/>
    <x v="1"/>
    <s v="\\192.168.24.208\images\R&amp;D\Coralie\Triphenylphosphate\2021-CHG-CBA-TRIPHENYLP\plaque 2/@06 TRIPHENYLP 0.26 + TESTO/B6_02.tif "/>
    <s v=" 67809.7197 "/>
    <s v=" 80.8781 "/>
    <x v="1"/>
    <n v="5484325"/>
    <m/>
    <m/>
    <m/>
  </r>
  <r>
    <x v="18"/>
    <x v="1"/>
    <s v="\\192.168.24.208\images\R&amp;D\Coralie\Triphenylphosphate\2021-CHG-CBA-TRIPHENYLP\plaque 2/@06 TRIPHENYLP 0.26 + TESTO/B6_03.tif "/>
    <s v=" 68112.5382 "/>
    <s v=" 81.8076 "/>
    <x v="1"/>
    <n v="5572120"/>
    <m/>
    <m/>
    <m/>
  </r>
  <r>
    <x v="18"/>
    <x v="2"/>
    <s v="\\192.168.24.208\images\R&amp;D\Coralie\Triphenylphosphate\2021-CHG-CBA-TRIPHENYLP\plaque 2/@06 TRIPHENYLP 0.26 + TESTO/C6_01.tif "/>
    <s v=" 66793.1146 "/>
    <s v=" 90.909 "/>
    <x v="1"/>
    <n v="6072095"/>
    <m/>
    <m/>
    <m/>
  </r>
  <r>
    <x v="18"/>
    <x v="2"/>
    <s v="\\192.168.24.208\images\R&amp;D\Coralie\Triphenylphosphate\2021-CHG-CBA-TRIPHENYLP\plaque 2/@06 TRIPHENYLP 0.26 + TESTO/C6_02.tif "/>
    <s v=" 59958.0679 "/>
    <s v=" 89.8957 "/>
    <x v="1"/>
    <n v="5389975"/>
    <m/>
    <m/>
    <m/>
  </r>
  <r>
    <x v="18"/>
    <x v="2"/>
    <s v="\\192.168.24.208\images\R&amp;D\Coralie\Triphenylphosphate\2021-CHG-CBA-TRIPHENYLP\plaque 2/@06 TRIPHENYLP 0.26 + TESTO/C6_03.tif "/>
    <s v=" 61688.4595 "/>
    <s v=" 90.3468 "/>
    <x v="1"/>
    <n v="5573353"/>
    <m/>
    <m/>
    <m/>
  </r>
  <r>
    <x v="18"/>
    <x v="3"/>
    <s v="\\192.168.24.208\images\R&amp;D\Coralie\Triphenylphosphate\2021-CHG-CBA-TRIPHENYLP\plaque 2/@06 TRIPHENYLP 0.26 + TESTO/D6_01.tif "/>
    <s v=" 53317.6903 "/>
    <s v=" 70.8694 "/>
    <x v="1"/>
    <n v="3778591"/>
    <m/>
    <m/>
    <m/>
  </r>
  <r>
    <x v="18"/>
    <x v="3"/>
    <s v="\\192.168.24.208\images\R&amp;D\Coralie\Triphenylphosphate\2021-CHG-CBA-TRIPHENYLP\plaque 2/@06 TRIPHENYLP 0.26 + TESTO/D6_02.tif "/>
    <s v=" 55221.121 "/>
    <s v=" 72.1116 "/>
    <x v="1"/>
    <n v="3982085"/>
    <m/>
    <m/>
    <m/>
  </r>
  <r>
    <x v="18"/>
    <x v="3"/>
    <s v="\\192.168.24.208\images\R&amp;D\Coralie\Triphenylphosphate\2021-CHG-CBA-TRIPHENYLP\plaque 2/@06 TRIPHENYLP 0.26 + TESTO/D6_03.tif "/>
    <s v=" 58530.4949 "/>
    <s v=" 71.3544 "/>
    <x v="1"/>
    <n v="4176408"/>
    <m/>
    <m/>
    <m/>
  </r>
  <r>
    <x v="18"/>
    <x v="4"/>
    <s v="\\192.168.24.208\images\R&amp;D\Coralie\Triphenylphosphate\2021-CHG-CBA-TRIPHENYLP\plaque 2/@06 TRIPHENYLP 0.26 + TESTO/E6_01.tif "/>
    <s v=" 67571.7908 "/>
    <s v=" 78.6969 "/>
    <x v="1"/>
    <n v="5317688"/>
    <m/>
    <m/>
    <m/>
  </r>
  <r>
    <x v="18"/>
    <x v="4"/>
    <s v="\\192.168.24.208\images\R&amp;D\Coralie\Triphenylphosphate\2021-CHG-CBA-TRIPHENYLP\plaque 2/@06 TRIPHENYLP 0.26 + TESTO/E6_02- exclu.tif"/>
    <m/>
    <m/>
    <x v="0"/>
    <m/>
    <m/>
    <m/>
    <m/>
  </r>
  <r>
    <x v="18"/>
    <x v="4"/>
    <s v="\\192.168.24.208\images\R&amp;D\Coralie\Triphenylphosphate\2021-CHG-CBA-TRIPHENYLP\plaque 2/@06 TRIPHENYLP 0.26 + TESTO/E6_03.tif "/>
    <s v=" 64457.086 "/>
    <s v=" 83.3356 "/>
    <x v="1"/>
    <n v="5371568"/>
    <m/>
    <m/>
    <m/>
  </r>
  <r>
    <x v="18"/>
    <x v="5"/>
    <s v="\\192.168.24.208\images\R&amp;D\Coralie\Triphenylphosphate\2021-CHG-CBA-TRIPHENYLP\plaque 2/@06 TRIPHENYLP 0.26 + TESTO/F6_01.tif "/>
    <s v=" 757.0463 "/>
    <n v="63"/>
    <x v="1"/>
    <n v="47694"/>
    <m/>
    <m/>
    <m/>
  </r>
  <r>
    <x v="18"/>
    <x v="5"/>
    <s v="\\192.168.24.208\images\R&amp;D\Coralie\Triphenylphosphate\2021-CHG-CBA-TRIPHENYLP\plaque 2/@06 TRIPHENYLP 0.26 + TESTO/F6_02- exclu.tif"/>
    <m/>
    <m/>
    <x v="0"/>
    <m/>
    <m/>
    <m/>
    <m/>
  </r>
  <r>
    <x v="18"/>
    <x v="5"/>
    <s v="\\192.168.24.208\images\R&amp;D\Coralie\Triphenylphosphate\2021-CHG-CBA-TRIPHENYLP\plaque 2/@06 TRIPHENYLP 0.26 + TESTO/F6_03.tif "/>
    <s v=" 281.1886 "/>
    <s v=" 63.6923 "/>
    <x v="1"/>
    <n v="17910"/>
    <m/>
    <m/>
    <m/>
  </r>
  <r>
    <x v="18"/>
    <x v="6"/>
    <s v="\\192.168.24.208\images\R&amp;D\Coralie\Triphenylphosphate\2021-CHG-CBA-TRIPHENYLP\plaque 2/@06 TRIPHENYLP 0.26 + TESTO/G6_01.tif "/>
    <s v=" 67204.0826 "/>
    <s v=" 81.3048 "/>
    <x v="1"/>
    <n v="5464014"/>
    <m/>
    <m/>
    <m/>
  </r>
  <r>
    <x v="18"/>
    <x v="6"/>
    <s v="\\192.168.24.208\images\R&amp;D\Coralie\Triphenylphosphate\2021-CHG-CBA-TRIPHENYLP\plaque 2/@06 TRIPHENYLP 0.26 + TESTO/G6_02.tif "/>
    <s v=" 67160.8228 "/>
    <s v=" 83.715 "/>
    <x v="1"/>
    <n v="5622367"/>
    <m/>
    <m/>
    <m/>
  </r>
  <r>
    <x v="18"/>
    <x v="6"/>
    <s v="\\192.168.24.208\images\R&amp;D\Coralie\Triphenylphosphate\2021-CHG-CBA-TRIPHENYLP\plaque 2/@06 TRIPHENYLP 0.26 + TESTO/G6_03.tif "/>
    <s v=" 65279.022 "/>
    <s v=" 83.1557 "/>
    <x v="1"/>
    <n v="5428325"/>
    <m/>
    <m/>
    <m/>
  </r>
  <r>
    <x v="18"/>
    <x v="7"/>
    <s v="\\192.168.24.208\images\R&amp;D\Coralie\Triphenylphosphate\2021-CHG-CBA-TRIPHENYLP\plaque 2/@06 TRIPHENYLP 0.26 + TESTO/H6_01.tif "/>
    <s v=" 27989.0836 "/>
    <s v=" 76.5471 "/>
    <x v="1"/>
    <n v="2142484"/>
    <m/>
    <m/>
    <m/>
  </r>
  <r>
    <x v="18"/>
    <x v="7"/>
    <s v="\\192.168.24.208\images\R&amp;D\Coralie\Triphenylphosphate\2021-CHG-CBA-TRIPHENYLP\plaque 2/@06 TRIPHENYLP 0.26 + TESTO/H6_02.tif "/>
    <s v=" 29178.7279 "/>
    <s v=" 77.0971 "/>
    <x v="1"/>
    <n v="2249596"/>
    <m/>
    <m/>
    <m/>
  </r>
  <r>
    <x v="18"/>
    <x v="7"/>
    <s v="\\192.168.24.208\images\R&amp;D\Coralie\Triphenylphosphate\2021-CHG-CBA-TRIPHENYLP\plaque 2/@06 TRIPHENYLP 0.26 + TESTO/H6_03.tif "/>
    <s v=" 24485.0407 "/>
    <s v=" 78.3048 "/>
    <x v="1"/>
    <n v="1917295"/>
    <m/>
    <m/>
    <m/>
  </r>
  <r>
    <x v="1"/>
    <x v="8"/>
    <s v=" "/>
    <m/>
    <m/>
    <x v="0"/>
    <m/>
    <m/>
    <m/>
    <m/>
  </r>
  <r>
    <x v="1"/>
    <x v="8"/>
    <s v="group "/>
    <s v=" "/>
    <s v=" mean of mean fluo "/>
    <x v="2"/>
    <s v=" mean of total fluo "/>
    <s v=" SD total fluo "/>
    <s v=" n fluorescent "/>
    <s v=" n total"/>
  </r>
  <r>
    <x v="18"/>
    <x v="9"/>
    <s v="\\192.168.24.208\images\R&amp;D\Coralie\Triphenylphosphate\2021-CHG-CBA-TRIPHENYLP\plaque 2/@06 TRIPHENYLP 0.26 + TESTO/ "/>
    <s v=" "/>
    <s v=" 78.7363 "/>
    <x v="20"/>
    <s v=" 3908088.46 "/>
    <s v=" 1910760.3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9"/>
    <x v="0"/>
    <s v="\\192.168.24.208\images\R&amp;D\Coralie\Triphenylphosphate\2021-CHG-CBA-TRIPHENYLP\plaque 2/@07 TRIPHENYLP 0.4 + TESTO/A7_01.tif "/>
    <s v=" 54939.9324 "/>
    <s v=" 90.8126 "/>
    <x v="1"/>
    <n v="4989238"/>
    <m/>
    <m/>
    <m/>
  </r>
  <r>
    <x v="19"/>
    <x v="0"/>
    <s v="\\192.168.24.208\images\R&amp;D\Coralie\Triphenylphosphate\2021-CHG-CBA-TRIPHENYLP\plaque 2/@07 TRIPHENYLP 0.4 + TESTO/A7_02.tif "/>
    <s v=" 64478.7159 "/>
    <s v=" 85.732 "/>
    <x v="1"/>
    <n v="5527887"/>
    <m/>
    <m/>
    <m/>
  </r>
  <r>
    <x v="19"/>
    <x v="0"/>
    <s v="\\192.168.24.208\images\R&amp;D\Coralie\Triphenylphosphate\2021-CHG-CBA-TRIPHENYLP\plaque 2/@07 TRIPHENYLP 0.4 + TESTO/A7_03.tif "/>
    <s v=" 65798.1395 "/>
    <s v=" 86.2541 "/>
    <x v="1"/>
    <n v="5675360"/>
    <m/>
    <m/>
    <m/>
  </r>
  <r>
    <x v="19"/>
    <x v="1"/>
    <s v="\\192.168.24.208\images\R&amp;D\Coralie\Triphenylphosphate\2021-CHG-CBA-TRIPHENYLP\plaque 2/@07 TRIPHENYLP 0.4 + TESTO/B7_01.tif "/>
    <s v=" 78408.368 "/>
    <s v=" 86.829 "/>
    <x v="1"/>
    <n v="6808117"/>
    <m/>
    <m/>
    <m/>
  </r>
  <r>
    <x v="19"/>
    <x v="1"/>
    <s v="\\192.168.24.208\images\R&amp;D\Coralie\Triphenylphosphate\2021-CHG-CBA-TRIPHENYLP\plaque 2/@07 TRIPHENYLP 0.4 + TESTO/B7_02.tif "/>
    <s v=" 72243.8481 "/>
    <s v=" 86.479 "/>
    <x v="1"/>
    <n v="6247579"/>
    <m/>
    <m/>
    <m/>
  </r>
  <r>
    <x v="19"/>
    <x v="1"/>
    <s v="\\192.168.24.208\images\R&amp;D\Coralie\Triphenylphosphate\2021-CHG-CBA-TRIPHENYLP\plaque 2/@07 TRIPHENYLP 0.4 + TESTO/B7_03.tif "/>
    <s v=" 63916.3386 "/>
    <s v=" 90.068 "/>
    <x v="1"/>
    <n v="5756818"/>
    <m/>
    <m/>
    <m/>
  </r>
  <r>
    <x v="19"/>
    <x v="2"/>
    <s v="\\192.168.24.208\images\R&amp;D\Coralie\Triphenylphosphate\2021-CHG-CBA-TRIPHENYLP\plaque 2/@07 TRIPHENYLP 0.4 + TESTO/C7_01.tif "/>
    <s v=" 71140.7234 "/>
    <s v=" 88.3889 "/>
    <x v="1"/>
    <n v="6288048"/>
    <m/>
    <m/>
    <m/>
  </r>
  <r>
    <x v="19"/>
    <x v="2"/>
    <s v="\\192.168.24.208\images\R&amp;D\Coralie\Triphenylphosphate\2021-CHG-CBA-TRIPHENYLP\plaque 2/@07 TRIPHENYLP 0.4 + TESTO/C7_02.tif "/>
    <s v=" 39474.5577 "/>
    <s v=" 108.669 "/>
    <x v="1"/>
    <n v="4289662"/>
    <m/>
    <m/>
    <m/>
  </r>
  <r>
    <x v="19"/>
    <x v="2"/>
    <s v="\\192.168.24.208\images\R&amp;D\Coralie\Triphenylphosphate\2021-CHG-CBA-TRIPHENYLP\plaque 2/@07 TRIPHENYLP 0.4 + TESTO/C7_03.tif "/>
    <s v=" 46439.3838 "/>
    <s v=" 105.4783 "/>
    <x v="1"/>
    <n v="4898349"/>
    <m/>
    <m/>
    <m/>
  </r>
  <r>
    <x v="19"/>
    <x v="3"/>
    <s v="\\192.168.24.208\images\R&amp;D\Coralie\Triphenylphosphate\2021-CHG-CBA-TRIPHENYLP\plaque 2/@07 TRIPHENYLP 0.4 + TESTO/D7_01.tif "/>
    <s v=" 39820.636 "/>
    <s v=" 82.4699 "/>
    <x v="1"/>
    <n v="3284002"/>
    <m/>
    <m/>
    <m/>
  </r>
  <r>
    <x v="19"/>
    <x v="3"/>
    <s v="\\192.168.24.208\images\R&amp;D\Coralie\Triphenylphosphate\2021-CHG-CBA-TRIPHENYLP\plaque 2/@07 TRIPHENYLP 0.4 + TESTO/D7_02- exclu.tif"/>
    <m/>
    <m/>
    <x v="0"/>
    <m/>
    <m/>
    <m/>
    <m/>
  </r>
  <r>
    <x v="19"/>
    <x v="3"/>
    <s v="\\192.168.24.208\images\R&amp;D\Coralie\Triphenylphosphate\2021-CHG-CBA-TRIPHENYLP\plaque 2/@07 TRIPHENYLP 0.4 + TESTO/D7_03.tif "/>
    <s v=" 51111.441 "/>
    <s v=" 84.2078 "/>
    <x v="1"/>
    <n v="4303981"/>
    <m/>
    <m/>
    <m/>
  </r>
  <r>
    <x v="19"/>
    <x v="4"/>
    <s v="\\192.168.24.208\images\R&amp;D\Coralie\Triphenylphosphate\2021-CHG-CBA-TRIPHENYLP\plaque 2/@07 TRIPHENYLP 0.4 + TESTO/E7_01.tif "/>
    <s v=" 55069.7117 "/>
    <s v=" 82.7526 "/>
    <x v="1"/>
    <n v="4557159"/>
    <m/>
    <m/>
    <m/>
  </r>
  <r>
    <x v="19"/>
    <x v="4"/>
    <s v="\\192.168.24.208\images\R&amp;D\Coralie\Triphenylphosphate\2021-CHG-CBA-TRIPHENYLP\plaque 2/@07 TRIPHENYLP 0.4 + TESTO/E7_02.tif "/>
    <s v=" 56843.3631 "/>
    <s v=" 84.6663 "/>
    <x v="1"/>
    <n v="4812716"/>
    <m/>
    <m/>
    <m/>
  </r>
  <r>
    <x v="19"/>
    <x v="4"/>
    <s v="\\192.168.24.208\images\R&amp;D\Coralie\Triphenylphosphate\2021-CHG-CBA-TRIPHENYLP\plaque 2/@07 TRIPHENYLP 0.4 + TESTO/E7_03.tif "/>
    <s v=" 52192.9357 "/>
    <s v=" 85.5673 "/>
    <x v="1"/>
    <n v="4466011"/>
    <m/>
    <m/>
    <m/>
  </r>
  <r>
    <x v="19"/>
    <x v="5"/>
    <s v="\\192.168.24.208\images\R&amp;D\Coralie\Triphenylphosphate\2021-CHG-CBA-TRIPHENYLP\plaque 2/@07 TRIPHENYLP 0.4 + TESTO/F7_01.tif "/>
    <s v=" 42351.3337 "/>
    <s v=" 90.2426 "/>
    <x v="1"/>
    <n v="3821894"/>
    <m/>
    <m/>
    <m/>
  </r>
  <r>
    <x v="19"/>
    <x v="5"/>
    <s v="\\192.168.24.208\images\R&amp;D\Coralie\Triphenylphosphate\2021-CHG-CBA-TRIPHENYLP\plaque 2/@07 TRIPHENYLP 0.4 + TESTO/F7_02.tif "/>
    <s v=" 47261.3198 "/>
    <s v=" 89.065 "/>
    <x v="1"/>
    <n v="4209329"/>
    <m/>
    <m/>
    <m/>
  </r>
  <r>
    <x v="19"/>
    <x v="5"/>
    <s v="\\192.168.24.208\images\R&amp;D\Coralie\Triphenylphosphate\2021-CHG-CBA-TRIPHENYLP\plaque 2/@07 TRIPHENYLP 0.4 + TESTO/F7_03.tif "/>
    <s v=" 42329.7038 "/>
    <s v=" 91.3418 "/>
    <x v="1"/>
    <n v="3866473"/>
    <m/>
    <m/>
    <m/>
  </r>
  <r>
    <x v="19"/>
    <x v="6"/>
    <s v="\\192.168.24.208\images\R&amp;D\Coralie\Triphenylphosphate\2021-CHG-CBA-TRIPHENYLP\plaque 2/@07 TRIPHENYLP 0.4 + TESTO/G7_01.tif "/>
    <s v=" 56410.7652 "/>
    <s v=" 88.5548 "/>
    <x v="1"/>
    <n v="4995446"/>
    <m/>
    <m/>
    <m/>
  </r>
  <r>
    <x v="19"/>
    <x v="6"/>
    <s v="\\192.168.24.208\images\R&amp;D\Coralie\Triphenylphosphate\2021-CHG-CBA-TRIPHENYLP\plaque 2/@07 TRIPHENYLP 0.4 + TESTO/G7_02.tif "/>
    <s v=" 66555.1858 "/>
    <s v=" 81.8369 "/>
    <x v="1"/>
    <n v="5446667"/>
    <m/>
    <m/>
    <m/>
  </r>
  <r>
    <x v="19"/>
    <x v="6"/>
    <s v="\\192.168.24.208\images\R&amp;D\Coralie\Triphenylphosphate\2021-CHG-CBA-TRIPHENYLP\plaque 2/@07 TRIPHENYLP 0.4 + TESTO/G7_03.tif "/>
    <s v=" 68026.0186 "/>
    <s v=" 81.8531 "/>
    <x v="1"/>
    <n v="5568141"/>
    <m/>
    <m/>
    <m/>
  </r>
  <r>
    <x v="19"/>
    <x v="7"/>
    <s v="\\192.168.24.208\images\R&amp;D\Coralie\Triphenylphosphate\2021-CHG-CBA-TRIPHENYLP\plaque 2/@07 TRIPHENYLP 0.4 + TESTO/H7_01.tif "/>
    <s v=" 46482.6436 "/>
    <s v=" 86.9888 "/>
    <x v="1"/>
    <n v="4043471"/>
    <m/>
    <m/>
    <m/>
  </r>
  <r>
    <x v="19"/>
    <x v="7"/>
    <s v="\\192.168.24.208\images\R&amp;D\Coralie\Triphenylphosphate\2021-CHG-CBA-TRIPHENYLP\plaque 2/@07 TRIPHENYLP 0.4 + TESTO/H7_02.tif "/>
    <s v=" 48580.7433 "/>
    <s v=" 84.1661 "/>
    <x v="1"/>
    <n v="4088850"/>
    <m/>
    <m/>
    <m/>
  </r>
  <r>
    <x v="19"/>
    <x v="7"/>
    <s v="\\192.168.24.208\images\R&amp;D\Coralie\Triphenylphosphate\2021-CHG-CBA-TRIPHENYLP\plaque 2/@07 TRIPHENYLP 0.4 + TESTO/H7_03.tif "/>
    <s v=" 46677.3126 "/>
    <s v=" 86.1293 "/>
    <x v="1"/>
    <n v="4020284"/>
    <m/>
    <m/>
    <m/>
  </r>
  <r>
    <x v="1"/>
    <x v="8"/>
    <s v=" "/>
    <m/>
    <m/>
    <x v="0"/>
    <m/>
    <m/>
    <m/>
    <m/>
  </r>
  <r>
    <x v="1"/>
    <x v="8"/>
    <s v="group "/>
    <s v=" "/>
    <s v=" mean of mean fluo "/>
    <x v="2"/>
    <s v=" mean of total fluo "/>
    <s v=" SD total fluo "/>
    <s v=" n fluorescent "/>
    <s v=" n total"/>
  </r>
  <r>
    <x v="19"/>
    <x v="9"/>
    <s v="\\192.168.24.208\images\R&amp;D\Coralie\Triphenylphosphate\2021-CHG-CBA-TRIPHENYLP\plaque 2/@07 TRIPHENYLP 0.4 + TESTO/ "/>
    <s v=" "/>
    <s v=" 88.1826 "/>
    <x v="21"/>
    <s v=" 4786732.54 "/>
    <s v=" 978666.71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0"/>
    <x v="0"/>
    <s v="\\192.168.24.208\images\R&amp;D\Coralie\Triphenylphosphate\2021-CHG-CBA-TRIPHENYLP\plaque 2/@08 TRIPHENYLP 0.59 + TESTO/A8_01.tif "/>
    <s v=" 40469.5329 "/>
    <s v=" 90.8926 "/>
    <x v="1"/>
    <n v="3678380"/>
    <m/>
    <m/>
    <m/>
  </r>
  <r>
    <x v="20"/>
    <x v="0"/>
    <s v="\\192.168.24.208\images\R&amp;D\Coralie\Triphenylphosphate\2021-CHG-CBA-TRIPHENYLP\plaque 2/@08 TRIPHENYLP 0.59 + TESTO/A8_02.tif "/>
    <s v=" 43692.3872 "/>
    <s v=" 90.995 "/>
    <x v="1"/>
    <n v="3975791"/>
    <m/>
    <m/>
    <m/>
  </r>
  <r>
    <x v="20"/>
    <x v="0"/>
    <s v="\\192.168.24.208\images\R&amp;D\Coralie\Triphenylphosphate\2021-CHG-CBA-TRIPHENYLP\plaque 2/@08 TRIPHENYLP 0.59 + TESTO/A8_03.tif "/>
    <s v=" 44622.4726 "/>
    <s v=" 84.7615 "/>
    <x v="1"/>
    <n v="3782268"/>
    <m/>
    <m/>
    <m/>
  </r>
  <r>
    <x v="20"/>
    <x v="1"/>
    <s v="\\192.168.24.208\images\R&amp;D\Coralie\Triphenylphosphate\2021-CHG-CBA-TRIPHENYLP\plaque 2/@08 TRIPHENYLP 0.59 + TESTO/B8_01.tif "/>
    <s v=" 80722.7668 "/>
    <s v=" 85.8229 "/>
    <x v="1"/>
    <n v="6927861"/>
    <m/>
    <m/>
    <m/>
  </r>
  <r>
    <x v="20"/>
    <x v="1"/>
    <s v="\\192.168.24.208\images\R&amp;D\Coralie\Triphenylphosphate\2021-CHG-CBA-TRIPHENYLP\plaque 2/@08 TRIPHENYLP 0.59 + TESTO/B8_02.tif "/>
    <s v=" 78711.1866 "/>
    <s v=" 86.8549 "/>
    <x v="1"/>
    <n v="6836453"/>
    <m/>
    <m/>
    <m/>
  </r>
  <r>
    <x v="20"/>
    <x v="1"/>
    <s v="\\192.168.24.208\images\R&amp;D\Coralie\Triphenylphosphate\2021-CHG-CBA-TRIPHENYLP\plaque 2/@08 TRIPHENYLP 0.59 + TESTO/B8_03.tif "/>
    <s v=" 70491.8266 "/>
    <s v=" 84.348 "/>
    <x v="1"/>
    <n v="5945842"/>
    <m/>
    <m/>
    <m/>
  </r>
  <r>
    <x v="20"/>
    <x v="2"/>
    <s v="\\192.168.24.208\images\R&amp;D\Coralie\Triphenylphosphate\2021-CHG-CBA-TRIPHENYLP\plaque 2/@08 TRIPHENYLP 0.59 + TESTO/C8_01.tif "/>
    <s v=" 55783.4982 "/>
    <s v=" 79.938 "/>
    <x v="1"/>
    <n v="4459219"/>
    <m/>
    <m/>
    <m/>
  </r>
  <r>
    <x v="20"/>
    <x v="2"/>
    <s v="\\192.168.24.208\images\R&amp;D\Coralie\Triphenylphosphate\2021-CHG-CBA-TRIPHENYLP\plaque 2/@08 TRIPHENYLP 0.59 + TESTO/C8_02.tif "/>
    <s v=" 58335.8258 "/>
    <s v=" 82.8977 "/>
    <x v="1"/>
    <n v="4835904"/>
    <m/>
    <m/>
    <m/>
  </r>
  <r>
    <x v="20"/>
    <x v="2"/>
    <s v="\\192.168.24.208\images\R&amp;D\Coralie\Triphenylphosphate\2021-CHG-CBA-TRIPHENYLP\plaque 2/@08 TRIPHENYLP 0.59 + TESTO/C8_03.tif "/>
    <s v=" 54918.3025 "/>
    <s v=" 81.948 "/>
    <x v="1"/>
    <n v="4500446"/>
    <m/>
    <m/>
    <m/>
  </r>
  <r>
    <x v="20"/>
    <x v="3"/>
    <s v="\\192.168.24.208\images\R&amp;D\Coralie\Triphenylphosphate\2021-CHG-CBA-TRIPHENYLP\plaque 2/@08 TRIPHENYLP 0.59 + TESTO/D8_01.tif "/>
    <s v=" 39301.5185 "/>
    <s v=" 86.6004 "/>
    <x v="1"/>
    <n v="3403529"/>
    <m/>
    <m/>
    <m/>
  </r>
  <r>
    <x v="20"/>
    <x v="3"/>
    <s v="\\192.168.24.208\images\R&amp;D\Coralie\Triphenylphosphate\2021-CHG-CBA-TRIPHENYLP\plaque 2/@08 TRIPHENYLP 0.59 + TESTO/D8_02.tif "/>
    <s v=" 41118.4297 "/>
    <s v=" 87.8033 "/>
    <x v="1"/>
    <n v="3610332"/>
    <m/>
    <m/>
    <m/>
  </r>
  <r>
    <x v="20"/>
    <x v="3"/>
    <s v="\\192.168.24.208\images\R&amp;D\Coralie\Triphenylphosphate\2021-CHG-CBA-TRIPHENYLP\plaque 2/@08 TRIPHENYLP 0.59 + TESTO/D8_03.tif "/>
    <s v=" 40988.6503 "/>
    <s v=" 87.4929 "/>
    <x v="1"/>
    <n v="3586215"/>
    <m/>
    <m/>
    <m/>
  </r>
  <r>
    <x v="20"/>
    <x v="4"/>
    <s v="\\192.168.24.208\images\R&amp;D\Coralie\Triphenylphosphate\2021-CHG-CBA-TRIPHENYLP\plaque 2/@08 TRIPHENYLP 0.59 + TESTO/E8_01.tif "/>
    <s v=" 47369.4692 "/>
    <s v=" 70.1516 "/>
    <x v="1"/>
    <n v="3323044"/>
    <m/>
    <m/>
    <m/>
  </r>
  <r>
    <x v="20"/>
    <x v="4"/>
    <s v="\\192.168.24.208\images\R&amp;D\Coralie\Triphenylphosphate\2021-CHG-CBA-TRIPHENYLP\plaque 2/@08 TRIPHENYLP 0.59 + TESTO/E8_02.tif "/>
    <s v=" 56389.1353 "/>
    <s v=" 76.5432 "/>
    <x v="1"/>
    <n v="4316202"/>
    <m/>
    <m/>
    <m/>
  </r>
  <r>
    <x v="20"/>
    <x v="4"/>
    <s v="\\192.168.24.208\images\R&amp;D\Coralie\Triphenylphosphate\2021-CHG-CBA-TRIPHENYLP\plaque 2/@08 TRIPHENYLP 0.59 + TESTO/E8_03.tif "/>
    <s v=" 52409.2347 "/>
    <s v=" 74.9175 "/>
    <x v="1"/>
    <n v="3926367"/>
    <m/>
    <m/>
    <m/>
  </r>
  <r>
    <x v="20"/>
    <x v="5"/>
    <s v="\\192.168.24.208\images\R&amp;D\Coralie\Triphenylphosphate\2021-CHG-CBA-TRIPHENYLP\plaque 2/@08 TRIPHENYLP 0.59 + TESTO/F8_01.tif "/>
    <s v=" 30627.9308 "/>
    <s v=" 79.0664 "/>
    <x v="1"/>
    <n v="2421640"/>
    <m/>
    <m/>
    <m/>
  </r>
  <r>
    <x v="20"/>
    <x v="5"/>
    <s v="\\192.168.24.208\images\R&amp;D\Coralie\Triphenylphosphate\2021-CHG-CBA-TRIPHENYLP\plaque 2/@08 TRIPHENYLP 0.59 + TESTO/F8_02.tif "/>
    <s v=" 35170.2087 "/>
    <s v=" 78.7817 "/>
    <x v="1"/>
    <n v="2770768"/>
    <m/>
    <m/>
    <m/>
  </r>
  <r>
    <x v="20"/>
    <x v="5"/>
    <s v="\\192.168.24.208\images\R&amp;D\Coralie\Triphenylphosphate\2021-CHG-CBA-TRIPHENYLP\plaque 2/@08 TRIPHENYLP 0.59 + TESTO/F8_03.tif "/>
    <s v=" 42026.8853 "/>
    <s v=" 75.8286 "/>
    <x v="1"/>
    <n v="3186841"/>
    <m/>
    <m/>
    <m/>
  </r>
  <r>
    <x v="20"/>
    <x v="6"/>
    <s v="\\192.168.24.208\images\R&amp;D\Coralie\Triphenylphosphate\2021-CHG-CBA-TRIPHENYLP\plaque 2/@08 TRIPHENYLP 0.59 + TESTO/G8_01.tif "/>
    <s v=" 59547.0999 "/>
    <s v=" 83.1104 "/>
    <x v="1"/>
    <n v="4948985"/>
    <m/>
    <m/>
    <m/>
  </r>
  <r>
    <x v="20"/>
    <x v="6"/>
    <s v="\\192.168.24.208\images\R&amp;D\Coralie\Triphenylphosphate\2021-CHG-CBA-TRIPHENYLP\plaque 2/@08 TRIPHENYLP 0.59 + TESTO/G8_02- exclu.tif"/>
    <m/>
    <m/>
    <x v="0"/>
    <m/>
    <m/>
    <m/>
    <m/>
  </r>
  <r>
    <x v="20"/>
    <x v="6"/>
    <s v="\\192.168.24.208\images\R&amp;D\Coralie\Triphenylphosphate\2021-CHG-CBA-TRIPHENYLP\plaque 2/@08 TRIPHENYLP 0.59 + TESTO/G8_03- exclu.tif"/>
    <m/>
    <m/>
    <x v="0"/>
    <m/>
    <m/>
    <m/>
    <m/>
  </r>
  <r>
    <x v="20"/>
    <x v="7"/>
    <s v="\\192.168.24.208\images\R&amp;D\Coralie\Triphenylphosphate\2021-CHG-CBA-TRIPHENYLP\plaque 2/@08 TRIPHENYLP 0.59 + TESTO/H8_01.tif "/>
    <s v=" 59114.502 "/>
    <s v=" 90.2038 "/>
    <x v="1"/>
    <n v="5332353"/>
    <m/>
    <m/>
    <m/>
  </r>
  <r>
    <x v="20"/>
    <x v="7"/>
    <s v="\\192.168.24.208\images\R&amp;D\Coralie\Triphenylphosphate\2021-CHG-CBA-TRIPHENYLP\plaque 2/@08 TRIPHENYLP 0.59 + TESTO/H8_02.tif "/>
    <s v=" 52387.6048 "/>
    <s v=" 93.9595 "/>
    <x v="1"/>
    <n v="4922315"/>
    <m/>
    <m/>
    <m/>
  </r>
  <r>
    <x v="20"/>
    <x v="7"/>
    <s v="\\192.168.24.208\images\R&amp;D\Coralie\Triphenylphosphate\2021-CHG-CBA-TRIPHENYLP\plaque 2/@08 TRIPHENYLP 0.59 + TESTO/H8_03.tif "/>
    <s v=" 62878.1037 "/>
    <s v=" 88.4744 "/>
    <x v="1"/>
    <n v="5563101"/>
    <m/>
    <m/>
    <m/>
  </r>
  <r>
    <x v="1"/>
    <x v="8"/>
    <s v=" "/>
    <m/>
    <m/>
    <x v="0"/>
    <m/>
    <m/>
    <m/>
    <m/>
  </r>
  <r>
    <x v="1"/>
    <x v="8"/>
    <s v="group "/>
    <s v=" "/>
    <s v=" mean of mean fluo "/>
    <x v="2"/>
    <s v=" mean of total fluo "/>
    <s v=" SD total fluo "/>
    <s v=" n fluorescent "/>
    <s v=" n total"/>
  </r>
  <r>
    <x v="20"/>
    <x v="9"/>
    <s v="\\192.168.24.208\images\R&amp;D\Coralie\Triphenylphosphate\2021-CHG-CBA-TRIPHENYLP\plaque 2/@08 TRIPHENYLP 0.59 + TESTO/ "/>
    <s v=" "/>
    <s v=" 83.6966 "/>
    <x v="22"/>
    <s v=" 4203456.5 "/>
    <s v=" 1292520.1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1"/>
    <x v="0"/>
    <s v="\\192.168.24.208\images\R&amp;D\Coralie\Triphenylphosphate\2021-CHG-CBA-TRIPHENYLP\plaque 2/@09 TRIPHENYLP 0.89 + TESTO/A9_01- exclu.tif"/>
    <m/>
    <m/>
    <x v="0"/>
    <m/>
    <m/>
    <m/>
    <m/>
  </r>
  <r>
    <x v="21"/>
    <x v="0"/>
    <s v="\\192.168.24.208\images\R&amp;D\Coralie\Triphenylphosphate\2021-CHG-CBA-TRIPHENYLP\plaque 2/@09 TRIPHENYLP 0.89 + TESTO/A9_02.tif "/>
    <s v=" 75250.4034 "/>
    <s v=" 83.7807 "/>
    <x v="1"/>
    <n v="6304530"/>
    <m/>
    <m/>
    <m/>
  </r>
  <r>
    <x v="21"/>
    <x v="0"/>
    <s v="\\192.168.24.208\images\R&amp;D\Coralie\Triphenylphosphate\2021-CHG-CBA-TRIPHENYLP\plaque 2/@09 TRIPHENYLP 0.89 + TESTO/A9_03.tif "/>
    <s v=" 65365.5416 "/>
    <s v=" 82.3117 "/>
    <x v="1"/>
    <n v="5380350"/>
    <m/>
    <m/>
    <m/>
  </r>
  <r>
    <x v="21"/>
    <x v="1"/>
    <s v="\\192.168.24.208\images\R&amp;D\Coralie\Triphenylphosphate\2021-CHG-CBA-TRIPHENYLP\plaque 2/@09 TRIPHENYLP 0.89 + TESTO/B9_01- exclu.tif"/>
    <m/>
    <m/>
    <x v="0"/>
    <m/>
    <m/>
    <m/>
    <m/>
  </r>
  <r>
    <x v="21"/>
    <x v="1"/>
    <s v="\\192.168.24.208\images\R&amp;D\Coralie\Triphenylphosphate\2021-CHG-CBA-TRIPHENYLP\plaque 2/@09 TRIPHENYLP 0.89 + TESTO/B9_02- exclu.tif"/>
    <m/>
    <m/>
    <x v="0"/>
    <m/>
    <m/>
    <m/>
    <m/>
  </r>
  <r>
    <x v="21"/>
    <x v="1"/>
    <s v="\\192.168.24.208\images\R&amp;D\Coralie\Triphenylphosphate\2021-CHG-CBA-TRIPHENYLP\plaque 2/@09 TRIPHENYLP 0.89 + TESTO/B9_03.tif "/>
    <s v=" 38025.3548 "/>
    <s v=" 88.876 "/>
    <x v="1"/>
    <n v="3379541"/>
    <m/>
    <m/>
    <m/>
  </r>
  <r>
    <x v="21"/>
    <x v="2"/>
    <s v="\\192.168.24.208\images\R&amp;D\Coralie\Triphenylphosphate\2021-CHG-CBA-TRIPHENYLP\plaque 2/@09 TRIPHENYLP 0.89 + TESTO/C9_01.tif "/>
    <s v=" 70362.0472 "/>
    <s v=" 93.79 "/>
    <x v="1"/>
    <n v="6599259"/>
    <m/>
    <m/>
    <m/>
  </r>
  <r>
    <x v="21"/>
    <x v="2"/>
    <s v="\\192.168.24.208\images\R&amp;D\Coralie\Triphenylphosphate\2021-CHG-CBA-TRIPHENYLP\plaque 2/@09 TRIPHENYLP 0.89 + TESTO/C9_02.tif "/>
    <s v=" 77175.464 "/>
    <s v=" 94.3543 "/>
    <x v="1"/>
    <n v="7281834"/>
    <m/>
    <m/>
    <m/>
  </r>
  <r>
    <x v="21"/>
    <x v="2"/>
    <s v="\\192.168.24.208\images\R&amp;D\Coralie\Triphenylphosphate\2021-CHG-CBA-TRIPHENYLP\plaque 2/@09 TRIPHENYLP 0.89 + TESTO/C9_03.tif "/>
    <s v=" 68177.4279 "/>
    <s v=" 94.7389 "/>
    <x v="1"/>
    <n v="6459054"/>
    <m/>
    <m/>
    <m/>
  </r>
  <r>
    <x v="21"/>
    <x v="3"/>
    <s v="\\192.168.24.208\images\R&amp;D\Coralie\Triphenylphosphate\2021-CHG-CBA-TRIPHENYLP\plaque 2/@09 TRIPHENYLP 0.89 + TESTO/D9_01.tif "/>
    <s v=" 66100.958 "/>
    <s v=" 93.9526 "/>
    <x v="1"/>
    <n v="6210354"/>
    <m/>
    <m/>
    <m/>
  </r>
  <r>
    <x v="21"/>
    <x v="3"/>
    <s v="\\192.168.24.208\images\R&amp;D\Coralie\Triphenylphosphate\2021-CHG-CBA-TRIPHENYLP\plaque 2/@09 TRIPHENYLP 0.89 + TESTO/D9_02- exclu.tif"/>
    <m/>
    <m/>
    <x v="0"/>
    <m/>
    <m/>
    <m/>
    <m/>
  </r>
  <r>
    <x v="21"/>
    <x v="3"/>
    <s v="\\192.168.24.208\images\R&amp;D\Coralie\Triphenylphosphate\2021-CHG-CBA-TRIPHENYLP\plaque 2/@09 TRIPHENYLP 0.89 + TESTO/D9_03.tif "/>
    <s v=" 74601.5066 "/>
    <s v=" 88.1586 "/>
    <x v="1"/>
    <n v="6576764"/>
    <m/>
    <m/>
    <m/>
  </r>
  <r>
    <x v="21"/>
    <x v="4"/>
    <s v="\\192.168.24.208\images\R&amp;D\Coralie\Triphenylphosphate\2021-CHG-CBA-TRIPHENYLP\plaque 2/@09 TRIPHENYLP 0.89 + TESTO/E9_01.tif "/>
    <s v=" 37938.8352 "/>
    <s v=" 88.6853 "/>
    <x v="1"/>
    <n v="3364617"/>
    <m/>
    <m/>
    <m/>
  </r>
  <r>
    <x v="21"/>
    <x v="4"/>
    <s v="\\192.168.24.208\images\R&amp;D\Coralie\Triphenylphosphate\2021-CHG-CBA-TRIPHENYLP\plaque 2/@09 TRIPHENYLP 0.89 + TESTO/E9_02.tif "/>
    <s v=" 42524.3728 "/>
    <s v=" 88.3001 "/>
    <x v="1"/>
    <n v="3754906"/>
    <m/>
    <m/>
    <m/>
  </r>
  <r>
    <x v="21"/>
    <x v="4"/>
    <s v="\\192.168.24.208\images\R&amp;D\Coralie\Triphenylphosphate\2021-CHG-CBA-TRIPHENYLP\plaque 2/@09 TRIPHENYLP 0.89 + TESTO/E9_03.tif "/>
    <s v=" 36987.1198 "/>
    <s v=" 89.438 "/>
    <x v="1"/>
    <n v="3308054"/>
    <m/>
    <m/>
    <m/>
  </r>
  <r>
    <x v="21"/>
    <x v="5"/>
    <s v="\\192.168.24.208\images\R&amp;D\Coralie\Triphenylphosphate\2021-CHG-CBA-TRIPHENYLP\plaque 2/@09 TRIPHENYLP 0.89 + TESTO/F9_01.tif "/>
    <s v=" 46936.8713 "/>
    <s v=" 103.5654 "/>
    <x v="1"/>
    <n v="4861038"/>
    <m/>
    <m/>
    <m/>
  </r>
  <r>
    <x v="21"/>
    <x v="5"/>
    <s v="\\192.168.24.208\images\R&amp;D\Coralie\Triphenylphosphate\2021-CHG-CBA-TRIPHENYLP\plaque 2/@09 TRIPHENYLP 0.89 + TESTO/F9_02.tif "/>
    <s v=" 65819.7694 "/>
    <s v=" 96.0664 "/>
    <x v="1"/>
    <n v="6323067"/>
    <m/>
    <m/>
    <m/>
  </r>
  <r>
    <x v="21"/>
    <x v="5"/>
    <s v="\\192.168.24.208\images\R&amp;D\Coralie\Triphenylphosphate\2021-CHG-CBA-TRIPHENYLP\plaque 2/@09 TRIPHENYLP 0.89 + TESTO/F9_03.tif "/>
    <s v=" 57211.0713 "/>
    <s v=" 95.9391 "/>
    <x v="1"/>
    <n v="5488780"/>
    <m/>
    <m/>
    <m/>
  </r>
  <r>
    <x v="21"/>
    <x v="6"/>
    <s v="\\192.168.24.208\images\R&amp;D\Coralie\Triphenylphosphate\2021-CHG-CBA-TRIPHENYLP\plaque 2/@09 TRIPHENYLP 0.89 + TESTO/G9_01.tif "/>
    <s v=" 59265.9113 "/>
    <s v=" 83.5474 "/>
    <x v="1"/>
    <n v="4951515"/>
    <m/>
    <m/>
    <m/>
  </r>
  <r>
    <x v="21"/>
    <x v="6"/>
    <s v="\\192.168.24.208\images\R&amp;D\Coralie\Triphenylphosphate\2021-CHG-CBA-TRIPHENYLP\plaque 2/@09 TRIPHENYLP 0.89 + TESTO/G9_02.tif "/>
    <s v=" 57686.929 "/>
    <s v=" 78.3622 "/>
    <x v="1"/>
    <n v="4520475"/>
    <m/>
    <m/>
    <m/>
  </r>
  <r>
    <x v="21"/>
    <x v="6"/>
    <s v="\\192.168.24.208\images\R&amp;D\Coralie\Triphenylphosphate\2021-CHG-CBA-TRIPHENYLP\plaque 2/@09 TRIPHENYLP 0.89 + TESTO/G9_03.tif "/>
    <s v=" 56151.2065 "/>
    <s v=" 84.0358 "/>
    <x v="1"/>
    <n v="4718713"/>
    <m/>
    <m/>
    <m/>
  </r>
  <r>
    <x v="21"/>
    <x v="7"/>
    <s v="\\192.168.24.208\images\R&amp;D\Coralie\Triphenylphosphate\2021-CHG-CBA-TRIPHENYLP\plaque 2/@09 TRIPHENYLP 0.89 + TESTO/H9_01- exclu.tif"/>
    <m/>
    <m/>
    <x v="0"/>
    <m/>
    <m/>
    <m/>
    <m/>
  </r>
  <r>
    <x v="21"/>
    <x v="7"/>
    <s v="\\192.168.24.208\images\R&amp;D\Coralie\Triphenylphosphate\2021-CHG-CBA-TRIPHENYLP\plaque 2/@09 TRIPHENYLP 0.89 + TESTO/H9_02.tif "/>
    <s v=" 48126.5155 "/>
    <s v=" 99.9402 "/>
    <x v="1"/>
    <n v="4809775"/>
    <m/>
    <m/>
    <m/>
  </r>
  <r>
    <x v="21"/>
    <x v="7"/>
    <s v="\\192.168.24.208\images\R&amp;D\Coralie\Triphenylphosphate\2021-CHG-CBA-TRIPHENYLP\plaque 2/@09 TRIPHENYLP 0.89 + TESTO/H9_03.tif "/>
    <s v=" 45855.3766 "/>
    <s v=" 98.9835 "/>
    <x v="1"/>
    <n v="4538925"/>
    <m/>
    <m/>
    <m/>
  </r>
  <r>
    <x v="1"/>
    <x v="8"/>
    <s v=" "/>
    <m/>
    <m/>
    <x v="0"/>
    <m/>
    <m/>
    <m/>
    <m/>
  </r>
  <r>
    <x v="1"/>
    <x v="8"/>
    <s v="group "/>
    <s v=" "/>
    <s v=" mean of mean fluo "/>
    <x v="2"/>
    <s v=" mean of total fluo "/>
    <s v=" SD total fluo "/>
    <s v=" n fluorescent "/>
    <s v=" n total"/>
  </r>
  <r>
    <x v="21"/>
    <x v="9"/>
    <s v="\\192.168.24.208\images\R&amp;D\Coralie\Triphenylphosphate\2021-CHG-CBA-TRIPHENYLP\plaque 2/@09 TRIPHENYLP 0.89 + TESTO/ "/>
    <s v=" "/>
    <s v=" 87.6335 "/>
    <x v="23"/>
    <s v=" 4549964.5 "/>
    <s v=" 1815590.56 "/>
    <n v="24"/>
    <n v="24"/>
  </r>
  <r>
    <x v="1"/>
    <x v="8"/>
    <s v=" "/>
    <m/>
    <m/>
    <x v="0"/>
    <m/>
    <m/>
    <m/>
    <m/>
  </r>
  <r>
    <x v="1"/>
    <x v="8"/>
    <s v=" "/>
    <m/>
    <m/>
    <x v="0"/>
    <m/>
    <m/>
    <m/>
    <m/>
  </r>
  <r>
    <x v="1"/>
    <x v="8"/>
    <s v=" "/>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192.168.24.208\images\R&amp;D\Coralie\Triphenylphosphate\2021-CHG-CBA-TRIPHENYLP 2\plaque 1/@01 TS/A1_01- exclu.tif"/>
    <m/>
    <m/>
    <x v="0"/>
    <m/>
    <m/>
    <m/>
    <m/>
  </r>
  <r>
    <x v="0"/>
    <x v="0"/>
    <s v="\\192.168.24.208\images\R&amp;D\Coralie\Triphenylphosphate\2021-CHG-CBA-TRIPHENYLP 2\plaque 1/@01 TS/A1_02.tif "/>
    <s v=" 519.1175 "/>
    <s v=" 63.9583 "/>
    <x v="1"/>
    <n v="33202"/>
    <m/>
    <m/>
    <m/>
  </r>
  <r>
    <x v="0"/>
    <x v="0"/>
    <s v="\\192.168.24.208\images\R&amp;D\Coralie\Triphenylphosphate\2021-CHG-CBA-TRIPHENYLP 2\plaque 1/@01 TS/A1_03- exclu.tif"/>
    <m/>
    <m/>
    <x v="0"/>
    <m/>
    <m/>
    <m/>
    <m/>
  </r>
  <r>
    <x v="0"/>
    <x v="1"/>
    <s v="\\192.168.24.208\images\R&amp;D\Coralie\Triphenylphosphate\2021-CHG-CBA-TRIPHENYLP 2\plaque 1/@01 TS/B1_01.tif "/>
    <s v=" 7051.3456 "/>
    <s v=" 73.2822 "/>
    <x v="1"/>
    <n v="516738"/>
    <m/>
    <m/>
    <m/>
  </r>
  <r>
    <x v="0"/>
    <x v="1"/>
    <s v="\\192.168.24.208\images\R&amp;D\Coralie\Triphenylphosphate\2021-CHG-CBA-TRIPHENYLP 2\plaque 1/@01 TS/B1_02.tif "/>
    <s v=" 5407.4737 "/>
    <s v=" 70.388 "/>
    <x v="1"/>
    <n v="380621"/>
    <m/>
    <m/>
    <m/>
  </r>
  <r>
    <x v="0"/>
    <x v="1"/>
    <s v="\\192.168.24.208\images\R&amp;D\Coralie\Triphenylphosphate\2021-CHG-CBA-TRIPHENYLP 2\plaque 1/@01 TS/B1_03.tif "/>
    <s v=" 5493.9932 "/>
    <s v=" 69.0866 "/>
    <x v="1"/>
    <n v="379561"/>
    <m/>
    <m/>
    <m/>
  </r>
  <r>
    <x v="0"/>
    <x v="2"/>
    <s v="\\192.168.24.208\images\R&amp;D\Coralie\Triphenylphosphate\2021-CHG-CBA-TRIPHENYLP 2\plaque 1/@01 TS/C1_01.tif "/>
    <s v=" 4672.0572 "/>
    <s v=" 66.7315 "/>
    <x v="1"/>
    <n v="311773"/>
    <m/>
    <m/>
    <m/>
  </r>
  <r>
    <x v="0"/>
    <x v="2"/>
    <s v="\\192.168.24.208\images\R&amp;D\Coralie\Triphenylphosphate\2021-CHG-CBA-TRIPHENYLP 2\plaque 1/@01 TS/C1_02.tif "/>
    <s v=" 3936.6408 "/>
    <s v=" 66.011 "/>
    <x v="1"/>
    <n v="259862"/>
    <m/>
    <m/>
    <m/>
  </r>
  <r>
    <x v="0"/>
    <x v="2"/>
    <s v="\\192.168.24.208\images\R&amp;D\Coralie\Triphenylphosphate\2021-CHG-CBA-TRIPHENYLP 2\plaque 1/@01 TS/C1_03- exclu.tif"/>
    <m/>
    <m/>
    <x v="0"/>
    <m/>
    <m/>
    <m/>
    <m/>
  </r>
  <r>
    <x v="0"/>
    <x v="3"/>
    <s v="\\192.168.24.208\images\R&amp;D\Coralie\Triphenylphosphate\2021-CHG-CBA-TRIPHENYLP 2\plaque 1/@01 TS/D1_01.tif "/>
    <s v=" 10144.4206 "/>
    <s v=" 67.6397 "/>
    <x v="1"/>
    <n v="686165"/>
    <m/>
    <m/>
    <m/>
  </r>
  <r>
    <x v="0"/>
    <x v="3"/>
    <s v="\\192.168.24.208\images\R&amp;D\Coralie\Triphenylphosphate\2021-CHG-CBA-TRIPHENYLP 2\plaque 1/@01 TS/D1_02.tif "/>
    <s v=" 4477.3882 "/>
    <s v=" 64.6425 "/>
    <x v="1"/>
    <n v="289430"/>
    <m/>
    <m/>
    <m/>
  </r>
  <r>
    <x v="0"/>
    <x v="3"/>
    <s v="\\192.168.24.208\images\R&amp;D\Coralie\Triphenylphosphate\2021-CHG-CBA-TRIPHENYLP 2\plaque 1/@01 TS/D1_03.tif "/>
    <s v=" 7137.8652 "/>
    <s v=" 65.0242 "/>
    <x v="1"/>
    <n v="464134"/>
    <m/>
    <m/>
    <m/>
  </r>
  <r>
    <x v="0"/>
    <x v="4"/>
    <s v="\\192.168.24.208\images\R&amp;D\Coralie\Triphenylphosphate\2021-CHG-CBA-TRIPHENYLP 2\plaque 1/@01 TS/E1_01.tif "/>
    <s v=" 3179.5945 "/>
    <s v=" 65.8435 "/>
    <x v="1"/>
    <n v="209356"/>
    <m/>
    <m/>
    <m/>
  </r>
  <r>
    <x v="0"/>
    <x v="4"/>
    <s v="\\192.168.24.208\images\R&amp;D\Coralie\Triphenylphosphate\2021-CHG-CBA-TRIPHENYLP 2\plaque 1/@01 TS/E1_02.tif "/>
    <s v=" 2552.3276 "/>
    <s v=" 68.4915 "/>
    <x v="1"/>
    <n v="174813"/>
    <m/>
    <m/>
    <m/>
  </r>
  <r>
    <x v="0"/>
    <x v="4"/>
    <s v="\\192.168.24.208\images\R&amp;D\Coralie\Triphenylphosphate\2021-CHG-CBA-TRIPHENYLP 2\plaque 1/@01 TS/E1_03.tif "/>
    <s v=" 1946.6905 "/>
    <s v=" 64.4556 "/>
    <x v="1"/>
    <n v="125475"/>
    <m/>
    <m/>
    <m/>
  </r>
  <r>
    <x v="0"/>
    <x v="5"/>
    <s v="\\192.168.24.208\images\R&amp;D\Coralie\Triphenylphosphate\2021-CHG-CBA-TRIPHENYLP 2\plaque 1/@01 TS/F1_01.tif "/>
    <s v=" 1405.9432 "/>
    <s v=" 62.5385 "/>
    <x v="1"/>
    <n v="87926"/>
    <m/>
    <m/>
    <m/>
  </r>
  <r>
    <x v="0"/>
    <x v="5"/>
    <s v="\\192.168.24.208\images\R&amp;D\Coralie\Triphenylphosphate\2021-CHG-CBA-TRIPHENYLP 2\plaque 1/@01 TS/F1_02.tif "/>
    <s v=" 1449.2029 "/>
    <s v=" 66.3433 "/>
    <x v="1"/>
    <n v="96145"/>
    <m/>
    <m/>
    <m/>
  </r>
  <r>
    <x v="0"/>
    <x v="5"/>
    <s v="\\192.168.24.208\images\R&amp;D\Coralie\Triphenylphosphate\2021-CHG-CBA-TRIPHENYLP 2\plaque 1/@01 TS/F1_03.tif "/>
    <s v=" 2249.509 "/>
    <s v=" 64.9038 "/>
    <x v="1"/>
    <n v="146002"/>
    <m/>
    <m/>
    <m/>
  </r>
  <r>
    <x v="0"/>
    <x v="6"/>
    <s v="\\192.168.24.208\images\R&amp;D\Coralie\Triphenylphosphate\2021-CHG-CBA-TRIPHENYLP 2\plaque 1/@01 TS/G1_01.tif "/>
    <s v=" 5256.0644 "/>
    <s v=" 78.9877 "/>
    <x v="1"/>
    <n v="415164"/>
    <m/>
    <m/>
    <m/>
  </r>
  <r>
    <x v="0"/>
    <x v="6"/>
    <s v="\\192.168.24.208\images\R&amp;D\Coralie\Triphenylphosphate\2021-CHG-CBA-TRIPHENYLP 2\plaque 1/@01 TS/G1_02.tif "/>
    <s v=" 3049.8151 "/>
    <s v=" 66.2128 "/>
    <x v="1"/>
    <n v="201937"/>
    <m/>
    <m/>
    <m/>
  </r>
  <r>
    <x v="0"/>
    <x v="6"/>
    <s v="\\192.168.24.208\images\R&amp;D\Coralie\Triphenylphosphate\2021-CHG-CBA-TRIPHENYLP 2\plaque 1/@01 TS/G1_03.tif "/>
    <s v=" 800.3061 "/>
    <s v=" 63.7568 "/>
    <x v="1"/>
    <n v="51025"/>
    <m/>
    <m/>
    <m/>
  </r>
  <r>
    <x v="0"/>
    <x v="7"/>
    <s v="\\192.168.24.208\images\R&amp;D\Coralie\Triphenylphosphate\2021-CHG-CBA-TRIPHENYLP 2\plaque 1/@01 TS/H1_01.tif "/>
    <s v=" 6813.4168 "/>
    <s v=" 70.8476 "/>
    <x v="1"/>
    <n v="482714"/>
    <m/>
    <m/>
    <m/>
  </r>
  <r>
    <x v="0"/>
    <x v="7"/>
    <s v="\\192.168.24.208\images\R&amp;D\Coralie\Triphenylphosphate\2021-CHG-CBA-TRIPHENYLP 2\plaque 1/@01 TS/H1_02- exclu.tif"/>
    <m/>
    <m/>
    <x v="0"/>
    <m/>
    <m/>
    <m/>
    <m/>
  </r>
  <r>
    <x v="0"/>
    <x v="7"/>
    <s v="\\192.168.24.208\images\R&amp;D\Coralie\Triphenylphosphate\2021-CHG-CBA-TRIPHENYLP 2\plaque 1/@01 TS/H1_03.tif "/>
    <s v=" 5256.0644 "/>
    <s v=" 69.9095 "/>
    <x v="1"/>
    <n v="367449"/>
    <m/>
    <m/>
    <m/>
  </r>
  <r>
    <x v="1"/>
    <x v="8"/>
    <s v=" "/>
    <m/>
    <m/>
    <x v="0"/>
    <m/>
    <m/>
    <m/>
    <m/>
  </r>
  <r>
    <x v="1"/>
    <x v="8"/>
    <s v="group "/>
    <s v=" "/>
    <s v=" mean of mean fluo "/>
    <x v="2"/>
    <s v=" mean of total fluo "/>
    <s v=" SD total fluo "/>
    <s v=" n fluorescent "/>
    <s v=" n total"/>
  </r>
  <r>
    <x v="0"/>
    <x v="9"/>
    <s v="\\192.168.24.208\images\R&amp;D\Coralie\Triphenylphosphate\2021-CHG-CBA-TRIPHENYLP 2\plaque 1/@01 TS/ "/>
    <s v=" "/>
    <s v=" 66.9518 "/>
    <x v="3"/>
    <s v=" 244009.542 "/>
    <s v=" 185008.0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
    <x v="0"/>
    <s v="\\192.168.24.208\images\R&amp;D\Coralie\Triphenylphosphate\2021-CHG-CBA-TRIPHENYLP 2\plaque 1/@02 EE2 34/A2_01.tif "/>
    <s v=" 2638.8471 "/>
    <s v=" 64.7623 "/>
    <x v="1"/>
    <n v="170898"/>
    <m/>
    <m/>
    <m/>
  </r>
  <r>
    <x v="2"/>
    <x v="0"/>
    <s v="\\192.168.24.208\images\R&amp;D\Coralie\Triphenylphosphate\2021-CHG-CBA-TRIPHENYLP 2\plaque 1/@02 EE2 34/A2_02- exclu.tif"/>
    <m/>
    <m/>
    <x v="0"/>
    <m/>
    <m/>
    <m/>
    <m/>
  </r>
  <r>
    <x v="2"/>
    <x v="0"/>
    <s v="\\192.168.24.208\images\R&amp;D\Coralie\Triphenylphosphate\2021-CHG-CBA-TRIPHENYLP 2\plaque 1/@02 EE2 34/A2_03- exclu.tif"/>
    <m/>
    <m/>
    <x v="0"/>
    <m/>
    <m/>
    <m/>
    <m/>
  </r>
  <r>
    <x v="2"/>
    <x v="1"/>
    <s v="\\192.168.24.208\images\R&amp;D\Coralie\Triphenylphosphate\2021-CHG-CBA-TRIPHENYLP 2\plaque 1/@02 EE2 34/B2_01.tif "/>
    <s v=" 1925.0606 "/>
    <s v=" 64.1461 "/>
    <x v="1"/>
    <n v="123485"/>
    <m/>
    <m/>
    <m/>
  </r>
  <r>
    <x v="2"/>
    <x v="1"/>
    <s v="\\192.168.24.208\images\R&amp;D\Coralie\Triphenylphosphate\2021-CHG-CBA-TRIPHENYLP 2\plaque 1/@02 EE2 34/B2_02.tif "/>
    <s v=" 6488.9684 "/>
    <s v=" 75.1567 "/>
    <x v="1"/>
    <n v="487689"/>
    <m/>
    <m/>
    <m/>
  </r>
  <r>
    <x v="2"/>
    <x v="1"/>
    <s v="\\192.168.24.208\images\R&amp;D\Coralie\Triphenylphosphate\2021-CHG-CBA-TRIPHENYLP 2\plaque 1/@02 EE2 34/B2_03.tif "/>
    <s v=" 3157.9646 "/>
    <s v=" 64.6164 "/>
    <x v="1"/>
    <n v="204056"/>
    <m/>
    <m/>
    <m/>
  </r>
  <r>
    <x v="2"/>
    <x v="2"/>
    <s v="\\192.168.24.208\images\R&amp;D\Coralie\Triphenylphosphate\2021-CHG-CBA-TRIPHENYLP 2\plaque 1/@02 EE2 34/C2_01.tif "/>
    <s v=" 15573.5241 "/>
    <s v=" 65.625 "/>
    <x v="1"/>
    <n v="1022013"/>
    <m/>
    <m/>
    <m/>
  </r>
  <r>
    <x v="2"/>
    <x v="2"/>
    <s v="\\192.168.24.208\images\R&amp;D\Coralie\Triphenylphosphate\2021-CHG-CBA-TRIPHENYLP 2\plaque 1/@02 EE2 34/C2_02.tif "/>
    <s v=" 15703.3035 "/>
    <s v=" 66.1832 "/>
    <x v="1"/>
    <n v="1039295"/>
    <m/>
    <m/>
    <m/>
  </r>
  <r>
    <x v="2"/>
    <x v="2"/>
    <s v="\\192.168.24.208\images\R&amp;D\Coralie\Triphenylphosphate\2021-CHG-CBA-TRIPHENYLP 2\plaque 1/@02 EE2 34/C2_03.tif "/>
    <s v=" 11225.9153 "/>
    <s v=" 65.8767 "/>
    <x v="1"/>
    <n v="739526"/>
    <m/>
    <m/>
    <m/>
  </r>
  <r>
    <x v="2"/>
    <x v="3"/>
    <s v="\\192.168.24.208\images\R&amp;D\Coralie\Triphenylphosphate\2021-CHG-CBA-TRIPHENYLP 2\plaque 1/@02 EE2 34/D2_01.tif "/>
    <s v=" 1297.7937 "/>
    <s v=" 63.6833 "/>
    <x v="1"/>
    <n v="82648"/>
    <m/>
    <m/>
    <m/>
  </r>
  <r>
    <x v="2"/>
    <x v="3"/>
    <s v="\\192.168.24.208\images\R&amp;D\Coralie\Triphenylphosphate\2021-CHG-CBA-TRIPHENYLP 2\plaque 1/@02 EE2 34/D2_02.tif "/>
    <s v=" 1254.5339 "/>
    <s v=" 63.8103 "/>
    <x v="1"/>
    <n v="80052"/>
    <m/>
    <m/>
    <m/>
  </r>
  <r>
    <x v="2"/>
    <x v="3"/>
    <s v="\\192.168.24.208\images\R&amp;D\Coralie\Triphenylphosphate\2021-CHG-CBA-TRIPHENYLP 2\plaque 1/@02 EE2 34/D2_03.tif "/>
    <s v=" 1341.0535 "/>
    <s v=" 63.5161 "/>
    <x v="1"/>
    <n v="85179"/>
    <m/>
    <m/>
    <m/>
  </r>
  <r>
    <x v="2"/>
    <x v="4"/>
    <s v="\\192.168.24.208\images\R&amp;D\Coralie\Triphenylphosphate\2021-CHG-CBA-TRIPHENYLP 2\plaque 1/@02 EE2 34/E2_01.tif "/>
    <s v=" 4477.3882 "/>
    <s v=" 67.8213 "/>
    <x v="1"/>
    <n v="303662"/>
    <m/>
    <m/>
    <m/>
  </r>
  <r>
    <x v="2"/>
    <x v="4"/>
    <s v="\\192.168.24.208\images\R&amp;D\Coralie\Triphenylphosphate\2021-CHG-CBA-TRIPHENYLP 2\plaque 1/@02 EE2 34/E2_02.tif "/>
    <s v=" 5083.0252 "/>
    <s v=" 67.4298 "/>
    <x v="1"/>
    <n v="342747"/>
    <m/>
    <m/>
    <m/>
  </r>
  <r>
    <x v="2"/>
    <x v="4"/>
    <s v="\\192.168.24.208\images\R&amp;D\Coralie\Triphenylphosphate\2021-CHG-CBA-TRIPHENYLP 2\plaque 1/@02 EE2 34/E2_03.tif "/>
    <s v=" 1449.2029 "/>
    <s v=" 63.194 "/>
    <x v="1"/>
    <n v="91581"/>
    <m/>
    <m/>
    <m/>
  </r>
  <r>
    <x v="2"/>
    <x v="5"/>
    <s v="\\192.168.24.208\images\R&amp;D\Coralie\Triphenylphosphate\2021-CHG-CBA-TRIPHENYLP 2\plaque 1/@02 EE2 34/F2_01.tif "/>
    <s v=" 1708.7617 "/>
    <s v=" 62.5063 "/>
    <x v="1"/>
    <n v="106808"/>
    <m/>
    <m/>
    <m/>
  </r>
  <r>
    <x v="2"/>
    <x v="5"/>
    <s v="\\192.168.24.208\images\R&amp;D\Coralie\Triphenylphosphate\2021-CHG-CBA-TRIPHENYLP 2\plaque 1/@02 EE2 34/F2_02.tif "/>
    <s v=" 2725.3667 "/>
    <s v=" 64.0397 "/>
    <x v="1"/>
    <n v="174532"/>
    <m/>
    <m/>
    <m/>
  </r>
  <r>
    <x v="2"/>
    <x v="5"/>
    <s v="\\192.168.24.208\images\R&amp;D\Coralie\Triphenylphosphate\2021-CHG-CBA-TRIPHENYLP 2\plaque 1/@02 EE2 34/F2_03.tif "/>
    <s v=" 1968.3204 "/>
    <s v=" 63.1868 "/>
    <x v="1"/>
    <n v="124372"/>
    <m/>
    <m/>
    <m/>
  </r>
  <r>
    <x v="2"/>
    <x v="6"/>
    <s v="\\192.168.24.208\images\R&amp;D\Coralie\Triphenylphosphate\2021-CHG-CBA-TRIPHENYLP 2\plaque 1/@02 EE2 34/G2_01.tif "/>
    <s v=" 821.936 "/>
    <s v=" 64.0263 "/>
    <x v="1"/>
    <n v="52626"/>
    <m/>
    <m/>
    <m/>
  </r>
  <r>
    <x v="2"/>
    <x v="6"/>
    <s v="\\192.168.24.208\images\R&amp;D\Coralie\Triphenylphosphate\2021-CHG-CBA-TRIPHENYLP 2\plaque 1/@02 EE2 34/G2_02.tif "/>
    <s v=" 1319.4236 "/>
    <s v=" 62.7541 "/>
    <x v="1"/>
    <n v="82799"/>
    <m/>
    <m/>
    <m/>
  </r>
  <r>
    <x v="2"/>
    <x v="6"/>
    <s v="\\192.168.24.208\images\R&amp;D\Coralie\Triphenylphosphate\2021-CHG-CBA-TRIPHENYLP 2\plaque 1/@02 EE2 34/G2_03.tif "/>
    <s v=" 1038.2349 "/>
    <s v=" 64.6667 "/>
    <x v="1"/>
    <n v="67139"/>
    <m/>
    <m/>
    <m/>
  </r>
  <r>
    <x v="2"/>
    <x v="7"/>
    <s v="\\192.168.24.208\images\R&amp;D\Coralie\Triphenylphosphate\2021-CHG-CBA-TRIPHENYLP 2\plaque 1/@02 EE2 34/H2_01.tif "/>
    <s v=" 1730.3916 "/>
    <s v=" 63.1875 "/>
    <x v="1"/>
    <n v="109339"/>
    <m/>
    <m/>
    <m/>
  </r>
  <r>
    <x v="2"/>
    <x v="7"/>
    <s v="\\192.168.24.208\images\R&amp;D\Coralie\Triphenylphosphate\2021-CHG-CBA-TRIPHENYLP 2\plaque 1/@02 EE2 34/H2_02.tif "/>
    <s v=" 1081.4947 "/>
    <s v=" 63.46 "/>
    <x v="1"/>
    <n v="68632"/>
    <m/>
    <m/>
    <m/>
  </r>
  <r>
    <x v="2"/>
    <x v="7"/>
    <s v="\\192.168.24.208\images\R&amp;D\Coralie\Triphenylphosphate\2021-CHG-CBA-TRIPHENYLP 2\plaque 1/@02 EE2 34/H2_03.tif "/>
    <s v=" 346.0783 "/>
    <s v=" 65.3125 "/>
    <x v="1"/>
    <n v="22603"/>
    <m/>
    <m/>
    <m/>
  </r>
  <r>
    <x v="1"/>
    <x v="8"/>
    <s v=" "/>
    <m/>
    <m/>
    <x v="0"/>
    <m/>
    <m/>
    <m/>
    <m/>
  </r>
  <r>
    <x v="1"/>
    <x v="8"/>
    <s v="group "/>
    <s v=" "/>
    <s v=" mean of mean fluo "/>
    <x v="2"/>
    <s v=" mean of total fluo "/>
    <s v=" SD total fluo "/>
    <s v=" n fluorescent "/>
    <s v=" n total"/>
  </r>
  <r>
    <x v="2"/>
    <x v="9"/>
    <s v="\\192.168.24.208\images\R&amp;D\Coralie\Triphenylphosphate\2021-CHG-CBA-TRIPHENYLP 2\plaque 1/@02 EE2 34/ "/>
    <s v=" "/>
    <s v=" 64.8413 "/>
    <x v="4"/>
    <s v=" 236357.042 "/>
    <s v=" 293873.66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3"/>
    <x v="0"/>
    <s v="\\192.168.24.208\images\R&amp;D\Coralie\Triphenylphosphate\2021-CHG-CBA-TRIPHENYLP 2\plaque 1/@03 EE2 51/A3_01.tif "/>
    <s v=" 14773.218 "/>
    <s v=" 78.1332 "/>
    <x v="1"/>
    <n v="1154279"/>
    <m/>
    <m/>
    <m/>
  </r>
  <r>
    <x v="3"/>
    <x v="0"/>
    <s v="\\192.168.24.208\images\R&amp;D\Coralie\Triphenylphosphate\2021-CHG-CBA-TRIPHENYLP 2\plaque 1/@03 EE2 51/A3_02.tif "/>
    <s v=" 3244.4842 "/>
    <s v=" 64.7733 "/>
    <x v="1"/>
    <n v="210156"/>
    <m/>
    <m/>
    <m/>
  </r>
  <r>
    <x v="3"/>
    <x v="0"/>
    <s v="\\192.168.24.208\images\R&amp;D\Coralie\Triphenylphosphate\2021-CHG-CBA-TRIPHENYLP 2\plaque 1/@03 EE2 51/A3_03.tif "/>
    <s v=" 2314.3987 "/>
    <s v=" 64.3458 "/>
    <x v="1"/>
    <n v="148922"/>
    <m/>
    <m/>
    <m/>
  </r>
  <r>
    <x v="3"/>
    <x v="1"/>
    <s v="\\192.168.24.208\images\R&amp;D\Coralie\Triphenylphosphate\2021-CHG-CBA-TRIPHENYLP 2\plaque 1/@03 EE2 51/B3_01.tif "/>
    <s v=" 1124.7545 "/>
    <s v=" 63.1538 "/>
    <x v="1"/>
    <n v="71033"/>
    <m/>
    <m/>
    <m/>
  </r>
  <r>
    <x v="3"/>
    <x v="1"/>
    <s v="\\192.168.24.208\images\R&amp;D\Coralie\Triphenylphosphate\2021-CHG-CBA-TRIPHENYLP 2\plaque 1/@03 EE2 51/B3_02.tif "/>
    <s v=" 1341.0535 "/>
    <s v=" 63.4516 "/>
    <x v="1"/>
    <n v="85092"/>
    <m/>
    <m/>
    <m/>
  </r>
  <r>
    <x v="3"/>
    <x v="1"/>
    <s v="\\192.168.24.208\images\R&amp;D\Coralie\Triphenylphosphate\2021-CHG-CBA-TRIPHENYLP 2\plaque 1/@03 EE2 51/B3_03- exclu.tif"/>
    <m/>
    <m/>
    <x v="0"/>
    <m/>
    <m/>
    <m/>
    <m/>
  </r>
  <r>
    <x v="3"/>
    <x v="2"/>
    <s v="\\192.168.24.208\images\R&amp;D\Coralie\Triphenylphosphate\2021-CHG-CBA-TRIPHENYLP 2\plaque 1/@03 EE2 51/C3_01.tif "/>
    <s v=" 605.637 "/>
    <s v=" 64.5714 "/>
    <x v="1"/>
    <n v="39107"/>
    <m/>
    <m/>
    <m/>
  </r>
  <r>
    <x v="3"/>
    <x v="2"/>
    <s v="\\192.168.24.208\images\R&amp;D\Coralie\Triphenylphosphate\2021-CHG-CBA-TRIPHENYLP 2\plaque 1/@03 EE2 51/C3_02.tif "/>
    <s v=" 1881.8008 "/>
    <s v=" 64.8046 "/>
    <x v="1"/>
    <n v="121949"/>
    <m/>
    <m/>
    <m/>
  </r>
  <r>
    <x v="3"/>
    <x v="2"/>
    <s v="\\192.168.24.208\images\R&amp;D\Coralie\Triphenylphosphate\2021-CHG-CBA-TRIPHENYLP 2\plaque 1/@03 EE2 51/C3_03.tif "/>
    <s v=" 930.0855 "/>
    <s v=" 62.9767 "/>
    <x v="1"/>
    <n v="58574"/>
    <m/>
    <m/>
    <m/>
  </r>
  <r>
    <x v="3"/>
    <x v="3"/>
    <s v="\\192.168.24.208\images\R&amp;D\Coralie\Triphenylphosphate\2021-CHG-CBA-TRIPHENYLP 2\plaque 1/@03 EE2 51/D3_01.tif "/>
    <s v=" 4044.7903 "/>
    <s v=" 64.9947 "/>
    <x v="1"/>
    <n v="262890"/>
    <m/>
    <m/>
    <m/>
  </r>
  <r>
    <x v="3"/>
    <x v="3"/>
    <s v="\\192.168.24.208\images\R&amp;D\Coralie\Triphenylphosphate\2021-CHG-CBA-TRIPHENYLP 2\plaque 1/@03 EE2 51/D3_02.tif "/>
    <s v=" 5948.221 "/>
    <s v=" 65.1564 "/>
    <x v="1"/>
    <n v="387564"/>
    <m/>
    <m/>
    <m/>
  </r>
  <r>
    <x v="3"/>
    <x v="3"/>
    <s v="\\192.168.24.208\images\R&amp;D\Coralie\Triphenylphosphate\2021-CHG-CBA-TRIPHENYLP 2\plaque 1/@03 EE2 51/D3_03.tif "/>
    <s v=" 4152.9398 "/>
    <s v=" 64.5729 "/>
    <x v="1"/>
    <n v="268167"/>
    <m/>
    <m/>
    <m/>
  </r>
  <r>
    <x v="3"/>
    <x v="4"/>
    <s v="\\192.168.24.208\images\R&amp;D\Coralie\Triphenylphosphate\2021-CHG-CBA-TRIPHENYLP 2\plaque 1/@03 EE2 51/E3_01.tif "/>
    <s v=" 1016.605 "/>
    <s v=" 65.0426 "/>
    <x v="1"/>
    <n v="66123"/>
    <m/>
    <m/>
    <m/>
  </r>
  <r>
    <x v="3"/>
    <x v="4"/>
    <s v="\\192.168.24.208\images\R&amp;D\Coralie\Triphenylphosphate\2021-CHG-CBA-TRIPHENYLP 2\plaque 1/@03 EE2 51/E3_02.tif "/>
    <s v=" 757.0463 "/>
    <s v=" 67.0857 "/>
    <x v="1"/>
    <n v="50787"/>
    <m/>
    <m/>
    <m/>
  </r>
  <r>
    <x v="3"/>
    <x v="4"/>
    <s v="\\192.168.24.208\images\R&amp;D\Coralie\Triphenylphosphate\2021-CHG-CBA-TRIPHENYLP 2\plaque 1/@03 EE2 51/E3_03.tif "/>
    <s v=" 908.4556 "/>
    <s v=" 65.9762 "/>
    <x v="1"/>
    <n v="59936"/>
    <m/>
    <m/>
    <m/>
  </r>
  <r>
    <x v="3"/>
    <x v="5"/>
    <s v="\\192.168.24.208\images\R&amp;D\Coralie\Triphenylphosphate\2021-CHG-CBA-TRIPHENYLP 2\plaque 1/@03 EE2 51/F3_01.tif "/>
    <s v=" 1946.6905 "/>
    <s v=" 63.4889 "/>
    <x v="1"/>
    <n v="123593"/>
    <m/>
    <m/>
    <m/>
  </r>
  <r>
    <x v="3"/>
    <x v="5"/>
    <s v="\\192.168.24.208\images\R&amp;D\Coralie\Triphenylphosphate\2021-CHG-CBA-TRIPHENYLP 2\plaque 1/@03 EE2 51/F3_02.tif "/>
    <s v=" 562.3773 "/>
    <s v=" 63.3077 "/>
    <x v="1"/>
    <n v="35603"/>
    <m/>
    <m/>
    <m/>
  </r>
  <r>
    <x v="3"/>
    <x v="5"/>
    <s v="\\192.168.24.208\images\R&amp;D\Coralie\Triphenylphosphate\2021-CHG-CBA-TRIPHENYLP 2\plaque 1/@03 EE2 51/F3_03.tif "/>
    <s v=" 951.7154 "/>
    <s v=" 62.9091 "/>
    <x v="1"/>
    <n v="59872"/>
    <m/>
    <m/>
    <m/>
  </r>
  <r>
    <x v="3"/>
    <x v="6"/>
    <s v="\\192.168.24.208\images\R&amp;D\Coralie\Triphenylphosphate\2021-CHG-CBA-TRIPHENYLP 2\plaque 1/@03 EE2 51/G3_01.tif "/>
    <s v=" 1903.4307 "/>
    <s v=" 65.4773 "/>
    <x v="1"/>
    <n v="124631"/>
    <m/>
    <m/>
    <m/>
  </r>
  <r>
    <x v="3"/>
    <x v="6"/>
    <s v="\\192.168.24.208\images\R&amp;D\Coralie\Triphenylphosphate\2021-CHG-CBA-TRIPHENYLP 2\plaque 1/@03 EE2 51/G3_02.tif "/>
    <s v=" 1773.6514 "/>
    <s v=" 68.0854 "/>
    <x v="1"/>
    <n v="120760"/>
    <m/>
    <m/>
    <m/>
  </r>
  <r>
    <x v="3"/>
    <x v="6"/>
    <s v="\\192.168.24.208\images\R&amp;D\Coralie\Triphenylphosphate\2021-CHG-CBA-TRIPHENYLP 2\plaque 1/@03 EE2 51/G3_03.tif "/>
    <s v=" 2682.1069 "/>
    <s v=" 65.5242 "/>
    <x v="1"/>
    <n v="175743"/>
    <m/>
    <m/>
    <m/>
  </r>
  <r>
    <x v="3"/>
    <x v="7"/>
    <s v="\\192.168.24.208\images\R&amp;D\Coralie\Triphenylphosphate\2021-CHG-CBA-TRIPHENYLP 2\plaque 1/@03 EE2 51/H3_01- exclu.tif"/>
    <m/>
    <m/>
    <x v="0"/>
    <m/>
    <m/>
    <m/>
    <m/>
  </r>
  <r>
    <x v="3"/>
    <x v="7"/>
    <s v="\\192.168.24.208\images\R&amp;D\Coralie\Triphenylphosphate\2021-CHG-CBA-TRIPHENYLP 2\plaque 1/@03 EE2 51/H3_02- exclu.tif"/>
    <m/>
    <m/>
    <x v="0"/>
    <m/>
    <m/>
    <m/>
    <m/>
  </r>
  <r>
    <x v="3"/>
    <x v="7"/>
    <s v="\\192.168.24.208\images\R&amp;D\Coralie\Triphenylphosphate\2021-CHG-CBA-TRIPHENYLP 2\plaque 1/@03 EE2 51/H3_03- exclu.tif"/>
    <m/>
    <m/>
    <x v="0"/>
    <m/>
    <m/>
    <m/>
    <m/>
  </r>
  <r>
    <x v="1"/>
    <x v="8"/>
    <s v=" "/>
    <m/>
    <m/>
    <x v="0"/>
    <m/>
    <m/>
    <m/>
    <m/>
  </r>
  <r>
    <x v="1"/>
    <x v="8"/>
    <s v="group "/>
    <s v=" "/>
    <s v=" mean of mean fluo "/>
    <x v="2"/>
    <s v=" mean of total fluo "/>
    <s v=" SD total fluo "/>
    <s v=" n fluorescent "/>
    <s v=" n total"/>
  </r>
  <r>
    <x v="3"/>
    <x v="9"/>
    <s v="\\192.168.24.208\images\R&amp;D\Coralie\Triphenylphosphate\2021-CHG-CBA-TRIPHENYLP 2\plaque 1/@03 EE2 51/ "/>
    <s v=" "/>
    <s v=" 65.1859 "/>
    <x v="5"/>
    <s v=" 155283.708 "/>
    <s v=" 232095.46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4"/>
    <x v="0"/>
    <s v="\\192.168.24.208\images\R&amp;D\Coralie\Triphenylphosphate\2021-CHG-CBA-TRIPHENYLP 2\plaque 1/@04 EE2 76/A4_01- exclu.tif"/>
    <m/>
    <m/>
    <x v="0"/>
    <m/>
    <m/>
    <m/>
    <m/>
  </r>
  <r>
    <x v="4"/>
    <x v="0"/>
    <s v="\\192.168.24.208\images\R&amp;D\Coralie\Triphenylphosphate\2021-CHG-CBA-TRIPHENYLP 2\plaque 1/@04 EE2 76/A4_02.tif "/>
    <s v=" 10771.6875 "/>
    <s v=" 68.9458 "/>
    <x v="1"/>
    <n v="742662"/>
    <m/>
    <m/>
    <m/>
  </r>
  <r>
    <x v="4"/>
    <x v="0"/>
    <s v="\\192.168.24.208\images\R&amp;D\Coralie\Triphenylphosphate\2021-CHG-CBA-TRIPHENYLP 2\plaque 1/@04 EE2 76/A4_03.tif "/>
    <s v=" 4196.1996 "/>
    <s v=" 63.5773 "/>
    <x v="1"/>
    <n v="266783"/>
    <m/>
    <m/>
    <m/>
  </r>
  <r>
    <x v="4"/>
    <x v="1"/>
    <s v="\\192.168.24.208\images\R&amp;D\Coralie\Triphenylphosphate\2021-CHG-CBA-TRIPHENYLP 2\plaque 1/@04 EE2 76/B4_01- exclu.tif"/>
    <m/>
    <m/>
    <x v="0"/>
    <m/>
    <m/>
    <m/>
    <m/>
  </r>
  <r>
    <x v="4"/>
    <x v="1"/>
    <s v="\\192.168.24.208\images\R&amp;D\Coralie\Triphenylphosphate\2021-CHG-CBA-TRIPHENYLP 2\plaque 1/@04 EE2 76/B4_02.tif "/>
    <s v=" 10468.869 "/>
    <s v=" 68.3202 "/>
    <x v="1"/>
    <n v="715236"/>
    <m/>
    <m/>
    <m/>
  </r>
  <r>
    <x v="4"/>
    <x v="1"/>
    <s v="\\192.168.24.208\images\R&amp;D\Coralie\Triphenylphosphate\2021-CHG-CBA-TRIPHENYLP 2\plaque 1/@04 EE2 76/B4_03.tif "/>
    <s v=" 8284.2496 "/>
    <s v=" 68.0966 "/>
    <x v="1"/>
    <n v="564129"/>
    <m/>
    <m/>
    <m/>
  </r>
  <r>
    <x v="4"/>
    <x v="2"/>
    <s v="\\192.168.24.208\images\R&amp;D\Coralie\Triphenylphosphate\2021-CHG-CBA-TRIPHENYLP 2\plaque 1/@04 EE2 76/C4_01- exclu.tif"/>
    <m/>
    <m/>
    <x v="0"/>
    <m/>
    <m/>
    <m/>
    <m/>
  </r>
  <r>
    <x v="4"/>
    <x v="2"/>
    <s v="\\192.168.24.208\images\R&amp;D\Coralie\Triphenylphosphate\2021-CHG-CBA-TRIPHENYLP 2\plaque 1/@04 EE2 76/C4_02.tif "/>
    <s v=" 3222.8543 "/>
    <s v=" 66.2752 "/>
    <x v="1"/>
    <n v="213595"/>
    <m/>
    <m/>
    <m/>
  </r>
  <r>
    <x v="4"/>
    <x v="2"/>
    <s v="\\192.168.24.208\images\R&amp;D\Coralie\Triphenylphosphate\2021-CHG-CBA-TRIPHENYLP 2\plaque 1/@04 EE2 76/C4_03.tif "/>
    <s v=" 5320.9541 "/>
    <s v=" 66.1829 "/>
    <x v="1"/>
    <n v="352156"/>
    <m/>
    <m/>
    <m/>
  </r>
  <r>
    <x v="4"/>
    <x v="3"/>
    <s v="\\192.168.24.2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 v="613402"/>
    <m/>
    <m/>
    <m/>
  </r>
  <r>
    <x v="4"/>
    <x v="3"/>
    <s v="\\192.168.24.208\images\R&amp;D\Coralie\Triphenylphosphate\2021-CHG-CBA-TRIPHENYLP 2\plaque 1/@04 EE2 76/D4_03.tif "/>
    <s v=" 9452.264 "/>
    <s v=" 64.3089 "/>
    <x v="1"/>
    <n v="607865"/>
    <m/>
    <m/>
    <m/>
  </r>
  <r>
    <x v="4"/>
    <x v="4"/>
    <s v="\\192.168.24.208\images\R&amp;D\Coralie\Triphenylphosphate\2021-CHG-CBA-TRIPHENYLP 2\plaque 1/@04 EE2 76/E4_01.tif "/>
    <s v=" 21911.0833 "/>
    <s v=" 67.6555 "/>
    <x v="1"/>
    <n v="1482405"/>
    <m/>
    <m/>
    <m/>
  </r>
  <r>
    <x v="4"/>
    <x v="4"/>
    <s v="\\192.168.24.208\images\R&amp;D\Coralie\Triphenylphosphate\2021-CHG-CBA-TRIPHENYLP 2\plaque 1/@04 EE2 76/E4_02.tif "/>
    <s v=" 24117.3325 "/>
    <s v=" 66.3103 "/>
    <x v="1"/>
    <n v="1599228"/>
    <m/>
    <m/>
    <m/>
  </r>
  <r>
    <x v="4"/>
    <x v="4"/>
    <s v="\\192.168.24.208\images\R&amp;D\Coralie\Triphenylphosphate\2021-CHG-CBA-TRIPHENYLP 2\plaque 1/@04 EE2 76/E4_03.tif "/>
    <s v=" 20764.6988 "/>
    <s v=" 66.9719 "/>
    <x v="1"/>
    <n v="1390651"/>
    <m/>
    <m/>
    <m/>
  </r>
  <r>
    <x v="4"/>
    <x v="5"/>
    <s v="\\192.168.24.208\images\R&amp;D\Coralie\Triphenylphosphate\2021-CHG-CBA-TRIPHENYLP 2\plaque 1/@04 EE2 76/F4_01.tif "/>
    <s v=" 8998.0362 "/>
    <s v=" 68.8966 "/>
    <x v="1"/>
    <n v="619934"/>
    <m/>
    <m/>
    <m/>
  </r>
  <r>
    <x v="4"/>
    <x v="5"/>
    <s v="\\192.168.24.208\images\R&amp;D\Coralie\Triphenylphosphate\2021-CHG-CBA-TRIPHENYLP 2\plaque 1/@04 EE2 76/F4_02.tif "/>
    <s v=" 5364.2139 "/>
    <s v=" 65.875 "/>
    <x v="1"/>
    <n v="353368"/>
    <m/>
    <m/>
    <m/>
  </r>
  <r>
    <x v="4"/>
    <x v="5"/>
    <s v="\\192.168.24.208\images\R&amp;D\Coralie\Triphenylphosphate\2021-CHG-CBA-TRIPHENYLP 2\plaque 1/@04 EE2 76/F4_03- exclu.tif"/>
    <m/>
    <m/>
    <x v="0"/>
    <m/>
    <m/>
    <m/>
    <m/>
  </r>
  <r>
    <x v="4"/>
    <x v="6"/>
    <s v="\\192.168.24.208\images\R&amp;D\Coralie\Triphenylphosphate\2021-CHG-CBA-TRIPHENYLP 2\plaque 1/@04 EE2 76/G4_01.tif "/>
    <s v=" 10793.3174 "/>
    <s v=" 67.8096 "/>
    <x v="1"/>
    <n v="731891"/>
    <m/>
    <m/>
    <m/>
  </r>
  <r>
    <x v="4"/>
    <x v="6"/>
    <s v="\\192.168.24.208\images\R&amp;D\Coralie\Triphenylphosphate\2021-CHG-CBA-TRIPHENYLP 2\plaque 1/@04 EE2 76/G4_02.tif "/>
    <s v=" 15011.1469 "/>
    <s v=" 66.5692 "/>
    <x v="1"/>
    <n v="999280"/>
    <m/>
    <m/>
    <m/>
  </r>
  <r>
    <x v="4"/>
    <x v="6"/>
    <s v="\\192.168.24.208\images\R&amp;D\Coralie\Triphenylphosphate\2021-CHG-CBA-TRIPHENYLP 2\plaque 1/@04 EE2 76/G4_03.tif "/>
    <s v=" 7592.093 "/>
    <s v=" 64.3362 "/>
    <x v="1"/>
    <n v="488446"/>
    <m/>
    <m/>
    <m/>
  </r>
  <r>
    <x v="4"/>
    <x v="7"/>
    <s v="\\192.168.24.208\images\R&amp;D\Coralie\Triphenylphosphate\2021-CHG-CBA-TRIPHENYLP 2\plaque 1/@04 EE2 76/H4_01.tif "/>
    <s v=" 21456.8555 "/>
    <s v=" 66.3327 "/>
    <x v="1"/>
    <n v="1423290"/>
    <m/>
    <m/>
    <m/>
  </r>
  <r>
    <x v="4"/>
    <x v="7"/>
    <s v="\\192.168.24.208\images\R&amp;D\Coralie\Triphenylphosphate\2021-CHG-CBA-TRIPHENYLP 2\plaque 1/@04 EE2 76/H4_02.tif "/>
    <s v=" 22797.9089 "/>
    <s v=" 66.4383 "/>
    <x v="1"/>
    <n v="1514655"/>
    <m/>
    <m/>
    <m/>
  </r>
  <r>
    <x v="4"/>
    <x v="7"/>
    <s v="\\192.168.24.208\images\R&amp;D\Coralie\Triphenylphosphate\2021-CHG-CBA-TRIPHENYLP 2\plaque 1/@04 EE2 76/H4_03.tif "/>
    <s v=" 15119.2963 "/>
    <s v=" 66.2031 "/>
    <x v="1"/>
    <n v="1000945"/>
    <m/>
    <m/>
    <m/>
  </r>
  <r>
    <x v="1"/>
    <x v="8"/>
    <s v=" "/>
    <m/>
    <m/>
    <x v="0"/>
    <m/>
    <m/>
    <m/>
    <m/>
  </r>
  <r>
    <x v="1"/>
    <x v="8"/>
    <s v="group "/>
    <s v=" "/>
    <s v=" mean of mean fluo "/>
    <x v="2"/>
    <s v=" mean of total fluo "/>
    <s v=" SD total fluo "/>
    <s v=" n fluorescent "/>
    <s v=" n total"/>
  </r>
  <r>
    <x v="4"/>
    <x v="9"/>
    <s v="\\192.168.24.208\images\R&amp;D\Coralie\Triphenylphosphate\2021-CHG-CBA-TRIPHENYLP 2\plaque 1/@04 EE2 76/ "/>
    <s v=" "/>
    <s v=" 67.4201 "/>
    <x v="6"/>
    <s v=" 812453.042 "/>
    <s v=" 521584.16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5"/>
    <x v="0"/>
    <s v="\\192.168.24.208\images\R&amp;D\Coralie\Triphenylphosphate\2021-CHG-CBA-TRIPHENYLP 2\plaque 1/@05 EE2 114/A5_01.tif "/>
    <s v=" 5342.584 "/>
    <s v=" 65.1943 "/>
    <x v="1"/>
    <n v="348306"/>
    <m/>
    <m/>
    <m/>
  </r>
  <r>
    <x v="5"/>
    <x v="0"/>
    <s v="\\192.168.24.208\images\R&amp;D\Coralie\Triphenylphosphate\2021-CHG-CBA-TRIPHENYLP 2\plaque 1/@05 EE2 114/A5_02.tif "/>
    <s v=" 1254.5339 "/>
    <s v=" 64.069 "/>
    <x v="1"/>
    <n v="80377"/>
    <m/>
    <m/>
    <m/>
  </r>
  <r>
    <x v="5"/>
    <x v="0"/>
    <s v="\\192.168.24.208\images\R&amp;D\Coralie\Triphenylphosphate\2021-CHG-CBA-TRIPHENYLP 2\plaque 1/@05 EE2 114/A5_03.tif "/>
    <s v=" 1816.9111 "/>
    <s v=" 64.6786 "/>
    <x v="1"/>
    <n v="117515"/>
    <m/>
    <m/>
    <m/>
  </r>
  <r>
    <x v="5"/>
    <x v="1"/>
    <s v="\\192.168.24.208\images\R&amp;D\Coralie\Triphenylphosphate\2021-CHG-CBA-TRIPHENYLP 2\plaque 1/@05 EE2 114/B5_01- exclu.tif"/>
    <m/>
    <m/>
    <x v="0"/>
    <m/>
    <m/>
    <m/>
    <m/>
  </r>
  <r>
    <x v="5"/>
    <x v="1"/>
    <s v="\\192.168.24.208\images\R&amp;D\Coralie\Triphenylphosphate\2021-CHG-CBA-TRIPHENYLP 2\plaque 1/@05 EE2 114/B5_02.tif "/>
    <s v=" 19099.197 "/>
    <s v=" 68.0362 "/>
    <x v="1"/>
    <n v="1299438"/>
    <m/>
    <m/>
    <m/>
  </r>
  <r>
    <x v="5"/>
    <x v="1"/>
    <s v="\\192.168.24.208\images\R&amp;D\Coralie\Triphenylphosphate\2021-CHG-CBA-TRIPHENYLP 2\plaque 1/@05 EE2 114/B5_03.tif "/>
    <s v=" 20851.2184 "/>
    <s v=" 68.5508 "/>
    <x v="1"/>
    <n v="1429368"/>
    <m/>
    <m/>
    <m/>
  </r>
  <r>
    <x v="5"/>
    <x v="2"/>
    <s v="\\192.168.24.208\images\R&amp;D\Coralie\Triphenylphosphate\2021-CHG-CBA-TRIPHENYLP 2\plaque 1/@05 EE2 114/C5_01.tif "/>
    <s v=" 57578.7795 "/>
    <s v=" 70.4857 "/>
    <x v="1"/>
    <n v="4058482"/>
    <m/>
    <m/>
    <m/>
  </r>
  <r>
    <x v="5"/>
    <x v="2"/>
    <s v="\\192.168.24.208\images\R&amp;D\Coralie\Triphenylphosphate\2021-CHG-CBA-TRIPHENYLP 2\plaque 1/@05 EE2 114/C5_02.tif "/>
    <s v=" 50289.505 "/>
    <s v=" 70.012 "/>
    <x v="1"/>
    <n v="3520871"/>
    <m/>
    <m/>
    <m/>
  </r>
  <r>
    <x v="5"/>
    <x v="2"/>
    <s v="\\192.168.24.208\images\R&amp;D\Coralie\Triphenylphosphate\2021-CHG-CBA-TRIPHENYLP 2\plaque 1/@05 EE2 114/C5_03.tif "/>
    <s v=" 50851.8823 "/>
    <s v=" 70.3871 "/>
    <x v="1"/>
    <n v="3579315"/>
    <m/>
    <m/>
    <m/>
  </r>
  <r>
    <x v="5"/>
    <x v="3"/>
    <s v="\\192.168.24.208\images\R&amp;D\Coralie\Triphenylphosphate\2021-CHG-CBA-TRIPHENYLP 2\plaque 1/@05 EE2 114/D5_01.tif "/>
    <s v=" 12783.2677 "/>
    <s v=" 63.9019 "/>
    <x v="1"/>
    <n v="816875"/>
    <m/>
    <m/>
    <m/>
  </r>
  <r>
    <x v="5"/>
    <x v="3"/>
    <s v="\\192.168.24.208\images\R&amp;D\Coralie\Triphenylphosphate\2021-CHG-CBA-TRIPHENYLP 2\plaque 1/@05 EE2 114/D5_02- exclu.tif"/>
    <m/>
    <m/>
    <x v="0"/>
    <m/>
    <m/>
    <m/>
    <m/>
  </r>
  <r>
    <x v="5"/>
    <x v="3"/>
    <s v="\\192.168.24.208\images\R&amp;D\Coralie\Triphenylphosphate\2021-CHG-CBA-TRIPHENYLP 2\plaque 1/@05 EE2 114/D5_03- exclu.tif"/>
    <m/>
    <m/>
    <x v="0"/>
    <m/>
    <m/>
    <m/>
    <m/>
  </r>
  <r>
    <x v="5"/>
    <x v="4"/>
    <s v="\\192.168.24.208\images\R&amp;D\Coralie\Triphenylphosphate\2021-CHG-CBA-TRIPHENYLP 2\plaque 1/@05 EE2 114/E5_01.tif "/>
    <s v=" 13497.0542 "/>
    <s v=" 65.9535 "/>
    <x v="1"/>
    <n v="890178"/>
    <m/>
    <m/>
    <m/>
  </r>
  <r>
    <x v="5"/>
    <x v="4"/>
    <s v="\\192.168.24.208\images\R&amp;D\Coralie\Triphenylphosphate\2021-CHG-CBA-TRIPHENYLP 2\plaque 1/@05 EE2 114/E5_02- exclu.tif"/>
    <m/>
    <m/>
    <x v="0"/>
    <m/>
    <m/>
    <m/>
    <m/>
  </r>
  <r>
    <x v="5"/>
    <x v="4"/>
    <s v="\\192.168.24.208\images\R&amp;D\Coralie\Triphenylphosphate\2021-CHG-CBA-TRIPHENYLP 2\plaque 1/@05 EE2 114/E5_03.tif "/>
    <s v=" 11463.8442 "/>
    <s v=" 65.4396 "/>
    <x v="1"/>
    <n v="750190"/>
    <m/>
    <m/>
    <m/>
  </r>
  <r>
    <x v="5"/>
    <x v="5"/>
    <s v="\\192.168.24.208\images\R&amp;D\Coralie\Triphenylphosphate\2021-CHG-CBA-TRIPHENYLP 2\plaque 1/@05 EE2 114/F5_01- exclu.tif"/>
    <m/>
    <m/>
    <x v="0"/>
    <m/>
    <m/>
    <m/>
    <m/>
  </r>
  <r>
    <x v="5"/>
    <x v="5"/>
    <s v="\\192.168.24.208\images\R&amp;D\Coralie\Triphenylphosphate\2021-CHG-CBA-TRIPHENYLP 2\plaque 1/@05 EE2 114/F5_02.tif "/>
    <s v=" 44795.5118 "/>
    <s v=" 79.5761 "/>
    <x v="1"/>
    <n v="3564650"/>
    <m/>
    <m/>
    <m/>
  </r>
  <r>
    <x v="5"/>
    <x v="5"/>
    <s v="\\192.168.24.208\images\R&amp;D\Coralie\Triphenylphosphate\2021-CHG-CBA-TRIPHENYLP 2\plaque 1/@05 EE2 114/F5_03.tif "/>
    <s v=" 24787.8592 "/>
    <s v=" 82.1047 "/>
    <x v="1"/>
    <n v="2035200"/>
    <m/>
    <m/>
    <m/>
  </r>
  <r>
    <x v="5"/>
    <x v="6"/>
    <s v="\\192.168.24.208\images\R&amp;D\Coralie\Triphenylphosphate\2021-CHG-CBA-TRIPHENYLP 2\plaque 1/@05 EE2 114/G5_01- exclu.tif"/>
    <m/>
    <m/>
    <x v="0"/>
    <m/>
    <m/>
    <m/>
    <m/>
  </r>
  <r>
    <x v="5"/>
    <x v="6"/>
    <s v="\\192.168.24.208\images\R&amp;D\Coralie\Triphenylphosphate\2021-CHG-CBA-TRIPHENYLP 2\plaque 1/@05 EE2 114/G5_02.tif "/>
    <s v=" 22213.9018 "/>
    <s v=" 65.3476 "/>
    <x v="1"/>
    <n v="1451625"/>
    <m/>
    <m/>
    <m/>
  </r>
  <r>
    <x v="5"/>
    <x v="6"/>
    <s v="\\192.168.24.208\images\R&amp;D\Coralie\Triphenylphosphate\2021-CHG-CBA-TRIPHENYLP 2\plaque 1/@05 EE2 114/G5_03.tif "/>
    <s v=" 20980.9978 "/>
    <s v=" 65.3907 "/>
    <x v="1"/>
    <n v="1371963"/>
    <m/>
    <m/>
    <m/>
  </r>
  <r>
    <x v="5"/>
    <x v="7"/>
    <s v="\\192.168.24.208\images\R&amp;D\Coralie\Triphenylphosphate\2021-CHG-CBA-TRIPHENYLP 2\plaque 1/@05 EE2 114/H5_01.tif "/>
    <s v=" 43432.8284 "/>
    <s v=" 73.9213 "/>
    <x v="1"/>
    <n v="3210612"/>
    <m/>
    <m/>
    <m/>
  </r>
  <r>
    <x v="5"/>
    <x v="7"/>
    <s v="\\192.168.24.208\images\R&amp;D\Coralie\Triphenylphosphate\2021-CHG-CBA-TRIPHENYLP 2\plaque 1/@05 EE2 114/H5_02.tif "/>
    <s v=" 46655.6827 "/>
    <s v=" 72.5619 "/>
    <x v="1"/>
    <n v="3385425"/>
    <m/>
    <m/>
    <m/>
  </r>
  <r>
    <x v="5"/>
    <x v="7"/>
    <s v="\\192.168.24.208\images\R&amp;D\Coralie\Triphenylphosphate\2021-CHG-CBA-TRIPHENYLP 2\plaque 1/@05 EE2 114/H5_03.tif "/>
    <s v=" 46114.9353 "/>
    <s v=" 76.0188 "/>
    <x v="1"/>
    <n v="3505600"/>
    <m/>
    <m/>
    <m/>
  </r>
  <r>
    <x v="1"/>
    <x v="8"/>
    <s v=" "/>
    <m/>
    <m/>
    <x v="0"/>
    <m/>
    <m/>
    <m/>
    <m/>
  </r>
  <r>
    <x v="1"/>
    <x v="8"/>
    <s v="group "/>
    <s v=" "/>
    <s v=" mean of mean fluo "/>
    <x v="2"/>
    <s v=" mean of total fluo "/>
    <s v=" SD total fluo "/>
    <s v=" n fluorescent "/>
    <s v=" n total"/>
  </r>
  <r>
    <x v="5"/>
    <x v="9"/>
    <s v="\\192.168.24.208\images\R&amp;D\Coralie\Triphenylphosphate\2021-CHG-CBA-TRIPHENYLP 2\plaque 1/@05 EE2 114/ "/>
    <s v=" "/>
    <s v=" 68.5312 "/>
    <x v="7"/>
    <s v=" 1738769.5 "/>
    <s v=" 1326842.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6"/>
    <x v="0"/>
    <s v="\\192.168.24.208\images\R&amp;D\Coralie\Triphenylphosphate\2021-CHG-CBA-TRIPHENYLP 2\plaque 1/@06 EE2 171/A6_01.tif "/>
    <s v=" 44838.7716 "/>
    <s v=" 71.6126 "/>
    <x v="1"/>
    <n v="3211023"/>
    <m/>
    <m/>
    <m/>
  </r>
  <r>
    <x v="6"/>
    <x v="0"/>
    <s v="\\192.168.24.208\images\R&amp;D\Coralie\Triphenylphosphate\2021-CHG-CBA-TRIPHENYLP 2\plaque 1/@06 EE2 171/A6_02.tif "/>
    <s v=" 47975.1063 "/>
    <s v=" 75.3571 "/>
    <x v="1"/>
    <n v="3615264"/>
    <m/>
    <m/>
    <m/>
  </r>
  <r>
    <x v="6"/>
    <x v="0"/>
    <s v="\\192.168.24.208\images\R&amp;D\Coralie\Triphenylphosphate\2021-CHG-CBA-TRIPHENYLP 2\plaque 1/@06 EE2 171/A6_03.tif "/>
    <s v=" 46374.4941 "/>
    <s v=" 76.111 "/>
    <x v="1"/>
    <n v="3529609"/>
    <m/>
    <m/>
    <m/>
  </r>
  <r>
    <x v="6"/>
    <x v="1"/>
    <s v="\\192.168.24.208\images\R&amp;D\Coralie\Triphenylphosphate\2021-CHG-CBA-TRIPHENYLP 2\plaque 1/@06 EE2 171/B6_01- exclu.tif"/>
    <m/>
    <m/>
    <x v="0"/>
    <m/>
    <m/>
    <m/>
    <m/>
  </r>
  <r>
    <x v="6"/>
    <x v="1"/>
    <s v="\\192.168.24.208\images\R&amp;D\Coralie\Triphenylphosphate\2021-CHG-CBA-TRIPHENYLP 2\plaque 1/@06 EE2 171/B6_02- exclu.tif"/>
    <m/>
    <m/>
    <x v="0"/>
    <m/>
    <m/>
    <m/>
    <m/>
  </r>
  <r>
    <x v="6"/>
    <x v="1"/>
    <s v="\\192.168.24.208\images\R&amp;D\Coralie\Triphenylphosphate\2021-CHG-CBA-TRIPHENYLP 2\plaque 1/@06 EE2 171/B6_03- exclu.tif"/>
    <m/>
    <m/>
    <x v="0"/>
    <m/>
    <m/>
    <m/>
    <m/>
  </r>
  <r>
    <x v="6"/>
    <x v="2"/>
    <s v="\\192.168.24.208\images\R&amp;D\Coralie\Triphenylphosphate\2021-CHG-CBA-TRIPHENYLP 2\plaque 1/@06 EE2 171/C6_01.tif "/>
    <s v=" 47910.2166 "/>
    <s v=" 73.4781 "/>
    <x v="1"/>
    <n v="3520352"/>
    <m/>
    <m/>
    <m/>
  </r>
  <r>
    <x v="6"/>
    <x v="2"/>
    <s v="\\192.168.24.208\images\R&amp;D\Coralie\Triphenylphosphate\2021-CHG-CBA-TRIPHENYLP 2\plaque 1/@06 EE2 171/C6_02.tif "/>
    <s v=" 49943.4267 "/>
    <s v=" 73.0134 "/>
    <x v="1"/>
    <n v="3646541"/>
    <m/>
    <m/>
    <m/>
  </r>
  <r>
    <x v="6"/>
    <x v="2"/>
    <s v="\\192.168.24.208\images\R&amp;D\Coralie\Triphenylphosphate\2021-CHG-CBA-TRIPHENYLP 2\plaque 1/@06 EE2 171/C6_03.tif "/>
    <s v=" 38825.6609 "/>
    <s v=" 74.2295 "/>
    <x v="1"/>
    <n v="2882010"/>
    <m/>
    <m/>
    <m/>
  </r>
  <r>
    <x v="6"/>
    <x v="3"/>
    <s v="\\192.168.24.208\images\R&amp;D\Coralie\Triphenylphosphate\2021-CHG-CBA-TRIPHENYLP 2\plaque 1/@06 EE2 171/D6_01.tif "/>
    <s v=" 46763.8322 "/>
    <s v=" 80.8464 "/>
    <x v="1"/>
    <n v="3780689"/>
    <m/>
    <m/>
    <m/>
  </r>
  <r>
    <x v="6"/>
    <x v="3"/>
    <s v="\\192.168.24.208\images\R&amp;D\Coralie\Triphenylphosphate\2021-CHG-CBA-TRIPHENYLP 2\plaque 1/@06 EE2 171/D6_02.tif "/>
    <s v=" 45357.889 "/>
    <s v=" 80.6481 "/>
    <x v="1"/>
    <n v="3658026"/>
    <m/>
    <m/>
    <m/>
  </r>
  <r>
    <x v="6"/>
    <x v="3"/>
    <s v="\\192.168.24.208\images\R&amp;D\Coralie\Triphenylphosphate\2021-CHG-CBA-TRIPHENYLP 2\plaque 1/@06 EE2 171/D6_03.tif "/>
    <s v=" 46071.6756 "/>
    <s v=" 81.2934 "/>
    <x v="1"/>
    <n v="3745324"/>
    <m/>
    <m/>
    <m/>
  </r>
  <r>
    <x v="6"/>
    <x v="4"/>
    <s v="\\192.168.24.208\images\R&amp;D\Coralie\Triphenylphosphate\2021-CHG-CBA-TRIPHENYLP 2\plaque 1/@06 EE2 171/E6_01.tif "/>
    <s v=" 57167.8115 "/>
    <s v=" 78.6216 "/>
    <x v="1"/>
    <n v="4494627"/>
    <m/>
    <m/>
    <m/>
  </r>
  <r>
    <x v="6"/>
    <x v="4"/>
    <s v="\\192.168.24.208\images\R&amp;D\Coralie\Triphenylphosphate\2021-CHG-CBA-TRIPHENYLP 2\plaque 1/@06 EE2 171/E6_02.tif "/>
    <s v=" 58984.7227 "/>
    <s v=" 78.1863 "/>
    <x v="1"/>
    <n v="4611796"/>
    <m/>
    <m/>
    <m/>
  </r>
  <r>
    <x v="6"/>
    <x v="4"/>
    <s v="\\192.168.24.208\images\R&amp;D\Coralie\Triphenylphosphate\2021-CHG-CBA-TRIPHENYLP 2\plaque 1/@06 EE2 171/E6_03.tif "/>
    <s v=" 57275.961 "/>
    <s v=" 78.4977 "/>
    <x v="1"/>
    <n v="4496033"/>
    <m/>
    <m/>
    <m/>
  </r>
  <r>
    <x v="6"/>
    <x v="5"/>
    <s v="\\192.168.24.208\images\R&amp;D\Coralie\Triphenylphosphate\2021-CHG-CBA-TRIPHENYLP 2\plaque 1/@06 EE2 171/F6_01.tif "/>
    <s v=" 47499.2486 "/>
    <s v=" 72.9335 "/>
    <x v="1"/>
    <n v="3464287"/>
    <m/>
    <m/>
    <m/>
  </r>
  <r>
    <x v="6"/>
    <x v="5"/>
    <s v="\\192.168.24.208\images\R&amp;D\Coralie\Triphenylphosphate\2021-CHG-CBA-TRIPHENYLP 2\plaque 1/@06 EE2 171/F6_02.tif "/>
    <s v=" 43973.5758 "/>
    <s v=" 71.1476 "/>
    <x v="1"/>
    <n v="3128613"/>
    <m/>
    <m/>
    <m/>
  </r>
  <r>
    <x v="6"/>
    <x v="5"/>
    <s v="\\192.168.24.208\images\R&amp;D\Coralie\Triphenylphosphate\2021-CHG-CBA-TRIPHENYLP 2\plaque 1/@06 EE2 171/F6_03- exclu.tif"/>
    <m/>
    <m/>
    <x v="0"/>
    <m/>
    <m/>
    <m/>
    <m/>
  </r>
  <r>
    <x v="6"/>
    <x v="6"/>
    <s v="\\192.168.24.208\images\R&amp;D\Coralie\Triphenylphosphate\2021-CHG-CBA-TRIPHENYLP 2\plaque 1/@06 EE2 171/G6_01.tif "/>
    <s v=" 55134.6014 "/>
    <s v=" 77.3711 "/>
    <x v="1"/>
    <n v="4265826"/>
    <m/>
    <m/>
    <m/>
  </r>
  <r>
    <x v="6"/>
    <x v="6"/>
    <s v="\\192.168.24.208\images\R&amp;D\Coralie\Triphenylphosphate\2021-CHG-CBA-TRIPHENYLP 2\plaque 1/@06 EE2 171/G6_02.tif "/>
    <s v=" 53771.918 "/>
    <s v=" 77.5032 "/>
    <x v="1"/>
    <n v="4167497"/>
    <m/>
    <m/>
    <m/>
  </r>
  <r>
    <x v="6"/>
    <x v="6"/>
    <s v="\\192.168.24.208\images\R&amp;D\Coralie\Triphenylphosphate\2021-CHG-CBA-TRIPHENYLP 2\plaque 1/@06 EE2 171/G6_03.tif "/>
    <s v=" 48559.1134 "/>
    <s v=" 76.6566 "/>
    <x v="1"/>
    <n v="3722375"/>
    <m/>
    <m/>
    <m/>
  </r>
  <r>
    <x v="6"/>
    <x v="7"/>
    <s v="\\192.168.24.208\images\R&amp;D\Coralie\Triphenylphosphate\2021-CHG-CBA-TRIPHENYLP 2\plaque 1/@06 EE2 171/H6_01.tif "/>
    <s v=" 56670.3239 "/>
    <s v=" 71.9489 "/>
    <x v="1"/>
    <n v="4077365"/>
    <m/>
    <m/>
    <m/>
  </r>
  <r>
    <x v="6"/>
    <x v="7"/>
    <s v="\\192.168.24.208\images\R&amp;D\Coralie\Triphenylphosphate\2021-CHG-CBA-TRIPHENYLP 2\plaque 1/@06 EE2 171/H6_02.tif "/>
    <s v=" 53707.0284 "/>
    <s v=" 71.6935 "/>
    <x v="1"/>
    <n v="3850446"/>
    <m/>
    <m/>
    <m/>
  </r>
  <r>
    <x v="6"/>
    <x v="7"/>
    <s v="\\192.168.24.208\images\R&amp;D\Coralie\Triphenylphosphate\2021-CHG-CBA-TRIPHENYLP 2\plaque 1/@06 EE2 171/H6_03.tif "/>
    <s v=" 50722.1029 "/>
    <s v=" 71.3215 "/>
    <x v="1"/>
    <n v="3617578"/>
    <m/>
    <m/>
    <m/>
  </r>
  <r>
    <x v="1"/>
    <x v="8"/>
    <s v=" "/>
    <m/>
    <m/>
    <x v="0"/>
    <m/>
    <m/>
    <m/>
    <m/>
  </r>
  <r>
    <x v="1"/>
    <x v="8"/>
    <s v="group "/>
    <s v=" "/>
    <s v=" mean of mean fluo "/>
    <x v="2"/>
    <s v=" mean of total fluo "/>
    <s v=" SD total fluo "/>
    <s v=" n fluorescent "/>
    <s v=" n total"/>
  </r>
  <r>
    <x v="6"/>
    <x v="9"/>
    <s v="\\192.168.24.208\images\R&amp;D\Coralie\Triphenylphosphate\2021-CHG-CBA-TRIPHENYLP 2\plaque 1/@06 EE2 171/ "/>
    <s v=" "/>
    <s v=" 74.1358 "/>
    <x v="8"/>
    <s v=" 3267265.83 "/>
    <s v=" 1335719.1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7"/>
    <x v="0"/>
    <s v="\\192.168.24.208\images\R&amp;D\Coralie\Triphenylphosphate\2021-CHG-CBA-TRIPHENYLP 2\plaque 1/@07 EE2 488/A7_01.tif "/>
    <s v=" 71162.3533 "/>
    <s v=" 95.2182 "/>
    <x v="1"/>
    <n v="6775954"/>
    <m/>
    <m/>
    <m/>
  </r>
  <r>
    <x v="7"/>
    <x v="0"/>
    <s v="\\192.168.24.208\images\R&amp;D\Coralie\Triphenylphosphate\2021-CHG-CBA-TRIPHENYLP 2\plaque 1/@07 EE2 488/A7_02.tif "/>
    <s v=" 72114.0687 "/>
    <s v=" 93.5663 "/>
    <x v="1"/>
    <n v="6747446"/>
    <m/>
    <m/>
    <m/>
  </r>
  <r>
    <x v="7"/>
    <x v="0"/>
    <s v="\\192.168.24.208\images\R&amp;D\Coralie\Triphenylphosphate\2021-CHG-CBA-TRIPHENYLP 2\plaque 1/@07 EE2 488/A7_03.tif "/>
    <s v=" 73368.6026 "/>
    <s v=" 94.5321 "/>
    <x v="1"/>
    <n v="6935691"/>
    <m/>
    <m/>
    <m/>
  </r>
  <r>
    <x v="7"/>
    <x v="1"/>
    <s v="\\192.168.24.208\images\R&amp;D\Coralie\Triphenylphosphate\2021-CHG-CBA-TRIPHENYLP 2\plaque 1/@07 EE2 488/B7_01.tif "/>
    <s v=" 73152.3036 "/>
    <s v=" 82.613 "/>
    <x v="1"/>
    <n v="6043328"/>
    <m/>
    <m/>
    <m/>
  </r>
  <r>
    <x v="7"/>
    <x v="1"/>
    <s v="\\192.168.24.208\images\R&amp;D\Coralie\Triphenylphosphate\2021-CHG-CBA-TRIPHENYLP 2\plaque 1/@07 EE2 488/B7_02.tif "/>
    <s v=" 67571.7908 "/>
    <s v=" 82.8928 "/>
    <x v="1"/>
    <n v="5601213"/>
    <m/>
    <m/>
    <m/>
  </r>
  <r>
    <x v="7"/>
    <x v="1"/>
    <s v="\\192.168.24.208\images\R&amp;D\Coralie\Triphenylphosphate\2021-CHG-CBA-TRIPHENYLP 2\plaque 1/@07 EE2 488/B7_03.tif "/>
    <s v=" 68242.3176 "/>
    <s v=" 83.3658 "/>
    <x v="1"/>
    <n v="5689073"/>
    <m/>
    <m/>
    <m/>
  </r>
  <r>
    <x v="7"/>
    <x v="2"/>
    <s v="\\192.168.24.208\images\R&amp;D\Coralie\Triphenylphosphate\2021-CHG-CBA-TRIPHENYLP 2\plaque 1/@07 EE2 488/C7_01.tif "/>
    <s v=" 38284.9135 "/>
    <s v=" 94.1395 "/>
    <x v="1"/>
    <n v="3604124"/>
    <m/>
    <m/>
    <m/>
  </r>
  <r>
    <x v="7"/>
    <x v="2"/>
    <s v="\\192.168.24.208\images\R&amp;D\Coralie\Triphenylphosphate\2021-CHG-CBA-TRIPHENYLP 2\plaque 1/@07 EE2 488/C7_02.tif "/>
    <s v=" 37052.0095 "/>
    <s v=" 92.6025 "/>
    <x v="1"/>
    <n v="3431107"/>
    <m/>
    <m/>
    <m/>
  </r>
  <r>
    <x v="7"/>
    <x v="2"/>
    <s v="\\192.168.24.208\images\R&amp;D\Coralie\Triphenylphosphate\2021-CHG-CBA-TRIPHENYLP 2\plaque 1/@07 EE2 488/C7_03.tif "/>
    <s v=" 38284.9135 "/>
    <s v=" 94.7034 "/>
    <x v="1"/>
    <n v="3625711"/>
    <m/>
    <m/>
    <m/>
  </r>
  <r>
    <x v="7"/>
    <x v="3"/>
    <s v="\\192.168.24.208\images\R&amp;D\Coralie\Triphenylphosphate\2021-CHG-CBA-TRIPHENYLP 2\plaque 1/@07 EE2 488/D7_01.tif "/>
    <s v=" 51652.1884 "/>
    <s v=" 86.34 "/>
    <x v="1"/>
    <n v="4459652"/>
    <m/>
    <m/>
    <m/>
  </r>
  <r>
    <x v="7"/>
    <x v="3"/>
    <s v="\\192.168.24.208\images\R&amp;D\Coralie\Triphenylphosphate\2021-CHG-CBA-TRIPHENYLP 2\plaque 1/@07 EE2 488/D7_02- exclu.tif"/>
    <m/>
    <m/>
    <x v="0"/>
    <m/>
    <m/>
    <m/>
    <m/>
  </r>
  <r>
    <x v="7"/>
    <x v="3"/>
    <s v="\\192.168.24.208\images\R&amp;D\Coralie\Triphenylphosphate\2021-CHG-CBA-TRIPHENYLP 2\plaque 1/@07 EE2 488/D7_03.tif "/>
    <s v=" 51933.377 "/>
    <s v=" 86.1391 "/>
    <x v="1"/>
    <n v="4473495"/>
    <m/>
    <m/>
    <m/>
  </r>
  <r>
    <x v="7"/>
    <x v="4"/>
    <s v="\\192.168.24.208\images\R&amp;D\Coralie\Triphenylphosphate\2021-CHG-CBA-TRIPHENYLP 2\plaque 1/@07 EE2 488/E7_01.tif "/>
    <s v=" 62012.9079 "/>
    <s v=" 87.706 "/>
    <x v="1"/>
    <n v="5438902"/>
    <m/>
    <m/>
    <m/>
  </r>
  <r>
    <x v="7"/>
    <x v="4"/>
    <s v="\\192.168.24.208\images\R&amp;D\Coralie\Triphenylphosphate\2021-CHG-CBA-TRIPHENYLP 2\plaque 1/@07 EE2 488/E7_02.tif "/>
    <s v=" 57946.4877 "/>
    <s v=" 87.8705 "/>
    <x v="1"/>
    <n v="5091785"/>
    <m/>
    <m/>
    <m/>
  </r>
  <r>
    <x v="7"/>
    <x v="4"/>
    <s v="\\192.168.24.208\images\R&amp;D\Coralie\Triphenylphosphate\2021-CHG-CBA-TRIPHENYLP 2\plaque 1/@07 EE2 488/E7_03.tif "/>
    <s v=" 62575.2852 "/>
    <s v=" 87.5607 "/>
    <x v="1"/>
    <n v="5479133"/>
    <m/>
    <m/>
    <m/>
  </r>
  <r>
    <x v="7"/>
    <x v="5"/>
    <s v="\\192.168.24.208\images\R&amp;D\Coralie\Triphenylphosphate\2021-CHG-CBA-TRIPHENYLP 2\plaque 1/@07 EE2 488/F7_01.tif "/>
    <s v=" 79035.635 "/>
    <s v=" 93.9891 "/>
    <x v="1"/>
    <n v="7428484"/>
    <m/>
    <m/>
    <m/>
  </r>
  <r>
    <x v="7"/>
    <x v="5"/>
    <s v="\\192.168.24.208\images\R&amp;D\Coralie\Triphenylphosphate\2021-CHG-CBA-TRIPHENYLP 2\plaque 1/@07 EE2 488/F7_02.tif "/>
    <s v=" 70578.3462 "/>
    <s v=" 93.2605 "/>
    <x v="1"/>
    <n v="6582172"/>
    <m/>
    <m/>
    <m/>
  </r>
  <r>
    <x v="7"/>
    <x v="5"/>
    <s v="\\192.168.24.208\images\R&amp;D\Coralie\Triphenylphosphate\2021-CHG-CBA-TRIPHENYLP 2\plaque 1/@07 EE2 488/F7_03.tif "/>
    <s v=" 67874.6093 "/>
    <s v=" 96.6087 "/>
    <x v="1"/>
    <n v="6557276"/>
    <m/>
    <m/>
    <m/>
  </r>
  <r>
    <x v="7"/>
    <x v="6"/>
    <s v="\\192.168.24.208\images\R&amp;D\Coralie\Triphenylphosphate\2021-CHG-CBA-TRIPHENYLP 2\plaque 1/@07 EE2 488/G7_01.tif "/>
    <s v=" 64608.4953 "/>
    <s v=" 83.6224 "/>
    <x v="1"/>
    <n v="5402715"/>
    <m/>
    <m/>
    <m/>
  </r>
  <r>
    <x v="7"/>
    <x v="6"/>
    <s v="\\192.168.24.208\images\R&amp;D\Coralie\Triphenylphosphate\2021-CHG-CBA-TRIPHENYLP 2\plaque 1/@07 EE2 488/G7_02.tif "/>
    <s v=" 66079.3281 "/>
    <s v=" 82.7748 "/>
    <x v="1"/>
    <n v="5469703"/>
    <m/>
    <m/>
    <m/>
  </r>
  <r>
    <x v="7"/>
    <x v="6"/>
    <s v="\\192.168.24.208\images\R&amp;D\Coralie\Triphenylphosphate\2021-CHG-CBA-TRIPHENYLP 2\plaque 1/@07 EE2 488/G7_03.tif "/>
    <s v=" 62769.9542 "/>
    <s v=" 84.4618 "/>
    <x v="1"/>
    <n v="5301660"/>
    <m/>
    <m/>
    <m/>
  </r>
  <r>
    <x v="7"/>
    <x v="7"/>
    <s v="\\192.168.24.208\images\R&amp;D\Coralie\Triphenylphosphate\2021-CHG-CBA-TRIPHENYLP 2\plaque 1/@07 EE2 488/H7_01.tif "/>
    <s v=" 58573.7547 "/>
    <s v=" 104.2035 "/>
    <x v="1"/>
    <n v="6103589"/>
    <m/>
    <m/>
    <m/>
  </r>
  <r>
    <x v="7"/>
    <x v="7"/>
    <s v="\\192.168.24.208\images\R&amp;D\Coralie\Triphenylphosphate\2021-CHG-CBA-TRIPHENYLP 2\plaque 1/@07 EE2 488/H7_02.tif "/>
    <s v=" 53533.9892 "/>
    <s v=" 104.6844 "/>
    <x v="1"/>
    <n v="5604176"/>
    <m/>
    <m/>
    <m/>
  </r>
  <r>
    <x v="7"/>
    <x v="7"/>
    <s v="\\192.168.24.208\images\R&amp;D\Coralie\Triphenylphosphate\2021-CHG-CBA-TRIPHENYLP 2\plaque 1/@07 EE2 488/H7_03.tif "/>
    <s v=" 58270.9361 "/>
    <s v=" 101.3422 "/>
    <x v="1"/>
    <n v="5905307"/>
    <m/>
    <m/>
    <m/>
  </r>
  <r>
    <x v="1"/>
    <x v="8"/>
    <s v=" "/>
    <m/>
    <m/>
    <x v="0"/>
    <m/>
    <m/>
    <m/>
    <m/>
  </r>
  <r>
    <x v="1"/>
    <x v="8"/>
    <s v="group "/>
    <s v=" "/>
    <s v=" mean of mean fluo "/>
    <x v="2"/>
    <s v=" mean of total fluo "/>
    <s v=" SD total fluo "/>
    <s v=" n fluorescent "/>
    <s v=" n total"/>
  </r>
  <r>
    <x v="7"/>
    <x v="9"/>
    <s v="\\192.168.24.208\images\R&amp;D\Coralie\Triphenylphosphate\2021-CHG-CBA-TRIPHENYLP 2\plaque 1/@07 EE2 488/ "/>
    <s v=" "/>
    <s v=" 90.6835 "/>
    <x v="9"/>
    <s v=" 5507173.08 "/>
    <s v=" 1084322.6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8"/>
    <x v="0"/>
    <s v="\\192.168.24.208\images\R&amp;D\Coralie\Triphenylphosphate\2021-CHG-CBA-TRIPHENYLP 2\plaque 1/@08 TriphenylP 0.18/A8_01.tif "/>
    <s v=" 3028.1852 "/>
    <s v=" 66.5357 "/>
    <x v="1"/>
    <n v="201482"/>
    <m/>
    <m/>
    <m/>
  </r>
  <r>
    <x v="8"/>
    <x v="0"/>
    <s v="\\192.168.24.208\images\R&amp;D\Coralie\Triphenylphosphate\2021-CHG-CBA-TRIPHENYLP 2\plaque 1/@08 TriphenylP 0.18/A8_02.tif "/>
    <s v=" 6899.9364 "/>
    <s v=" 68.0376 "/>
    <x v="1"/>
    <n v="469455"/>
    <m/>
    <m/>
    <m/>
  </r>
  <r>
    <x v="8"/>
    <x v="0"/>
    <s v="\\192.168.24.208\images\R&amp;D\Coralie\Triphenylphosphate\2021-CHG-CBA-TRIPHENYLP 2\plaque 1/@08 TriphenylP 0.18/A8_03.tif "/>
    <s v=" 4693.6871 "/>
    <s v=" 68.2166 "/>
    <x v="1"/>
    <n v="320187"/>
    <m/>
    <m/>
    <m/>
  </r>
  <r>
    <x v="8"/>
    <x v="1"/>
    <s v="\\192.168.24.208\images\R&amp;D\Coralie\Triphenylphosphate\2021-CHG-CBA-TRIPHENYLP 2\plaque 1/@08 TriphenylP 0.18/B8_01.tif "/>
    <s v=" 5018.1356 "/>
    <s v=" 66.3621 "/>
    <x v="1"/>
    <n v="333014"/>
    <m/>
    <m/>
    <m/>
  </r>
  <r>
    <x v="8"/>
    <x v="1"/>
    <s v="\\192.168.24.208\images\R&amp;D\Coralie\Triphenylphosphate\2021-CHG-CBA-TRIPHENYLP 2\plaque 1/@08 TriphenylP 0.18/B8_02.tif "/>
    <s v=" 5126.285 "/>
    <s v=" 68.1519 "/>
    <x v="1"/>
    <n v="349366"/>
    <m/>
    <m/>
    <m/>
  </r>
  <r>
    <x v="8"/>
    <x v="1"/>
    <s v="\\192.168.24.208\images\R&amp;D\Coralie\Triphenylphosphate\2021-CHG-CBA-TRIPHENYLP 2\plaque 1/@08 TriphenylP 0.18/B8_03- exclu.tif"/>
    <m/>
    <m/>
    <x v="0"/>
    <m/>
    <m/>
    <m/>
    <m/>
  </r>
  <r>
    <x v="8"/>
    <x v="2"/>
    <s v="\\192.168.24.208\images\R&amp;D\Coralie\Triphenylphosphate\2021-CHG-CBA-TRIPHENYLP 2\plaque 1/@08 TriphenylP 0.18/C8_01.tif "/>
    <s v=" 7267.6446 "/>
    <s v=" 65.3393 "/>
    <x v="1"/>
    <n v="474863"/>
    <m/>
    <m/>
    <m/>
  </r>
  <r>
    <x v="8"/>
    <x v="2"/>
    <s v="\\192.168.24.208\images\R&amp;D\Coralie\Triphenylphosphate\2021-CHG-CBA-TRIPHENYLP 2\plaque 1/@08 TriphenylP 0.18/C8_02.tif "/>
    <s v=" 2314.3987 "/>
    <s v=" 62.7477 "/>
    <x v="1"/>
    <n v="145223"/>
    <m/>
    <m/>
    <m/>
  </r>
  <r>
    <x v="8"/>
    <x v="2"/>
    <s v="\\192.168.24.208\images\R&amp;D\Coralie\Triphenylphosphate\2021-CHG-CBA-TRIPHENYLP 2\plaque 1/@08 TriphenylP 0.18/C8_03.tif "/>
    <s v=" 6943.1962 "/>
    <s v=" 65.8224 "/>
    <x v="1"/>
    <n v="457018"/>
    <m/>
    <m/>
    <m/>
  </r>
  <r>
    <x v="8"/>
    <x v="3"/>
    <s v="\\192.168.24.208\images\R&amp;D\Coralie\Triphenylphosphate\2021-CHG-CBA-TRIPHENYLP 2\plaque 1/@08 TriphenylP 0.18/D8_01.tif "/>
    <s v=" 4974.8758 "/>
    <s v=" 68.8217 "/>
    <x v="1"/>
    <n v="342380"/>
    <m/>
    <m/>
    <m/>
  </r>
  <r>
    <x v="8"/>
    <x v="3"/>
    <s v="\\192.168.24.208\images\R&amp;D\Coralie\Triphenylphosphate\2021-CHG-CBA-TRIPHENYLP 2\plaque 1/@08 TriphenylP 0.18/D8_02.tif "/>
    <s v=" 8933.1465 "/>
    <s v=" 71.0508 "/>
    <x v="1"/>
    <n v="634708"/>
    <m/>
    <m/>
    <m/>
  </r>
  <r>
    <x v="8"/>
    <x v="3"/>
    <s v="\\192.168.24.208\images\R&amp;D\Coralie\Triphenylphosphate\2021-CHG-CBA-TRIPHENYLP 2\plaque 1/@08 TriphenylP 0.18/D8_03.tif "/>
    <s v=" 7137.8652 "/>
    <s v=" 67.4636 "/>
    <x v="1"/>
    <n v="481546"/>
    <m/>
    <m/>
    <m/>
  </r>
  <r>
    <x v="8"/>
    <x v="4"/>
    <s v="\\192.168.24.208\images\R&amp;D\Coralie\Triphenylphosphate\2021-CHG-CBA-TRIPHENYLP 2\plaque 1/@08 TriphenylP 0.18/E8_01.tif "/>
    <s v=" 4909.9861 "/>
    <s v=" 72.5507 "/>
    <x v="1"/>
    <n v="356223"/>
    <m/>
    <m/>
    <m/>
  </r>
  <r>
    <x v="8"/>
    <x v="4"/>
    <s v="\\192.168.24.208\images\R&amp;D\Coralie\Triphenylphosphate\2021-CHG-CBA-TRIPHENYLP 2\plaque 1/@08 TriphenylP 0.18/E8_02.tif "/>
    <s v=" 5818.4417 "/>
    <s v=" 71.0446 "/>
    <x v="1"/>
    <n v="413369"/>
    <m/>
    <m/>
    <m/>
  </r>
  <r>
    <x v="8"/>
    <x v="4"/>
    <s v="\\192.168.24.208\images\R&amp;D\Coralie\Triphenylphosphate\2021-CHG-CBA-TRIPHENYLP 2\plaque 1/@08 TriphenylP 0.18/E8_03.tif "/>
    <s v=" 1016.605 "/>
    <s v=" 67.1277 "/>
    <x v="1"/>
    <n v="68242"/>
    <m/>
    <m/>
    <m/>
  </r>
  <r>
    <x v="8"/>
    <x v="5"/>
    <s v="\\192.168.24.208\images\R&amp;D\Coralie\Triphenylphosphate\2021-CHG-CBA-TRIPHENYLP 2\plaque 1/@08 TriphenylP 0.18/F8_01.tif "/>
    <s v=" 5407.4737 "/>
    <s v=" 64.984 "/>
    <x v="1"/>
    <n v="351399"/>
    <m/>
    <m/>
    <m/>
  </r>
  <r>
    <x v="8"/>
    <x v="5"/>
    <s v="\\192.168.24.208\images\R&amp;D\Coralie\Triphenylphosphate\2021-CHG-CBA-TRIPHENYLP 2\plaque 1/@08 TriphenylP 0.18/F8_02.tif "/>
    <s v=" 7613.7229 "/>
    <s v=" 64.8551 "/>
    <x v="1"/>
    <n v="493789"/>
    <m/>
    <m/>
    <m/>
  </r>
  <r>
    <x v="8"/>
    <x v="5"/>
    <s v="\\192.168.24.208\images\R&amp;D\Coralie\Triphenylphosphate\2021-CHG-CBA-TRIPHENYLP 2\plaque 1/@08 TriphenylP 0.18/F8_03.tif "/>
    <s v=" 11939.7018 "/>
    <s v=" 66.6902 "/>
    <x v="1"/>
    <n v="796261"/>
    <m/>
    <m/>
    <m/>
  </r>
  <r>
    <x v="8"/>
    <x v="6"/>
    <s v="\\192.168.24.208\images\R&amp;D\Coralie\Triphenylphosphate\2021-CHG-CBA-TRIPHENYLP 2\plaque 1/@08 TriphenylP 0.18/G8_01.tif "/>
    <s v=" 10966.3566 "/>
    <s v=" 67.5187 "/>
    <x v="1"/>
    <n v="740435"/>
    <m/>
    <m/>
    <m/>
  </r>
  <r>
    <x v="8"/>
    <x v="6"/>
    <s v="\\192.168.24.208\images\R&amp;D\Coralie\Triphenylphosphate\2021-CHG-CBA-TRIPHENYLP 2\plaque 1/@08 TriphenylP 0.18/G8_02.tif "/>
    <s v=" 9430.6341 "/>
    <s v=" 66.5367 "/>
    <x v="1"/>
    <n v="627483"/>
    <m/>
    <m/>
    <m/>
  </r>
  <r>
    <x v="8"/>
    <x v="6"/>
    <s v="\\192.168.24.208\images\R&amp;D\Coralie\Triphenylphosphate\2021-CHG-CBA-TRIPHENYLP 2\plaque 1/@08 TriphenylP 0.18/G8_03.tif "/>
    <s v=" 11507.1039 "/>
    <s v=" 67.7594 "/>
    <x v="1"/>
    <n v="779714"/>
    <m/>
    <m/>
    <m/>
  </r>
  <r>
    <x v="8"/>
    <x v="7"/>
    <s v="\\192.168.24.208\images\R&amp;D\Coralie\Triphenylphosphate\2021-CHG-CBA-TRIPHENYLP 2\plaque 1/@08 TriphenylP 0.18/H8_01.tif "/>
    <s v=" 6034.7406 "/>
    <s v=" 69.4301 "/>
    <x v="1"/>
    <n v="418993"/>
    <m/>
    <m/>
    <m/>
  </r>
  <r>
    <x v="8"/>
    <x v="7"/>
    <s v="\\192.168.24.208\images\R&amp;D\Coralie\Triphenylphosphate\2021-CHG-CBA-TRIPHENYLP 2\plaque 1/@08 TriphenylP 0.18/H8_02.tif "/>
    <s v=" 5429.1036 "/>
    <s v=" 69.1235 "/>
    <x v="1"/>
    <n v="375279"/>
    <m/>
    <m/>
    <m/>
  </r>
  <r>
    <x v="8"/>
    <x v="7"/>
    <s v="\\192.168.24.208\images\R&amp;D\Coralie\Triphenylphosphate\2021-CHG-CBA-TRIPHENYLP 2\plaque 1/@08 TriphenylP 0.18/H8_03.tif "/>
    <s v=" 1168.0143 "/>
    <s v=" 63.5556 "/>
    <x v="1"/>
    <n v="74234"/>
    <m/>
    <m/>
    <m/>
  </r>
  <r>
    <x v="1"/>
    <x v="8"/>
    <s v=" "/>
    <m/>
    <m/>
    <x v="0"/>
    <m/>
    <m/>
    <m/>
    <m/>
  </r>
  <r>
    <x v="1"/>
    <x v="8"/>
    <s v="group "/>
    <s v=" "/>
    <s v=" mean of mean fluo "/>
    <x v="2"/>
    <s v=" mean of total fluo "/>
    <s v=" SD total fluo "/>
    <s v=" n fluorescent "/>
    <s v=" n total"/>
  </r>
  <r>
    <x v="8"/>
    <x v="9"/>
    <s v="\\192.168.24.208\images\R&amp;D\Coralie\Triphenylphosphate\2021-CHG-CBA-TRIPHENYLP 2\plaque 1/@08 TriphenylP 0.18/ "/>
    <s v=" "/>
    <s v=" 67.191 "/>
    <x v="10"/>
    <s v=" 405947.167 "/>
    <s v=" 211196.01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9"/>
    <x v="0"/>
    <s v="\\192.168.24.208\images\R&amp;D\Coralie\Triphenylphosphate\2021-CHG-CBA-TRIPHENYLP 2\plaque 1/@09 TriphenylP 0.26/A9_01- exclu.tif"/>
    <m/>
    <m/>
    <x v="0"/>
    <m/>
    <m/>
    <m/>
    <m/>
  </r>
  <r>
    <x v="9"/>
    <x v="0"/>
    <s v="\\192.168.24.208\images\R&amp;D\Coralie\Triphenylphosphate\2021-CHG-CBA-TRIPHENYLP 2\plaque 1/@09 TriphenylP 0.26/A9_02- exclu.tif"/>
    <m/>
    <m/>
    <x v="0"/>
    <m/>
    <m/>
    <m/>
    <m/>
  </r>
  <r>
    <x v="9"/>
    <x v="0"/>
    <s v="\\192.168.24.208\images\R&amp;D\Coralie\Triphenylphosphate\2021-CHG-CBA-TRIPHENYLP 2\plaque 1/@09 TriphenylP 0.26/A9_03- exclu.tif"/>
    <m/>
    <m/>
    <x v="0"/>
    <m/>
    <m/>
    <m/>
    <m/>
  </r>
  <r>
    <x v="9"/>
    <x v="1"/>
    <s v="\\192.168.24.208\images\R&amp;D\Coralie\Triphenylphosphate\2021-CHG-CBA-TRIPHENYLP 2\plaque 1/@09 TriphenylP 0.26/B9_01.tif "/>
    <s v=" 951.7154 "/>
    <s v=" 63.7273 "/>
    <x v="1"/>
    <n v="60650"/>
    <m/>
    <m/>
    <m/>
  </r>
  <r>
    <x v="9"/>
    <x v="1"/>
    <s v="\\192.168.24.208\images\R&amp;D\Coralie\Triphenylphosphate\2021-CHG-CBA-TRIPHENYLP 2\plaque 1/@09 TriphenylP 0.26/B9_02.tif "/>
    <s v=" 951.7154 "/>
    <s v=" 63.7273 "/>
    <x v="1"/>
    <n v="60650"/>
    <m/>
    <m/>
    <m/>
  </r>
  <r>
    <x v="9"/>
    <x v="1"/>
    <s v="\\192.168.24.208\images\R&amp;D\Coralie\Triphenylphosphate\2021-CHG-CBA-TRIPHENYLP 2\plaque 1/@09 TriphenylP 0.26/B9_03.tif "/>
    <s v=" 1297.7937 "/>
    <s v=" 64.2 "/>
    <x v="1"/>
    <n v="83318"/>
    <m/>
    <m/>
    <m/>
  </r>
  <r>
    <x v="9"/>
    <x v="2"/>
    <s v="\\192.168.24.208\images\R&amp;D\Coralie\Triphenylphosphate\2021-CHG-CBA-TRIPHENYLP 2\plaque 1/@09 TriphenylP 0.26/C9_01.tif "/>
    <s v=" 8154.4703 "/>
    <s v=" 66.3793 "/>
    <x v="1"/>
    <n v="541288"/>
    <m/>
    <m/>
    <m/>
  </r>
  <r>
    <x v="9"/>
    <x v="2"/>
    <s v="\\192.168.24.208\images\R&amp;D\Coralie\Triphenylphosphate\2021-CHG-CBA-TRIPHENYLP 2\plaque 1/@09 TriphenylP 0.26/C9_02.tif "/>
    <s v=" 12004.5915 "/>
    <s v=" 72.0937 "/>
    <x v="1"/>
    <n v="865455"/>
    <m/>
    <m/>
    <m/>
  </r>
  <r>
    <x v="9"/>
    <x v="2"/>
    <s v="\\192.168.24.208\images\R&amp;D\Coralie\Triphenylphosphate\2021-CHG-CBA-TRIPHENYLP 2\plaque 1/@09 TriphenylP 0.26/C9_03.tif "/>
    <s v=" 12393.9296 "/>
    <s v=" 74.4782 "/>
    <x v="1"/>
    <n v="923077"/>
    <m/>
    <m/>
    <m/>
  </r>
  <r>
    <x v="9"/>
    <x v="3"/>
    <s v="\\192.168.24.208\images\R&amp;D\Coralie\Triphenylphosphate\2021-CHG-CBA-TRIPHENYLP 2\plaque 1/@09 TriphenylP 0.26/D9_01.tif "/>
    <s v=" 4347.6088 "/>
    <s v=" 76.791 "/>
    <x v="1"/>
    <n v="333857"/>
    <m/>
    <m/>
    <m/>
  </r>
  <r>
    <x v="9"/>
    <x v="3"/>
    <s v="\\192.168.24.208\images\R&amp;D\Coralie\Triphenylphosphate\2021-CHG-CBA-TRIPHENYLP 2\plaque 1/@09 TriphenylP 0.26/D9_02- exclu.tif"/>
    <m/>
    <m/>
    <x v="0"/>
    <m/>
    <m/>
    <m/>
    <m/>
  </r>
  <r>
    <x v="9"/>
    <x v="3"/>
    <s v="\\192.168.24.208\images\R&amp;D\Coralie\Triphenylphosphate\2021-CHG-CBA-TRIPHENYLP 2\plaque 1/@09 TriphenylP 0.26/D9_03.tif "/>
    <s v=" 1470.8328 "/>
    <s v=" 64.6765 "/>
    <x v="1"/>
    <n v="95128"/>
    <m/>
    <m/>
    <m/>
  </r>
  <r>
    <x v="9"/>
    <x v="4"/>
    <s v="\\192.168.24.208\images\R&amp;D\Coralie\Triphenylphosphate\2021-CHG-CBA-TRIPHENYLP 2\plaque 1/@09 TriphenylP 0.26/E9_01.tif "/>
    <s v=" 843.5659 "/>
    <s v=" 63.1538 "/>
    <x v="1"/>
    <n v="53274"/>
    <m/>
    <m/>
    <m/>
  </r>
  <r>
    <x v="9"/>
    <x v="4"/>
    <s v="\\192.168.24.208\images\R&amp;D\Coralie\Triphenylphosphate\2021-CHG-CBA-TRIPHENYLP 2\plaque 1/@09 TriphenylP 0.26/E9_02.tif "/>
    <s v=" 1427.573 "/>
    <s v=" 63.4394 "/>
    <x v="1"/>
    <n v="90564"/>
    <m/>
    <m/>
    <m/>
  </r>
  <r>
    <x v="9"/>
    <x v="4"/>
    <s v="\\192.168.24.208\images\R&amp;D\Coralie\Triphenylphosphate\2021-CHG-CBA-TRIPHENYLP 2\plaque 1/@09 TriphenylP 0.26/E9_03.tif "/>
    <s v=" 1492.4627 "/>
    <s v=" 63.3913 "/>
    <x v="1"/>
    <n v="94609"/>
    <m/>
    <m/>
    <m/>
  </r>
  <r>
    <x v="9"/>
    <x v="5"/>
    <s v="\\192.168.24.208\images\R&amp;D\Coralie\Triphenylphosphate\2021-CHG-CBA-TRIPHENYLP 2\plaque 1/@09 TriphenylP 0.26/F9_01.tif "/>
    <s v=" 3179.5945 "/>
    <s v=" 64.9456 "/>
    <x v="1"/>
    <n v="206501"/>
    <m/>
    <m/>
    <m/>
  </r>
  <r>
    <x v="9"/>
    <x v="5"/>
    <s v="\\192.168.24.208\images\R&amp;D\Coralie\Triphenylphosphate\2021-CHG-CBA-TRIPHENYLP 2\plaque 1/@09 TriphenylP 0.26/F9_02.tif "/>
    <s v=" 2876.776 "/>
    <s v=" 65.2256 "/>
    <x v="1"/>
    <n v="187639"/>
    <m/>
    <m/>
    <m/>
  </r>
  <r>
    <x v="9"/>
    <x v="5"/>
    <s v="\\192.168.24.208\images\R&amp;D\Coralie\Triphenylphosphate\2021-CHG-CBA-TRIPHENYLP 2\plaque 1/@09 TriphenylP 0.26/F9_03- exclu.tif"/>
    <m/>
    <m/>
    <x v="0"/>
    <m/>
    <m/>
    <m/>
    <m/>
  </r>
  <r>
    <x v="9"/>
    <x v="6"/>
    <s v="\\192.168.24.208\images\R&amp;D\Coralie\Triphenylphosphate\2021-CHG-CBA-TRIPHENYLP 2\plaque 1/@09 TriphenylP 0.26/G9_01.tif "/>
    <s v=" 8262.6197 "/>
    <s v=" 66.0969 "/>
    <x v="1"/>
    <n v="546133"/>
    <m/>
    <m/>
    <m/>
  </r>
  <r>
    <x v="9"/>
    <x v="6"/>
    <s v="\\192.168.24.208\images\R&amp;D\Coralie\Triphenylphosphate\2021-CHG-CBA-TRIPHENYLP 2\plaque 1/@09 TriphenylP 0.26/G9_02.tif "/>
    <s v=" 5039.7654 "/>
    <s v=" 65.5236 "/>
    <x v="1"/>
    <n v="330224"/>
    <m/>
    <m/>
    <m/>
  </r>
  <r>
    <x v="9"/>
    <x v="6"/>
    <s v="\\192.168.24.208\images\R&amp;D\Coralie\Triphenylphosphate\2021-CHG-CBA-TRIPHENYLP 2\plaque 1/@09 TriphenylP 0.26/G9_03.tif "/>
    <s v=" 5364.2139 "/>
    <s v=" 65.6331 "/>
    <x v="1"/>
    <n v="352070"/>
    <m/>
    <m/>
    <m/>
  </r>
  <r>
    <x v="9"/>
    <x v="7"/>
    <s v="\\192.168.24.208\images\R&amp;D\Coralie\Triphenylphosphate\2021-CHG-CBA-TRIPHENYLP 2\plaque 1/@09 TriphenylP 0.26/H9_01.tif "/>
    <s v=" 9452.264 "/>
    <s v=" 66.9931 "/>
    <x v="1"/>
    <n v="633237"/>
    <m/>
    <m/>
    <m/>
  </r>
  <r>
    <x v="9"/>
    <x v="7"/>
    <s v="\\192.168.24.208\images\R&amp;D\Coralie\Triphenylphosphate\2021-CHG-CBA-TRIPHENYLP 2\plaque 1/@09 TriphenylP 0.26/H9_02- exclu.tif"/>
    <m/>
    <m/>
    <x v="0"/>
    <m/>
    <m/>
    <m/>
    <m/>
  </r>
  <r>
    <x v="9"/>
    <x v="7"/>
    <s v="\\192.168.24.208\images\R&amp;D\Coralie\Triphenylphosphate\2021-CHG-CBA-TRIPHENYLP 2\plaque 1/@09 TriphenylP 0.26/H9_03.tif "/>
    <s v=" 1925.0606 "/>
    <s v=" 63.427 "/>
    <x v="1"/>
    <n v="122101"/>
    <m/>
    <m/>
    <m/>
  </r>
  <r>
    <x v="1"/>
    <x v="8"/>
    <s v=" "/>
    <m/>
    <m/>
    <x v="0"/>
    <m/>
    <m/>
    <m/>
    <m/>
  </r>
  <r>
    <x v="1"/>
    <x v="8"/>
    <s v="group "/>
    <s v=" "/>
    <s v=" mean of mean fluo "/>
    <x v="2"/>
    <s v=" mean of total fluo "/>
    <s v=" SD total fluo "/>
    <s v=" n fluorescent "/>
    <s v=" n total"/>
  </r>
  <r>
    <x v="9"/>
    <x v="9"/>
    <s v="\\192.168.24.208\images\R&amp;D\Coralie\Triphenylphosphate\2021-CHG-CBA-TRIPHENYLP 2\plaque 1/@09 TriphenylP 0.26/ "/>
    <s v=" "/>
    <s v=" 66.4067 "/>
    <x v="11"/>
    <s v=" 302327.208 "/>
    <s v=" 259701.96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0"/>
    <x v="0"/>
    <s v="\\192.168.24.208\images\R&amp;D\Coralie\Triphenylphosphate\2021-CHG-CBA-TRIPHENYLP 2\plaque 1/@10 TriphenylP 0.4/A10_01.tif "/>
    <s v=" 3093.0749 "/>
    <s v=" 65.986 "/>
    <x v="1"/>
    <n v="204100"/>
    <m/>
    <m/>
    <m/>
  </r>
  <r>
    <x v="10"/>
    <x v="0"/>
    <s v="\\192.168.24.208\images\R&amp;D\Coralie\Triphenylphosphate\2021-CHG-CBA-TRIPHENYLP 2\plaque 1/@10 TriphenylP 0.4/A10_02- exclu.tif"/>
    <m/>
    <m/>
    <x v="0"/>
    <m/>
    <m/>
    <m/>
    <m/>
  </r>
  <r>
    <x v="10"/>
    <x v="0"/>
    <s v="\\192.168.24.208\images\R&amp;D\Coralie\Triphenylphosphate\2021-CHG-CBA-TRIPHENYLP 2\plaque 1/@10 TriphenylP 0.4/A10_03.tif "/>
    <s v=" 1103.1246 "/>
    <s v=" 64.1373 "/>
    <x v="1"/>
    <n v="70751"/>
    <m/>
    <m/>
    <m/>
  </r>
  <r>
    <x v="10"/>
    <x v="1"/>
    <s v="\\192.168.24.208\images\R&amp;D\Coralie\Triphenylphosphate\2021-CHG-CBA-TRIPHENYLP 2\plaque 1/@10 TriphenylP 0.4/B10_01.tif "/>
    <s v=" 3915.0109 "/>
    <s v=" 64.989 "/>
    <x v="1"/>
    <n v="254432"/>
    <m/>
    <m/>
    <m/>
  </r>
  <r>
    <x v="10"/>
    <x v="1"/>
    <s v="\\192.168.24.208\images\R&amp;D\Coralie\Triphenylphosphate\2021-CHG-CBA-TRIPHENYLP 2\plaque 1/@10 TriphenylP 0.4/B10_02.tif "/>
    <s v=" 4542.2779 "/>
    <s v=" 64.6905 "/>
    <x v="1"/>
    <n v="293842"/>
    <m/>
    <m/>
    <m/>
  </r>
  <r>
    <x v="10"/>
    <x v="1"/>
    <s v="\\192.168.24.208\images\R&amp;D\Coralie\Triphenylphosphate\2021-CHG-CBA-TRIPHENYLP 2\plaque 1/@10 TriphenylP 0.4/B10_03.tif "/>
    <s v=" 3439.1532 "/>
    <s v=" 65.7358 "/>
    <x v="1"/>
    <n v="226076"/>
    <m/>
    <m/>
    <m/>
  </r>
  <r>
    <x v="10"/>
    <x v="2"/>
    <s v="\\192.168.24.208\images\R&amp;D\Coralie\Triphenylphosphate\2021-CHG-CBA-TRIPHENYLP 2\plaque 1/@10 TriphenylP 0.4/C10_01.tif "/>
    <s v=" 3850.1212 "/>
    <s v=" 67.0056 "/>
    <x v="1"/>
    <n v="257980"/>
    <m/>
    <m/>
    <m/>
  </r>
  <r>
    <x v="10"/>
    <x v="2"/>
    <s v="\\192.168.24.208\images\R&amp;D\Coralie\Triphenylphosphate\2021-CHG-CBA-TRIPHENYLP 2\plaque 1/@10 TriphenylP 0.4/C10_02.tif "/>
    <s v=" 3698.712 "/>
    <s v=" 68.0409 "/>
    <x v="1"/>
    <n v="251664"/>
    <m/>
    <m/>
    <m/>
  </r>
  <r>
    <x v="10"/>
    <x v="2"/>
    <s v="\\192.168.24.208\images\R&amp;D\Coralie\Triphenylphosphate\2021-CHG-CBA-TRIPHENYLP 2\plaque 1/@10 TriphenylP 0.4/C10_03.tif "/>
    <s v=" 735.4164 "/>
    <s v=" 63.3529 "/>
    <x v="1"/>
    <n v="46591"/>
    <m/>
    <m/>
    <m/>
  </r>
  <r>
    <x v="10"/>
    <x v="3"/>
    <s v="\\192.168.24.208\images\R&amp;D\Coralie\Triphenylphosphate\2021-CHG-CBA-TRIPHENYLP 2\plaque 1/@10 TriphenylP 0.4/D10_01.tif "/>
    <s v=" 3828.4913 "/>
    <s v=" 65.6949 "/>
    <x v="1"/>
    <n v="251512"/>
    <m/>
    <m/>
    <m/>
  </r>
  <r>
    <x v="10"/>
    <x v="3"/>
    <s v="\\192.168.24.208\images\R&amp;D\Coralie\Triphenylphosphate\2021-CHG-CBA-TRIPHENYLP 2\plaque 1/@10 TriphenylP 0.4/D10_02.tif "/>
    <s v=" 2638.8471 "/>
    <s v=" 64.1393 "/>
    <x v="1"/>
    <n v="169254"/>
    <m/>
    <m/>
    <m/>
  </r>
  <r>
    <x v="10"/>
    <x v="3"/>
    <s v="\\192.168.24.208\images\R&amp;D\Coralie\Triphenylphosphate\2021-CHG-CBA-TRIPHENYLP 2\plaque 1/@10 TriphenylP 0.4/D10_03.tif "/>
    <s v=" 3028.1852 "/>
    <s v=" 64.8071 "/>
    <x v="1"/>
    <n v="196248"/>
    <m/>
    <m/>
    <m/>
  </r>
  <r>
    <x v="10"/>
    <x v="4"/>
    <s v="\\192.168.24.208\images\R&amp;D\Coralie\Triphenylphosphate\2021-CHG-CBA-TRIPHENYLP 2\plaque 1/@10 TriphenylP 0.4/E10_01.tif "/>
    <s v=" 10771.6875 "/>
    <s v=" 66.7892 "/>
    <x v="1"/>
    <n v="719432"/>
    <m/>
    <m/>
    <m/>
  </r>
  <r>
    <x v="10"/>
    <x v="4"/>
    <s v="\\192.168.24.208\images\R&amp;D\Coralie\Triphenylphosphate\2021-CHG-CBA-TRIPHENYLP 2\plaque 1/@10 TriphenylP 0.4/E10_02.tif "/>
    <s v=" 9322.4846 "/>
    <s v=" 66.3039 "/>
    <x v="1"/>
    <n v="618117"/>
    <m/>
    <m/>
    <m/>
  </r>
  <r>
    <x v="10"/>
    <x v="4"/>
    <s v="\\192.168.24.208\images\R&amp;D\Coralie\Triphenylphosphate\2021-CHG-CBA-TRIPHENYLP 2\plaque 1/@10 TriphenylP 0.4/E10_03.tif "/>
    <s v=" 8197.7301 "/>
    <s v=" 65.5462 "/>
    <x v="1"/>
    <n v="537330"/>
    <m/>
    <m/>
    <m/>
  </r>
  <r>
    <x v="10"/>
    <x v="5"/>
    <s v="\\192.168.24.208\images\R&amp;D\Coralie\Triphenylphosphate\2021-CHG-CBA-TRIPHENYLP 2\plaque 1/@10 TriphenylP 0.4/F10_01.tif "/>
    <s v=" 5602.1427 "/>
    <s v=" 64.8919 "/>
    <x v="1"/>
    <n v="363534"/>
    <m/>
    <m/>
    <m/>
  </r>
  <r>
    <x v="10"/>
    <x v="5"/>
    <s v="\\192.168.24.208\images\R&amp;D\Coralie\Triphenylphosphate\2021-CHG-CBA-TRIPHENYLP 2\plaque 1/@10 TriphenylP 0.4/F10_02.tif "/>
    <s v=" 2465.808 "/>
    <s v=" 64.7982 "/>
    <x v="1"/>
    <n v="159780"/>
    <m/>
    <m/>
    <m/>
  </r>
  <r>
    <x v="10"/>
    <x v="5"/>
    <s v="\\192.168.24.208\images\R&amp;D\Coralie\Triphenylphosphate\2021-CHG-CBA-TRIPHENYLP 2\plaque 1/@10 TriphenylP 0.4/F10_03.tif "/>
    <s v=" 3979.9006 "/>
    <s v=" 66.1196 "/>
    <x v="1"/>
    <n v="263149"/>
    <m/>
    <m/>
    <m/>
  </r>
  <r>
    <x v="10"/>
    <x v="6"/>
    <s v="\\192.168.24.208\images\R&amp;D\Coralie\Triphenylphosphate\2021-CHG-CBA-TRIPHENYLP 2\plaque 1/@10 TriphenylP 0.4/G10_01.tif "/>
    <s v=" 10966.3566 "/>
    <s v=" 65.6469 "/>
    <x v="1"/>
    <n v="719908"/>
    <m/>
    <m/>
    <m/>
  </r>
  <r>
    <x v="10"/>
    <x v="6"/>
    <s v="\\192.168.24.208\images\R&amp;D\Coralie\Triphenylphosphate\2021-CHG-CBA-TRIPHENYLP 2\plaque 1/@10 TriphenylP 0.4/G10_02.tif "/>
    <s v=" 13670.0934 "/>
    <s v=" 68.0902 "/>
    <x v="1"/>
    <n v="930799"/>
    <m/>
    <m/>
    <m/>
  </r>
  <r>
    <x v="10"/>
    <x v="6"/>
    <s v="\\192.168.24.208\images\R&amp;D\Coralie\Triphenylphosphate\2021-CHG-CBA-TRIPHENYLP 2\plaque 1/@10 TriphenylP 0.4/G10_03.tif "/>
    <s v=" 11074.506 "/>
    <s v=" 66.1758 "/>
    <x v="1"/>
    <n v="732864"/>
    <m/>
    <m/>
    <m/>
  </r>
  <r>
    <x v="10"/>
    <x v="7"/>
    <s v="\\192.168.24.208\images\R&amp;D\Coralie\Triphenylphosphate\2021-CHG-CBA-TRIPHENYLP 2\plaque 1/@10 TriphenylP 0.4/H10_01.tif "/>
    <s v=" 12631.8585 "/>
    <s v=" 66.5103 "/>
    <x v="1"/>
    <n v="840148"/>
    <m/>
    <m/>
    <m/>
  </r>
  <r>
    <x v="10"/>
    <x v="7"/>
    <s v="\\192.168.24.208\images\R&amp;D\Coralie\Triphenylphosphate\2021-CHG-CBA-TRIPHENYLP 2\plaque 1/@10 TriphenylP 0.4/H10_02.tif "/>
    <s v=" 11809.9225 "/>
    <s v=" 66.2619 "/>
    <x v="1"/>
    <n v="782548"/>
    <m/>
    <m/>
    <m/>
  </r>
  <r>
    <x v="10"/>
    <x v="7"/>
    <s v="\\192.168.24.208\images\R&amp;D\Coralie\Triphenylphosphate\2021-CHG-CBA-TRIPHENYLP 2\plaque 1/@10 TriphenylP 0.4/H10_03.tif "/>
    <s v=" 11312.4349 "/>
    <s v=" 66.7801 "/>
    <x v="1"/>
    <n v="755446"/>
    <m/>
    <m/>
    <m/>
  </r>
  <r>
    <x v="1"/>
    <x v="8"/>
    <s v=" "/>
    <m/>
    <m/>
    <x v="0"/>
    <m/>
    <m/>
    <m/>
    <m/>
  </r>
  <r>
    <x v="1"/>
    <x v="8"/>
    <s v="group "/>
    <s v=" "/>
    <s v=" mean of mean fluo "/>
    <x v="2"/>
    <s v=" mean of total fluo "/>
    <s v=" SD total fluo "/>
    <s v=" n fluorescent "/>
    <s v=" n total"/>
  </r>
  <r>
    <x v="10"/>
    <x v="9"/>
    <s v="\\192.168.24.208\images\R&amp;D\Coralie\Triphenylphosphate\2021-CHG-CBA-TRIPHENYLP 2\plaque 1/@10 TriphenylP 0.4/ "/>
    <s v=" "/>
    <s v=" 65.6372 "/>
    <x v="12"/>
    <n v="403877"/>
    <s v=" 281669.84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1"/>
    <x v="0"/>
    <s v="\\192.168.24.208\images\R&amp;D\Coralie\Triphenylphosphate\2021-CHG-CBA-TRIPHENYLP 2\plaque 1/@11 TriphenylP 0.59/A11_01.tif "/>
    <s v=" 1946.6905 "/>
    <s v=" 63.7778 "/>
    <x v="1"/>
    <n v="124156"/>
    <m/>
    <m/>
    <m/>
  </r>
  <r>
    <x v="11"/>
    <x v="0"/>
    <s v="\\192.168.24.208\images\R&amp;D\Coralie\Triphenylphosphate\2021-CHG-CBA-TRIPHENYLP 2\plaque 1/@11 TriphenylP 0.59/A11_02.tif "/>
    <s v=" 7916.5414 "/>
    <s v=" 66.8005 "/>
    <x v="1"/>
    <n v="528829"/>
    <m/>
    <m/>
    <m/>
  </r>
  <r>
    <x v="11"/>
    <x v="0"/>
    <s v="\\192.168.24.208\images\R&amp;D\Coralie\Triphenylphosphate\2021-CHG-CBA-TRIPHENYLP 2\plaque 1/@11 TriphenylP 0.59/A11_03.tif "/>
    <s v=" 7830.0219 "/>
    <s v=" 67.163 "/>
    <x v="1"/>
    <n v="525888"/>
    <m/>
    <m/>
    <m/>
  </r>
  <r>
    <x v="11"/>
    <x v="1"/>
    <s v="\\192.168.24.208\images\R&amp;D\Coralie\Triphenylphosphate\2021-CHG-CBA-TRIPHENYLP 2\plaque 1/@11 TriphenylP 0.59/B11_01.tif "/>
    <s v=" 4282.7191 "/>
    <s v=" 64.4343 "/>
    <x v="1"/>
    <n v="275954"/>
    <m/>
    <m/>
    <m/>
  </r>
  <r>
    <x v="11"/>
    <x v="1"/>
    <s v="\\192.168.24.208\images\R&amp;D\Coralie\Triphenylphosphate\2021-CHG-CBA-TRIPHENYLP 2\plaque 1/@11 TriphenylP 0.59/B11_02.tif "/>
    <s v=" 6813.4168 "/>
    <s v=" 64.6984 "/>
    <x v="1"/>
    <n v="440817"/>
    <m/>
    <m/>
    <m/>
  </r>
  <r>
    <x v="11"/>
    <x v="1"/>
    <s v="\\192.168.24.208\images\R&amp;D\Coralie\Triphenylphosphate\2021-CHG-CBA-TRIPHENYLP 2\plaque 1/@11 TriphenylP 0.59/B11_03.tif "/>
    <s v=" 6359.189 "/>
    <s v=" 64.398 "/>
    <x v="1"/>
    <n v="409519"/>
    <m/>
    <m/>
    <m/>
  </r>
  <r>
    <x v="11"/>
    <x v="2"/>
    <s v="\\192.168.24.208\images\R&amp;D\Coralie\Triphenylphosphate\2021-CHG-CBA-TRIPHENYLP 2\plaque 1/@11 TriphenylP 0.59/C11_01.tif "/>
    <s v=" 5667.0324 "/>
    <s v=" 65.3168 "/>
    <x v="1"/>
    <n v="370152"/>
    <m/>
    <m/>
    <m/>
  </r>
  <r>
    <x v="11"/>
    <x v="2"/>
    <s v="\\192.168.24.208\images\R&amp;D\Coralie\Triphenylphosphate\2021-CHG-CBA-TRIPHENYLP 2\plaque 1/@11 TriphenylP 0.59/C11_02.tif "/>
    <s v=" 4585.5377 "/>
    <s v=" 65.5708 "/>
    <x v="1"/>
    <n v="300677"/>
    <m/>
    <m/>
    <m/>
  </r>
  <r>
    <x v="11"/>
    <x v="2"/>
    <s v="\\192.168.24.208\images\R&amp;D\Coralie\Triphenylphosphate\2021-CHG-CBA-TRIPHENYLP 2\plaque 1/@11 TriphenylP 0.59/C11_03.tif "/>
    <s v=" 4866.7263 "/>
    <s v=" 64.1689 "/>
    <x v="1"/>
    <n v="312292"/>
    <m/>
    <m/>
    <m/>
  </r>
  <r>
    <x v="11"/>
    <x v="3"/>
    <s v="\\192.168.24.208\images\R&amp;D\Coralie\Triphenylphosphate\2021-CHG-CBA-TRIPHENYLP 2\plaque 1/@11 TriphenylP 0.59/D11_01.tif "/>
    <s v=" 20743.0689 "/>
    <s v=" 66.2836 "/>
    <x v="1"/>
    <n v="1374926"/>
    <m/>
    <m/>
    <m/>
  </r>
  <r>
    <x v="11"/>
    <x v="3"/>
    <s v="\\192.168.24.208\images\R&amp;D\Coralie\Triphenylphosphate\2021-CHG-CBA-TRIPHENYLP 2\plaque 1/@11 TriphenylP 0.59/D11_02- exclu.tif"/>
    <m/>
    <m/>
    <x v="0"/>
    <m/>
    <m/>
    <m/>
    <m/>
  </r>
  <r>
    <x v="11"/>
    <x v="3"/>
    <s v="\\192.168.24.208\images\R&amp;D\Coralie\Triphenylphosphate\2021-CHG-CBA-TRIPHENYLP 2\plaque 1/@11 TriphenylP 0.59/D11_03.tif "/>
    <s v=" 18774.7485 "/>
    <s v=" 64.7811 "/>
    <x v="1"/>
    <n v="1216249"/>
    <m/>
    <m/>
    <m/>
  </r>
  <r>
    <x v="11"/>
    <x v="4"/>
    <s v="\\192.168.24.208\images\R&amp;D\Coralie\Triphenylphosphate\2021-CHG-CBA-TRIPHENYLP 2\plaque 1/@11 TriphenylP 0.59/E11_01.tif "/>
    <s v=" 7246.0147 "/>
    <s v=" 74.6806 "/>
    <x v="1"/>
    <n v="541137"/>
    <m/>
    <m/>
    <m/>
  </r>
  <r>
    <x v="11"/>
    <x v="4"/>
    <s v="\\192.168.24.208\images\R&amp;D\Coralie\Triphenylphosphate\2021-CHG-CBA-TRIPHENYLP 2\plaque 1/@11 TriphenylP 0.59/E11_02.tif "/>
    <s v=" 12415.5595 "/>
    <s v=" 72.4077 "/>
    <x v="1"/>
    <n v="898982"/>
    <m/>
    <m/>
    <m/>
  </r>
  <r>
    <x v="11"/>
    <x v="4"/>
    <s v="\\192.168.24.208\images\R&amp;D\Coralie\Triphenylphosphate\2021-CHG-CBA-TRIPHENYLP 2\plaque 1/@11 TriphenylP 0.59/E11_03.tif "/>
    <s v=" 8695.2176 "/>
    <s v=" 72.5423 "/>
    <x v="1"/>
    <n v="630771"/>
    <m/>
    <m/>
    <m/>
  </r>
  <r>
    <x v="11"/>
    <x v="5"/>
    <s v="\\192.168.24.208\images\R&amp;D\Coralie\Triphenylphosphate\2021-CHG-CBA-TRIPHENYLP 2\plaque 1/@11 TriphenylP 0.59/F11_01.tif "/>
    <s v=" 800.3061 "/>
    <s v=" 63.8378 "/>
    <x v="1"/>
    <n v="51090"/>
    <m/>
    <m/>
    <m/>
  </r>
  <r>
    <x v="11"/>
    <x v="5"/>
    <s v="\\192.168.24.208\images\R&amp;D\Coralie\Triphenylphosphate\2021-CHG-CBA-TRIPHENYLP 2\plaque 1/@11 TriphenylP 0.59/F11_02.tif "/>
    <s v=" 1730.3916 "/>
    <s v=" 65.425 "/>
    <x v="1"/>
    <n v="113211"/>
    <m/>
    <m/>
    <m/>
  </r>
  <r>
    <x v="11"/>
    <x v="5"/>
    <s v="\\192.168.24.208\images\R&amp;D\Coralie\Triphenylphosphate\2021-CHG-CBA-TRIPHENYLP 2\plaque 1/@11 TriphenylP 0.59/F11_03.tif "/>
    <s v=" 237.9288 "/>
    <s v=" 64.6364 "/>
    <x v="1"/>
    <n v="15379"/>
    <m/>
    <m/>
    <m/>
  </r>
  <r>
    <x v="11"/>
    <x v="6"/>
    <s v="\\192.168.24.208\images\R&amp;D\Coralie\Triphenylphosphate\2021-CHG-CBA-TRIPHENYLP 2\plaque 1/@11 TriphenylP 0.59/G11_01.tif "/>
    <s v=" 10490.4989 "/>
    <s v=" 67.9959 "/>
    <x v="1"/>
    <n v="713311"/>
    <m/>
    <m/>
    <m/>
  </r>
  <r>
    <x v="11"/>
    <x v="6"/>
    <s v="\\192.168.24.208\images\R&amp;D\Coralie\Triphenylphosphate\2021-CHG-CBA-TRIPHENYLP 2\plaque 1/@11 TriphenylP 0.59/G11_02.tif "/>
    <s v=" 7483.9435 "/>
    <s v=" 68.4855 "/>
    <x v="1"/>
    <n v="512542"/>
    <m/>
    <m/>
    <m/>
  </r>
  <r>
    <x v="11"/>
    <x v="6"/>
    <s v="\\192.168.24.208\images\R&amp;D\Coralie\Triphenylphosphate\2021-CHG-CBA-TRIPHENYLP 2\plaque 1/@11 TriphenylP 0.59/G11_03.tif "/>
    <s v=" 10295.8298 "/>
    <s v=" 67.2563 "/>
    <x v="1"/>
    <n v="692459"/>
    <m/>
    <m/>
    <m/>
  </r>
  <r>
    <x v="11"/>
    <x v="7"/>
    <s v="\\192.168.24.208\images\R&amp;D\Coralie\Triphenylphosphate\2021-CHG-CBA-TRIPHENYLP 2\plaque 1/@11 TriphenylP 0.59/H11_01.tif "/>
    <s v=" 35429.7674 "/>
    <s v=" 65.8779 "/>
    <x v="1"/>
    <n v="2334039"/>
    <m/>
    <m/>
    <m/>
  </r>
  <r>
    <x v="11"/>
    <x v="7"/>
    <s v="\\192.168.24.208\images\R&amp;D\Coralie\Triphenylphosphate\2021-CHG-CBA-TRIPHENYLP 2\plaque 1/@11 TriphenylP 0.59/H11_02.tif "/>
    <s v=" 23706.3645 "/>
    <s v=" 64.7254 "/>
    <x v="1"/>
    <n v="1534403"/>
    <m/>
    <m/>
    <m/>
  </r>
  <r>
    <x v="11"/>
    <x v="7"/>
    <s v="\\192.168.24.208\images\R&amp;D\Coralie\Triphenylphosphate\2021-CHG-CBA-TRIPHENYLP 2\plaque 1/@11 TriphenylP 0.59/H11_03.tif "/>
    <s v=" 20678.1793 "/>
    <s v=" 65.3295 "/>
    <x v="1"/>
    <n v="1350895"/>
    <m/>
    <m/>
    <m/>
  </r>
  <r>
    <x v="1"/>
    <x v="8"/>
    <s v=" "/>
    <m/>
    <m/>
    <x v="0"/>
    <m/>
    <m/>
    <m/>
    <m/>
  </r>
  <r>
    <x v="1"/>
    <x v="8"/>
    <s v="group "/>
    <s v=" "/>
    <s v=" mean of mean fluo "/>
    <x v="2"/>
    <s v=" mean of total fluo "/>
    <s v=" SD total fluo "/>
    <s v=" n fluorescent "/>
    <s v=" n total"/>
  </r>
  <r>
    <x v="11"/>
    <x v="9"/>
    <s v="\\192.168.24.208\images\R&amp;D\Coralie\Triphenylphosphate\2021-CHG-CBA-TRIPHENYLP 2\plaque 1/@11 TriphenylP 0.59/ "/>
    <s v=" "/>
    <s v=" 66.5249 "/>
    <x v="13"/>
    <s v=" 695936.458 "/>
    <n v="572250"/>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2"/>
    <x v="0"/>
    <s v="\\192.168.24.208\images\R&amp;D\Coralie\Triphenylphosphate\2021-CHG-CBA-TRIPHENYLP 2\plaque 1/@12 TriphenylP 0.89/A12_01.tif "/>
    <s v=" 74969.2148 "/>
    <s v=" 70.341 "/>
    <x v="1"/>
    <n v="5273412"/>
    <m/>
    <m/>
    <m/>
  </r>
  <r>
    <x v="12"/>
    <x v="0"/>
    <s v="\\192.168.24.208\images\R&amp;D\Coralie\Triphenylphosphate\2021-CHG-CBA-TRIPHENYLP 2\plaque 1/@12 TriphenylP 0.89/A12_02.tif "/>
    <s v=" 70405.307 "/>
    <s v=" 69.5954 "/>
    <x v="1"/>
    <n v="4899885"/>
    <m/>
    <m/>
    <m/>
  </r>
  <r>
    <x v="12"/>
    <x v="0"/>
    <s v="\\192.168.24.208\images\R&amp;D\Coralie\Triphenylphosphate\2021-CHG-CBA-TRIPHENYLP 2\plaque 1/@12 TriphenylP 0.89/A12_03.tif "/>
    <s v=" 78019.0299 "/>
    <s v=" 72.3648 "/>
    <x v="1"/>
    <n v="5645835"/>
    <m/>
    <m/>
    <m/>
  </r>
  <r>
    <x v="12"/>
    <x v="1"/>
    <s v="\\192.168.24.208\images\R&amp;D\Coralie\Triphenylphosphate\2021-CHG-CBA-TRIPHENYLP 2\plaque 1/@12 TriphenylP 0.89/B12_01.tif "/>
    <s v=" 14492.0294 "/>
    <s v=" 69.2582 "/>
    <x v="1"/>
    <n v="1003692"/>
    <m/>
    <m/>
    <m/>
  </r>
  <r>
    <x v="12"/>
    <x v="1"/>
    <s v="\\192.168.24.208\images\R&amp;D\Coralie\Triphenylphosphate\2021-CHG-CBA-TRIPHENYLP 2\plaque 1/@12 TriphenylP 0.89/B12_02.tif "/>
    <s v=" 16006.122 "/>
    <s v=" 66.8514 "/>
    <x v="1"/>
    <n v="1070031"/>
    <m/>
    <m/>
    <m/>
  </r>
  <r>
    <x v="12"/>
    <x v="1"/>
    <s v="\\192.168.24.208\images\R&amp;D\Coralie\Triphenylphosphate\2021-CHG-CBA-TRIPHENYLP 2\plaque 1/@12 TriphenylP 0.89/B12_03.tif "/>
    <s v=" 12372.2997 "/>
    <s v=" 66.3357 "/>
    <x v="1"/>
    <n v="820725"/>
    <m/>
    <m/>
    <m/>
  </r>
  <r>
    <x v="12"/>
    <x v="2"/>
    <s v="\\192.168.24.208\images\R&amp;D\Coralie\Triphenylphosphate\2021-CHG-CBA-TRIPHENYLP 2\plaque 1/@12 TriphenylP 0.89/C12_01.tif "/>
    <s v=" 32899.0697 "/>
    <s v=" 70.858 "/>
    <x v="1"/>
    <n v="2331162"/>
    <m/>
    <m/>
    <m/>
  </r>
  <r>
    <x v="12"/>
    <x v="2"/>
    <s v="\\192.168.24.208\images\R&amp;D\Coralie\Triphenylphosphate\2021-CHG-CBA-TRIPHENYLP 2\plaque 1/@12 TriphenylP 0.89/C12_02.tif "/>
    <s v=" 25047.418 "/>
    <s v=" 72.525 "/>
    <x v="1"/>
    <n v="1816565"/>
    <m/>
    <m/>
    <m/>
  </r>
  <r>
    <x v="12"/>
    <x v="2"/>
    <s v="\\192.168.24.208\images\R&amp;D\Coralie\Triphenylphosphate\2021-CHG-CBA-TRIPHENYLP 2\plaque 1/@12 TriphenylP 0.89/C12_03.tif "/>
    <s v=" 60780.0039 "/>
    <s v=" 80.4082 "/>
    <x v="1"/>
    <n v="4887210"/>
    <m/>
    <m/>
    <m/>
  </r>
  <r>
    <x v="12"/>
    <x v="3"/>
    <s v="\\192.168.24.208\images\R&amp;D\Coralie\Triphenylphosphate\2021-CHG-CBA-TRIPHENYLP 2\plaque 1/@12 TriphenylP 0.89/D12_01.tif "/>
    <s v=" 37095.2693 "/>
    <s v=" 67.7067 "/>
    <x v="1"/>
    <n v="2511598"/>
    <m/>
    <m/>
    <m/>
  </r>
  <r>
    <x v="12"/>
    <x v="3"/>
    <s v="\\192.168.24.208\images\R&amp;D\Coralie\Triphenylphosphate\2021-CHG-CBA-TRIPHENYLP 2\plaque 1/@12 TriphenylP 0.89/D12_02.tif "/>
    <s v=" 39907.1556 "/>
    <s v=" 66.8938 "/>
    <x v="1"/>
    <n v="2669540"/>
    <m/>
    <m/>
    <m/>
  </r>
  <r>
    <x v="12"/>
    <x v="3"/>
    <s v="\\192.168.24.208\images\R&amp;D\Coralie\Triphenylphosphate\2021-CHG-CBA-TRIPHENYLP 2\plaque 1/@12 TriphenylP 0.89/D12_03.tif "/>
    <s v=" 39647.5969 "/>
    <s v=" 68.9373 "/>
    <x v="1"/>
    <n v="2733197"/>
    <m/>
    <m/>
    <m/>
  </r>
  <r>
    <x v="12"/>
    <x v="4"/>
    <s v="\\192.168.24.208\images\R&amp;D\Coralie\Triphenylphosphate\2021-CHG-CBA-TRIPHENYLP 2\plaque 1/@12 TriphenylP 0.89/E12_01.tif "/>
    <s v=" 45292.9994 "/>
    <s v=" 70.0998 "/>
    <x v="1"/>
    <n v="3175031"/>
    <m/>
    <m/>
    <m/>
  </r>
  <r>
    <x v="12"/>
    <x v="4"/>
    <s v="\\192.168.24.208\images\R&amp;D\Coralie\Triphenylphosphate\2021-CHG-CBA-TRIPHENYLP 2\plaque 1/@12 TriphenylP 0.89/E12_02.tif "/>
    <s v=" 37506.2373 "/>
    <s v=" 68.6638 "/>
    <x v="1"/>
    <n v="2575320"/>
    <m/>
    <m/>
    <m/>
  </r>
  <r>
    <x v="12"/>
    <x v="4"/>
    <s v="\\192.168.24.208\images\R&amp;D\Coralie\Triphenylphosphate\2021-CHG-CBA-TRIPHENYLP 2\plaque 1/@12 TriphenylP 0.89/E12_03.tif "/>
    <s v=" 46871.9817 "/>
    <s v=" 71.2404 "/>
    <x v="1"/>
    <n v="3339180"/>
    <m/>
    <m/>
    <m/>
  </r>
  <r>
    <x v="12"/>
    <x v="5"/>
    <s v="\\192.168.24.208\images\R&amp;D\Coralie\Triphenylphosphate\2021-CHG-CBA-TRIPHENYLP 2\plaque 1/@12 TriphenylP 0.89/F12_01- exclu.tif"/>
    <m/>
    <m/>
    <x v="0"/>
    <m/>
    <m/>
    <m/>
    <m/>
  </r>
  <r>
    <x v="12"/>
    <x v="5"/>
    <s v="\\192.168.24.208\images\R&amp;D\Coralie\Triphenylphosphate\2021-CHG-CBA-TRIPHENYLP 2\plaque 1/@12 TriphenylP 0.89/F12_02.tif "/>
    <s v=" 74363.5777 "/>
    <s v=" 73.3857 "/>
    <x v="1"/>
    <n v="5457222"/>
    <m/>
    <m/>
    <m/>
  </r>
  <r>
    <x v="12"/>
    <x v="5"/>
    <s v="\\192.168.24.208\images\R&amp;D\Coralie\Triphenylphosphate\2021-CHG-CBA-TRIPHENYLP 2\plaque 1/@12 TriphenylP 0.89/F12_03.tif "/>
    <s v=" 73152.3036 "/>
    <s v=" 73.3634 "/>
    <x v="1"/>
    <n v="5366701"/>
    <m/>
    <m/>
    <m/>
  </r>
  <r>
    <x v="12"/>
    <x v="6"/>
    <s v="\\192.168.24.208\images\R&amp;D\Coralie\Triphenylphosphate\2021-CHG-CBA-TRIPHENYLP 2\plaque 1/@12 TriphenylP 0.89/G12_01- exclu.tif"/>
    <m/>
    <m/>
    <x v="0"/>
    <m/>
    <m/>
    <m/>
    <m/>
  </r>
  <r>
    <x v="12"/>
    <x v="6"/>
    <s v="\\192.168.24.208\images\R&amp;D\Coralie\Triphenylphosphate\2021-CHG-CBA-TRIPHENYLP 2\plaque 1/@12 TriphenylP 0.89/G12_02.tif "/>
    <s v=" 13886.3924 "/>
    <s v=" 86.2944 "/>
    <x v="1"/>
    <n v="1198318"/>
    <m/>
    <m/>
    <m/>
  </r>
  <r>
    <x v="12"/>
    <x v="6"/>
    <s v="\\192.168.24.208\images\R&amp;D\Coralie\Triphenylphosphate\2021-CHG-CBA-TRIPHENYLP 2\plaque 1/@12 TriphenylP 0.89/G12_03.tif "/>
    <s v=" 14059.4315 "/>
    <s v=" 83.4062 "/>
    <x v="1"/>
    <n v="1172643"/>
    <m/>
    <m/>
    <m/>
  </r>
  <r>
    <x v="12"/>
    <x v="7"/>
    <s v="\\192.168.24.208\images\R&amp;D\Coralie\Triphenylphosphate\2021-CHG-CBA-TRIPHENYLP 2\plaque 1/@12 TriphenylP 0.89/H12_01.tif "/>
    <s v=" 15876.3427 "/>
    <s v=" 94.5368 "/>
    <x v="1"/>
    <n v="1500898"/>
    <m/>
    <m/>
    <m/>
  </r>
  <r>
    <x v="12"/>
    <x v="7"/>
    <s v="\\192.168.24.208\images\R&amp;D\Coralie\Triphenylphosphate\2021-CHG-CBA-TRIPHENYLP 2\plaque 1/@12 TriphenylP 0.89/H12_02.tif "/>
    <s v=" 14492.0294 "/>
    <s v=" 79.3194 "/>
    <x v="1"/>
    <n v="1149499"/>
    <m/>
    <m/>
    <m/>
  </r>
  <r>
    <x v="12"/>
    <x v="7"/>
    <s v="\\192.168.24.208\images\R&amp;D\Coralie\Triphenylphosphate\2021-CHG-CBA-TRIPHENYLP 2\plaque 1/@12 TriphenylP 0.89/H12_03.tif "/>
    <s v=" 12069.4812 "/>
    <s v=" 80.7133 "/>
    <x v="1"/>
    <n v="974167"/>
    <m/>
    <m/>
    <m/>
  </r>
  <r>
    <x v="1"/>
    <x v="8"/>
    <s v=" "/>
    <m/>
    <m/>
    <x v="0"/>
    <m/>
    <m/>
    <m/>
    <m/>
  </r>
  <r>
    <x v="1"/>
    <x v="8"/>
    <s v="group "/>
    <s v=" "/>
    <s v=" mean of mean fluo "/>
    <x v="2"/>
    <s v=" mean of total fluo "/>
    <s v=" SD total fluo "/>
    <s v=" n fluorescent "/>
    <s v=" n total"/>
  </r>
  <r>
    <x v="12"/>
    <x v="9"/>
    <s v="\\192.168.24.208\images\R&amp;D\Coralie\Triphenylphosphate\2021-CHG-CBA-TRIPHENYLP 2\plaque 1/@12 TriphenylP 0.89/ "/>
    <s v=" "/>
    <s v=" 73.7289 "/>
    <x v="14"/>
    <s v=" 2786121.5 "/>
    <s v=" 1781101.9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3"/>
    <x v="0"/>
    <s v="\\192.168.24.208\images\R&amp;D\Coralie\Triphenylphosphate\2021-CHG-CBA-TRIPHENYLP 2\plaque 2/@13 TESTO/A1_01.tif "/>
    <s v=" 44557.5829 "/>
    <s v=" 81.9752 "/>
    <x v="1"/>
    <n v="3652619"/>
    <m/>
    <m/>
    <m/>
  </r>
  <r>
    <x v="13"/>
    <x v="0"/>
    <s v="\\192.168.24.208\images\R&amp;D\Coralie\Triphenylphosphate\2021-CHG-CBA-TRIPHENYLP 2\plaque 2/@13 TESTO/A1_02.tif "/>
    <s v=" 43735.6469 "/>
    <s v=" 83.0168 "/>
    <x v="1"/>
    <n v="3630794"/>
    <m/>
    <m/>
    <m/>
  </r>
  <r>
    <x v="13"/>
    <x v="0"/>
    <s v="\\192.168.24.208\images\R&amp;D\Coralie\Triphenylphosphate\2021-CHG-CBA-TRIPHENYLP 2\plaque 2/@13 TESTO/A1_03.tif "/>
    <s v=" 42719.0419 "/>
    <s v=" 79.5716 "/>
    <x v="1"/>
    <n v="3399224"/>
    <m/>
    <m/>
    <m/>
  </r>
  <r>
    <x v="13"/>
    <x v="1"/>
    <s v="\\192.168.24.208\images\R&amp;D\Coralie\Triphenylphosphate\2021-CHG-CBA-TRIPHENYLP 2\plaque 2/@13 TESTO/B1_01.tif "/>
    <s v=" 25436.7561 "/>
    <s v=" 74.5017 "/>
    <x v="1"/>
    <n v="1895082"/>
    <m/>
    <m/>
    <m/>
  </r>
  <r>
    <x v="13"/>
    <x v="1"/>
    <s v="\\192.168.24.208\images\R&amp;D\Coralie\Triphenylphosphate\2021-CHG-CBA-TRIPHENYLP 2\plaque 2/@13 TESTO/B1_02.tif "/>
    <s v=" 25198.8272 "/>
    <s v=" 73.6232 "/>
    <x v="1"/>
    <n v="1855218"/>
    <m/>
    <m/>
    <m/>
  </r>
  <r>
    <x v="13"/>
    <x v="1"/>
    <s v="\\192.168.24.208\images\R&amp;D\Coralie\Triphenylphosphate\2021-CHG-CBA-TRIPHENYLP 2\plaque 2/@13 TESTO/B1_03.tif "/>
    <s v=" 21954.343 "/>
    <s v=" 74.0709 "/>
    <x v="1"/>
    <n v="1626179"/>
    <m/>
    <m/>
    <m/>
  </r>
  <r>
    <x v="13"/>
    <x v="2"/>
    <s v="\\192.168.24.208\images\R&amp;D\Coralie\Triphenylphosphate\2021-CHG-CBA-TRIPHENYLP 2\plaque 2/@13 TESTO/C1_01.tif "/>
    <s v=" 45163.22 "/>
    <s v=" 72.4511 "/>
    <x v="1"/>
    <n v="3272127"/>
    <m/>
    <m/>
    <m/>
  </r>
  <r>
    <x v="13"/>
    <x v="2"/>
    <s v="\\192.168.24.208\images\R&amp;D\Coralie\Triphenylphosphate\2021-CHG-CBA-TRIPHENYLP 2\plaque 2/@13 TESTO/C1_02.tif "/>
    <s v=" 30065.5535 "/>
    <s v=" 68.0597 "/>
    <x v="1"/>
    <n v="2046253"/>
    <m/>
    <m/>
    <m/>
  </r>
  <r>
    <x v="13"/>
    <x v="2"/>
    <s v="\\192.168.24.208\images\R&amp;D\Coralie\Triphenylphosphate\2021-CHG-CBA-TRIPHENYLP 2\plaque 2/@13 TESTO/C1_03.tif "/>
    <s v=" 38933.8103 "/>
    <s v=" 69.1056 "/>
    <x v="1"/>
    <n v="2690543"/>
    <m/>
    <m/>
    <m/>
  </r>
  <r>
    <x v="13"/>
    <x v="3"/>
    <s v="\\192.168.24.208\images\R&amp;D\Coralie\Triphenylphosphate\2021-CHG-CBA-TRIPHENYLP 2\plaque 2/@13 TESTO/D1_01- exclu.tif"/>
    <m/>
    <m/>
    <x v="0"/>
    <m/>
    <m/>
    <m/>
    <m/>
  </r>
  <r>
    <x v="13"/>
    <x v="3"/>
    <s v="\\192.168.24.208\images\R&amp;D\Coralie\Triphenylphosphate\2021-CHG-CBA-TRIPHENYLP 2\plaque 2/@13 TESTO/D1_02.tif "/>
    <s v=" 40469.5329 "/>
    <s v=" 71.5917 "/>
    <x v="1"/>
    <n v="2897281"/>
    <m/>
    <m/>
    <m/>
  </r>
  <r>
    <x v="13"/>
    <x v="3"/>
    <s v="\\192.168.24.208\images\R&amp;D\Coralie\Triphenylphosphate\2021-CHG-CBA-TRIPHENYLP 2\plaque 2/@13 TESTO/D1_03.tif "/>
    <s v=" 36381.4828 "/>
    <s v=" 72.2283 "/>
    <x v="1"/>
    <n v="2627773"/>
    <m/>
    <m/>
    <m/>
  </r>
  <r>
    <x v="13"/>
    <x v="4"/>
    <s v="\\192.168.24.208\images\R&amp;D\Coralie\Triphenylphosphate\2021-CHG-CBA-TRIPHENYLP 2\plaque 2/@13 TESTO/E1_01.tif "/>
    <s v=" 41507.7678 "/>
    <s v=" 71.5086 "/>
    <x v="1"/>
    <n v="2968162"/>
    <m/>
    <m/>
    <m/>
  </r>
  <r>
    <x v="13"/>
    <x v="4"/>
    <s v="\\192.168.24.208\images\R&amp;D\Coralie\Triphenylphosphate\2021-CHG-CBA-TRIPHENYLP 2\plaque 2/@13 TESTO/E1_02.tif "/>
    <s v=" 40642.572 "/>
    <s v=" 71.7712 "/>
    <x v="1"/>
    <n v="2916964"/>
    <m/>
    <m/>
    <m/>
  </r>
  <r>
    <x v="13"/>
    <x v="4"/>
    <s v="\\192.168.24.208\images\R&amp;D\Coralie\Triphenylphosphate\2021-CHG-CBA-TRIPHENYLP 2\plaque 2/@13 TESTO/E1_03.tif "/>
    <s v=" 39799.0061 "/>
    <s v=" 71.3973 "/>
    <x v="1"/>
    <n v="2841541"/>
    <m/>
    <m/>
    <m/>
  </r>
  <r>
    <x v="13"/>
    <x v="5"/>
    <s v="\\192.168.24.208\images\R&amp;D\Coralie\Triphenylphosphate\2021-CHG-CBA-TRIPHENYLP 2\plaque 2/@13 TESTO/F1_01.tif "/>
    <s v=" 42589.2625 "/>
    <s v=" 71.8725 "/>
    <x v="1"/>
    <n v="3060998"/>
    <m/>
    <m/>
    <m/>
  </r>
  <r>
    <x v="13"/>
    <x v="5"/>
    <s v="\\192.168.24.208\images\R&amp;D\Coralie\Triphenylphosphate\2021-CHG-CBA-TRIPHENYLP 2\plaque 2/@13 TESTO/F1_02.tif "/>
    <s v=" 31968.9843 "/>
    <s v=" 72.4425 "/>
    <x v="1"/>
    <n v="2315913"/>
    <m/>
    <m/>
    <m/>
  </r>
  <r>
    <x v="13"/>
    <x v="5"/>
    <s v="\\192.168.24.208\images\R&amp;D\Coralie\Triphenylphosphate\2021-CHG-CBA-TRIPHENYLP 2\plaque 2/@13 TESTO/F1_03.tif "/>
    <s v=" 34196.8634 "/>
    <s v=" 71.7362 "/>
    <x v="1"/>
    <n v="2453154"/>
    <m/>
    <m/>
    <m/>
  </r>
  <r>
    <x v="13"/>
    <x v="6"/>
    <s v="\\192.168.24.208\images\R&amp;D\Coralie\Triphenylphosphate\2021-CHG-CBA-TRIPHENYLP 2\plaque 2/@13 TESTO/G1_01.tif "/>
    <s v=" 47758.8073 "/>
    <s v=" 77.615 "/>
    <x v="1"/>
    <n v="3706802"/>
    <m/>
    <m/>
    <m/>
  </r>
  <r>
    <x v="13"/>
    <x v="6"/>
    <s v="\\192.168.24.208\images\R&amp;D\Coralie\Triphenylphosphate\2021-CHG-CBA-TRIPHENYLP 2\plaque 2/@13 TESTO/G1_02.tif "/>
    <s v=" 51652.1884 "/>
    <s v=" 77.1889 "/>
    <x v="1"/>
    <n v="3986974"/>
    <m/>
    <m/>
    <m/>
  </r>
  <r>
    <x v="13"/>
    <x v="6"/>
    <s v="\\192.168.24.208\images\R&amp;D\Coralie\Triphenylphosphate\2021-CHG-CBA-TRIPHENYLP 2\plaque 2/@13 TESTO/G1_03.tif "/>
    <s v=" 44514.3231 "/>
    <s v=" 78.1409 "/>
    <x v="1"/>
    <n v="3478390"/>
    <m/>
    <m/>
    <m/>
  </r>
  <r>
    <x v="13"/>
    <x v="7"/>
    <s v="\\192.168.24.208\images\R&amp;D\Coralie\Triphenylphosphate\2021-CHG-CBA-TRIPHENYLP 2\plaque 2/@13 TESTO/H1_01.tif "/>
    <s v=" 324.4484 "/>
    <s v=" 62.9333 "/>
    <x v="1"/>
    <n v="20419"/>
    <m/>
    <m/>
    <m/>
  </r>
  <r>
    <x v="13"/>
    <x v="7"/>
    <s v="\\192.168.24.208\images\R&amp;D\Coralie\Triphenylphosphate\2021-CHG-CBA-TRIPHENYLP 2\plaque 2/@13 TESTO/H1_02.tif "/>
    <s v=" 454.2278 "/>
    <n v="64"/>
    <x v="1"/>
    <n v="29071"/>
    <m/>
    <m/>
    <m/>
  </r>
  <r>
    <x v="13"/>
    <x v="7"/>
    <s v="\\192.168.24.208\images\R&amp;D\Coralie\Triphenylphosphate\2021-CHG-CBA-TRIPHENYLP 2\plaque 2/@13 TESTO/H1_03.tif "/>
    <s v=" 389.3381 "/>
    <s v=" 63.8889 "/>
    <x v="1"/>
    <n v="24874"/>
    <m/>
    <m/>
    <m/>
  </r>
  <r>
    <x v="1"/>
    <x v="8"/>
    <s v=" "/>
    <m/>
    <m/>
    <x v="0"/>
    <m/>
    <m/>
    <m/>
    <m/>
  </r>
  <r>
    <x v="1"/>
    <x v="8"/>
    <s v="group "/>
    <s v=" "/>
    <s v=" mean of mean fluo "/>
    <x v="2"/>
    <s v=" mean of total fluo "/>
    <s v=" SD total fluo "/>
    <s v=" n fluorescent "/>
    <s v=" n total"/>
  </r>
  <r>
    <x v="13"/>
    <x v="9"/>
    <s v="\\192.168.24.208\images\R&amp;D\Coralie\Triphenylphosphate\2021-CHG-CBA-TRIPHENYLP 2\plaque 2/@13 TESTO/ "/>
    <s v=" "/>
    <s v=" 72.7744 "/>
    <x v="15"/>
    <s v=" 2503480.12 "/>
    <s v=" 1139671.7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4"/>
    <x v="0"/>
    <s v="\\192.168.24.208\images\R&amp;D\Coralie\Triphenylphosphate\2021-CHG-CBA-TRIPHENYLP 2\plaque 2/@14 TESTO/A2_01.tif "/>
    <s v=" 48667.2629 "/>
    <s v=" 70.9293 "/>
    <x v="1"/>
    <n v="3451937"/>
    <m/>
    <m/>
    <m/>
  </r>
  <r>
    <x v="14"/>
    <x v="0"/>
    <s v="\\192.168.24.208\images\R&amp;D\Coralie\Triphenylphosphate\2021-CHG-CBA-TRIPHENYLP 2\plaque 2/@14 TESTO/A2_02- exclu.tif"/>
    <m/>
    <m/>
    <x v="0"/>
    <m/>
    <m/>
    <m/>
    <m/>
  </r>
  <r>
    <x v="14"/>
    <x v="0"/>
    <s v="\\192.168.24.208\images\R&amp;D\Coralie\Triphenylphosphate\2021-CHG-CBA-TRIPHENYLP 2\plaque 2/@14 TESTO/A2_03.tif "/>
    <s v=" 49683.868 "/>
    <s v=" 70.2377 "/>
    <x v="1"/>
    <n v="3489681"/>
    <m/>
    <m/>
    <m/>
  </r>
  <r>
    <x v="14"/>
    <x v="1"/>
    <s v="\\192.168.24.208\images\R&amp;D\Coralie\Triphenylphosphate\2021-CHG-CBA-TRIPHENYLP 2\plaque 2/@14 TESTO/B2_01.tif "/>
    <s v=" 24485.0407 "/>
    <s v=" 70.227 "/>
    <x v="1"/>
    <n v="1719512"/>
    <m/>
    <m/>
    <m/>
  </r>
  <r>
    <x v="14"/>
    <x v="1"/>
    <s v="\\192.168.24.208\images\R&amp;D\Coralie\Triphenylphosphate\2021-CHG-CBA-TRIPHENYLP 2\plaque 2/@14 TESTO/B2_02.tif "/>
    <s v=" 22062.4925 "/>
    <s v=" 69.4314 "/>
    <x v="1"/>
    <n v="1531829"/>
    <m/>
    <m/>
    <m/>
  </r>
  <r>
    <x v="14"/>
    <x v="1"/>
    <s v="\\192.168.24.208\images\R&amp;D\Coralie\Triphenylphosphate\2021-CHG-CBA-TRIPHENYLP 2\plaque 2/@14 TESTO/B2_03- exclu.tif"/>
    <m/>
    <m/>
    <x v="0"/>
    <m/>
    <m/>
    <m/>
    <m/>
  </r>
  <r>
    <x v="14"/>
    <x v="2"/>
    <s v="\\192.168.24.208\images\R&amp;D\Coralie\Triphenylphosphate\2021-CHG-CBA-TRIPHENYLP 2\plaque 2/@14 TESTO/C2_01.tif "/>
    <s v=" 55675.3488 "/>
    <s v=" 75.019 "/>
    <x v="1"/>
    <n v="4176711"/>
    <m/>
    <m/>
    <m/>
  </r>
  <r>
    <x v="14"/>
    <x v="2"/>
    <s v="\\192.168.24.208\images\R&amp;D\Coralie\Triphenylphosphate\2021-CHG-CBA-TRIPHENYLP 2\plaque 2/@14 TESTO/C2_02.tif "/>
    <s v=" 47023.3909 "/>
    <s v=" 77.5722 "/>
    <x v="1"/>
    <n v="3647709"/>
    <m/>
    <m/>
    <m/>
  </r>
  <r>
    <x v="14"/>
    <x v="2"/>
    <s v="\\192.168.24.208\images\R&amp;D\Coralie\Triphenylphosphate\2021-CHG-CBA-TRIPHENYLP 2\plaque 2/@14 TESTO/C2_03.tif "/>
    <s v=" 55523.9395 "/>
    <s v=" 77.1527 "/>
    <x v="1"/>
    <n v="4283822"/>
    <m/>
    <m/>
    <m/>
  </r>
  <r>
    <x v="14"/>
    <x v="3"/>
    <s v="\\192.168.24.208\images\R&amp;D\Coralie\Triphenylphosphate\2021-CHG-CBA-TRIPHENYLP 2\plaque 2/@14 TESTO/D2_01.tif "/>
    <s v=" 38241.6537 "/>
    <s v=" 73.0995 "/>
    <x v="1"/>
    <n v="2795448"/>
    <m/>
    <m/>
    <m/>
  </r>
  <r>
    <x v="14"/>
    <x v="3"/>
    <s v="\\192.168.24.208\images\R&amp;D\Coralie\Triphenylphosphate\2021-CHG-CBA-TRIPHENYLP 2\plaque 2/@14 TESTO/D2_02.tif "/>
    <s v=" 31384.9771 "/>
    <s v=" 71.3163 "/>
    <x v="1"/>
    <n v="2238261"/>
    <m/>
    <m/>
    <m/>
  </r>
  <r>
    <x v="14"/>
    <x v="3"/>
    <s v="\\192.168.24.208\images\R&amp;D\Coralie\Triphenylphosphate\2021-CHG-CBA-TRIPHENYLP 2\plaque 2/@14 TESTO/D2_03.tif "/>
    <s v=" 35062.0592 "/>
    <s v=" 71.5928 "/>
    <x v="1"/>
    <n v="2510193"/>
    <m/>
    <m/>
    <m/>
  </r>
  <r>
    <x v="14"/>
    <x v="4"/>
    <s v="\\192.168.24.208\images\R&amp;D\Coralie\Triphenylphosphate\2021-CHG-CBA-TRIPHENYLP 2\plaque 2/@14 TESTO/E2_01.tif "/>
    <s v=" 41183.3194 "/>
    <s v=" 77.7673 "/>
    <x v="1"/>
    <n v="3202717"/>
    <m/>
    <m/>
    <m/>
  </r>
  <r>
    <x v="14"/>
    <x v="4"/>
    <s v="\\192.168.24.208\images\R&amp;D\Coralie\Triphenylphosphate\2021-CHG-CBA-TRIPHENYLP 2\plaque 2/@14 TESTO/E2_02.tif "/>
    <s v=" 39539.4474 "/>
    <s v=" 78.3173 "/>
    <x v="1"/>
    <n v="3096622"/>
    <m/>
    <m/>
    <m/>
  </r>
  <r>
    <x v="14"/>
    <x v="4"/>
    <s v="\\192.168.24.208\images\R&amp;D\Coralie\Triphenylphosphate\2021-CHG-CBA-TRIPHENYLP 2\plaque 2/@14 TESTO/E2_03.tif "/>
    <s v=" 38111.8743 "/>
    <s v=" 76.9279 "/>
    <x v="1"/>
    <n v="2931867"/>
    <m/>
    <m/>
    <m/>
  </r>
  <r>
    <x v="14"/>
    <x v="5"/>
    <s v="\\192.168.24.208\images\R&amp;D\Coralie\Triphenylphosphate\2021-CHG-CBA-TRIPHENYLP 2\plaque 2/@14 TESTO/F2_01.tif "/>
    <s v=" 34586.2015 "/>
    <s v=" 78.561 "/>
    <x v="1"/>
    <n v="2717126"/>
    <m/>
    <m/>
    <m/>
  </r>
  <r>
    <x v="14"/>
    <x v="5"/>
    <s v="\\192.168.24.208\images\R&amp;D\Coralie\Triphenylphosphate\2021-CHG-CBA-TRIPHENYLP 2\plaque 2/@14 TESTO/F2_02.tif "/>
    <s v=" 42178.2945 "/>
    <s v=" 77.2385 "/>
    <x v="1"/>
    <n v="3257787"/>
    <m/>
    <m/>
    <m/>
  </r>
  <r>
    <x v="14"/>
    <x v="5"/>
    <s v="\\192.168.24.208\images\R&amp;D\Coralie\Triphenylphosphate\2021-CHG-CBA-TRIPHENYLP 2\plaque 2/@14 TESTO/F2_03.tif "/>
    <s v=" 35537.9169 "/>
    <s v=" 78.5612 "/>
    <x v="1"/>
    <n v="2791900"/>
    <m/>
    <m/>
    <m/>
  </r>
  <r>
    <x v="14"/>
    <x v="6"/>
    <s v="\\192.168.24.208\images\R&amp;D\Coralie\Triphenylphosphate\2021-CHG-CBA-TRIPHENYLP 2\plaque 2/@14 TESTO/G2_01.tif "/>
    <s v=" 28313.5321 "/>
    <s v=" 73.5676 "/>
    <x v="1"/>
    <n v="2082959"/>
    <m/>
    <m/>
    <m/>
  </r>
  <r>
    <x v="14"/>
    <x v="6"/>
    <s v="\\192.168.24.208\images\R&amp;D\Coralie\Triphenylphosphate\2021-CHG-CBA-TRIPHENYLP 2\plaque 2/@14 TESTO/G2_02.tif "/>
    <s v=" 28118.863 "/>
    <s v=" 71.5585 "/>
    <x v="1"/>
    <n v="2012143"/>
    <m/>
    <m/>
    <m/>
  </r>
  <r>
    <x v="14"/>
    <x v="6"/>
    <s v="\\192.168.24.208\images\R&amp;D\Coralie\Triphenylphosphate\2021-CHG-CBA-TRIPHENYLP 2\plaque 2/@14 TESTO/G2_03.tif "/>
    <s v=" 23598.215 "/>
    <s v=" 71.7672 "/>
    <x v="1"/>
    <n v="1693577"/>
    <m/>
    <m/>
    <m/>
  </r>
  <r>
    <x v="14"/>
    <x v="7"/>
    <s v="\\192.168.24.208\images\R&amp;D\Coralie\Triphenylphosphate\2021-CHG-CBA-TRIPHENYLP 2\plaque 2/@14 TESTO/H2_01.tif "/>
    <s v=" 25155.5675 "/>
    <s v=" 69.0782 "/>
    <x v="1"/>
    <n v="1737702"/>
    <m/>
    <m/>
    <m/>
  </r>
  <r>
    <x v="14"/>
    <x v="7"/>
    <s v="\\192.168.24.208\images\R&amp;D\Coralie\Triphenylphosphate\2021-CHG-CBA-TRIPHENYLP 2\plaque 2/@14 TESTO/H2_02.tif "/>
    <s v=" 23879.4037 "/>
    <s v=" 69.4121 "/>
    <x v="1"/>
    <n v="1657520"/>
    <m/>
    <m/>
    <m/>
  </r>
  <r>
    <x v="14"/>
    <x v="7"/>
    <s v="\\192.168.24.208\images\R&amp;D\Coralie\Triphenylphosphate\2021-CHG-CBA-TRIPHENYLP 2\plaque 2/@14 TESTO/H2_03.tif "/>
    <s v=" 26734.5498 "/>
    <s v=" 69.4555 "/>
    <x v="1"/>
    <n v="1856862"/>
    <m/>
    <m/>
    <m/>
  </r>
  <r>
    <x v="1"/>
    <x v="8"/>
    <s v=" "/>
    <m/>
    <m/>
    <x v="0"/>
    <m/>
    <m/>
    <m/>
    <m/>
  </r>
  <r>
    <x v="1"/>
    <x v="8"/>
    <s v="group "/>
    <s v=" "/>
    <s v=" mean of mean fluo "/>
    <x v="2"/>
    <s v=" mean of total fluo "/>
    <s v=" SD total fluo "/>
    <s v=" n fluorescent "/>
    <s v=" n total"/>
  </r>
  <r>
    <x v="14"/>
    <x v="9"/>
    <s v="\\192.168.24.208\images\R&amp;D\Coralie\Triphenylphosphate\2021-CHG-CBA-TRIPHENYLP 2\plaque 2/@14 TESTO/ "/>
    <s v=" "/>
    <s v=" 72.9708 "/>
    <x v="16"/>
    <s v=" 2591572.33 "/>
    <s v=" 881106.87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5"/>
    <x v="0"/>
    <s v="\\192.168.24.208\images\R&amp;D\Coralie\Triphenylphosphate\2021-CHG-CBA-TRIPHENYLP 2\plaque 2/@15 TESTO + EE2/A3_01.tif "/>
    <s v=" 29113.8382 "/>
    <s v=" 71.8113 "/>
    <x v="1"/>
    <n v="2090702"/>
    <m/>
    <m/>
    <m/>
  </r>
  <r>
    <x v="15"/>
    <x v="0"/>
    <s v="\\192.168.24.208\images\R&amp;D\Coralie\Triphenylphosphate\2021-CHG-CBA-TRIPHENYLP 2\plaque 2/@15 TESTO + EE2/A3_02.tif "/>
    <s v=" 27989.0836 "/>
    <s v=" 71.3029 "/>
    <x v="1"/>
    <n v="1995704"/>
    <m/>
    <m/>
    <m/>
  </r>
  <r>
    <x v="15"/>
    <x v="0"/>
    <s v="\\192.168.24.208\images\R&amp;D\Coralie\Triphenylphosphate\2021-CHG-CBA-TRIPHENYLP 2\plaque 2/@15 TESTO + EE2/A3_03.tif "/>
    <s v=" 27989.0836 "/>
    <s v=" 71.6213 "/>
    <x v="1"/>
    <n v="2004615"/>
    <m/>
    <m/>
    <m/>
  </r>
  <r>
    <x v="15"/>
    <x v="1"/>
    <s v="\\192.168.24.208\images\R&amp;D\Coralie\Triphenylphosphate\2021-CHG-CBA-TRIPHENYLP 2\plaque 2/@15 TESTO + EE2/B3_01.tif "/>
    <s v=" 14859.7376 "/>
    <s v=" 66.5983 "/>
    <x v="1"/>
    <n v="989633"/>
    <m/>
    <m/>
    <m/>
  </r>
  <r>
    <x v="15"/>
    <x v="1"/>
    <s v="\\192.168.24.208\images\R&amp;D\Coralie\Triphenylphosphate\2021-CHG-CBA-TRIPHENYLP 2\plaque 2/@15 TESTO + EE2/B3_02.tif "/>
    <s v=" 9582.0433 "/>
    <s v=" 64.9549 "/>
    <x v="1"/>
    <n v="622400"/>
    <m/>
    <m/>
    <m/>
  </r>
  <r>
    <x v="15"/>
    <x v="1"/>
    <s v="\\192.168.24.208\images\R&amp;D\Coralie\Triphenylphosphate\2021-CHG-CBA-TRIPHENYLP 2\plaque 2/@15 TESTO + EE2/B3_03- exclu.tif"/>
    <m/>
    <m/>
    <x v="0"/>
    <m/>
    <m/>
    <m/>
    <m/>
  </r>
  <r>
    <x v="15"/>
    <x v="2"/>
    <s v="\\192.168.24.208\images\R&amp;D\Coralie\Triphenylphosphate\2021-CHG-CBA-TRIPHENYLP 2\plaque 2/@15 TESTO + EE2/C3_01.tif "/>
    <s v=" 50008.3164 "/>
    <s v=" 85.7487 "/>
    <x v="1"/>
    <n v="4288148"/>
    <m/>
    <m/>
    <m/>
  </r>
  <r>
    <x v="15"/>
    <x v="2"/>
    <s v="\\192.168.24.208\images\R&amp;D\Coralie\Triphenylphosphate\2021-CHG-CBA-TRIPHENYLP 2\plaque 2/@15 TESTO + EE2/C3_02.tif "/>
    <s v=" 49078.2309 "/>
    <s v=" 83.5703 "/>
    <x v="1"/>
    <n v="4101482"/>
    <m/>
    <m/>
    <m/>
  </r>
  <r>
    <x v="15"/>
    <x v="2"/>
    <s v="\\192.168.24.208\images\R&amp;D\Coralie\Triphenylphosphate\2021-CHG-CBA-TRIPHENYLP 2\plaque 2/@15 TESTO + EE2/C3_03.tif "/>
    <s v=" 50786.9926 "/>
    <s v=" 83.4216 "/>
    <x v="1"/>
    <n v="4236734"/>
    <m/>
    <m/>
    <m/>
  </r>
  <r>
    <x v="15"/>
    <x v="3"/>
    <s v="\\192.168.24.208\images\R&amp;D\Coralie\Triphenylphosphate\2021-CHG-CBA-TRIPHENYLP 2\plaque 2/@15 TESTO + EE2/D3_01.tif "/>
    <s v=" 76504.9373 "/>
    <s v=" 84.0368 "/>
    <x v="1"/>
    <n v="6429227"/>
    <m/>
    <m/>
    <m/>
  </r>
  <r>
    <x v="15"/>
    <x v="3"/>
    <s v="\\192.168.24.208\images\R&amp;D\Coralie\Triphenylphosphate\2021-CHG-CBA-TRIPHENYLP 2\plaque 2/@15 TESTO + EE2/D3_02.tif "/>
    <s v=" 75509.9621 "/>
    <s v=" 82.5812 "/>
    <x v="1"/>
    <n v="6235704"/>
    <m/>
    <m/>
    <m/>
  </r>
  <r>
    <x v="15"/>
    <x v="3"/>
    <s v="\\192.168.24.208\images\R&amp;D\Coralie\Triphenylphosphate\2021-CHG-CBA-TRIPHENYLP 2\plaque 2/@15 TESTO + EE2/D3_03.tif "/>
    <s v=" 73779.5706 "/>
    <s v=" 84.567 "/>
    <x v="1"/>
    <n v="6239316"/>
    <m/>
    <m/>
    <m/>
  </r>
  <r>
    <x v="15"/>
    <x v="4"/>
    <s v="\\192.168.24.208\images\R&amp;D\Coralie\Triphenylphosphate\2021-CHG-CBA-TRIPHENYLP 2\plaque 2/@15 TESTO + EE2/E3_01.tif "/>
    <s v=" 63591.8902 "/>
    <s v=" 83.0878 "/>
    <x v="1"/>
    <n v="5283707"/>
    <m/>
    <m/>
    <m/>
  </r>
  <r>
    <x v="15"/>
    <x v="4"/>
    <s v="\\192.168.24.208\images\R&amp;D\Coralie\Triphenylphosphate\2021-CHG-CBA-TRIPHENYLP 2\plaque 2/@15 TESTO + EE2/E3_02.tif "/>
    <s v=" 63959.5984 "/>
    <s v=" 82.6172 "/>
    <x v="1"/>
    <n v="5284162"/>
    <m/>
    <m/>
    <m/>
  </r>
  <r>
    <x v="15"/>
    <x v="4"/>
    <s v="\\192.168.24.208\images\R&amp;D\Coralie\Triphenylphosphate\2021-CHG-CBA-TRIPHENYLP 2\plaque 2/@15 TESTO + EE2/E3_03.tif "/>
    <s v=" 62942.9934 "/>
    <s v=" 81.755 "/>
    <x v="1"/>
    <n v="5145903"/>
    <m/>
    <m/>
    <m/>
  </r>
  <r>
    <x v="15"/>
    <x v="5"/>
    <s v="\\192.168.24.208\images\R&amp;D\Coralie\Triphenylphosphate\2021-CHG-CBA-TRIPHENYLP 2\plaque 2/@15 TESTO + EE2/F3_01.tif "/>
    <s v=" 46785.4621 "/>
    <s v=" 79.6158 "/>
    <x v="1"/>
    <n v="3724863"/>
    <m/>
    <m/>
    <m/>
  </r>
  <r>
    <x v="15"/>
    <x v="5"/>
    <s v="\\192.168.24.208\images\R&amp;D\Coralie\Triphenylphosphate\2021-CHG-CBA-TRIPHENYLP 2\plaque 2/@15 TESTO + EE2/F3_02.tif "/>
    <s v=" 47477.6187 "/>
    <s v=" 78.3576 "/>
    <x v="1"/>
    <n v="3720234"/>
    <m/>
    <m/>
    <m/>
  </r>
  <r>
    <x v="15"/>
    <x v="5"/>
    <s v="\\192.168.24.208\images\R&amp;D\Coralie\Triphenylphosphate\2021-CHG-CBA-TRIPHENYLP 2\plaque 2/@15 TESTO + EE2/F3_03.tif "/>
    <s v=" 44276.3943 "/>
    <s v=" 78.9878 "/>
    <x v="1"/>
    <n v="3497294"/>
    <m/>
    <m/>
    <m/>
  </r>
  <r>
    <x v="15"/>
    <x v="6"/>
    <s v="\\192.168.24.208\images\R&amp;D\Coralie\Triphenylphosphate\2021-CHG-CBA-TRIPHENYLP 2\plaque 2/@15 TESTO + EE2/G3_01.tif "/>
    <s v=" 54247.7757 "/>
    <s v=" 93.2105 "/>
    <x v="1"/>
    <n v="5056464"/>
    <m/>
    <m/>
    <m/>
  </r>
  <r>
    <x v="15"/>
    <x v="6"/>
    <s v="\\192.168.24.208\images\R&amp;D\Coralie\Triphenylphosphate\2021-CHG-CBA-TRIPHENYLP 2\plaque 2/@15 TESTO + EE2/G3_02.tif "/>
    <s v=" 61904.7584 "/>
    <s v=" 88.9832 "/>
    <x v="1"/>
    <n v="5508485"/>
    <m/>
    <m/>
    <m/>
  </r>
  <r>
    <x v="15"/>
    <x v="6"/>
    <s v="\\192.168.24.208\images\R&amp;D\Coralie\Triphenylphosphate\2021-CHG-CBA-TRIPHENYLP 2\plaque 2/@15 TESTO + EE2/G3_03.tif "/>
    <s v=" 55264.3808 "/>
    <s v=" 93.4243 "/>
    <x v="1"/>
    <n v="5163034"/>
    <m/>
    <m/>
    <m/>
  </r>
  <r>
    <x v="15"/>
    <x v="7"/>
    <s v="\\192.168.24.208\images\R&amp;D\Coralie\Triphenylphosphate\2021-CHG-CBA-TRIPHENYLP 2\plaque 2/@15 TESTO + EE2/H3_01.tif "/>
    <s v=" 50008.3164 "/>
    <s v=" 75.5316 "/>
    <x v="1"/>
    <n v="3777207"/>
    <m/>
    <m/>
    <m/>
  </r>
  <r>
    <x v="15"/>
    <x v="7"/>
    <s v="\\192.168.24.208\images\R&amp;D\Coralie\Triphenylphosphate\2021-CHG-CBA-TRIPHENYLP 2\plaque 2/@15 TESTO + EE2/H3_02.tif "/>
    <s v=" 57232.7012 "/>
    <s v=" 76.076 "/>
    <x v="1"/>
    <n v="4354033"/>
    <m/>
    <m/>
    <m/>
  </r>
  <r>
    <x v="15"/>
    <x v="7"/>
    <s v="\\192.168.24.208\images\R&amp;D\Coralie\Triphenylphosphate\2021-CHG-CBA-TRIPHENYLP 2\plaque 2/@15 TESTO + EE2/H3_03.tif "/>
    <s v=" 53901.6974 "/>
    <s v=" 75.4904 "/>
    <x v="1"/>
    <n v="4069059"/>
    <m/>
    <m/>
    <m/>
  </r>
  <r>
    <x v="1"/>
    <x v="8"/>
    <s v=" "/>
    <m/>
    <m/>
    <x v="0"/>
    <m/>
    <m/>
    <m/>
    <m/>
  </r>
  <r>
    <x v="1"/>
    <x v="8"/>
    <s v="group "/>
    <s v=" "/>
    <s v=" mean of mean fluo "/>
    <x v="2"/>
    <s v=" mean of total fluo "/>
    <s v=" SD total fluo "/>
    <s v=" n fluorescent "/>
    <s v=" n total"/>
  </r>
  <r>
    <x v="15"/>
    <x v="9"/>
    <s v="\\192.168.24.208\images\R&amp;D\Coralie\Triphenylphosphate\2021-CHG-CBA-TRIPHENYLP 2\plaque 2/@15 TESTO + EE2/ "/>
    <s v=" "/>
    <s v=" 79.443 "/>
    <x v="17"/>
    <s v=" 3967779.75 "/>
    <s v=" 1678629.1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6"/>
    <x v="0"/>
    <s v="\\192.168.24.208\images\R&amp;D\Coralie\Triphenylphosphate\2021-CHG-CBA-TRIPHENYLP 2\plaque 2/@16 TESTO + FAD/A4_01- exclu.tif"/>
    <m/>
    <m/>
    <x v="0"/>
    <m/>
    <m/>
    <m/>
    <m/>
  </r>
  <r>
    <x v="16"/>
    <x v="0"/>
    <s v="\\192.168.24.208\images\R&amp;D\Coralie\Triphenylphosphate\2021-CHG-CBA-TRIPHENYLP 2\plaque 2/@16 TESTO + FAD/A4_02.tif "/>
    <s v=" 3114.7048 "/>
    <s v=" 65.4792 "/>
    <x v="1"/>
    <n v="203948"/>
    <m/>
    <m/>
    <m/>
  </r>
  <r>
    <x v="16"/>
    <x v="0"/>
    <s v="\\192.168.24.208\images\R&amp;D\Coralie\Triphenylphosphate\2021-CHG-CBA-TRIPHENYLP 2\plaque 2/@16 TESTO + FAD/A4_03.tif "/>
    <s v=" 735.4164 "/>
    <s v=" 64.4412 "/>
    <x v="1"/>
    <n v="47391"/>
    <m/>
    <m/>
    <m/>
  </r>
  <r>
    <x v="16"/>
    <x v="1"/>
    <s v="\\192.168.24.208\images\R&amp;D\Coralie\Triphenylphosphate\2021-CHG-CBA-TRIPHENYLP 2\plaque 2/@16 TESTO + FAD/B4_01.tif "/>
    <s v=" 3590.5625 "/>
    <s v=" 64.1506 "/>
    <x v="1"/>
    <n v="230337"/>
    <m/>
    <m/>
    <m/>
  </r>
  <r>
    <x v="16"/>
    <x v="1"/>
    <s v="\\192.168.24.208\images\R&amp;D\Coralie\Triphenylphosphate\2021-CHG-CBA-TRIPHENYLP 2\plaque 2/@16 TESTO + FAD/B4_02.tif "/>
    <s v=" 6402.4488 "/>
    <s v=" 64.7804 "/>
    <x v="1"/>
    <n v="414753"/>
    <m/>
    <m/>
    <m/>
  </r>
  <r>
    <x v="16"/>
    <x v="1"/>
    <s v="\\192.168.24.208\images\R&amp;D\Coralie\Triphenylphosphate\2021-CHG-CBA-TRIPHENYLP 2\plaque 2/@16 TESTO + FAD/B4_03.tif "/>
    <s v=" 8176.1002 "/>
    <s v=" 65.709 "/>
    <x v="1"/>
    <n v="537243"/>
    <m/>
    <m/>
    <m/>
  </r>
  <r>
    <x v="16"/>
    <x v="2"/>
    <s v="\\192.168.24.208\images\R&amp;D\Coralie\Triphenylphosphate\2021-CHG-CBA-TRIPHENYLP 2\plaque 2/@16 TESTO + FAD/C4_01.tif "/>
    <s v=" 4953.2459 "/>
    <s v=" 65.9258 "/>
    <x v="1"/>
    <n v="326547"/>
    <m/>
    <m/>
    <m/>
  </r>
  <r>
    <x v="16"/>
    <x v="2"/>
    <s v="\\192.168.24.208\images\R&amp;D\Coralie\Triphenylphosphate\2021-CHG-CBA-TRIPHENYLP 2\plaque 2/@16 TESTO + FAD/C4_02.tif "/>
    <s v=" 5299.3242 "/>
    <s v=" 65.3184 "/>
    <x v="1"/>
    <n v="346143"/>
    <m/>
    <m/>
    <m/>
  </r>
  <r>
    <x v="16"/>
    <x v="2"/>
    <s v="\\192.168.24.208\images\R&amp;D\Coralie\Triphenylphosphate\2021-CHG-CBA-TRIPHENYLP 2\plaque 2/@16 TESTO + FAD/C4_03.tif "/>
    <s v=" 3547.3027 "/>
    <s v=" 65.4756 "/>
    <x v="1"/>
    <n v="232262"/>
    <m/>
    <m/>
    <m/>
  </r>
  <r>
    <x v="16"/>
    <x v="3"/>
    <s v="\\192.168.24.208\images\R&amp;D\Coralie\Triphenylphosphate\2021-CHG-CBA-TRIPHENYLP 2\plaque 2/@16 TESTO + FAD/D4_01.tif "/>
    <s v=" 11204.2854 "/>
    <s v=" 70.6236 "/>
    <x v="1"/>
    <n v="791286"/>
    <m/>
    <m/>
    <m/>
  </r>
  <r>
    <x v="16"/>
    <x v="3"/>
    <s v="\\192.168.24.208\images\R&amp;D\Coralie\Triphenylphosphate\2021-CHG-CBA-TRIPHENYLP 2\plaque 2/@16 TESTO + FAD/D4_02.tif "/>
    <s v=" 11139.3957 "/>
    <s v=" 69.8932 "/>
    <x v="1"/>
    <n v="778568"/>
    <m/>
    <m/>
    <m/>
  </r>
  <r>
    <x v="16"/>
    <x v="3"/>
    <s v="\\192.168.24.208\images\R&amp;D\Coralie\Triphenylphosphate\2021-CHG-CBA-TRIPHENYLP 2\plaque 2/@16 TESTO + FAD/D4_03.tif "/>
    <s v=" 8911.5166 "/>
    <s v=" 67.9369 "/>
    <x v="1"/>
    <n v="605421"/>
    <m/>
    <m/>
    <m/>
  </r>
  <r>
    <x v="16"/>
    <x v="4"/>
    <s v="\\192.168.24.208\images\R&amp;D\Coralie\Triphenylphosphate\2021-CHG-CBA-TRIPHENYLP 2\plaque 2/@16 TESTO + FAD/E4_01.tif "/>
    <s v=" 7051.3456 "/>
    <s v=" 65.862 "/>
    <x v="1"/>
    <n v="464415"/>
    <m/>
    <m/>
    <m/>
  </r>
  <r>
    <x v="16"/>
    <x v="4"/>
    <s v="\\192.168.24.208\images\R&amp;D\Coralie\Triphenylphosphate\2021-CHG-CBA-TRIPHENYLP 2\plaque 2/@16 TESTO + FAD/E4_02- exclu.tif"/>
    <m/>
    <m/>
    <x v="0"/>
    <m/>
    <m/>
    <m/>
    <m/>
  </r>
  <r>
    <x v="16"/>
    <x v="4"/>
    <s v="\\192.168.24.208\images\R&amp;D\Coralie\Triphenylphosphate\2021-CHG-CBA-TRIPHENYLP 2\plaque 2/@16 TESTO + FAD/E4_03.tif "/>
    <s v=" 10295.8298 "/>
    <s v=" 67.3739 "/>
    <x v="1"/>
    <n v="693671"/>
    <m/>
    <m/>
    <m/>
  </r>
  <r>
    <x v="16"/>
    <x v="5"/>
    <s v="\\192.168.24.208\images\R&amp;D\Coralie\Triphenylphosphate\2021-CHG-CBA-TRIPHENYLP 2\plaque 2/@16 TESTO + FAD/F4_01.tif "/>
    <s v=" 1059.8648 "/>
    <s v=" 64.551 "/>
    <x v="1"/>
    <n v="68415"/>
    <m/>
    <m/>
    <m/>
  </r>
  <r>
    <x v="16"/>
    <x v="5"/>
    <s v="\\192.168.24.208\images\R&amp;D\Coralie\Triphenylphosphate\2021-CHG-CBA-TRIPHENYLP 2\plaque 2/@16 TESTO + FAD/F4_02.tif "/>
    <s v=" 973.3453 "/>
    <s v=" 63.7778 "/>
    <x v="1"/>
    <n v="62078"/>
    <m/>
    <m/>
    <m/>
  </r>
  <r>
    <x v="16"/>
    <x v="5"/>
    <s v="\\192.168.24.208\images\R&amp;D\Coralie\Triphenylphosphate\2021-CHG-CBA-TRIPHENYLP 2\plaque 2/@16 TESTO + FAD/F4_03.tif "/>
    <s v=" 713.7865 "/>
    <s v=" 63.2424 "/>
    <x v="1"/>
    <n v="45142"/>
    <m/>
    <m/>
    <m/>
  </r>
  <r>
    <x v="16"/>
    <x v="6"/>
    <s v="\\192.168.24.208\images\R&amp;D\Coralie\Triphenylphosphate\2021-CHG-CBA-TRIPHENYLP 2\plaque 2/@16 TESTO + FAD/G4_01.tif "/>
    <s v=" 1341.0535 "/>
    <s v=" 62.8387 "/>
    <x v="1"/>
    <n v="84270"/>
    <m/>
    <m/>
    <m/>
  </r>
  <r>
    <x v="16"/>
    <x v="6"/>
    <s v="\\192.168.24.208\images\R&amp;D\Coralie\Triphenylphosphate\2021-CHG-CBA-TRIPHENYLP 2\plaque 2/@16 TESTO + FAD/G4_02.tif "/>
    <s v=" 2552.3276 "/>
    <s v=" 63.3136 "/>
    <x v="1"/>
    <n v="161597"/>
    <m/>
    <m/>
    <m/>
  </r>
  <r>
    <x v="16"/>
    <x v="6"/>
    <s v="\\192.168.24.208\images\R&amp;D\Coralie\Triphenylphosphate\2021-CHG-CBA-TRIPHENYLP 2\plaque 2/@16 TESTO + FAD/G4_03- exclu.tif"/>
    <m/>
    <m/>
    <x v="0"/>
    <m/>
    <m/>
    <m/>
    <m/>
  </r>
  <r>
    <x v="16"/>
    <x v="7"/>
    <s v="\\192.168.24.208\images\R&amp;D\Coralie\Triphenylphosphate\2021-CHG-CBA-TRIPHENYLP 2\plaque 2/@16 TESTO + FAD/H4_01.tif "/>
    <s v=" 1362.6834 "/>
    <s v=" 63.8571 "/>
    <x v="1"/>
    <n v="87017"/>
    <m/>
    <m/>
    <m/>
  </r>
  <r>
    <x v="16"/>
    <x v="7"/>
    <s v="\\192.168.24.208\images\R&amp;D\Coralie\Triphenylphosphate\2021-CHG-CBA-TRIPHENYLP 2\plaque 2/@16 TESTO + FAD/H4_02.tif "/>
    <s v=" 692.1566 "/>
    <s v=" 63.7812 "/>
    <x v="1"/>
    <n v="44147"/>
    <m/>
    <m/>
    <m/>
  </r>
  <r>
    <x v="16"/>
    <x v="7"/>
    <s v="\\192.168.24.208\images\R&amp;D\Coralie\Triphenylphosphate\2021-CHG-CBA-TRIPHENYLP 2\plaque 2/@16 TESTO + FAD/H4_03.tif "/>
    <s v=" 800.3061 "/>
    <s v=" 63.6486 "/>
    <x v="1"/>
    <n v="50938"/>
    <m/>
    <m/>
    <m/>
  </r>
  <r>
    <x v="1"/>
    <x v="8"/>
    <s v=" "/>
    <m/>
    <m/>
    <x v="0"/>
    <m/>
    <m/>
    <m/>
    <m/>
  </r>
  <r>
    <x v="1"/>
    <x v="8"/>
    <s v="group "/>
    <s v=" "/>
    <s v=" mean of mean fluo "/>
    <x v="2"/>
    <s v=" mean of total fluo "/>
    <s v=" SD total fluo "/>
    <s v=" n fluorescent "/>
    <s v=" n total"/>
  </r>
  <r>
    <x v="16"/>
    <x v="9"/>
    <s v="\\192.168.24.208\images\R&amp;D\Coralie\Triphenylphosphate\2021-CHG-CBA-TRIPHENYLP 2\plaque 2/@16 TESTO + FAD/ "/>
    <s v=" "/>
    <s v=" 65.1659 "/>
    <x v="18"/>
    <s v=" 279050.875 "/>
    <s v=" 246681.71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7"/>
    <x v="0"/>
    <s v="\\192.168.24.208\images\R&amp;D\Coralie\Triphenylphosphate\2021-CHG-CBA-TRIPHENYLP 2\plaque 2/@17 TriphenylP 0.18 + TESTO/A5_01.tif "/>
    <s v=" 23857.7738 "/>
    <s v=" 67.2103 "/>
    <x v="1"/>
    <n v="1603489"/>
    <m/>
    <m/>
    <m/>
  </r>
  <r>
    <x v="17"/>
    <x v="0"/>
    <s v="\\192.168.24.208\images\R&amp;D\Coralie\Triphenylphosphate\2021-CHG-CBA-TRIPHENYLP 2\plaque 2/@17 TriphenylP 0.18 + TESTO/A5_02.tif "/>
    <s v=" 21089.1473 "/>
    <s v=" 67.4164 "/>
    <x v="1"/>
    <n v="1421755"/>
    <m/>
    <m/>
    <m/>
  </r>
  <r>
    <x v="17"/>
    <x v="0"/>
    <s v="\\192.168.24.208\images\R&amp;D\Coralie\Triphenylphosphate\2021-CHG-CBA-TRIPHENYLP 2\plaque 2/@17 TriphenylP 0.18 + TESTO/A5_03.tif "/>
    <s v=" 20353.7308 "/>
    <s v=" 67.0542 "/>
    <x v="1"/>
    <n v="1364803"/>
    <m/>
    <m/>
    <m/>
  </r>
  <r>
    <x v="17"/>
    <x v="1"/>
    <s v="\\192.168.24.208\images\R&amp;D\Coralie\Triphenylphosphate\2021-CHG-CBA-TRIPHENYLP 2\plaque 2/@17 TriphenylP 0.18 + TESTO/B5_01.tif "/>
    <s v=" 66403.7765 "/>
    <s v=" 73.5554 "/>
    <x v="1"/>
    <n v="4884355"/>
    <m/>
    <m/>
    <m/>
  </r>
  <r>
    <x v="17"/>
    <x v="1"/>
    <s v="\\192.168.24.208\images\R&amp;D\Coralie\Triphenylphosphate\2021-CHG-CBA-TRIPHENYLP 2\plaque 2/@17 TriphenylP 0.18 + TESTO/B5_02.tif "/>
    <s v=" 63137.6624 "/>
    <s v=" 74.0548 "/>
    <x v="1"/>
    <n v="4675648"/>
    <m/>
    <m/>
    <m/>
  </r>
  <r>
    <x v="17"/>
    <x v="1"/>
    <s v="\\192.168.24.208\images\R&amp;D\Coralie\Triphenylphosphate\2021-CHG-CBA-TRIPHENYLP 2\plaque 2/@17 TriphenylP 0.18 + TESTO/B5_03.tif "/>
    <s v=" 63894.7087 "/>
    <s v=" 74.3697 "/>
    <x v="1"/>
    <n v="4751828"/>
    <m/>
    <m/>
    <m/>
  </r>
  <r>
    <x v="17"/>
    <x v="2"/>
    <s v="\\192.168.24.208\images\R&amp;D\Coralie\Triphenylphosphate\2021-CHG-CBA-TRIPHENYLP 2\plaque 2/@17 TriphenylP 0.18 + TESTO/C5_01.tif "/>
    <s v=" 57557.1496 "/>
    <s v=" 79.0763 "/>
    <x v="1"/>
    <n v="4551406"/>
    <m/>
    <m/>
    <m/>
  </r>
  <r>
    <x v="17"/>
    <x v="2"/>
    <s v="\\192.168.24.208\images\R&amp;D\Coralie\Triphenylphosphate\2021-CHG-CBA-TRIPHENYLP 2\plaque 2/@17 TriphenylP 0.18 + TESTO/C5_02.tif "/>
    <s v=" 56194.4662 "/>
    <s v=" 78.3976 "/>
    <x v="1"/>
    <n v="4405512"/>
    <m/>
    <m/>
    <m/>
  </r>
  <r>
    <x v="17"/>
    <x v="2"/>
    <s v="\\192.168.24.208\images\R&amp;D\Coralie\Triphenylphosphate\2021-CHG-CBA-TRIPHENYLP 2\plaque 2/@17 TriphenylP 0.18 + TESTO/C5_03.tif "/>
    <s v=" 39582.7072 "/>
    <s v=" 76.3486 "/>
    <x v="1"/>
    <n v="3022086"/>
    <m/>
    <m/>
    <m/>
  </r>
  <r>
    <x v="17"/>
    <x v="3"/>
    <s v="\\192.168.24.208\images\R&amp;D\Coralie\Triphenylphosphate\2021-CHG-CBA-TRIPHENYLP 2\plaque 2/@17 TriphenylP 0.18 + TESTO/D5_01.tif "/>
    <s v=" 39193.3691 "/>
    <s v=" 72.9459 "/>
    <x v="1"/>
    <n v="2858996"/>
    <m/>
    <m/>
    <m/>
  </r>
  <r>
    <x v="17"/>
    <x v="3"/>
    <s v="\\192.168.24.208\images\R&amp;D\Coralie\Triphenylphosphate\2021-CHG-CBA-TRIPHENYLP 2\plaque 2/@17 TriphenylP 0.18 + TESTO/D5_02.tif "/>
    <s v=" 39041.9598 "/>
    <s v=" 72.2277 "/>
    <x v="1"/>
    <n v="2819911"/>
    <m/>
    <m/>
    <m/>
  </r>
  <r>
    <x v="17"/>
    <x v="3"/>
    <s v="\\192.168.24.208\images\R&amp;D\Coralie\Triphenylphosphate\2021-CHG-CBA-TRIPHENYLP 2\plaque 2/@17 TriphenylP 0.18 + TESTO/D5_03- exclu.tif"/>
    <m/>
    <m/>
    <x v="0"/>
    <m/>
    <m/>
    <m/>
    <m/>
  </r>
  <r>
    <x v="17"/>
    <x v="4"/>
    <s v="\\192.168.24.208\images\R&amp;D\Coralie\Triphenylphosphate\2021-CHG-CBA-TRIPHENYLP 2\plaque 2/@17 TriphenylP 0.18 + TESTO/E5_01.tif "/>
    <s v=" 50159.7256 "/>
    <s v=" 73.9728 "/>
    <x v="1"/>
    <n v="3710457"/>
    <m/>
    <m/>
    <m/>
  </r>
  <r>
    <x v="17"/>
    <x v="4"/>
    <s v="\\192.168.24.208\images\R&amp;D\Coralie\Triphenylphosphate\2021-CHG-CBA-TRIPHENYLP 2\plaque 2/@17 TriphenylP 0.18 + TESTO/E5_02.tif "/>
    <s v=" 49856.9071 "/>
    <s v=" 75.239 "/>
    <x v="1"/>
    <n v="3751186"/>
    <m/>
    <m/>
    <m/>
  </r>
  <r>
    <x v="17"/>
    <x v="4"/>
    <s v="\\192.168.24.208\images\R&amp;D\Coralie\Triphenylphosphate\2021-CHG-CBA-TRIPHENYLP 2\plaque 2/@17 TriphenylP 0.18 + TESTO/E5_03.tif "/>
    <s v=" 52733.6831 "/>
    <s v=" 74.3979 "/>
    <x v="1"/>
    <n v="3923274"/>
    <m/>
    <m/>
    <m/>
  </r>
  <r>
    <x v="17"/>
    <x v="5"/>
    <s v="\\192.168.24.208\images\R&amp;D\Coralie\Triphenylphosphate\2021-CHG-CBA-TRIPHENYLP 2\plaque 2/@17 TriphenylP 0.18 + TESTO/F5_01.tif "/>
    <s v=" 43865.4263 "/>
    <s v=" 76.43 "/>
    <x v="1"/>
    <n v="3352634"/>
    <m/>
    <m/>
    <m/>
  </r>
  <r>
    <x v="17"/>
    <x v="5"/>
    <s v="\\192.168.24.208\images\R&amp;D\Coralie\Triphenylphosphate\2021-CHG-CBA-TRIPHENYLP 2\plaque 2/@17 TriphenylP 0.18 + TESTO/F5_02- exclu.tif"/>
    <m/>
    <m/>
    <x v="0"/>
    <m/>
    <m/>
    <m/>
    <m/>
  </r>
  <r>
    <x v="17"/>
    <x v="5"/>
    <s v="\\192.168.24.208\images\R&amp;D\Coralie\Triphenylphosphate\2021-CHG-CBA-TRIPHENYLP 2\plaque 2/@17 TriphenylP 0.18 + TESTO/F5_03.tif "/>
    <s v=" 55459.0498 "/>
    <s v=" 75.3253 "/>
    <x v="1"/>
    <n v="4177468"/>
    <m/>
    <m/>
    <m/>
  </r>
  <r>
    <x v="17"/>
    <x v="6"/>
    <s v="\\192.168.24.208\images\R&amp;D\Coralie\Triphenylphosphate\2021-CHG-CBA-TRIPHENYLP 2\plaque 2/@17 TriphenylP 0.18 + TESTO/G5_01.tif "/>
    <s v=" 9733.4526 "/>
    <s v=" 64.3978 "/>
    <x v="1"/>
    <n v="626813"/>
    <m/>
    <m/>
    <m/>
  </r>
  <r>
    <x v="17"/>
    <x v="6"/>
    <s v="\\192.168.24.208\images\R&amp;D\Coralie\Triphenylphosphate\2021-CHG-CBA-TRIPHENYLP 2\plaque 2/@17 TriphenylP 0.18 + TESTO/G5_02- exclu.tif"/>
    <m/>
    <m/>
    <x v="0"/>
    <m/>
    <m/>
    <m/>
    <m/>
  </r>
  <r>
    <x v="17"/>
    <x v="6"/>
    <s v="\\192.168.24.208\images\R&amp;D\Coralie\Triphenylphosphate\2021-CHG-CBA-TRIPHENYLP 2\plaque 2/@17 TriphenylP 0.18 + TESTO/G5_03.tif "/>
    <s v=" 18104.2218 "/>
    <s v=" 70.871 "/>
    <x v="1"/>
    <n v="1283064"/>
    <m/>
    <m/>
    <m/>
  </r>
  <r>
    <x v="17"/>
    <x v="7"/>
    <s v="\\192.168.24.208\images\R&amp;D\Coralie\Triphenylphosphate\2021-CHG-CBA-TRIPHENYLP 2\plaque 2/@17 TriphenylP 0.18 + TESTO/H5_01.tif "/>
    <s v=" 52452.4945 "/>
    <s v=" 73.1431 "/>
    <x v="1"/>
    <n v="3836538"/>
    <m/>
    <m/>
    <m/>
  </r>
  <r>
    <x v="17"/>
    <x v="7"/>
    <s v="\\192.168.24.208\images\R&amp;D\Coralie\Triphenylphosphate\2021-CHG-CBA-TRIPHENYLP 2\plaque 2/@17 TriphenylP 0.18 + TESTO/H5_02.tif "/>
    <s v=" 53728.6583 "/>
    <s v=" 73.3196 "/>
    <x v="1"/>
    <n v="3939366"/>
    <m/>
    <m/>
    <m/>
  </r>
  <r>
    <x v="17"/>
    <x v="7"/>
    <s v="\\192.168.24.208\images\R&amp;D\Coralie\Triphenylphosphate\2021-CHG-CBA-TRIPHENYLP 2\plaque 2/@17 TriphenylP 0.18 + TESTO/H5_03.tif "/>
    <s v=" 53750.2882 "/>
    <s v=" 72.6085 "/>
    <x v="1"/>
    <n v="3902725"/>
    <m/>
    <m/>
    <m/>
  </r>
  <r>
    <x v="1"/>
    <x v="8"/>
    <s v=" "/>
    <m/>
    <m/>
    <x v="0"/>
    <m/>
    <m/>
    <m/>
    <m/>
  </r>
  <r>
    <x v="1"/>
    <x v="8"/>
    <s v="group "/>
    <s v=" "/>
    <s v=" mean of mean fluo "/>
    <x v="2"/>
    <s v=" mean of total fluo "/>
    <s v=" SD total fluo "/>
    <s v=" n fluorescent "/>
    <s v=" n total"/>
  </r>
  <r>
    <x v="17"/>
    <x v="9"/>
    <s v="\\192.168.24.208\images\R&amp;D\Coralie\Triphenylphosphate\2021-CHG-CBA-TRIPHENYLP 2\plaque 2/@17 TriphenylP 0.18 + TESTO/ "/>
    <s v=" "/>
    <s v=" 72.5839 "/>
    <x v="19"/>
    <s v=" 3149051.38 "/>
    <s v=" 1329686.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8"/>
    <x v="0"/>
    <s v="\\192.168.24.208\images\R&amp;D\Coralie\Triphenylphosphate\2021-CHG-CBA-TRIPHENYLP 2\plaque 2/@18  TriphenylP 0.26 + TESTO/A6_01.tif "/>
    <s v=" 40858.871 "/>
    <s v=" 75.8227 "/>
    <x v="1"/>
    <n v="3098028"/>
    <m/>
    <m/>
    <m/>
  </r>
  <r>
    <x v="18"/>
    <x v="0"/>
    <s v="\\192.168.24.208\images\R&amp;D\Coralie\Triphenylphosphate\2021-CHG-CBA-TRIPHENYLP 2\plaque 2/@18  TriphenylP 0.26 + TESTO/A6_02- exclu.tif"/>
    <m/>
    <m/>
    <x v="0"/>
    <m/>
    <m/>
    <m/>
    <m/>
  </r>
  <r>
    <x v="18"/>
    <x v="0"/>
    <s v="\\192.168.24.208\images\R&amp;D\Coralie\Triphenylphosphate\2021-CHG-CBA-TRIPHENYLP 2\plaque 2/@18  TriphenylP 0.26 + TESTO/A6_03.tif "/>
    <s v=" 44557.5829 "/>
    <s v=" 72.2597 "/>
    <x v="1"/>
    <n v="3219718"/>
    <m/>
    <m/>
    <m/>
  </r>
  <r>
    <x v="18"/>
    <x v="1"/>
    <s v="\\192.168.24.208\images\R&amp;D\Coralie\Triphenylphosphate\2021-CHG-CBA-TRIPHENYLP 2\plaque 2/@18  TriphenylP 0.26 + TESTO/B6_01.tif "/>
    <s v=" 42956.9707 "/>
    <s v=" 79.1415 "/>
    <x v="1"/>
    <n v="3399679"/>
    <m/>
    <m/>
    <m/>
  </r>
  <r>
    <x v="18"/>
    <x v="1"/>
    <s v="\\192.168.24.208\images\R&amp;D\Coralie\Triphenylphosphate\2021-CHG-CBA-TRIPHENYLP 2\plaque 2/@18  TriphenylP 0.26 + TESTO/B6_02.tif "/>
    <s v=" 42762.3017 "/>
    <s v=" 75.8356 "/>
    <x v="1"/>
    <n v="3242905"/>
    <m/>
    <m/>
    <m/>
  </r>
  <r>
    <x v="18"/>
    <x v="1"/>
    <s v="\\192.168.24.208\images\R&amp;D\Coralie\Triphenylphosphate\2021-CHG-CBA-TRIPHENYLP 2\plaque 2/@18  TriphenylP 0.26 + TESTO/B6_03.tif "/>
    <s v=" 43973.5758 "/>
    <s v=" 75.9213 "/>
    <x v="1"/>
    <n v="3338531"/>
    <m/>
    <m/>
    <m/>
  </r>
  <r>
    <x v="18"/>
    <x v="2"/>
    <s v="\\192.168.24.208\images\R&amp;D\Coralie\Triphenylphosphate\2021-CHG-CBA-TRIPHENYLP 2\plaque 2/@18  TriphenylP 0.26 + TESTO/C6_01.tif "/>
    <s v=" 83080.4253 "/>
    <s v=" 82.9326 "/>
    <x v="1"/>
    <n v="6890073"/>
    <m/>
    <m/>
    <m/>
  </r>
  <r>
    <x v="18"/>
    <x v="2"/>
    <s v="\\192.168.24.208\images\R&amp;D\Coralie\Triphenylphosphate\2021-CHG-CBA-TRIPHENYLP 2\plaque 2/@18  TriphenylP 0.26 + TESTO/C6_02.tif "/>
    <s v=" 84356.5891 "/>
    <s v=" 82.8787 "/>
    <x v="1"/>
    <n v="6991366"/>
    <m/>
    <m/>
    <m/>
  </r>
  <r>
    <x v="18"/>
    <x v="2"/>
    <s v="\\192.168.24.208\images\R&amp;D\Coralie\Triphenylphosphate\2021-CHG-CBA-TRIPHENYLP 2\plaque 2/@18  TriphenylP 0.26 + TESTO/C6_03.tif "/>
    <s v=" 81176.9945 "/>
    <s v=" 83.5492 "/>
    <x v="1"/>
    <n v="6782270"/>
    <m/>
    <m/>
    <m/>
  </r>
  <r>
    <x v="18"/>
    <x v="3"/>
    <s v="\\192.168.24.208\images\R&amp;D\Coralie\Triphenylphosphate\2021-CHG-CBA-TRIPHENYLP 2\plaque 2/@18  TriphenylP 0.26 + TESTO/D6_01.tif "/>
    <s v=" 34845.7602 "/>
    <s v=" 73.1179 "/>
    <x v="1"/>
    <n v="2547850"/>
    <m/>
    <m/>
    <m/>
  </r>
  <r>
    <x v="18"/>
    <x v="3"/>
    <s v="\\192.168.24.208\images\R&amp;D\Coralie\Triphenylphosphate\2021-CHG-CBA-TRIPHENYLP 2\plaque 2/@18  TriphenylP 0.26 + TESTO/D6_02.tif "/>
    <s v=" 35364.8777 "/>
    <s v=" 73.3083 "/>
    <x v="1"/>
    <n v="2592538"/>
    <m/>
    <m/>
    <m/>
  </r>
  <r>
    <x v="18"/>
    <x v="3"/>
    <s v="\\192.168.24.208\images\R&amp;D\Coralie\Triphenylphosphate\2021-CHG-CBA-TRIPHENYLP 2\plaque 2/@18  TriphenylP 0.26 + TESTO/D6_03.tif "/>
    <s v=" 33310.0377 "/>
    <s v=" 72.9513 "/>
    <x v="1"/>
    <n v="2430011"/>
    <m/>
    <m/>
    <m/>
  </r>
  <r>
    <x v="18"/>
    <x v="4"/>
    <s v="\\192.168.24.208\images\R&amp;D\Coralie\Triphenylphosphate\2021-CHG-CBA-TRIPHENYLP 2\plaque 2/@18  TriphenylP 0.26 + TESTO/E6_01.tif "/>
    <s v=" 70664.8658 "/>
    <s v=" 78.139 "/>
    <x v="1"/>
    <n v="5521680"/>
    <m/>
    <m/>
    <m/>
  </r>
  <r>
    <x v="18"/>
    <x v="4"/>
    <s v="\\192.168.24.208\images\R&amp;D\Coralie\Triphenylphosphate\2021-CHG-CBA-TRIPHENYLP 2\plaque 2/@18  TriphenylP 0.26 + TESTO/E6_02.tif "/>
    <s v=" 70405.307 "/>
    <s v=" 79.2943 "/>
    <x v="1"/>
    <n v="5582741"/>
    <m/>
    <m/>
    <m/>
  </r>
  <r>
    <x v="18"/>
    <x v="4"/>
    <s v="\\192.168.24.208\images\R&amp;D\Coralie\Triphenylphosphate\2021-CHG-CBA-TRIPHENYLP 2\plaque 2/@18  TriphenylP 0.26 + TESTO/E6_03.tif "/>
    <s v=" 67312.2321 "/>
    <s v=" 79.6475 "/>
    <x v="1"/>
    <n v="5361251"/>
    <m/>
    <m/>
    <m/>
  </r>
  <r>
    <x v="18"/>
    <x v="5"/>
    <s v="\\192.168.24.208\images\R&amp;D\Coralie\Triphenylphosphate\2021-CHG-CBA-TRIPHENYLP 2\plaque 2/@18  TriphenylP 0.26 + TESTO/F6_01.tif "/>
    <s v=" 43216.5295 "/>
    <s v=" 74.1051 "/>
    <x v="1"/>
    <n v="3202565"/>
    <m/>
    <m/>
    <m/>
  </r>
  <r>
    <x v="18"/>
    <x v="5"/>
    <s v="\\192.168.24.208\images\R&amp;D\Coralie\Triphenylphosphate\2021-CHG-CBA-TRIPHENYLP 2\plaque 2/@18  TriphenylP 0.26 + TESTO/F6_02.tif "/>
    <s v=" 37852.3156 "/>
    <s v=" 71.8869 "/>
    <x v="1"/>
    <n v="2721084"/>
    <m/>
    <m/>
    <m/>
  </r>
  <r>
    <x v="18"/>
    <x v="5"/>
    <s v="\\192.168.24.208\images\R&amp;D\Coralie\Triphenylphosphate\2021-CHG-CBA-TRIPHENYLP 2\plaque 2/@18  TriphenylP 0.26 + TESTO/F6_03.tif "/>
    <s v=" 36230.0735 "/>
    <s v=" 71.2209 "/>
    <x v="1"/>
    <n v="2580338"/>
    <m/>
    <m/>
    <m/>
  </r>
  <r>
    <x v="18"/>
    <x v="6"/>
    <s v="\\192.168.24.208\images\R&amp;D\Coralie\Triphenylphosphate\2021-CHG-CBA-TRIPHENYLP 2\plaque 2/@18  TriphenylP 0.26 + TESTO/G6_01.tif "/>
    <s v=" 66252.3672 "/>
    <s v=" 80.5067 "/>
    <x v="1"/>
    <n v="5333759"/>
    <m/>
    <m/>
    <m/>
  </r>
  <r>
    <x v="18"/>
    <x v="6"/>
    <s v="\\192.168.24.208\images\R&amp;D\Coralie\Triphenylphosphate\2021-CHG-CBA-TRIPHENYLP 2\plaque 2/@18  TriphenylP 0.26 + TESTO/G6_02.tif "/>
    <s v=" 60585.3349 "/>
    <s v=" 90.6923 "/>
    <x v="1"/>
    <n v="5494621"/>
    <m/>
    <m/>
    <m/>
  </r>
  <r>
    <x v="18"/>
    <x v="6"/>
    <s v="\\192.168.24.208\images\R&amp;D\Coralie\Triphenylphosphate\2021-CHG-CBA-TRIPHENYLP 2\plaque 2/@18  TriphenylP 0.26 + TESTO/G6_03.tif "/>
    <s v=" 60239.2565 "/>
    <s v=" 90.0557 "/>
    <x v="1"/>
    <n v="5424886"/>
    <m/>
    <m/>
    <m/>
  </r>
  <r>
    <x v="18"/>
    <x v="7"/>
    <s v="\\192.168.24.208\images\R&amp;D\Coralie\Triphenylphosphate\2021-CHG-CBA-TRIPHENYLP 2\plaque 2/@18  TriphenylP 0.26 + TESTO/H6_01.tif "/>
    <s v=" 61515.4203 "/>
    <s v=" 79.6389 "/>
    <x v="1"/>
    <n v="4899020"/>
    <m/>
    <m/>
    <m/>
  </r>
  <r>
    <x v="18"/>
    <x v="7"/>
    <s v="\\192.168.24.208\images\R&amp;D\Coralie\Triphenylphosphate\2021-CHG-CBA-TRIPHENYLP 2\plaque 2/@18  TriphenylP 0.26 + TESTO/H6_02.tif "/>
    <s v=" 58681.9041 "/>
    <s v=" 79.9311 "/>
    <x v="1"/>
    <n v="4690508"/>
    <m/>
    <m/>
    <m/>
  </r>
  <r>
    <x v="18"/>
    <x v="7"/>
    <s v="\\192.168.24.208\images\R&amp;D\Coralie\Triphenylphosphate\2021-CHG-CBA-TRIPHENYLP 2\plaque 2/@18  TriphenylP 0.26 + TESTO/H6_03.tif "/>
    <s v=" 55350.9004 "/>
    <s v=" 81.1446 "/>
    <x v="1"/>
    <n v="4491426"/>
    <m/>
    <m/>
    <m/>
  </r>
  <r>
    <x v="1"/>
    <x v="8"/>
    <s v=" "/>
    <m/>
    <m/>
    <x v="0"/>
    <m/>
    <m/>
    <m/>
    <m/>
  </r>
  <r>
    <x v="1"/>
    <x v="8"/>
    <s v="group "/>
    <s v=" "/>
    <s v=" mean of mean fluo "/>
    <x v="2"/>
    <s v=" mean of total fluo "/>
    <s v=" SD total fluo "/>
    <s v=" n fluorescent "/>
    <s v=" n total"/>
  </r>
  <r>
    <x v="18"/>
    <x v="9"/>
    <s v="\\192.168.24.208\images\R&amp;D\Coralie\Triphenylphosphate\2021-CHG-CBA-TRIPHENYLP 2\plaque 2/@18  TriphenylP 0.26 + TESTO/ "/>
    <s v=" "/>
    <s v=" 78.1636 "/>
    <x v="20"/>
    <s v=" 4288964.88 "/>
    <s v=" 1499697.2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9"/>
    <x v="0"/>
    <s v="\\192.168.24.208\images\R&amp;D\Coralie\Triphenylphosphate\2021-CHG-CBA-TRIPHENYLP 2\plaque 2/@19  TriphenylP 0.4 + TESTO/A7_01.tif "/>
    <s v=" 53750.2882 "/>
    <s v=" 77.0306 "/>
    <x v="1"/>
    <n v="4140416"/>
    <m/>
    <m/>
    <m/>
  </r>
  <r>
    <x v="19"/>
    <x v="0"/>
    <s v="\\192.168.24.208\images\R&amp;D\Coralie\Triphenylphosphate\2021-CHG-CBA-TRIPHENYLP 2\plaque 2/@19  TriphenylP 0.4 + TESTO/A7_02.tif "/>
    <s v=" 52236.1955 "/>
    <s v=" 78.111 "/>
    <x v="1"/>
    <n v="4080220"/>
    <m/>
    <m/>
    <m/>
  </r>
  <r>
    <x v="19"/>
    <x v="0"/>
    <s v="\\192.168.24.208\images\R&amp;D\Coralie\Triphenylphosphate\2021-CHG-CBA-TRIPHENYLP 2\plaque 2/@19  TriphenylP 0.4 + TESTO/A7_03- exclu.tif"/>
    <m/>
    <m/>
    <x v="0"/>
    <m/>
    <m/>
    <m/>
    <m/>
  </r>
  <r>
    <x v="19"/>
    <x v="1"/>
    <s v="\\192.168.24.208\images\R&amp;D\Coralie\Triphenylphosphate\2021-CHG-CBA-TRIPHENYLP 2\plaque 2/@19  TriphenylP 0.4 + TESTO/B7_01.tif "/>
    <s v=" 37830.6857 "/>
    <s v=" 70.2173 "/>
    <x v="1"/>
    <n v="2656367"/>
    <m/>
    <m/>
    <m/>
  </r>
  <r>
    <x v="19"/>
    <x v="1"/>
    <s v="\\192.168.24.208\images\R&amp;D\Coralie\Triphenylphosphate\2021-CHG-CBA-TRIPHENYLP 2\plaque 2/@19  TriphenylP 0.4 + TESTO/B7_02.tif "/>
    <s v=" 38587.732 "/>
    <s v=" 71.3907 "/>
    <x v="1"/>
    <n v="2754805"/>
    <m/>
    <m/>
    <m/>
  </r>
  <r>
    <x v="19"/>
    <x v="1"/>
    <s v="\\192.168.24.208\images\R&amp;D\Coralie\Triphenylphosphate\2021-CHG-CBA-TRIPHENYLP 2\plaque 2/@19  TriphenylP 0.4 + TESTO/B7_03.tif "/>
    <s v=" 39171.7392 "/>
    <s v=" 70.4666 "/>
    <x v="1"/>
    <n v="2760299"/>
    <m/>
    <m/>
    <m/>
  </r>
  <r>
    <x v="19"/>
    <x v="2"/>
    <s v="\\192.168.24.208\images\R&amp;D\Coralie\Triphenylphosphate\2021-CHG-CBA-TRIPHENYLP 2\plaque 2/@19  TriphenylP 0.4 + TESTO/C7_01.tif "/>
    <s v=" 7224.3848 "/>
    <s v=" 68.6078 "/>
    <x v="1"/>
    <n v="495649"/>
    <m/>
    <m/>
    <m/>
  </r>
  <r>
    <x v="19"/>
    <x v="2"/>
    <s v="\\192.168.24.208\images\R&amp;D\Coralie\Triphenylphosphate\2021-CHG-CBA-TRIPHENYLP 2\plaque 2/@19  TriphenylP 0.4 + TESTO/C7_02.tif "/>
    <s v=" 5948.221 "/>
    <s v=" 67.8545 "/>
    <x v="1"/>
    <n v="403614"/>
    <m/>
    <m/>
    <m/>
  </r>
  <r>
    <x v="19"/>
    <x v="2"/>
    <s v="\\192.168.24.208\images\R&amp;D\Coralie\Triphenylphosphate\2021-CHG-CBA-TRIPHENYLP 2\plaque 2/@19  TriphenylP 0.4 + TESTO/C7_03.tif "/>
    <s v=" 5083.0252 "/>
    <s v=" 66.5532 "/>
    <x v="1"/>
    <n v="338292"/>
    <m/>
    <m/>
    <m/>
  </r>
  <r>
    <x v="19"/>
    <x v="3"/>
    <s v="\\192.168.24.208\images\R&amp;D\Coralie\Triphenylphosphate\2021-CHG-CBA-TRIPHENYLP 2\plaque 2/@19  TriphenylP 0.4 + TESTO/D7_01.tif "/>
    <s v=" 79143.7844 "/>
    <s v=" 85.5619 "/>
    <x v="1"/>
    <n v="6771693"/>
    <m/>
    <m/>
    <m/>
  </r>
  <r>
    <x v="19"/>
    <x v="3"/>
    <s v="\\192.168.24.208\images\R&amp;D\Coralie\Triphenylphosphate\2021-CHG-CBA-TRIPHENYLP 2\plaque 2/@19  TriphenylP 0.4 + TESTO/D7_02- exclu.tif"/>
    <m/>
    <m/>
    <x v="0"/>
    <m/>
    <m/>
    <m/>
    <m/>
  </r>
  <r>
    <x v="19"/>
    <x v="3"/>
    <s v="\\192.168.24.208\images\R&amp;D\Coralie\Triphenylphosphate\2021-CHG-CBA-TRIPHENYLP 2\plaque 2/@19  TriphenylP 0.4 + TESTO/D7_03.tif "/>
    <s v=" 72849.4851 "/>
    <s v=" 84.677 "/>
    <x v="1"/>
    <n v="6168673"/>
    <m/>
    <m/>
    <m/>
  </r>
  <r>
    <x v="19"/>
    <x v="4"/>
    <s v="\\192.168.24.208\images\R&amp;D\Coralie\Triphenylphosphate\2021-CHG-CBA-TRIPHENYLP 2\plaque 2/@19  TriphenylP 0.4 + TESTO/E7_01.tif "/>
    <s v=" 74752.9158 "/>
    <s v=" 82.4473 "/>
    <x v="1"/>
    <n v="6163179"/>
    <m/>
    <m/>
    <m/>
  </r>
  <r>
    <x v="19"/>
    <x v="4"/>
    <s v="\\192.168.24.208\images\R&amp;D\Coralie\Triphenylphosphate\2021-CHG-CBA-TRIPHENYLP 2\plaque 2/@19  TriphenylP 0.4 + TESTO/E7_02.tif "/>
    <s v=" 65819.7694 "/>
    <s v=" 81.3313 "/>
    <x v="1"/>
    <n v="5353204"/>
    <m/>
    <m/>
    <m/>
  </r>
  <r>
    <x v="19"/>
    <x v="4"/>
    <s v="\\192.168.24.208\images\R&amp;D\Coralie\Triphenylphosphate\2021-CHG-CBA-TRIPHENYLP 2\plaque 2/@19  TriphenylP 0.4 + TESTO/E7_03.tif "/>
    <s v=" 75574.8518 "/>
    <s v=" 81.508 "/>
    <x v="1"/>
    <n v="6159956"/>
    <m/>
    <m/>
    <m/>
  </r>
  <r>
    <x v="19"/>
    <x v="5"/>
    <s v="\\192.168.24.208\images\R&amp;D\Coralie\Triphenylphosphate\2021-CHG-CBA-TRIPHENYLP 2\plaque 2/@19  TriphenylP 0.4 + TESTO/F7_01.tif "/>
    <s v=" 67593.4207 "/>
    <s v=" 76.1382 "/>
    <x v="1"/>
    <n v="5146444"/>
    <m/>
    <m/>
    <m/>
  </r>
  <r>
    <x v="19"/>
    <x v="5"/>
    <s v="\\192.168.24.208\images\R&amp;D\Coralie\Triphenylphosphate\2021-CHG-CBA-TRIPHENYLP 2\plaque 2/@19  TriphenylP 0.4 + TESTO/F7_02.tif "/>
    <s v=" 62791.5841 "/>
    <s v=" 74.9759 "/>
    <x v="1"/>
    <n v="4707855"/>
    <m/>
    <m/>
    <m/>
  </r>
  <r>
    <x v="19"/>
    <x v="5"/>
    <s v="\\192.168.24.208\images\R&amp;D\Coralie\Triphenylphosphate\2021-CHG-CBA-TRIPHENYLP 2\plaque 2/@19  TriphenylP 0.4 + TESTO/F7_03.tif "/>
    <s v=" 60390.6658 "/>
    <s v=" 73.914 "/>
    <x v="1"/>
    <n v="4463718"/>
    <m/>
    <m/>
    <m/>
  </r>
  <r>
    <x v="19"/>
    <x v="6"/>
    <s v="\\192.168.24.208\images\R&amp;D\Coralie\Triphenylphosphate\2021-CHG-CBA-TRIPHENYLP 2\plaque 2/@19  TriphenylP 0.4 + TESTO/G7_01.tif "/>
    <s v=" 53923.3273 "/>
    <s v=" 70.9081 "/>
    <x v="1"/>
    <n v="3823603"/>
    <m/>
    <m/>
    <m/>
  </r>
  <r>
    <x v="19"/>
    <x v="6"/>
    <s v="\\192.168.24.208\images\R&amp;D\Coralie\Triphenylphosphate\2021-CHG-CBA-TRIPHENYLP 2\plaque 2/@19  TriphenylP 0.4 + TESTO/G7_02.tif "/>
    <s v=" 45898.6364 "/>
    <s v=" 69.0523 "/>
    <x v="1"/>
    <n v="3169407"/>
    <m/>
    <m/>
    <m/>
  </r>
  <r>
    <x v="19"/>
    <x v="6"/>
    <s v="\\192.168.24.208\images\R&amp;D\Coralie\Triphenylphosphate\2021-CHG-CBA-TRIPHENYLP 2\plaque 2/@19  TriphenylP 0.4 + TESTO/G7_03.tif "/>
    <s v=" 57189.4414 "/>
    <s v=" 70.0129 "/>
    <x v="1"/>
    <n v="4003996"/>
    <m/>
    <m/>
    <m/>
  </r>
  <r>
    <x v="19"/>
    <x v="7"/>
    <s v="\\192.168.24.208\images\R&amp;D\Coralie\Triphenylphosphate\2021-CHG-CBA-TRIPHENYLP 2\plaque 2/@19  TriphenylP 0.4 + TESTO/H7_01.tif "/>
    <s v=" 36468.0023 "/>
    <s v=" 76.8078 "/>
    <x v="1"/>
    <n v="2801028"/>
    <m/>
    <m/>
    <m/>
  </r>
  <r>
    <x v="19"/>
    <x v="7"/>
    <s v="\\192.168.24.208\images\R&amp;D\Coralie\Triphenylphosphate\2021-CHG-CBA-TRIPHENYLP 2\plaque 2/@19  TriphenylP 0.4 + TESTO/H7_02.tif "/>
    <s v=" 30108.8133 "/>
    <s v=" 75.3376 "/>
    <x v="1"/>
    <n v="2268327"/>
    <m/>
    <m/>
    <m/>
  </r>
  <r>
    <x v="19"/>
    <x v="7"/>
    <s v="\\192.168.24.208\images\R&amp;D\Coralie\Triphenylphosphate\2021-CHG-CBA-TRIPHENYLP 2\plaque 2/@19  TriphenylP 0.4 + TESTO/H7_03.tif "/>
    <s v=" 34218.4933 "/>
    <s v=" 76.737 "/>
    <x v="1"/>
    <n v="2625826"/>
    <m/>
    <m/>
    <m/>
  </r>
  <r>
    <x v="1"/>
    <x v="8"/>
    <s v=" "/>
    <m/>
    <m/>
    <x v="0"/>
    <m/>
    <m/>
    <m/>
    <m/>
  </r>
  <r>
    <x v="1"/>
    <x v="8"/>
    <s v="group "/>
    <s v=" "/>
    <s v=" mean of mean fluo "/>
    <x v="2"/>
    <s v=" mean of total fluo "/>
    <s v=" SD total fluo "/>
    <s v=" n fluorescent "/>
    <s v=" n total"/>
  </r>
  <r>
    <x v="19"/>
    <x v="9"/>
    <s v="\\192.168.24.208\images\R&amp;D\Coralie\Triphenylphosphate\2021-CHG-CBA-TRIPHENYLP 2\plaque 2/@19  TriphenylP 0.4 + TESTO/ "/>
    <s v=" "/>
    <s v=" 75.5639 "/>
    <x v="21"/>
    <s v=" 3755121.83 "/>
    <s v=" 1818923.0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0"/>
    <x v="0"/>
    <s v="\\192.168.24.208\images\R&amp;D\Coralie\Triphenylphosphate\2021-CHG-CBA-TRIPHENYLP 2\plaque 2/@20  TriphenylP 0.59 + TESTO/A8_01.tif "/>
    <s v=" 39106.8495 "/>
    <s v=" 76.4519 "/>
    <x v="1"/>
    <n v="2989792"/>
    <m/>
    <m/>
    <m/>
  </r>
  <r>
    <x v="20"/>
    <x v="0"/>
    <s v="\\192.168.24.208\images\R&amp;D\Coralie\Triphenylphosphate\2021-CHG-CBA-TRIPHENYLP 2\plaque 2/@20  TriphenylP 0.59 + TESTO/A8_02.tif "/>
    <s v=" 39755.7463 "/>
    <s v=" 75.6104 "/>
    <x v="1"/>
    <n v="3005950"/>
    <m/>
    <m/>
    <m/>
  </r>
  <r>
    <x v="20"/>
    <x v="0"/>
    <s v="\\192.168.24.208\images\R&amp;D\Coralie\Triphenylphosphate\2021-CHG-CBA-TRIPHENYLP 2\plaque 2/@20  TriphenylP 0.59 + TESTO/A8_03.tif "/>
    <s v=" 42870.4512 "/>
    <s v=" 76.2866 "/>
    <x v="1"/>
    <n v="3270440"/>
    <m/>
    <m/>
    <m/>
  </r>
  <r>
    <x v="20"/>
    <x v="1"/>
    <s v="\\192.168.24.208\images\R&amp;D\Coralie\Triphenylphosphate\2021-CHG-CBA-TRIPHENYLP 2\plaque 2/@20  TriphenylP 0.59 + TESTO/B8_01.tif "/>
    <s v=" 9214.3351 "/>
    <s v=" 69.284 "/>
    <x v="1"/>
    <n v="638406"/>
    <m/>
    <m/>
    <m/>
  </r>
  <r>
    <x v="20"/>
    <x v="1"/>
    <s v="\\192.168.24.208\images\R&amp;D\Coralie\Triphenylphosphate\2021-CHG-CBA-TRIPHENYLP 2\plaque 2/@20  TriphenylP 0.59 + TESTO/B8_02.tif "/>
    <s v=" 7332.5343 "/>
    <s v=" 70.0472 "/>
    <x v="1"/>
    <n v="513623"/>
    <m/>
    <m/>
    <m/>
  </r>
  <r>
    <x v="20"/>
    <x v="1"/>
    <s v="\\192.168.24.208\images\R&amp;D\Coralie\Triphenylphosphate\2021-CHG-CBA-TRIPHENYLP 2\plaque 2/@20  TriphenylP 0.59 + TESTO/B8_03.tif "/>
    <s v=" 7051.3456 "/>
    <s v=" 68.3773 "/>
    <x v="1"/>
    <n v="482152"/>
    <m/>
    <m/>
    <m/>
  </r>
  <r>
    <x v="20"/>
    <x v="2"/>
    <s v="\\192.168.24.208\images\R&amp;D\Coralie\Triphenylphosphate\2021-CHG-CBA-TRIPHENYLP 2\plaque 2/@20  TriphenylP 0.59 + TESTO/C8_01.tif "/>
    <s v=" 58400.7155 "/>
    <s v=" 77.9067 "/>
    <x v="1"/>
    <n v="4549805"/>
    <m/>
    <m/>
    <m/>
  </r>
  <r>
    <x v="20"/>
    <x v="2"/>
    <s v="\\192.168.24.208\images\R&amp;D\Coralie\Triphenylphosphate\2021-CHG-CBA-TRIPHENYLP 2\plaque 2/@20  TriphenylP 0.59 + TESTO/C8_02.tif "/>
    <s v=" 48667.2629 "/>
    <s v=" 78.2871 "/>
    <x v="1"/>
    <n v="3810019"/>
    <m/>
    <m/>
    <m/>
  </r>
  <r>
    <x v="20"/>
    <x v="2"/>
    <s v="\\192.168.24.208\images\R&amp;D\Coralie\Triphenylphosphate\2021-CHG-CBA-TRIPHENYLP 2\plaque 2/@20  TriphenylP 0.59 + TESTO/C8_03- exclu.tif"/>
    <m/>
    <m/>
    <x v="0"/>
    <m/>
    <m/>
    <m/>
    <m/>
  </r>
  <r>
    <x v="20"/>
    <x v="3"/>
    <s v="\\192.168.24.208\images\R&amp;D\Coralie\Triphenylphosphate\2021-CHG-CBA-TRIPHENYLP 2\plaque 2/@20  TriphenylP 0.59 + TESTO/D8_01.tif "/>
    <s v=" 38760.7712 "/>
    <s v=" 81.2924 "/>
    <x v="1"/>
    <n v="3150957"/>
    <m/>
    <m/>
    <m/>
  </r>
  <r>
    <x v="20"/>
    <x v="3"/>
    <s v="\\192.168.24.208\images\R&amp;D\Coralie\Triphenylphosphate\2021-CHG-CBA-TRIPHENYLP 2\plaque 2/@20  TriphenylP 0.59 + TESTO/D8_02.tif "/>
    <s v=" 46936.8713 "/>
    <s v=" 74.776 "/>
    <x v="1"/>
    <n v="3509753"/>
    <m/>
    <m/>
    <m/>
  </r>
  <r>
    <x v="20"/>
    <x v="3"/>
    <s v="\\192.168.24.208\images\R&amp;D\Coralie\Triphenylphosphate\2021-CHG-CBA-TRIPHENYLP 2\plaque 2/@20  TriphenylP 0.59 + TESTO/D8_03.tif "/>
    <s v=" 37549.4971 "/>
    <s v=" 79.4078 "/>
    <x v="1"/>
    <n v="2981724"/>
    <m/>
    <m/>
    <m/>
  </r>
  <r>
    <x v="20"/>
    <x v="4"/>
    <s v="\\192.168.24.208\images\R&amp;D\Coralie\Triphenylphosphate\2021-CHG-CBA-TRIPHENYLP 2\plaque 2/@20  TriphenylP 0.59 + TESTO/E8_01- exclu.tif"/>
    <m/>
    <m/>
    <x v="0"/>
    <m/>
    <m/>
    <m/>
    <m/>
  </r>
  <r>
    <x v="20"/>
    <x v="4"/>
    <s v="\\192.168.24.208\images\R&amp;D\Coralie\Triphenylphosphate\2021-CHG-CBA-TRIPHENYLP 2\plaque 2/@20  TriphenylP 0.59 + TESTO/E8_02.tif "/>
    <s v=" 72287.1078 "/>
    <s v=" 83.2038 "/>
    <x v="1"/>
    <n v="6014560"/>
    <m/>
    <m/>
    <m/>
  </r>
  <r>
    <x v="20"/>
    <x v="4"/>
    <s v="\\192.168.24.208\images\R&amp;D\Coralie\Triphenylphosphate\2021-CHG-CBA-TRIPHENYLP 2\plaque 2/@20  TriphenylP 0.59 + TESTO/E8_03.tif "/>
    <s v=" 75466.7024 "/>
    <s v=" 83.5076 "/>
    <x v="1"/>
    <n v="6302043"/>
    <m/>
    <m/>
    <m/>
  </r>
  <r>
    <x v="20"/>
    <x v="5"/>
    <s v="\\192.168.24.208\images\R&amp;D\Coralie\Triphenylphosphate\2021-CHG-CBA-TRIPHENYLP 2\plaque 2/@20  TriphenylP 0.59 + TESTO/F8_01.tif "/>
    <s v=" 46785.4621 "/>
    <s v=" 76.5132 "/>
    <x v="1"/>
    <n v="3579704"/>
    <m/>
    <m/>
    <m/>
  </r>
  <r>
    <x v="20"/>
    <x v="5"/>
    <s v="\\192.168.24.208\images\R&amp;D\Coralie\Triphenylphosphate\2021-CHG-CBA-TRIPHENYLP 2\plaque 2/@20  TriphenylP 0.59 + TESTO/F8_02.tif "/>
    <s v=" 44038.4655 "/>
    <s v=" 78.9656 "/>
    <x v="1"/>
    <n v="3477525"/>
    <m/>
    <m/>
    <m/>
  </r>
  <r>
    <x v="20"/>
    <x v="5"/>
    <s v="\\192.168.24.208\images\R&amp;D\Coralie\Triphenylphosphate\2021-CHG-CBA-TRIPHENYLP 2\plaque 2/@20  TriphenylP 0.59 + TESTO/F8_03.tif "/>
    <s v=" 40599.3122 "/>
    <s v=" 78.5733 "/>
    <x v="1"/>
    <n v="3190020"/>
    <m/>
    <m/>
    <m/>
  </r>
  <r>
    <x v="20"/>
    <x v="6"/>
    <s v="\\192.168.24.208\images\R&amp;D\Coralie\Triphenylphosphate\2021-CHG-CBA-TRIPHENYLP 2\plaque 2/@20  TriphenylP 0.59 + TESTO/G8_01.tif "/>
    <s v=" 39236.6289 "/>
    <s v=" 77.4096 "/>
    <x v="1"/>
    <n v="3037291"/>
    <m/>
    <m/>
    <m/>
  </r>
  <r>
    <x v="20"/>
    <x v="6"/>
    <s v="\\192.168.24.208\images\R&amp;D\Coralie\Triphenylphosphate\2021-CHG-CBA-TRIPHENYLP 2\plaque 2/@20  TriphenylP 0.59 + TESTO/G8_02.tif "/>
    <s v=" 36835.7106 "/>
    <s v=" 78.9436 "/>
    <x v="1"/>
    <n v="2907945"/>
    <m/>
    <m/>
    <m/>
  </r>
  <r>
    <x v="20"/>
    <x v="6"/>
    <s v="\\192.168.24.208\images\R&amp;D\Coralie\Triphenylphosphate\2021-CHG-CBA-TRIPHENYLP 2\plaque 2/@20  TriphenylP 0.59 + TESTO/G8_03.tif "/>
    <s v=" 35775.8457 "/>
    <s v=" 78.5677 "/>
    <x v="1"/>
    <n v="2810826"/>
    <m/>
    <m/>
    <m/>
  </r>
  <r>
    <x v="20"/>
    <x v="7"/>
    <s v="\\192.168.24.208\images\R&amp;D\Coralie\Triphenylphosphate\2021-CHG-CBA-TRIPHENYLP 2\plaque 2/@20  TriphenylP 0.59 + TESTO/H8_01.tif "/>
    <s v=" 72849.4851 "/>
    <s v=" 79.8976 "/>
    <x v="1"/>
    <n v="5820496"/>
    <m/>
    <m/>
    <m/>
  </r>
  <r>
    <x v="20"/>
    <x v="7"/>
    <s v="\\192.168.24.208\images\R&amp;D\Coralie\Triphenylphosphate\2021-CHG-CBA-TRIPHENYLP 2\plaque 2/@20  TriphenylP 0.59 + TESTO/H8_02.tif "/>
    <s v=" 78170.4392 "/>
    <s v=" 77.6381 "/>
    <x v="1"/>
    <n v="6069002"/>
    <m/>
    <m/>
    <m/>
  </r>
  <r>
    <x v="20"/>
    <x v="7"/>
    <s v="\\192.168.24.208\images\R&amp;D\Coralie\Triphenylphosphate\2021-CHG-CBA-TRIPHENYLP 2\plaque 2/@20  TriphenylP 0.59 + TESTO/H8_03.tif "/>
    <s v=" 76980.795 "/>
    <s v=" 77.8828 "/>
    <x v="1"/>
    <n v="5995482"/>
    <m/>
    <m/>
    <m/>
  </r>
  <r>
    <x v="1"/>
    <x v="8"/>
    <s v=" "/>
    <m/>
    <m/>
    <x v="0"/>
    <m/>
    <m/>
    <m/>
    <m/>
  </r>
  <r>
    <x v="1"/>
    <x v="8"/>
    <s v="group "/>
    <s v=" "/>
    <s v=" mean of mean fluo "/>
    <x v="2"/>
    <s v=" mean of total fluo "/>
    <s v=" SD total fluo "/>
    <s v=" n fluorescent "/>
    <s v=" n total"/>
  </r>
  <r>
    <x v="20"/>
    <x v="9"/>
    <s v="\\192.168.24.208\images\R&amp;D\Coralie\Triphenylphosphate\2021-CHG-CBA-TRIPHENYLP 2\plaque 2/@20  TriphenylP 0.59 + TESTO/ "/>
    <s v=" "/>
    <s v=" 76.9999 "/>
    <x v="22"/>
    <s v=" 3730032.88 "/>
    <s v=" 1791451.1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1"/>
    <x v="0"/>
    <s v="\\192.168.24.208\images\R&amp;D\Coralie\Triphenylphosphate\2021-CHG-CBA-TRIPHENYLP 2\plaque 2/@21 TriphenylP 0.89 + TESTO/A9_01.tif "/>
    <s v=" 54939.9324 "/>
    <s v=" 76.4661 "/>
    <x v="1"/>
    <n v="4201045"/>
    <m/>
    <m/>
    <m/>
  </r>
  <r>
    <x v="21"/>
    <x v="0"/>
    <s v="\\192.168.24.208\images\R&amp;D\Coralie\Triphenylphosphate\2021-CHG-CBA-TRIPHENYLP 2\plaque 2/@21 TriphenylP 0.89 + TESTO/A9_02.tif "/>
    <s v=" 57275.961 "/>
    <s v=" 76.8656 "/>
    <x v="1"/>
    <n v="4402549"/>
    <m/>
    <m/>
    <m/>
  </r>
  <r>
    <x v="21"/>
    <x v="0"/>
    <s v="\\192.168.24.208\images\R&amp;D\Coralie\Triphenylphosphate\2021-CHG-CBA-TRIPHENYLP 2\plaque 2/@21 TriphenylP 0.89 + TESTO/A9_03.tif "/>
    <s v=" 56497.2848 "/>
    <s v=" 76.6757 "/>
    <x v="1"/>
    <n v="4331970"/>
    <m/>
    <m/>
    <m/>
  </r>
  <r>
    <x v="21"/>
    <x v="1"/>
    <s v="\\192.168.24.208\images\R&amp;D\Coralie\Triphenylphosphate\2021-CHG-CBA-TRIPHENYLP 2\plaque 2/@21 TriphenylP 0.89 + TESTO/B9_01.tif "/>
    <s v=" 32963.9594 "/>
    <s v=" 78.6463 "/>
    <x v="1"/>
    <n v="2592494"/>
    <m/>
    <m/>
    <m/>
  </r>
  <r>
    <x v="21"/>
    <x v="1"/>
    <s v="\\192.168.24.208\images\R&amp;D\Coralie\Triphenylphosphate\2021-CHG-CBA-TRIPHENYLP 2\plaque 2/@21 TriphenylP 0.89 + TESTO/B9_02.tif "/>
    <s v=" 25393.4963 "/>
    <s v=" 77.6312 "/>
    <x v="1"/>
    <n v="1971327"/>
    <m/>
    <m/>
    <m/>
  </r>
  <r>
    <x v="21"/>
    <x v="1"/>
    <s v="\\192.168.24.208\images\R&amp;D\Coralie\Triphenylphosphate\2021-CHG-CBA-TRIPHENYLP 2\plaque 2/@21 TriphenylP 0.89 + TESTO/B9_03.tif "/>
    <s v=" 29849.2546 "/>
    <s v=" 80.8942 "/>
    <x v="1"/>
    <n v="2414632"/>
    <m/>
    <m/>
    <m/>
  </r>
  <r>
    <x v="21"/>
    <x v="2"/>
    <s v="\\192.168.24.208\images\R&amp;D\Coralie\Triphenylphosphate\2021-CHG-CBA-TRIPHENYLP 2\plaque 2/@21 TriphenylP 0.89 + TESTO/C9_01.tif "/>
    <s v=" 68328.8371 "/>
    <s v=" 76.0874 "/>
    <x v="1"/>
    <n v="5198961"/>
    <m/>
    <m/>
    <m/>
  </r>
  <r>
    <x v="21"/>
    <x v="2"/>
    <s v="\\192.168.24.208\images\R&amp;D\Coralie\Triphenylphosphate\2021-CHG-CBA-TRIPHENYLP 2\plaque 2/@21 TriphenylP 0.89 + TESTO/C9_02.tif "/>
    <s v=" 59676.8793 "/>
    <s v=" 74.6988 "/>
    <x v="1"/>
    <n v="4457792"/>
    <m/>
    <m/>
    <m/>
  </r>
  <r>
    <x v="21"/>
    <x v="2"/>
    <s v="\\192.168.24.208\images\R&amp;D\Coralie\Triphenylphosphate\2021-CHG-CBA-TRIPHENYLP 2\plaque 2/@21 TriphenylP 0.89 + TESTO/C9_03.tif "/>
    <s v=" 61753.3492 "/>
    <s v=" 75.9727 "/>
    <x v="1"/>
    <n v="4691567"/>
    <m/>
    <m/>
    <m/>
  </r>
  <r>
    <x v="21"/>
    <x v="3"/>
    <s v="\\192.168.24.208\images\R&amp;D\Coralie\Triphenylphosphate\2021-CHG-CBA-TRIPHENYLP 2\plaque 2/@21 TriphenylP 0.89 + TESTO/D9_01.tif "/>
    <s v=" 67744.83 "/>
    <s v=" 92.2254 "/>
    <x v="1"/>
    <n v="6247795"/>
    <m/>
    <m/>
    <m/>
  </r>
  <r>
    <x v="21"/>
    <x v="3"/>
    <s v="\\192.168.24.208\images\R&amp;D\Coralie\Triphenylphosphate\2021-CHG-CBA-TRIPHENYLP 2\plaque 2/@21 TriphenylP 0.89 + TESTO/D9_02.tif "/>
    <s v=" 58119.5269 "/>
    <s v=" 91.2103 "/>
    <x v="1"/>
    <n v="5301098"/>
    <m/>
    <m/>
    <m/>
  </r>
  <r>
    <x v="21"/>
    <x v="3"/>
    <s v="\\192.168.24.208\images\R&amp;D\Coralie\Triphenylphosphate\2021-CHG-CBA-TRIPHENYLP 2\plaque 2/@21 TriphenylP 0.89 + TESTO/D9_03.tif "/>
    <s v=" 63462.1108 "/>
    <s v=" 88.2001 "/>
    <x v="1"/>
    <n v="5597363"/>
    <m/>
    <m/>
    <m/>
  </r>
  <r>
    <x v="21"/>
    <x v="4"/>
    <s v="\\192.168.24.208\images\R&amp;D\Coralie\Triphenylphosphate\2021-CHG-CBA-TRIPHENYLP 2\plaque 2/@21 TriphenylP 0.89 + TESTO/E9_01.tif "/>
    <s v=" 51219.5905 "/>
    <s v=" 84.5828 "/>
    <x v="1"/>
    <n v="4332295"/>
    <m/>
    <m/>
    <m/>
  </r>
  <r>
    <x v="21"/>
    <x v="4"/>
    <s v="\\192.168.24.208\images\R&amp;D\Coralie\Triphenylphosphate\2021-CHG-CBA-TRIPHENYLP 2\plaque 2/@21 TriphenylP 0.89 + TESTO/E9_02.tif "/>
    <s v=" 53339.3202 "/>
    <s v=" 78.0239 "/>
    <x v="1"/>
    <n v="4161743"/>
    <m/>
    <m/>
    <m/>
  </r>
  <r>
    <x v="21"/>
    <x v="4"/>
    <s v="\\192.168.24.208\images\R&amp;D\Coralie\Triphenylphosphate\2021-CHG-CBA-TRIPHENYLP 2\plaque 2/@21 TriphenylP 0.89 + TESTO/E9_03.tif "/>
    <s v=" 49878.537 "/>
    <s v=" 83.046 "/>
    <x v="1"/>
    <n v="4142211"/>
    <m/>
    <m/>
    <m/>
  </r>
  <r>
    <x v="21"/>
    <x v="5"/>
    <s v="\\192.168.24.208\images\R&amp;D\Coralie\Triphenylphosphate\2021-CHG-CBA-TRIPHENYLP 2\plaque 2/@21 TriphenylP 0.89 + TESTO/F9_01.tif "/>
    <s v=" 73498.3819 "/>
    <s v=" 79.3016 "/>
    <x v="1"/>
    <n v="5828543"/>
    <m/>
    <m/>
    <m/>
  </r>
  <r>
    <x v="21"/>
    <x v="5"/>
    <s v="\\192.168.24.208\images\R&amp;D\Coralie\Triphenylphosphate\2021-CHG-CBA-TRIPHENYLP 2\plaque 2/@21 TriphenylP 0.89 + TESTO/F9_02.tif "/>
    <s v=" 70470.1967 "/>
    <s v=" 79.7106 "/>
    <x v="1"/>
    <n v="5617219"/>
    <m/>
    <m/>
    <m/>
  </r>
  <r>
    <x v="21"/>
    <x v="5"/>
    <s v="\\192.168.24.208\images\R&amp;D\Coralie\Triphenylphosphate\2021-CHG-CBA-TRIPHENYLP 2\plaque 2/@21 TriphenylP 0.89 + TESTO/F9_03.tif "/>
    <s v=" 60542.0751 "/>
    <s v=" 78.1072 "/>
    <x v="1"/>
    <n v="4728771"/>
    <m/>
    <m/>
    <m/>
  </r>
  <r>
    <x v="21"/>
    <x v="6"/>
    <s v="\\192.168.24.208\images\R&amp;D\Coralie\Triphenylphosphate\2021-CHG-CBA-TRIPHENYLP 2\plaque 2/@21 TriphenylP 0.89 + TESTO/G9_01- exclu.tif"/>
    <m/>
    <m/>
    <x v="0"/>
    <m/>
    <m/>
    <m/>
    <m/>
  </r>
  <r>
    <x v="21"/>
    <x v="6"/>
    <s v="\\192.168.24.208\images\R&amp;D\Coralie\Triphenylphosphate\2021-CHG-CBA-TRIPHENYLP 2\plaque 2/@21 TriphenylP 0.89 + TESTO/G9_02.tif "/>
    <s v=" 33699.3758 "/>
    <s v=" 72.2189 "/>
    <x v="1"/>
    <n v="2433731"/>
    <m/>
    <m/>
    <m/>
  </r>
  <r>
    <x v="21"/>
    <x v="6"/>
    <s v="\\192.168.24.208\images\R&amp;D\Coralie\Triphenylphosphate\2021-CHG-CBA-TRIPHENYLP 2\plaque 2/@21 TriphenylP 0.89 + TESTO/G9_03.tif "/>
    <s v=" 33115.3687 "/>
    <s v=" 71.789 "/>
    <x v="1"/>
    <n v="2377320"/>
    <m/>
    <m/>
    <m/>
  </r>
  <r>
    <x v="21"/>
    <x v="7"/>
    <s v="\\192.168.24.208\images\R&amp;D\Coralie\Triphenylphosphate\2021-CHG-CBA-TRIPHENYLP 2\plaque 2/@21 TriphenylP 0.89 + TESTO/H9_01.tif "/>
    <s v=" 57449.0001 "/>
    <s v=" 82.1965 "/>
    <x v="1"/>
    <n v="4722109"/>
    <m/>
    <m/>
    <m/>
  </r>
  <r>
    <x v="21"/>
    <x v="7"/>
    <s v="\\192.168.24.208\images\R&amp;D\Coralie\Triphenylphosphate\2021-CHG-CBA-TRIPHENYLP 2\plaque 2/@21 TriphenylP 0.89 + TESTO/H9_02.tif "/>
    <s v=" 54572.2241 "/>
    <s v=" 82.1233 "/>
    <x v="1"/>
    <n v="4481649"/>
    <m/>
    <m/>
    <m/>
  </r>
  <r>
    <x v="21"/>
    <x v="7"/>
    <s v="\\192.168.24.208\images\R&amp;D\Coralie\Triphenylphosphate\2021-CHG-CBA-TRIPHENYLP 2\plaque 2/@21 TriphenylP 0.89 + TESTO/H9_03.tif "/>
    <s v=" 58617.0144 "/>
    <s v=" 78.4886 "/>
    <x v="1"/>
    <n v="4600765"/>
    <m/>
    <m/>
    <m/>
  </r>
  <r>
    <x v="1"/>
    <x v="8"/>
    <s v=" "/>
    <m/>
    <m/>
    <x v="0"/>
    <m/>
    <m/>
    <m/>
    <m/>
  </r>
  <r>
    <x v="1"/>
    <x v="8"/>
    <s v="group "/>
    <s v=" "/>
    <s v=" mean of mean fluo "/>
    <x v="2"/>
    <s v=" mean of total fluo "/>
    <s v=" SD total fluo "/>
    <s v=" n fluorescent "/>
    <s v=" n total"/>
  </r>
  <r>
    <x v="21"/>
    <x v="9"/>
    <s v="\\192.168.24.208\images\R&amp;D\Coralie\Triphenylphosphate\2021-CHG-CBA-TRIPHENYLP 2\plaque 2/@21 TriphenylP 0.89 + TESTO/ "/>
    <s v=" "/>
    <s v=" 79.1121 "/>
    <x v="23"/>
    <s v=" 4150815.54 "/>
    <s v=" 1367086.22 "/>
    <n v="24"/>
    <n v="24"/>
  </r>
  <r>
    <x v="1"/>
    <x v="8"/>
    <s v=" "/>
    <m/>
    <m/>
    <x v="0"/>
    <m/>
    <m/>
    <m/>
    <m/>
  </r>
  <r>
    <x v="1"/>
    <x v="8"/>
    <s v=" "/>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C:\Users\lmarliere\Desktop\2021-CHG-CBA-TRIPHENYLP 3\plaque 1/@01 TS/A1_01.tif "/>
    <s v=" 4499.0181 "/>
    <s v=" 64.6683 "/>
    <x v="0"/>
    <n v="290944"/>
    <m/>
    <m/>
  </r>
  <r>
    <x v="0"/>
    <x v="0"/>
    <s v="C:\Users\lmarliere\Desktop\2021-CHG-CBA-TRIPHENYLP 3\plaque 1/@01 TS/A1_02.tif "/>
    <s v=" 2703.7368 "/>
    <s v=" 63.816 "/>
    <x v="0"/>
    <n v="172542"/>
    <m/>
    <m/>
  </r>
  <r>
    <x v="0"/>
    <x v="0"/>
    <s v="C:\Users\lmarliere\Desktop\2021-CHG-CBA-TRIPHENYLP 3\plaque 1/@01 TS/A1_03.tif "/>
    <s v=" 2292.7688 "/>
    <s v=" 65.0943 "/>
    <x v="0"/>
    <n v="149246"/>
    <m/>
    <m/>
  </r>
  <r>
    <x v="0"/>
    <x v="1"/>
    <s v="C:\Users\lmarliere\Desktop\2021-CHG-CBA-TRIPHENYLP 3\plaque 1/@01 TS/B1_01.tif "/>
    <s v=" 1427.573 "/>
    <s v=" 67.2273 "/>
    <x v="0"/>
    <n v="95972"/>
    <m/>
    <m/>
  </r>
  <r>
    <x v="0"/>
    <x v="1"/>
    <s v="C:\Users\lmarliere\Desktop\2021-CHG-CBA-TRIPHENYLP 3\plaque 1/@01 TS/B1_03.tif "/>
    <s v=" 1578.9823 "/>
    <s v=" 66.0548 "/>
    <x v="0"/>
    <n v="104299"/>
    <m/>
    <m/>
  </r>
  <r>
    <x v="0"/>
    <x v="2"/>
    <s v="C:\Users\lmarliere\Desktop\2021-CHG-CBA-TRIPHENYLP 3\plaque 1/@01 TS/C1_01.tif "/>
    <s v=" 10036.2711 "/>
    <s v=" 71.6207 "/>
    <x v="0"/>
    <n v="718805"/>
    <m/>
    <m/>
  </r>
  <r>
    <x v="0"/>
    <x v="2"/>
    <s v="C:\Users\lmarliere\Desktop\2021-CHG-CBA-TRIPHENYLP 3\plaque 1/@01 TS/C1_02.tif "/>
    <s v=" 7916.5414 "/>
    <s v=" 74.4809 "/>
    <x v="0"/>
    <n v="589631"/>
    <m/>
    <m/>
  </r>
  <r>
    <x v="0"/>
    <x v="2"/>
    <s v="C:\Users\lmarliere\Desktop\2021-CHG-CBA-TRIPHENYLP 3\plaque 1/@01 TS/C1_03.tif "/>
    <s v=" 9625.3031 "/>
    <s v=" 78.8831 "/>
    <x v="0"/>
    <n v="759274"/>
    <m/>
    <m/>
  </r>
  <r>
    <x v="0"/>
    <x v="3"/>
    <s v="C:\Users\lmarliere\Desktop\2021-CHG-CBA-TRIPHENYLP 3\plaque 1/@01 TS/D1_01.tif "/>
    <s v=" 648.8968 "/>
    <s v=" 61.9667 "/>
    <x v="0"/>
    <n v="40210"/>
    <m/>
    <m/>
  </r>
  <r>
    <x v="0"/>
    <x v="3"/>
    <s v="C:\Users\lmarliere\Desktop\2021-CHG-CBA-TRIPHENYLP 3\plaque 1/@01 TS/D1_02- exclu.tif"/>
    <m/>
    <m/>
    <x v="1"/>
    <m/>
    <m/>
    <m/>
  </r>
  <r>
    <x v="0"/>
    <x v="3"/>
    <s v="C:\Users\lmarliere\Desktop\2021-CHG-CBA-TRIPHENYLP 3\plaque 1/@01 TS/D1_03.tif "/>
    <s v=" 1600.6122 "/>
    <s v=" 64.7297 "/>
    <x v="0"/>
    <n v="103607"/>
    <m/>
    <m/>
  </r>
  <r>
    <x v="0"/>
    <x v="4"/>
    <s v="C:\Users\lmarliere\Desktop\2021-CHG-CBA-TRIPHENYLP 3\plaque 1/@01 TS/E1_01.tif "/>
    <s v=" 2552.3276 "/>
    <s v=" 62.8898 "/>
    <x v="0"/>
    <n v="160515"/>
    <m/>
    <m/>
  </r>
  <r>
    <x v="0"/>
    <x v="4"/>
    <s v="C:\Users\lmarliere\Desktop\2021-CHG-CBA-TRIPHENYLP 3\plaque 1/@01 TS/E1_02.tif "/>
    <s v=" 6467.3385 "/>
    <s v=" 64.4214 "/>
    <x v="0"/>
    <n v="416635"/>
    <m/>
    <m/>
  </r>
  <r>
    <x v="0"/>
    <x v="4"/>
    <s v="C:\Users\lmarliere\Desktop\2021-CHG-CBA-TRIPHENYLP 3\plaque 1/@01 TS/E1_03.tif "/>
    <s v=" 4866.7263 "/>
    <s v=" 63.9111 "/>
    <x v="0"/>
    <n v="311038"/>
    <m/>
    <m/>
  </r>
  <r>
    <x v="0"/>
    <x v="5"/>
    <s v="C:\Users\lmarliere\Desktop\2021-CHG-CBA-TRIPHENYLP 3\plaque 1/@01 TS/F1_01- exclu.tif"/>
    <m/>
    <m/>
    <x v="1"/>
    <m/>
    <m/>
    <m/>
  </r>
  <r>
    <x v="0"/>
    <x v="5"/>
    <s v="C:\Users\lmarliere\Desktop\2021-CHG-CBA-TRIPHENYLP 3\plaque 1/@01 TS/F1_02- exclu.tif"/>
    <m/>
    <m/>
    <x v="1"/>
    <m/>
    <m/>
    <m/>
  </r>
  <r>
    <x v="0"/>
    <x v="5"/>
    <s v="C:\Users\lmarliere\Desktop\2021-CHG-CBA-TRIPHENYLP 3\plaque 1/@01 TS/F1_03.tif "/>
    <s v=" 1816.9111 "/>
    <s v=" 64.6786 "/>
    <x v="0"/>
    <n v="117515"/>
    <m/>
    <m/>
  </r>
  <r>
    <x v="0"/>
    <x v="6"/>
    <s v="C:\Users\lmarliere\Desktop\2021-CHG-CBA-TRIPHENYLP 3\plaque 1/@01 TS/G1_01.tif "/>
    <s v=" 1838.541 "/>
    <s v=" 68.8588 "/>
    <x v="0"/>
    <n v="126600"/>
    <m/>
    <m/>
  </r>
  <r>
    <x v="0"/>
    <x v="6"/>
    <s v="C:\Users\lmarliere\Desktop\2021-CHG-CBA-TRIPHENYLP 3\plaque 1/@01 TS/G1_02- exclu.tif"/>
    <m/>
    <m/>
    <x v="1"/>
    <m/>
    <m/>
    <m/>
  </r>
  <r>
    <x v="0"/>
    <x v="6"/>
    <s v="C:\Users\lmarliere\Desktop\2021-CHG-CBA-TRIPHENYLP 3\plaque 1/@01 TS/G1_03- exclu.tif"/>
    <m/>
    <m/>
    <x v="1"/>
    <m/>
    <m/>
    <m/>
  </r>
  <r>
    <x v="0"/>
    <x v="7"/>
    <s v="C:\Users\lmarliere\Desktop\2021-CHG-CBA-TRIPHENYLP 3\plaque 1/@01 TS/H1_01.tif "/>
    <s v=" 8738.4774 "/>
    <s v=" 66.9257 "/>
    <x v="0"/>
    <n v="584829"/>
    <m/>
    <m/>
  </r>
  <r>
    <x v="0"/>
    <x v="7"/>
    <s v="C:\Users\lmarliere\Desktop\2021-CHG-CBA-TRIPHENYLP 3\plaque 1/@01 TS/H1_02.tif "/>
    <s v=" 9041.296 "/>
    <s v=" 69.0766 "/>
    <x v="0"/>
    <n v="624542"/>
    <m/>
    <m/>
  </r>
  <r>
    <x v="0"/>
    <x v="7"/>
    <s v="C:\Users\lmarliere\Desktop\2021-CHG-CBA-TRIPHENYLP 3\plaque 1/@01 TS/H1_03.tif "/>
    <s v=" 11204.2854 "/>
    <s v=" 71.4884 "/>
    <x v="0"/>
    <n v="800977"/>
    <m/>
    <m/>
  </r>
  <r>
    <x v="1"/>
    <x v="8"/>
    <s v=" "/>
    <m/>
    <m/>
    <x v="1"/>
    <m/>
    <m/>
    <m/>
  </r>
  <r>
    <x v="1"/>
    <x v="8"/>
    <s v="group "/>
    <s v=" "/>
    <s v=" mean of mean fluo "/>
    <x v="2"/>
    <s v=" mean of total fluo "/>
    <s v=" SD total fluo "/>
    <s v=" n fluorescent "/>
  </r>
  <r>
    <x v="0"/>
    <x v="9"/>
    <s v="C:\Users\lmarliere\Desktop\2021-CHG-CBA-TRIPHENYLP 3\plaque 1/@01 TS/ "/>
    <s v=" "/>
    <s v=" 66.4487 "/>
    <x v="3"/>
    <s v=" 277531.304 "/>
    <s v=" 265358.664 "/>
    <n v="23"/>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C:\Users\lmarliere\Desktop\2021-CHG-CBA-TRIPHENYLP 3\plaque 1/@02 EE2 34/A2_01.tif "/>
    <s v=" 2098.0998 "/>
    <s v=" 64.0825 "/>
    <x v="0"/>
    <n v="134451"/>
    <m/>
    <m/>
  </r>
  <r>
    <x v="2"/>
    <x v="0"/>
    <s v="C:\Users\lmarliere\Desktop\2021-CHG-CBA-TRIPHENYLP 3\plaque 1/@02 EE2 34/A2_02.tif "/>
    <s v=" 4715.317 "/>
    <s v=" 68.5917 "/>
    <x v="0"/>
    <n v="323432"/>
    <m/>
    <m/>
  </r>
  <r>
    <x v="2"/>
    <x v="0"/>
    <s v="C:\Users\lmarliere\Desktop\2021-CHG-CBA-TRIPHENYLP 3\plaque 1/@02 EE2 34/A2_03.tif "/>
    <s v=" 1514.0926 "/>
    <s v=" 64.8143 "/>
    <x v="0"/>
    <n v="98135"/>
    <m/>
    <m/>
  </r>
  <r>
    <x v="2"/>
    <x v="1"/>
    <s v="C:\Users\lmarliere\Desktop\2021-CHG-CBA-TRIPHENYLP 3\plaque 1/@02 EE2 34/B2_01- exclu.tif"/>
    <m/>
    <m/>
    <x v="1"/>
    <m/>
    <m/>
    <m/>
  </r>
  <r>
    <x v="2"/>
    <x v="1"/>
    <s v="C:\Users\lmarliere\Desktop\2021-CHG-CBA-TRIPHENYLP 3\plaque 1/@02 EE2 34/B2_02.tif "/>
    <s v=" 2595.5874 "/>
    <s v=" 62.6417 "/>
    <x v="0"/>
    <n v="162592"/>
    <m/>
    <m/>
  </r>
  <r>
    <x v="2"/>
    <x v="1"/>
    <s v="C:\Users\lmarliere\Desktop\2021-CHG-CBA-TRIPHENYLP 3\plaque 1/@02 EE2 34/B2_03.tif "/>
    <s v=" 4174.5697 "/>
    <s v=" 64.6943 "/>
    <x v="0"/>
    <n v="270071"/>
    <m/>
    <m/>
  </r>
  <r>
    <x v="2"/>
    <x v="2"/>
    <s v="C:\Users\lmarliere\Desktop\2021-CHG-CBA-TRIPHENYLP 3\plaque 1/@02 EE2 34/C2_01.tif "/>
    <s v=" 605.637 "/>
    <s v=" 63.1071 "/>
    <x v="0"/>
    <n v="38220"/>
    <m/>
    <m/>
  </r>
  <r>
    <x v="2"/>
    <x v="2"/>
    <s v="C:\Users\lmarliere\Desktop\2021-CHG-CBA-TRIPHENYLP 3\plaque 1/@02 EE2 34/C2_02- exclu.tif"/>
    <m/>
    <m/>
    <x v="1"/>
    <m/>
    <m/>
    <m/>
  </r>
  <r>
    <x v="2"/>
    <x v="2"/>
    <s v="C:\Users\lmarliere\Desktop\2021-CHG-CBA-TRIPHENYLP 3\plaque 1/@02 EE2 34/C2_03.tif "/>
    <s v=" 2162.9895 "/>
    <s v=" 68.09 "/>
    <x v="0"/>
    <n v="147278"/>
    <m/>
    <m/>
  </r>
  <r>
    <x v="2"/>
    <x v="3"/>
    <s v="C:\Users\lmarliere\Desktop\2021-CHG-CBA-TRIPHENYLP 3\plaque 1/@02 EE2 34/D2_01- exclu.tif"/>
    <m/>
    <m/>
    <x v="1"/>
    <m/>
    <m/>
    <m/>
  </r>
  <r>
    <x v="2"/>
    <x v="3"/>
    <s v="C:\Users\lmarliere\Desktop\2021-CHG-CBA-TRIPHENYLP 3\plaque 1/@02 EE2 34/D2_02.tif "/>
    <s v=" 10317.4597 "/>
    <s v=" 78.2348 "/>
    <x v="0"/>
    <n v="807184"/>
    <m/>
    <m/>
  </r>
  <r>
    <x v="2"/>
    <x v="3"/>
    <s v="C:\Users\lmarliere\Desktop\2021-CHG-CBA-TRIPHENYLP 3\plaque 1/@02 EE2 34/D2_03.tif "/>
    <s v=" 670.5267 "/>
    <s v=" 64.0323 "/>
    <x v="0"/>
    <n v="42935"/>
    <m/>
    <m/>
  </r>
  <r>
    <x v="2"/>
    <x v="4"/>
    <s v="C:\Users\lmarliere\Desktop\2021-CHG-CBA-TRIPHENYLP 3\plaque 1/@02 EE2 34/E2_01.tif "/>
    <s v=" 5537.253 "/>
    <s v=" 65.2695 "/>
    <x v="0"/>
    <n v="361414"/>
    <m/>
    <m/>
  </r>
  <r>
    <x v="2"/>
    <x v="4"/>
    <s v="C:\Users\lmarliere\Desktop\2021-CHG-CBA-TRIPHENYLP 3\plaque 1/@02 EE2 34/E2_02.tif "/>
    <s v=" 4520.648 "/>
    <s v=" 66.6029 "/>
    <x v="0"/>
    <n v="301088"/>
    <m/>
    <m/>
  </r>
  <r>
    <x v="2"/>
    <x v="4"/>
    <s v="C:\Users\lmarliere\Desktop\2021-CHG-CBA-TRIPHENYLP 3\plaque 1/@02 EE2 34/E2_03.tif "/>
    <s v=" 2357.6585 "/>
    <s v=" 63.6055 "/>
    <x v="0"/>
    <n v="149960"/>
    <m/>
    <m/>
  </r>
  <r>
    <x v="2"/>
    <x v="5"/>
    <s v="C:\Users\lmarliere\Desktop\2021-CHG-CBA-TRIPHENYLP 3\plaque 1/@02 EE2 34/F2_01.tif "/>
    <s v=" 2249.509 "/>
    <s v=" 64.5769 "/>
    <x v="0"/>
    <n v="145266"/>
    <m/>
    <m/>
  </r>
  <r>
    <x v="2"/>
    <x v="5"/>
    <s v="C:\Users\lmarliere\Desktop\2021-CHG-CBA-TRIPHENYLP 3\plaque 1/@02 EE2 34/F2_02.tif "/>
    <s v=" 5104.6551 "/>
    <s v=" 66.8051 "/>
    <x v="0"/>
    <n v="341017"/>
    <m/>
    <m/>
  </r>
  <r>
    <x v="2"/>
    <x v="5"/>
    <s v="C:\Users\lmarliere\Desktop\2021-CHG-CBA-TRIPHENYLP 3\plaque 1/@02 EE2 34/F2_03- exclu.tif"/>
    <m/>
    <m/>
    <x v="1"/>
    <m/>
    <m/>
    <m/>
  </r>
  <r>
    <x v="2"/>
    <x v="6"/>
    <s v="C:\Users\lmarliere\Desktop\2021-CHG-CBA-TRIPHENYLP 3\plaque 1/@02 EE2 34/G2_01.tif "/>
    <s v=" 12523.709 "/>
    <s v=" 66.8877 "/>
    <x v="0"/>
    <n v="837683"/>
    <m/>
    <m/>
  </r>
  <r>
    <x v="2"/>
    <x v="6"/>
    <s v="C:\Users\lmarliere\Desktop\2021-CHG-CBA-TRIPHENYLP 3\plaque 1/@02 EE2 34/G2_02.tif "/>
    <s v=" 14859.7376 "/>
    <s v=" 66.4731 "/>
    <x v="0"/>
    <n v="987772"/>
    <m/>
    <m/>
  </r>
  <r>
    <x v="2"/>
    <x v="6"/>
    <s v="C:\Users\lmarliere\Desktop\2021-CHG-CBA-TRIPHENYLP 3\plaque 1/@02 EE2 34/G2_03.tif "/>
    <s v=" 10187.6804 "/>
    <s v=" 66.9597 "/>
    <x v="0"/>
    <n v="682164"/>
    <m/>
    <m/>
  </r>
  <r>
    <x v="2"/>
    <x v="7"/>
    <s v="C:\Users\lmarliere\Desktop\2021-CHG-CBA-TRIPHENYLP 3\plaque 1/@02 EE2 34/H2_01- exclu.tif"/>
    <m/>
    <m/>
    <x v="1"/>
    <m/>
    <m/>
    <m/>
  </r>
  <r>
    <x v="2"/>
    <x v="7"/>
    <s v="C:\Users\lmarliere\Desktop\2021-CHG-CBA-TRIPHENYLP 3\plaque 1/@02 EE2 34/H2_02.tif "/>
    <s v=" 3374.2636 "/>
    <s v=" 73.0641 "/>
    <x v="0"/>
    <n v="246538"/>
    <m/>
    <m/>
  </r>
  <r>
    <x v="2"/>
    <x v="7"/>
    <s v="C:\Users\lmarliere\Desktop\2021-CHG-CBA-TRIPHENYLP 3\plaque 1/@02 EE2 34/H2_03.tif "/>
    <s v=" 4953.2459 "/>
    <s v=" 71.0175 "/>
    <x v="0"/>
    <n v="351767"/>
    <m/>
    <m/>
  </r>
  <r>
    <x v="1"/>
    <x v="8"/>
    <s v=" "/>
    <m/>
    <m/>
    <x v="1"/>
    <m/>
    <m/>
    <m/>
  </r>
  <r>
    <x v="1"/>
    <x v="8"/>
    <s v="group "/>
    <s v=" "/>
    <s v=" mean of mean fluo "/>
    <x v="2"/>
    <s v=" mean of total fluo "/>
    <s v=" SD total fluo "/>
    <s v=" n fluorescent "/>
  </r>
  <r>
    <x v="2"/>
    <x v="9"/>
    <s v="C:\Users\lmarliere\Desktop\2021-CHG-CBA-TRIPHENYLP 3\plaque 1/@02 EE2 34/ "/>
    <s v=" "/>
    <s v=" 66.2149 "/>
    <x v="4"/>
    <s v=" 301415.292 "/>
    <s v=" 270690.49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C:\Users\lmarliere\Desktop\2021-CHG-CBA-TRIPHENYLP 3\plaque 1/@03 EE2 51/A3_01.tif "/>
    <s v=" 1838.541 "/>
    <s v=" 66.5765 "/>
    <x v="0"/>
    <n v="122404"/>
    <m/>
    <m/>
  </r>
  <r>
    <x v="3"/>
    <x v="0"/>
    <s v="C:\Users\lmarliere\Desktop\2021-CHG-CBA-TRIPHENYLP 3\plaque 1/@03 EE2 51/A3_02- exclu.tif"/>
    <m/>
    <m/>
    <x v="1"/>
    <m/>
    <m/>
    <m/>
  </r>
  <r>
    <x v="3"/>
    <x v="0"/>
    <s v="C:\Users\lmarliere\Desktop\2021-CHG-CBA-TRIPHENYLP 3\plaque 1/@03 EE2 51/A3_03- exclu.tif"/>
    <m/>
    <m/>
    <x v="1"/>
    <m/>
    <m/>
    <m/>
  </r>
  <r>
    <x v="3"/>
    <x v="1"/>
    <s v="C:\Users\lmarliere\Desktop\2021-CHG-CBA-TRIPHENYLP 3\plaque 1/@03 EE2 51/B3_01- exclu.tif"/>
    <m/>
    <m/>
    <x v="1"/>
    <m/>
    <m/>
    <m/>
  </r>
  <r>
    <x v="3"/>
    <x v="1"/>
    <s v="C:\Users\lmarliere\Desktop\2021-CHG-CBA-TRIPHENYLP 3\plaque 1/@03 EE2 51/B3_02.tif "/>
    <s v=" 3331.0038 "/>
    <s v=" 63.513 "/>
    <x v="0"/>
    <n v="211562"/>
    <m/>
    <m/>
  </r>
  <r>
    <x v="3"/>
    <x v="1"/>
    <s v="C:\Users\lmarliere\Desktop\2021-CHG-CBA-TRIPHENYLP 3\plaque 1/@03 EE2 51/B3_03.tif "/>
    <s v=" 3698.712 "/>
    <s v=" 64.2105 "/>
    <x v="0"/>
    <n v="237496"/>
    <m/>
    <m/>
  </r>
  <r>
    <x v="3"/>
    <x v="2"/>
    <s v="C:\Users\lmarliere\Desktop\2021-CHG-CBA-TRIPHENYLP 3\plaque 1/@03 EE2 51/C3_01.tif "/>
    <s v=" 4001.5305 "/>
    <s v=" 64.4919 "/>
    <x v="0"/>
    <n v="258066"/>
    <m/>
    <m/>
  </r>
  <r>
    <x v="3"/>
    <x v="2"/>
    <s v="C:\Users\lmarliere\Desktop\2021-CHG-CBA-TRIPHENYLP 3\plaque 1/@03 EE2 51/C3_02- exclu.tif"/>
    <m/>
    <m/>
    <x v="1"/>
    <m/>
    <m/>
    <m/>
  </r>
  <r>
    <x v="3"/>
    <x v="2"/>
    <s v="C:\Users\lmarliere\Desktop\2021-CHG-CBA-TRIPHENYLP 3\plaque 1/@03 EE2 51/C3_03.tif "/>
    <s v=" 6597.1179 "/>
    <s v=" 65.1705 "/>
    <x v="0"/>
    <n v="429937"/>
    <m/>
    <m/>
  </r>
  <r>
    <x v="3"/>
    <x v="3"/>
    <s v="C:\Users\lmarliere\Desktop\2021-CHG-CBA-TRIPHENYLP 3\plaque 1/@03 EE2 51/D3_01- exclu.tif"/>
    <m/>
    <m/>
    <x v="1"/>
    <m/>
    <m/>
    <m/>
  </r>
  <r>
    <x v="3"/>
    <x v="3"/>
    <s v="C:\Users\lmarliere\Desktop\2021-CHG-CBA-TRIPHENYLP 3\plaque 1/@03 EE2 51/D3_02.tif "/>
    <s v=" 3893.381 "/>
    <s v=" 64.8833 "/>
    <x v="0"/>
    <n v="252616"/>
    <m/>
    <m/>
  </r>
  <r>
    <x v="3"/>
    <x v="3"/>
    <s v="C:\Users\lmarliere\Desktop\2021-CHG-CBA-TRIPHENYLP 3\plaque 1/@03 EE2 51/D3_03- exclu.tif"/>
    <m/>
    <m/>
    <x v="1"/>
    <m/>
    <m/>
    <m/>
  </r>
  <r>
    <x v="3"/>
    <x v="4"/>
    <s v="C:\Users\lmarliere\Desktop\2021-CHG-CBA-TRIPHENYLP 3\plaque 1/@03 EE2 51/E3_01.tif "/>
    <s v=" 9409.0042 "/>
    <s v=" 70.2506 "/>
    <x v="0"/>
    <n v="660988"/>
    <m/>
    <m/>
  </r>
  <r>
    <x v="3"/>
    <x v="4"/>
    <s v="C:\Users\lmarliere\Desktop\2021-CHG-CBA-TRIPHENYLP 3\plaque 1/@03 EE2 51/E3_02- exclu.tif"/>
    <m/>
    <m/>
    <x v="1"/>
    <m/>
    <m/>
    <m/>
  </r>
  <r>
    <x v="3"/>
    <x v="4"/>
    <s v="C:\Users\lmarliere\Desktop\2021-CHG-CBA-TRIPHENYLP 3\plaque 1/@03 EE2 51/E3_03.tif "/>
    <s v=" 6402.4488 "/>
    <s v=" 71.0473 "/>
    <x v="0"/>
    <n v="454877"/>
    <m/>
    <m/>
  </r>
  <r>
    <x v="3"/>
    <x v="5"/>
    <s v="C:\Users\lmarliere\Desktop\2021-CHG-CBA-TRIPHENYLP 3\plaque 1/@03 EE2 51/F3_01.tif "/>
    <s v=" 6640.3777 "/>
    <s v=" 70.0782 "/>
    <x v="0"/>
    <n v="465346"/>
    <m/>
    <m/>
  </r>
  <r>
    <x v="3"/>
    <x v="5"/>
    <s v="C:\Users\lmarliere\Desktop\2021-CHG-CBA-TRIPHENYLP 3\plaque 1/@03 EE2 51/F3_02.tif "/>
    <s v=" 1492.4627 "/>
    <s v=" 63.0725 "/>
    <x v="0"/>
    <n v="94133"/>
    <m/>
    <m/>
  </r>
  <r>
    <x v="3"/>
    <x v="5"/>
    <s v="C:\Users\lmarliere\Desktop\2021-CHG-CBA-TRIPHENYLP 3\plaque 1/@03 EE2 51/F3_03- exclu.tif"/>
    <m/>
    <m/>
    <x v="1"/>
    <m/>
    <m/>
    <m/>
  </r>
  <r>
    <x v="3"/>
    <x v="6"/>
    <s v="C:\Users\lmarliere\Desktop\2021-CHG-CBA-TRIPHENYLP 3\plaque 1/@03 EE2 51/G3_01.tif "/>
    <s v=" 1297.7937 "/>
    <s v=" 64.1333 "/>
    <x v="0"/>
    <n v="83232"/>
    <m/>
    <m/>
  </r>
  <r>
    <x v="3"/>
    <x v="6"/>
    <s v="C:\Users\lmarliere\Desktop\2021-CHG-CBA-TRIPHENYLP 3\plaque 1/@03 EE2 51/G3_02.tif "/>
    <s v=" 4650.4273 "/>
    <s v=" 66.5953 "/>
    <x v="0"/>
    <n v="309697"/>
    <m/>
    <m/>
  </r>
  <r>
    <x v="3"/>
    <x v="6"/>
    <s v="C:\Users\lmarliere\Desktop\2021-CHG-CBA-TRIPHENYLP 3\plaque 1/@03 EE2 51/G3_03.tif "/>
    <s v=" 2595.5874 "/>
    <s v=" 65.15 "/>
    <x v="0"/>
    <n v="169103"/>
    <m/>
    <m/>
  </r>
  <r>
    <x v="3"/>
    <x v="7"/>
    <s v="C:\Users\lmarliere\Desktop\2021-CHG-CBA-TRIPHENYLP 3\plaque 1/@03 EE2 51/H3_01.tif "/>
    <s v=" 5277.6943 "/>
    <s v=" 65.1352 "/>
    <x v="0"/>
    <n v="343764"/>
    <m/>
    <m/>
  </r>
  <r>
    <x v="3"/>
    <x v="7"/>
    <s v="C:\Users\lmarliere\Desktop\2021-CHG-CBA-TRIPHENYLP 3\plaque 1/@03 EE2 51/H3_02.tif "/>
    <s v=" 4520.648 "/>
    <s v=" 63.8947 "/>
    <x v="0"/>
    <n v="288846"/>
    <m/>
    <m/>
  </r>
  <r>
    <x v="3"/>
    <x v="7"/>
    <s v="C:\Users\lmarliere\Desktop\2021-CHG-CBA-TRIPHENYLP 3\plaque 1/@03 EE2 51/H3_03.tif "/>
    <s v=" 4174.5697 "/>
    <s v=" 64.1244 "/>
    <x v="0"/>
    <n v="267692"/>
    <m/>
    <m/>
  </r>
  <r>
    <x v="1"/>
    <x v="8"/>
    <s v=" "/>
    <m/>
    <m/>
    <x v="1"/>
    <m/>
    <m/>
    <m/>
  </r>
  <r>
    <x v="1"/>
    <x v="8"/>
    <s v="group "/>
    <s v=" "/>
    <s v=" mean of mean fluo "/>
    <x v="2"/>
    <s v=" mean of total fluo "/>
    <s v=" SD total fluo "/>
    <s v=" n fluorescent "/>
  </r>
  <r>
    <x v="3"/>
    <x v="9"/>
    <s v="C:\Users\lmarliere\Desktop\2021-CHG-CBA-TRIPHENYLP 3\plaque 1/@03 EE2 51/ "/>
    <s v=" "/>
    <s v=" 65.0234 "/>
    <x v="5"/>
    <s v=" 234478.083 "/>
    <s v=" 163801.11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C:\Users\lmarliere\Desktop\2021-CHG-CBA-TRIPHENYLP 3\plaque 1/@04 EE2 76/A4_01- exclu.tif"/>
    <m/>
    <m/>
    <x v="1"/>
    <m/>
    <m/>
    <m/>
  </r>
  <r>
    <x v="4"/>
    <x v="0"/>
    <s v="C:\Users\lmarliere\Desktop\2021-CHG-CBA-TRIPHENYLP 3\plaque 1/@04 EE2 76/A4_02.tif "/>
    <s v=" 3395.8935 "/>
    <s v=" 63.7134 "/>
    <x v="0"/>
    <n v="216364"/>
    <m/>
    <m/>
  </r>
  <r>
    <x v="4"/>
    <x v="0"/>
    <s v="C:\Users\lmarliere\Desktop\2021-CHG-CBA-TRIPHENYLP 3\plaque 1/@04 EE2 76/A4_03.tif "/>
    <s v=" 3698.712 "/>
    <s v=" 64.4678 "/>
    <x v="0"/>
    <n v="238448"/>
    <m/>
    <m/>
  </r>
  <r>
    <x v="4"/>
    <x v="1"/>
    <s v="C:\Users\lmarliere\Desktop\2021-CHG-CBA-TRIPHENYLP 3\plaque 1/@04 EE2 76/B4_01.tif "/>
    <s v=" 6575.488 "/>
    <s v=" 63.2533 "/>
    <x v="0"/>
    <n v="415921"/>
    <m/>
    <m/>
  </r>
  <r>
    <x v="4"/>
    <x v="1"/>
    <s v="C:\Users\lmarliere\Desktop\2021-CHG-CBA-TRIPHENYLP 3\plaque 1/@04 EE2 76/B4_02.tif "/>
    <s v=" 4044.7903 "/>
    <s v=" 62.877 "/>
    <x v="0"/>
    <n v="254324"/>
    <m/>
    <m/>
  </r>
  <r>
    <x v="4"/>
    <x v="1"/>
    <s v="C:\Users\lmarliere\Desktop\2021-CHG-CBA-TRIPHENYLP 3\plaque 1/@04 EE2 76/B4_03.tif "/>
    <s v=" 4239.4593 "/>
    <s v=" 64.0612 "/>
    <x v="0"/>
    <n v="271585"/>
    <m/>
    <m/>
  </r>
  <r>
    <x v="4"/>
    <x v="2"/>
    <s v="C:\Users\lmarliere\Desktop\2021-CHG-CBA-TRIPHENYLP 3\plaque 1/@04 EE2 76/C4_01.tif "/>
    <s v=" 9409.0042 "/>
    <s v=" 70.5862 "/>
    <x v="0"/>
    <n v="664146"/>
    <m/>
    <m/>
  </r>
  <r>
    <x v="4"/>
    <x v="2"/>
    <s v="C:\Users\lmarliere\Desktop\2021-CHG-CBA-TRIPHENYLP 3\plaque 1/@04 EE2 76/C4_02.tif "/>
    <s v=" 11398.9545 "/>
    <s v=" 67.4915 "/>
    <x v="0"/>
    <n v="769332"/>
    <m/>
    <m/>
  </r>
  <r>
    <x v="4"/>
    <x v="2"/>
    <s v="C:\Users\lmarliere\Desktop\2021-CHG-CBA-TRIPHENYLP 3\plaque 1/@04 EE2 76/C4_03.tif "/>
    <s v=" 6748.5271 "/>
    <s v=" 64.6378 "/>
    <x v="0"/>
    <n v="436210"/>
    <m/>
    <m/>
  </r>
  <r>
    <x v="4"/>
    <x v="3"/>
    <s v="C:\Users\lmarliere\Desktop\2021-CHG-CBA-TRIPHENYLP 3\plaque 1/@04 EE2 76/D4_01.tif "/>
    <s v=" 4909.9861 "/>
    <s v=" 66.6167 "/>
    <x v="0"/>
    <n v="327087"/>
    <m/>
    <m/>
  </r>
  <r>
    <x v="4"/>
    <x v="3"/>
    <s v="C:\Users\lmarliere\Desktop\2021-CHG-CBA-TRIPHENYLP 3\plaque 1/@04 EE2 76/D4_02.tif "/>
    <s v=" 7181.125 "/>
    <s v=" 72.9307 "/>
    <x v="0"/>
    <n v="523725"/>
    <m/>
    <m/>
  </r>
  <r>
    <x v="4"/>
    <x v="3"/>
    <s v="C:\Users\lmarliere\Desktop\2021-CHG-CBA-TRIPHENYLP 3\plaque 1/@04 EE2 76/D4_03.tif "/>
    <s v=" 8933.1465 "/>
    <s v=" 72.3632 "/>
    <x v="0"/>
    <n v="646431"/>
    <m/>
    <m/>
  </r>
  <r>
    <x v="4"/>
    <x v="4"/>
    <s v="C:\Users\lmarliere\Desktop\2021-CHG-CBA-TRIPHENYLP 3\plaque 1/@04 EE2 76/E4_01.tif "/>
    <s v=" 3720.3419 "/>
    <s v=" 66.2442 "/>
    <x v="0"/>
    <n v="246451"/>
    <m/>
    <m/>
  </r>
  <r>
    <x v="4"/>
    <x v="4"/>
    <s v="C:\Users\lmarliere\Desktop\2021-CHG-CBA-TRIPHENYLP 3\plaque 1/@04 EE2 76/E4_02.tif "/>
    <s v=" 2011.5802 "/>
    <s v=" 63.7742 "/>
    <x v="0"/>
    <n v="128287"/>
    <m/>
    <m/>
  </r>
  <r>
    <x v="4"/>
    <x v="4"/>
    <s v="C:\Users\lmarliere\Desktop\2021-CHG-CBA-TRIPHENYLP 3\plaque 1/@04 EE2 76/E4_03- exclu.tif"/>
    <m/>
    <m/>
    <x v="1"/>
    <m/>
    <m/>
    <m/>
  </r>
  <r>
    <x v="4"/>
    <x v="5"/>
    <s v="C:\Users\lmarliere\Desktop\2021-CHG-CBA-TRIPHENYLP 3\plaque 1/@04 EE2 76/F4_01.tif "/>
    <s v=" 7094.6054 "/>
    <s v=" 64.3933 "/>
    <x v="0"/>
    <n v="456845"/>
    <m/>
    <m/>
  </r>
  <r>
    <x v="4"/>
    <x v="5"/>
    <s v="C:\Users\lmarliere\Desktop\2021-CHG-CBA-TRIPHENYLP 3\plaque 1/@04 EE2 76/F4_02.tif "/>
    <s v=" 4888.3562 "/>
    <s v=" 63.9912 "/>
    <x v="0"/>
    <n v="312812"/>
    <m/>
    <m/>
  </r>
  <r>
    <x v="4"/>
    <x v="5"/>
    <s v="C:\Users\lmarliere\Desktop\2021-CHG-CBA-TRIPHENYLP 3\plaque 1/@04 EE2 76/F4_03.tif "/>
    <s v=" 7354.1642 "/>
    <s v=" 63.7588 "/>
    <x v="0"/>
    <n v="468893"/>
    <m/>
    <m/>
  </r>
  <r>
    <x v="4"/>
    <x v="6"/>
    <s v="C:\Users\lmarliere\Desktop\2021-CHG-CBA-TRIPHENYLP 3\plaque 1/@04 EE2 76/G4_01.tif "/>
    <s v=" 2811.8863 "/>
    <s v=" 62.9462 "/>
    <x v="0"/>
    <n v="176997"/>
    <m/>
    <m/>
  </r>
  <r>
    <x v="4"/>
    <x v="6"/>
    <s v="C:\Users\lmarliere\Desktop\2021-CHG-CBA-TRIPHENYLP 3\plaque 1/@04 EE2 76/G4_02- exclu.tif"/>
    <m/>
    <m/>
    <x v="1"/>
    <m/>
    <m/>
    <m/>
  </r>
  <r>
    <x v="4"/>
    <x v="6"/>
    <s v="C:\Users\lmarliere\Desktop\2021-CHG-CBA-TRIPHENYLP 3\plaque 1/@04 EE2 76/G4_03.tif "/>
    <s v=" 1795.2813 "/>
    <s v=" 63.4578 "/>
    <x v="0"/>
    <n v="113925"/>
    <m/>
    <m/>
  </r>
  <r>
    <x v="4"/>
    <x v="7"/>
    <s v="C:\Users\lmarliere\Desktop\2021-CHG-CBA-TRIPHENYLP 3\plaque 1/@04 EE2 76/H4_01- exclu.tif"/>
    <m/>
    <m/>
    <x v="1"/>
    <m/>
    <m/>
    <m/>
  </r>
  <r>
    <x v="4"/>
    <x v="7"/>
    <s v="C:\Users\lmarliere\Desktop\2021-CHG-CBA-TRIPHENYLP 3\plaque 1/@04 EE2 76/H4_02.tif "/>
    <s v=" 4152.9398 "/>
    <s v=" 63.5208 "/>
    <x v="0"/>
    <n v="263798"/>
    <m/>
    <m/>
  </r>
  <r>
    <x v="4"/>
    <x v="7"/>
    <s v="C:\Users\lmarliere\Desktop\2021-CHG-CBA-TRIPHENYLP 3\plaque 1/@04 EE2 76/H4_03.tif "/>
    <s v=" 7051.3456 "/>
    <s v=" 64.3834 "/>
    <x v="0"/>
    <n v="453990"/>
    <m/>
    <m/>
  </r>
  <r>
    <x v="1"/>
    <x v="8"/>
    <s v=" "/>
    <m/>
    <m/>
    <x v="1"/>
    <m/>
    <m/>
    <m/>
  </r>
  <r>
    <x v="1"/>
    <x v="8"/>
    <s v="group "/>
    <s v=" "/>
    <s v=" mean of mean fluo "/>
    <x v="2"/>
    <s v=" mean of total fluo "/>
    <s v=" SD total fluo "/>
    <s v=" n fluorescent "/>
  </r>
  <r>
    <x v="4"/>
    <x v="9"/>
    <s v="C:\Users\lmarliere\Desktop\2021-CHG-CBA-TRIPHENYLP 3\plaque 1/@04 EE2 76/ "/>
    <s v=" "/>
    <s v=" 65.0661 "/>
    <x v="6"/>
    <s v=" 329635.125 "/>
    <s v=" 193033.00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C:\Users\lmarliere\Desktop\2021-CHG-CBA-TRIPHENYLP 3\plaque 1/@05 EE2 114/A5_01.tif "/>
    <s v=" 23381.9161 "/>
    <s v=" 67.8446 "/>
    <x v="0"/>
    <n v="1586336"/>
    <m/>
    <m/>
  </r>
  <r>
    <x v="5"/>
    <x v="0"/>
    <s v="C:\Users\lmarliere\Desktop\2021-CHG-CBA-TRIPHENYLP 3\plaque 1/@05 EE2 114/A5_02.tif "/>
    <s v=" 15487.0046 "/>
    <s v=" 69.3338 "/>
    <x v="0"/>
    <n v="1073773"/>
    <m/>
    <m/>
  </r>
  <r>
    <x v="5"/>
    <x v="0"/>
    <s v="C:\Users\lmarliere\Desktop\2021-CHG-CBA-TRIPHENYLP 3\plaque 1/@05 EE2 114/A5_03.tif "/>
    <s v=" 13302.3852 "/>
    <s v=" 67.0374 "/>
    <x v="0"/>
    <n v="891757"/>
    <m/>
    <m/>
  </r>
  <r>
    <x v="5"/>
    <x v="1"/>
    <s v="C:\Users\lmarliere\Desktop\2021-CHG-CBA-TRIPHENYLP 3\plaque 1/@05 EE2 114/B5_01- exclu.tif"/>
    <m/>
    <m/>
    <x v="1"/>
    <m/>
    <m/>
    <m/>
  </r>
  <r>
    <x v="5"/>
    <x v="1"/>
    <s v="C:\Users\lmarliere\Desktop\2021-CHG-CBA-TRIPHENYLP 3\plaque 1/@05 EE2 114/B5_02.tif "/>
    <s v=" 16460.3498 "/>
    <s v=" 65.5151 "/>
    <x v="0"/>
    <n v="1078402"/>
    <m/>
    <m/>
  </r>
  <r>
    <x v="5"/>
    <x v="1"/>
    <s v="C:\Users\lmarliere\Desktop\2021-CHG-CBA-TRIPHENYLP 3\plaque 1/@05 EE2 114/B5_03- exclu.tif"/>
    <m/>
    <m/>
    <x v="1"/>
    <m/>
    <m/>
    <m/>
  </r>
  <r>
    <x v="5"/>
    <x v="2"/>
    <s v="C:\Users\lmarliere\Desktop\2021-CHG-CBA-TRIPHENYLP 3\plaque 1/@05 EE2 114/C5_01.tif "/>
    <s v=" 1276.1638 "/>
    <s v=" 64.8644 "/>
    <x v="0"/>
    <n v="82778"/>
    <m/>
    <m/>
  </r>
  <r>
    <x v="5"/>
    <x v="2"/>
    <s v="C:\Users\lmarliere\Desktop\2021-CHG-CBA-TRIPHENYLP 3\plaque 1/@05 EE2 114/C5_02.tif "/>
    <s v=" 7938.1713 "/>
    <s v=" 71.218 "/>
    <x v="0"/>
    <n v="565341"/>
    <m/>
    <m/>
  </r>
  <r>
    <x v="5"/>
    <x v="2"/>
    <s v="C:\Users\lmarliere\Desktop\2021-CHG-CBA-TRIPHENYLP 3\plaque 1/@05 EE2 114/C5_03.tif "/>
    <s v=" 4715.317 "/>
    <s v=" 69.7202 "/>
    <x v="0"/>
    <n v="328753"/>
    <m/>
    <m/>
  </r>
  <r>
    <x v="5"/>
    <x v="3"/>
    <s v="C:\Users\lmarliere\Desktop\2021-CHG-CBA-TRIPHENYLP 3\plaque 1/@05 EE2 114/D5_01- exclu.tif"/>
    <m/>
    <m/>
    <x v="1"/>
    <m/>
    <m/>
    <m/>
  </r>
  <r>
    <x v="5"/>
    <x v="3"/>
    <s v="C:\Users\lmarliere\Desktop\2021-CHG-CBA-TRIPHENYLP 3\plaque 1/@05 EE2 114/D5_02.tif "/>
    <s v=" 9409.0042 "/>
    <s v=" 65.6598 "/>
    <x v="0"/>
    <n v="617793"/>
    <m/>
    <m/>
  </r>
  <r>
    <x v="5"/>
    <x v="3"/>
    <s v="C:\Users\lmarliere\Desktop\2021-CHG-CBA-TRIPHENYLP 3\plaque 1/@05 EE2 114/D5_03- exclu.tif"/>
    <m/>
    <m/>
    <x v="1"/>
    <m/>
    <m/>
    <m/>
  </r>
  <r>
    <x v="5"/>
    <x v="4"/>
    <s v="C:\Users\lmarliere\Desktop\2021-CHG-CBA-TRIPHENYLP 3\plaque 1/@05 EE2 114/E5_01.tif "/>
    <s v=" 16481.9797 "/>
    <s v=" 70.1181 "/>
    <x v="0"/>
    <n v="1155685"/>
    <m/>
    <m/>
  </r>
  <r>
    <x v="5"/>
    <x v="4"/>
    <s v="C:\Users\lmarliere\Desktop\2021-CHG-CBA-TRIPHENYLP 3\plaque 1/@05 EE2 114/E5_02.tif "/>
    <s v=" 21305.4462 "/>
    <s v=" 72.3391 "/>
    <x v="0"/>
    <n v="1541217"/>
    <m/>
    <m/>
  </r>
  <r>
    <x v="5"/>
    <x v="4"/>
    <s v="C:\Users\lmarliere\Desktop\2021-CHG-CBA-TRIPHENYLP 3\plaque 1/@05 EE2 114/E5_03.tif "/>
    <s v=" 19293.866 "/>
    <s v=" 69.7007 "/>
    <x v="0"/>
    <n v="1344795"/>
    <m/>
    <m/>
  </r>
  <r>
    <x v="5"/>
    <x v="5"/>
    <s v="C:\Users\lmarliere\Desktop\2021-CHG-CBA-TRIPHENYLP 3\plaque 1/@05 EE2 114/F5_01.tif "/>
    <s v=" 34715.9809 "/>
    <s v=" 66.876 "/>
    <x v="0"/>
    <n v="2321666"/>
    <m/>
    <m/>
  </r>
  <r>
    <x v="5"/>
    <x v="5"/>
    <s v="C:\Users\lmarliere\Desktop\2021-CHG-CBA-TRIPHENYLP 3\plaque 1/@05 EE2 114/F5_02.tif "/>
    <s v=" 31687.7956 "/>
    <s v=" 66.4239 "/>
    <x v="0"/>
    <n v="2104827"/>
    <m/>
    <m/>
  </r>
  <r>
    <x v="5"/>
    <x v="5"/>
    <s v="C:\Users\lmarliere\Desktop\2021-CHG-CBA-TRIPHENYLP 3\plaque 1/@05 EE2 114/F5_03.tif "/>
    <s v=" 35646.0663 "/>
    <s v=" 66.8186 "/>
    <x v="0"/>
    <n v="2381819"/>
    <m/>
    <m/>
  </r>
  <r>
    <x v="5"/>
    <x v="6"/>
    <s v="C:\Users\lmarliere\Desktop\2021-CHG-CBA-TRIPHENYLP 3\plaque 1/@05 EE2 114/G5_01.tif "/>
    <s v=" 13042.8265 "/>
    <s v=" 64.67 "/>
    <x v="0"/>
    <n v="843479"/>
    <m/>
    <m/>
  </r>
  <r>
    <x v="5"/>
    <x v="6"/>
    <s v="C:\Users\lmarliere\Desktop\2021-CHG-CBA-TRIPHENYLP 3\plaque 1/@05 EE2 114/G5_02.tif "/>
    <s v=" 12069.4812 "/>
    <s v=" 65.5735 "/>
    <x v="0"/>
    <n v="791438"/>
    <m/>
    <m/>
  </r>
  <r>
    <x v="5"/>
    <x v="6"/>
    <s v="C:\Users\lmarliere\Desktop\2021-CHG-CBA-TRIPHENYLP 3\plaque 1/@05 EE2 114/G5_03.tif "/>
    <s v=" 14773.218 "/>
    <s v=" 70.1523 "/>
    <x v="0"/>
    <n v="1036375"/>
    <m/>
    <m/>
  </r>
  <r>
    <x v="5"/>
    <x v="7"/>
    <s v="C:\Users\lmarliere\Desktop\2021-CHG-CBA-TRIPHENYLP 3\plaque 1/@05 EE2 114/H5_01.tif "/>
    <s v=" 28594.7207 "/>
    <s v=" 82.0151 "/>
    <x v="0"/>
    <n v="2345200"/>
    <m/>
    <m/>
  </r>
  <r>
    <x v="5"/>
    <x v="7"/>
    <s v="C:\Users\lmarliere\Desktop\2021-CHG-CBA-TRIPHENYLP 3\plaque 1/@05 EE2 114/H5_02.tif "/>
    <s v=" 23554.9553 "/>
    <s v=" 84.023 "/>
    <x v="0"/>
    <n v="1979157"/>
    <m/>
    <m/>
  </r>
  <r>
    <x v="5"/>
    <x v="7"/>
    <s v="C:\Users\lmarliere\Desktop\2021-CHG-CBA-TRIPHENYLP 3\plaque 1/@05 EE2 114/H5_03.tif "/>
    <s v=" 15746.5633 "/>
    <s v=" 71.3159 "/>
    <x v="0"/>
    <n v="1122981"/>
    <m/>
    <m/>
  </r>
  <r>
    <x v="1"/>
    <x v="8"/>
    <s v=" "/>
    <m/>
    <m/>
    <x v="1"/>
    <m/>
    <m/>
    <m/>
  </r>
  <r>
    <x v="1"/>
    <x v="8"/>
    <s v="group "/>
    <s v=" "/>
    <s v=" mean of mean fluo "/>
    <x v="2"/>
    <s v=" mean of total fluo "/>
    <s v=" SD total fluo "/>
    <s v=" n fluorescent "/>
  </r>
  <r>
    <x v="5"/>
    <x v="9"/>
    <s v="C:\Users\lmarliere\Desktop\2021-CHG-CBA-TRIPHENYLP 3\plaque 1/@05 EE2 114/ "/>
    <s v=" "/>
    <s v=" 68.7375 "/>
    <x v="7"/>
    <s v=" 1180108.17 "/>
    <s v=" 673675.44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C:\Users\lmarliere\Desktop\2021-CHG-CBA-TRIPHENYLP 3\plaque 1/@06 EE2 171/A6_01.tif "/>
    <s v=" 63656.7799 "/>
    <s v=" 75.3374 "/>
    <x v="0"/>
    <n v="4795737"/>
    <m/>
    <m/>
  </r>
  <r>
    <x v="6"/>
    <x v="0"/>
    <s v="C:\Users\lmarliere\Desktop\2021-CHG-CBA-TRIPHENYLP 3\plaque 1/@06 EE2 171/A6_02.tif "/>
    <s v=" 62769.9542 "/>
    <s v=" 76.51 "/>
    <x v="0"/>
    <n v="4802529"/>
    <m/>
    <m/>
  </r>
  <r>
    <x v="6"/>
    <x v="0"/>
    <s v="C:\Users\lmarliere\Desktop\2021-CHG-CBA-TRIPHENYLP 3\plaque 1/@06 EE2 171/A6_03.tif "/>
    <s v=" 58941.4629 "/>
    <s v=" 76.3666 "/>
    <x v="0"/>
    <n v="4501159"/>
    <m/>
    <m/>
  </r>
  <r>
    <x v="6"/>
    <x v="1"/>
    <s v="C:\Users\lmarliere\Desktop\2021-CHG-CBA-TRIPHENYLP 3\plaque 1/@06 EE2 171/B6_01.tif "/>
    <s v=" 51652.1884 "/>
    <s v=" 79.3224 "/>
    <x v="0"/>
    <n v="4097178"/>
    <m/>
    <m/>
  </r>
  <r>
    <x v="6"/>
    <x v="1"/>
    <s v="C:\Users\lmarliere\Desktop\2021-CHG-CBA-TRIPHENYLP 3\plaque 1/@06 EE2 171/B6_02.tif "/>
    <s v=" 44860.4015 "/>
    <s v=" 80.3891 "/>
    <x v="0"/>
    <n v="3606287"/>
    <m/>
    <m/>
  </r>
  <r>
    <x v="6"/>
    <x v="1"/>
    <s v="C:\Users\lmarliere\Desktop\2021-CHG-CBA-TRIPHENYLP 3\plaque 1/@06 EE2 171/B6_03.tif "/>
    <s v=" 45985.156 "/>
    <s v=" 78.1007 "/>
    <x v="0"/>
    <n v="3591471"/>
    <m/>
    <m/>
  </r>
  <r>
    <x v="6"/>
    <x v="2"/>
    <s v="C:\Users\lmarliere\Desktop\2021-CHG-CBA-TRIPHENYLP 3\plaque 1/@06 EE2 171/C6_01.tif "/>
    <s v=" 63829.819 "/>
    <s v=" 72.5459 "/>
    <x v="0"/>
    <n v="4630593"/>
    <m/>
    <m/>
  </r>
  <r>
    <x v="6"/>
    <x v="2"/>
    <s v="C:\Users\lmarliere\Desktop\2021-CHG-CBA-TRIPHENYLP 3\plaque 1/@06 EE2 171/C6_02.tif "/>
    <s v=" 63570.2603 "/>
    <s v=" 73.9826 "/>
    <x v="0"/>
    <n v="4703096"/>
    <m/>
    <m/>
  </r>
  <r>
    <x v="6"/>
    <x v="2"/>
    <s v="C:\Users\lmarliere\Desktop\2021-CHG-CBA-TRIPHENYLP 3\plaque 1/@06 EE2 171/C6_03.tif "/>
    <s v=" 68090.9083 "/>
    <s v=" 73.2951 "/>
    <x v="0"/>
    <n v="4990730"/>
    <m/>
    <m/>
  </r>
  <r>
    <x v="6"/>
    <x v="3"/>
    <s v="C:\Users\lmarliere\Desktop\2021-CHG-CBA-TRIPHENYLP 3\plaque 1/@06 EE2 171/D6_01.tif "/>
    <s v=" 40945.3905 "/>
    <s v=" 72.0845 "/>
    <x v="0"/>
    <n v="2951529"/>
    <m/>
    <m/>
  </r>
  <r>
    <x v="6"/>
    <x v="3"/>
    <s v="C:\Users\lmarliere\Desktop\2021-CHG-CBA-TRIPHENYLP 3\plaque 1/@06 EE2 171/D6_02.tif "/>
    <s v=" 40923.7606 "/>
    <s v=" 69.1834 "/>
    <x v="0"/>
    <n v="2831245"/>
    <m/>
    <m/>
  </r>
  <r>
    <x v="6"/>
    <x v="3"/>
    <s v="C:\Users\lmarliere\Desktop\2021-CHG-CBA-TRIPHENYLP 3\plaque 1/@06 EE2 171/D6_03.tif "/>
    <s v=" 37614.3868 "/>
    <s v=" 71.7251 "/>
    <x v="0"/>
    <n v="2697897"/>
    <m/>
    <m/>
  </r>
  <r>
    <x v="6"/>
    <x v="4"/>
    <s v="C:\Users\lmarliere\Desktop\2021-CHG-CBA-TRIPHENYLP 3\plaque 1/@06 EE2 171/E6_01.tif "/>
    <s v=" 57859.9681 "/>
    <s v=" 75.2864 "/>
    <x v="0"/>
    <n v="4356066"/>
    <m/>
    <m/>
  </r>
  <r>
    <x v="6"/>
    <x v="4"/>
    <s v="C:\Users\lmarliere\Desktop\2021-CHG-CBA-TRIPHENYLP 3\plaque 1/@06 EE2 171/E6_02.tif "/>
    <s v=" 54615.4839 "/>
    <s v=" 75.5386 "/>
    <x v="0"/>
    <n v="4125578"/>
    <m/>
    <m/>
  </r>
  <r>
    <x v="6"/>
    <x v="4"/>
    <s v="C:\Users\lmarliere\Desktop\2021-CHG-CBA-TRIPHENYLP 3\plaque 1/@06 EE2 171/E6_03- exclu.tif"/>
    <m/>
    <m/>
    <x v="1"/>
    <m/>
    <m/>
    <m/>
  </r>
  <r>
    <x v="6"/>
    <x v="5"/>
    <s v="C:\Users\lmarliere\Desktop\2021-CHG-CBA-TRIPHENYLP 3\plaque 1/@06 EE2 171/F6_01.tif "/>
    <s v=" 56908.2528 "/>
    <s v=" 72.9973 "/>
    <x v="0"/>
    <n v="4154151"/>
    <m/>
    <m/>
  </r>
  <r>
    <x v="6"/>
    <x v="5"/>
    <s v="C:\Users\lmarliere\Desktop\2021-CHG-CBA-TRIPHENYLP 3\plaque 1/@06 EE2 171/F6_02.tif "/>
    <s v=" 55134.6014 "/>
    <s v=" 76.2036 "/>
    <x v="0"/>
    <n v="4201456"/>
    <m/>
    <m/>
  </r>
  <r>
    <x v="6"/>
    <x v="5"/>
    <s v="C:\Users\lmarliere\Desktop\2021-CHG-CBA-TRIPHENYLP 3\plaque 1/@06 EE2 171/F6_03.tif "/>
    <s v=" 53944.9572 "/>
    <s v=" 76.0397 "/>
    <x v="0"/>
    <n v="4101958"/>
    <m/>
    <m/>
  </r>
  <r>
    <x v="6"/>
    <x v="6"/>
    <s v="C:\Users\lmarliere\Desktop\2021-CHG-CBA-TRIPHENYLP 3\plaque 1/@06 EE2 171/G6_01- exclu.tif"/>
    <m/>
    <m/>
    <x v="1"/>
    <m/>
    <m/>
    <m/>
  </r>
  <r>
    <x v="6"/>
    <x v="6"/>
    <s v="C:\Users\lmarliere\Desktop\2021-CHG-CBA-TRIPHENYLP 3\plaque 1/@06 EE2 171/G6_02.tif "/>
    <s v=" 12047.8513 "/>
    <s v=" 63.7935 "/>
    <x v="0"/>
    <n v="768575"/>
    <m/>
    <m/>
  </r>
  <r>
    <x v="6"/>
    <x v="6"/>
    <s v="C:\Users\lmarliere\Desktop\2021-CHG-CBA-TRIPHENYLP 3\plaque 1/@06 EE2 171/G6_03.tif "/>
    <s v=" 14989.517 "/>
    <s v=" 63.9235 "/>
    <x v="0"/>
    <n v="958183"/>
    <m/>
    <m/>
  </r>
  <r>
    <x v="6"/>
    <x v="7"/>
    <s v="C:\Users\lmarliere\Desktop\2021-CHG-CBA-TRIPHENYLP 3\plaque 1/@06 EE2 171/H6_01.tif "/>
    <s v=" 79338.4535 "/>
    <s v=" 78.289 "/>
    <x v="0"/>
    <n v="6211327"/>
    <m/>
    <m/>
  </r>
  <r>
    <x v="6"/>
    <x v="7"/>
    <s v="C:\Users\lmarliere\Desktop\2021-CHG-CBA-TRIPHENYLP 3\plaque 1/@06 EE2 171/H6_02.tif "/>
    <s v=" 79446.603 "/>
    <s v=" 76.8026 "/>
    <x v="0"/>
    <n v="6101707"/>
    <m/>
    <m/>
  </r>
  <r>
    <x v="6"/>
    <x v="7"/>
    <s v="C:\Users\lmarliere\Desktop\2021-CHG-CBA-TRIPHENYLP 3\plaque 1/@06 EE2 171/H6_03.tif "/>
    <s v=" 77370.1331 "/>
    <s v=" 77.0358 "/>
    <x v="0"/>
    <n v="5960269"/>
    <m/>
    <m/>
  </r>
  <r>
    <x v="1"/>
    <x v="8"/>
    <s v=" "/>
    <m/>
    <m/>
    <x v="1"/>
    <m/>
    <m/>
    <m/>
  </r>
  <r>
    <x v="1"/>
    <x v="8"/>
    <s v="group "/>
    <s v=" "/>
    <s v=" mean of mean fluo "/>
    <x v="2"/>
    <s v=" mean of total fluo "/>
    <s v=" SD total fluo "/>
    <s v=" n fluorescent "/>
  </r>
  <r>
    <x v="6"/>
    <x v="9"/>
    <s v="C:\Users\lmarliere\Desktop\2021-CHG-CBA-TRIPHENYLP 3\plaque 1/@06 EE2 171/ "/>
    <s v=" "/>
    <s v=" 73.6652 "/>
    <x v="8"/>
    <s v=" 3889977.04 "/>
    <s v=" 1478065.2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C:\Users\lmarliere\Desktop\2021-CHG-CBA-TRIPHENYLP 3\plaque 1/@07 EE2 488/A7_01.tif "/>
    <s v=" 55891.6477 "/>
    <s v=" 101.4284 "/>
    <x v="0"/>
    <n v="5669001"/>
    <m/>
    <m/>
  </r>
  <r>
    <x v="7"/>
    <x v="0"/>
    <s v="C:\Users\lmarliere\Desktop\2021-CHG-CBA-TRIPHENYLP 3\plaque 1/@07 EE2 488/A7_02.tif "/>
    <s v=" 56064.6869 "/>
    <s v=" 100.2747 "/>
    <x v="0"/>
    <n v="5621869"/>
    <m/>
    <m/>
  </r>
  <r>
    <x v="7"/>
    <x v="0"/>
    <s v="C:\Users\lmarliere\Desktop\2021-CHG-CBA-TRIPHENYLP 3\plaque 1/@07 EE2 488/A7_03.tif "/>
    <s v=" 66944.5239 "/>
    <s v=" 89.8704 "/>
    <x v="0"/>
    <n v="6016334"/>
    <m/>
    <m/>
  </r>
  <r>
    <x v="7"/>
    <x v="1"/>
    <s v="C:\Users\lmarliere\Desktop\2021-CHG-CBA-TRIPHENYLP 3\plaque 1/@07 EE2 488/B7_01.tif "/>
    <s v=" 53944.9572 "/>
    <s v=" 103.6419 "/>
    <x v="0"/>
    <n v="5590960"/>
    <m/>
    <m/>
  </r>
  <r>
    <x v="7"/>
    <x v="1"/>
    <s v="C:\Users\lmarliere\Desktop\2021-CHG-CBA-TRIPHENYLP 3\plaque 1/@07 EE2 488/B7_02.tif "/>
    <s v=" 58206.0464 "/>
    <s v=" 99.5039 "/>
    <x v="0"/>
    <n v="5791729"/>
    <m/>
    <m/>
  </r>
  <r>
    <x v="7"/>
    <x v="1"/>
    <s v="C:\Users\lmarliere\Desktop\2021-CHG-CBA-TRIPHENYLP 3\plaque 1/@07 EE2 488/B7_03.tif "/>
    <s v=" 53815.1778 "/>
    <s v=" 103.8987 "/>
    <x v="0"/>
    <n v="5591328"/>
    <m/>
    <m/>
  </r>
  <r>
    <x v="7"/>
    <x v="2"/>
    <s v="C:\Users\lmarliere\Desktop\2021-CHG-CBA-TRIPHENYLP 3\plaque 1/@07 EE2 488/C7_01.tif "/>
    <s v=" 57167.8115 "/>
    <s v=" 97.8642 "/>
    <x v="0"/>
    <n v="5594680"/>
    <m/>
    <m/>
  </r>
  <r>
    <x v="7"/>
    <x v="2"/>
    <s v="C:\Users\lmarliere\Desktop\2021-CHG-CBA-TRIPHENYLP 3\plaque 1/@07 EE2 488/C7_02.tif "/>
    <s v=" 55372.5302 "/>
    <s v=" 98.9969 "/>
    <x v="0"/>
    <n v="5481707"/>
    <m/>
    <m/>
  </r>
  <r>
    <x v="7"/>
    <x v="2"/>
    <s v="C:\Users\lmarliere\Desktop\2021-CHG-CBA-TRIPHENYLP 3\plaque 1/@07 EE2 488/C7_03- exclu.tif"/>
    <m/>
    <m/>
    <x v="1"/>
    <m/>
    <m/>
    <m/>
  </r>
  <r>
    <x v="7"/>
    <x v="3"/>
    <s v="C:\Users\lmarliere\Desktop\2021-CHG-CBA-TRIPHENYLP 3\plaque 1/@07 EE2 488/D7_01.tif "/>
    <s v=" 54593.854 "/>
    <s v=" 100.2785 "/>
    <x v="0"/>
    <n v="5474591"/>
    <m/>
    <m/>
  </r>
  <r>
    <x v="7"/>
    <x v="3"/>
    <s v="C:\Users\lmarliere\Desktop\2021-CHG-CBA-TRIPHENYLP 3\plaque 1/@07 EE2 488/D7_02.tif "/>
    <s v=" 53144.6511 "/>
    <s v=" 101.2544 "/>
    <x v="0"/>
    <n v="5381128"/>
    <m/>
    <m/>
  </r>
  <r>
    <x v="7"/>
    <x v="3"/>
    <s v="C:\Users\lmarliere\Desktop\2021-CHG-CBA-TRIPHENYLP 3\plaque 1/@07 EE2 488/D7_03- exclu.tif"/>
    <m/>
    <m/>
    <x v="1"/>
    <m/>
    <m/>
    <m/>
  </r>
  <r>
    <x v="7"/>
    <x v="4"/>
    <s v="C:\Users\lmarliere\Desktop\2021-CHG-CBA-TRIPHENYLP 3\plaque 1/@07 EE2 488/E7_01.tif "/>
    <s v=" 60585.3349 "/>
    <s v=" 91.085 "/>
    <x v="0"/>
    <n v="5518413"/>
    <m/>
    <m/>
  </r>
  <r>
    <x v="7"/>
    <x v="4"/>
    <s v="C:\Users\lmarliere\Desktop\2021-CHG-CBA-TRIPHENYLP 3\plaque 1/@07 EE2 488/E7_02.tif "/>
    <s v=" 62748.3243 "/>
    <s v=" 93.2347 "/>
    <x v="0"/>
    <n v="5850324"/>
    <m/>
    <m/>
  </r>
  <r>
    <x v="7"/>
    <x v="4"/>
    <s v="C:\Users\lmarliere\Desktop\2021-CHG-CBA-TRIPHENYLP 3\plaque 1/@07 EE2 488/E7_03.tif "/>
    <s v=" 63029.5129 "/>
    <s v=" 91.7739 "/>
    <x v="0"/>
    <n v="5784461"/>
    <m/>
    <m/>
  </r>
  <r>
    <x v="7"/>
    <x v="5"/>
    <s v="C:\Users\lmarliere\Desktop\2021-CHG-CBA-TRIPHENYLP 3\plaque 1/@07 EE2 488/F7_01.tif "/>
    <s v=" 46331.2343 "/>
    <s v=" 94.3231 "/>
    <x v="0"/>
    <n v="4370104"/>
    <m/>
    <m/>
  </r>
  <r>
    <x v="7"/>
    <x v="5"/>
    <s v="C:\Users\lmarliere\Desktop\2021-CHG-CBA-TRIPHENYLP 3\plaque 1/@07 EE2 488/F7_02.tif "/>
    <s v=" 44362.9139 "/>
    <s v=" 92.0171 "/>
    <x v="0"/>
    <n v="4082145"/>
    <m/>
    <m/>
  </r>
  <r>
    <x v="7"/>
    <x v="5"/>
    <s v="C:\Users\lmarliere\Desktop\2021-CHG-CBA-TRIPHENYLP 3\plaque 1/@07 EE2 488/F7_03.tif "/>
    <s v=" 44060.0954 "/>
    <s v=" 91.9082 "/>
    <x v="0"/>
    <n v="4049484"/>
    <m/>
    <m/>
  </r>
  <r>
    <x v="7"/>
    <x v="6"/>
    <s v="C:\Users\lmarliere\Desktop\2021-CHG-CBA-TRIPHENYLP 3\plaque 1/@07 EE2 488/G7_01.tif "/>
    <s v=" 87622.7031 "/>
    <s v=" 97.3409 "/>
    <x v="0"/>
    <n v="8529273"/>
    <m/>
    <m/>
  </r>
  <r>
    <x v="7"/>
    <x v="6"/>
    <s v="C:\Users\lmarliere\Desktop\2021-CHG-CBA-TRIPHENYLP 3\plaque 1/@07 EE2 488/G7_02.tif "/>
    <s v=" 83815.8417 "/>
    <s v=" 96.3644 "/>
    <x v="0"/>
    <n v="8076862"/>
    <m/>
    <m/>
  </r>
  <r>
    <x v="7"/>
    <x v="6"/>
    <s v="C:\Users\lmarliere\Desktop\2021-CHG-CBA-TRIPHENYLP 3\plaque 1/@07 EE2 488/G7_03.tif "/>
    <s v=" 88141.8206 "/>
    <s v=" 97.8285 "/>
    <x v="0"/>
    <n v="8622779"/>
    <m/>
    <m/>
  </r>
  <r>
    <x v="7"/>
    <x v="7"/>
    <s v="C:\Users\lmarliere\Desktop\2021-CHG-CBA-TRIPHENYLP 3\plaque 1/@07 EE2 488/H7_01.tif "/>
    <s v=" 66295.627 "/>
    <s v=" 101.8793 "/>
    <x v="0"/>
    <n v="6754151"/>
    <m/>
    <m/>
  </r>
  <r>
    <x v="7"/>
    <x v="7"/>
    <s v="C:\Users\lmarliere\Desktop\2021-CHG-CBA-TRIPHENYLP 3\plaque 1/@07 EE2 488/H7_02.tif "/>
    <s v=" 64673.3849 "/>
    <s v=" 100.7913 "/>
    <x v="0"/>
    <n v="6518515"/>
    <m/>
    <m/>
  </r>
  <r>
    <x v="7"/>
    <x v="7"/>
    <s v="C:\Users\lmarliere\Desktop\2021-CHG-CBA-TRIPHENYLP 3\plaque 1/@07 EE2 488/H7_03.tif "/>
    <s v=" 73628.1613 "/>
    <s v=" 99.0852 "/>
    <x v="0"/>
    <n v="7295461"/>
    <m/>
    <m/>
  </r>
  <r>
    <x v="1"/>
    <x v="8"/>
    <s v=" "/>
    <m/>
    <m/>
    <x v="1"/>
    <m/>
    <m/>
    <m/>
  </r>
  <r>
    <x v="1"/>
    <x v="8"/>
    <s v="group "/>
    <s v=" "/>
    <s v=" mean of mean fluo "/>
    <x v="2"/>
    <s v=" mean of total fluo "/>
    <s v=" SD total fluo "/>
    <s v=" n fluorescent "/>
  </r>
  <r>
    <x v="7"/>
    <x v="9"/>
    <s v="C:\Users\lmarliere\Desktop\2021-CHG-CBA-TRIPHENYLP 3\plaque 1/@07 EE2 488/ "/>
    <s v=" "/>
    <s v=" 96.6451 "/>
    <x v="9"/>
    <s v=" 5908895.12 "/>
    <s v=" 1218445.5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C:\Users\lmarliere\Desktop\2021-CHG-CBA-TRIPHENYLP 3\plaque 1/@08 TRIPHENYLP 0.18/A8_01.tif "/>
    <s v=" 2271.1389 "/>
    <s v=" 65.1333 "/>
    <x v="0"/>
    <n v="147927"/>
    <m/>
    <m/>
  </r>
  <r>
    <x v="8"/>
    <x v="0"/>
    <s v="C:\Users\lmarliere\Desktop\2021-CHG-CBA-TRIPHENYLP 3\plaque 1/@08 TRIPHENYLP 0.18/A8_02.tif "/>
    <s v=" 9452.264 "/>
    <s v=" 68.6293 "/>
    <x v="0"/>
    <n v="648702"/>
    <m/>
    <m/>
  </r>
  <r>
    <x v="8"/>
    <x v="0"/>
    <s v="C:\Users\lmarliere\Desktop\2021-CHG-CBA-TRIPHENYLP 3\plaque 1/@08 TRIPHENYLP 0.18/A8_03.tif "/>
    <s v=" 1341.0535 "/>
    <s v=" 65.1129 "/>
    <x v="0"/>
    <n v="87320"/>
    <m/>
    <m/>
  </r>
  <r>
    <x v="8"/>
    <x v="1"/>
    <s v="C:\Users\lmarliere\Desktop\2021-CHG-CBA-TRIPHENYLP 3\plaque 1/@08 TRIPHENYLP 0.18/B8_01.tif "/>
    <s v=" 32747.6605 "/>
    <s v=" 73.6096 "/>
    <x v="0"/>
    <n v="2410544"/>
    <m/>
    <m/>
  </r>
  <r>
    <x v="8"/>
    <x v="1"/>
    <s v="C:\Users\lmarliere\Desktop\2021-CHG-CBA-TRIPHENYLP 3\plaque 1/@08 TRIPHENYLP 0.18/B8_02- exclu.tif"/>
    <m/>
    <m/>
    <x v="1"/>
    <m/>
    <m/>
    <m/>
  </r>
  <r>
    <x v="8"/>
    <x v="1"/>
    <s v="C:\Users\lmarliere\Desktop\2021-CHG-CBA-TRIPHENYLP 3\plaque 1/@08 TRIPHENYLP 0.18/B8_03- exclu.tif"/>
    <m/>
    <m/>
    <x v="1"/>
    <m/>
    <m/>
    <m/>
  </r>
  <r>
    <x v="8"/>
    <x v="2"/>
    <s v="C:\Users\lmarliere\Desktop\2021-CHG-CBA-TRIPHENYLP 3\plaque 1/@08 TRIPHENYLP 0.18/C8_01.tif "/>
    <s v=" 3114.7048 "/>
    <s v=" 63.5278 "/>
    <x v="0"/>
    <n v="197870"/>
    <m/>
    <m/>
  </r>
  <r>
    <x v="8"/>
    <x v="2"/>
    <s v="C:\Users\lmarliere\Desktop\2021-CHG-CBA-TRIPHENYLP 3\plaque 1/@08 TRIPHENYLP 0.18/C8_02.tif "/>
    <s v=" 5342.584 "/>
    <s v=" 64.6802 "/>
    <x v="0"/>
    <n v="345559"/>
    <m/>
    <m/>
  </r>
  <r>
    <x v="8"/>
    <x v="2"/>
    <s v="C:\Users\lmarliere\Desktop\2021-CHG-CBA-TRIPHENYLP 3\plaque 1/@08 TRIPHENYLP 0.18/C8_03.tif "/>
    <s v=" 4261.0892 "/>
    <s v=" 68.4924 "/>
    <x v="0"/>
    <n v="291852"/>
    <m/>
    <m/>
  </r>
  <r>
    <x v="8"/>
    <x v="3"/>
    <s v="C:\Users\lmarliere\Desktop\2021-CHG-CBA-TRIPHENYLP 3\plaque 1/@08 TRIPHENYLP 0.18/D8_01.tif "/>
    <s v=" 3504.0429 "/>
    <s v=" 64.4691 "/>
    <x v="0"/>
    <n v="225903"/>
    <m/>
    <m/>
  </r>
  <r>
    <x v="8"/>
    <x v="3"/>
    <s v="C:\Users\lmarliere\Desktop\2021-CHG-CBA-TRIPHENYLP 3\plaque 1/@08 TRIPHENYLP 0.18/D8_02.tif "/>
    <s v=" 1600.6122 "/>
    <s v=" 63.4865 "/>
    <x v="0"/>
    <n v="101617"/>
    <m/>
    <m/>
  </r>
  <r>
    <x v="8"/>
    <x v="3"/>
    <s v="C:\Users\lmarliere\Desktop\2021-CHG-CBA-TRIPHENYLP 3\plaque 1/@08 TRIPHENYLP 0.18/D8_03.tif "/>
    <s v=" 1816.9111 "/>
    <s v=" 64.881 "/>
    <x v="0"/>
    <n v="117883"/>
    <m/>
    <m/>
  </r>
  <r>
    <x v="8"/>
    <x v="4"/>
    <s v="C:\Users\lmarliere\Desktop\2021-CHG-CBA-TRIPHENYLP 3\plaque 1/@08 TRIPHENYLP 0.18/E8_01.tif "/>
    <s v=" 15616.7839 "/>
    <s v=" 79.1967 "/>
    <x v="0"/>
    <n v="1236797"/>
    <m/>
    <m/>
  </r>
  <r>
    <x v="8"/>
    <x v="4"/>
    <s v="C:\Users\lmarliere\Desktop\2021-CHG-CBA-TRIPHENYLP 3\plaque 1/@08 TRIPHENYLP 0.18/E8_02.tif "/>
    <s v=" 12285.7801 "/>
    <s v=" 80.1637 "/>
    <x v="0"/>
    <n v="984874"/>
    <m/>
    <m/>
  </r>
  <r>
    <x v="8"/>
    <x v="4"/>
    <s v="C:\Users\lmarliere\Desktop\2021-CHG-CBA-TRIPHENYLP 3\plaque 1/@08 TRIPHENYLP 0.18/E8_03- exclu.tif"/>
    <m/>
    <m/>
    <x v="1"/>
    <m/>
    <m/>
    <m/>
  </r>
  <r>
    <x v="8"/>
    <x v="5"/>
    <s v="C:\Users\lmarliere\Desktop\2021-CHG-CBA-TRIPHENYLP 3\plaque 1/@08 TRIPHENYLP 0.18/F8_01- exclu.tif"/>
    <m/>
    <m/>
    <x v="1"/>
    <m/>
    <m/>
    <m/>
  </r>
  <r>
    <x v="8"/>
    <x v="5"/>
    <s v="C:\Users\lmarliere\Desktop\2021-CHG-CBA-TRIPHENYLP 3\plaque 1/@08 TRIPHENYLP 0.18/F8_02.tif "/>
    <s v=" 7613.7229 "/>
    <s v=" 74.6449 "/>
    <x v="0"/>
    <n v="568325"/>
    <m/>
    <m/>
  </r>
  <r>
    <x v="8"/>
    <x v="5"/>
    <s v="C:\Users\lmarliere\Desktop\2021-CHG-CBA-TRIPHENYLP 3\plaque 1/@08 TRIPHENYLP 0.18/F8_03.tif "/>
    <s v=" 8219.36 "/>
    <s v=" 73.3237 "/>
    <x v="0"/>
    <n v="602674"/>
    <m/>
    <m/>
  </r>
  <r>
    <x v="8"/>
    <x v="6"/>
    <s v="C:\Users\lmarliere\Desktop\2021-CHG-CBA-TRIPHENYLP 3\plaque 1/@08 TRIPHENYLP 0.18/G8_01.tif "/>
    <s v=" 10122.7907 "/>
    <s v=" 69.4081 "/>
    <x v="0"/>
    <n v="702604"/>
    <m/>
    <m/>
  </r>
  <r>
    <x v="8"/>
    <x v="6"/>
    <s v="C:\Users\lmarliere\Desktop\2021-CHG-CBA-TRIPHENYLP 3\plaque 1/@08 TRIPHENYLP 0.18/G8_02.tif "/>
    <s v=" 13583.5738 "/>
    <s v=" 74.879 "/>
    <x v="0"/>
    <n v="1017124"/>
    <m/>
    <m/>
  </r>
  <r>
    <x v="8"/>
    <x v="6"/>
    <s v="C:\Users\lmarliere\Desktop\2021-CHG-CBA-TRIPHENYLP 3\plaque 1/@08 TRIPHENYLP 0.18/G8_03.tif "/>
    <s v=" 9625.3031 "/>
    <s v=" 69.0584 "/>
    <x v="0"/>
    <n v="664708"/>
    <m/>
    <m/>
  </r>
  <r>
    <x v="8"/>
    <x v="7"/>
    <s v="C:\Users\lmarliere\Desktop\2021-CHG-CBA-TRIPHENYLP 3\plaque 1/@08 TRIPHENYLP 0.18/H8_01.tif "/>
    <s v=" 951.7154 "/>
    <s v=" 64.1818 "/>
    <x v="0"/>
    <n v="61083"/>
    <m/>
    <m/>
  </r>
  <r>
    <x v="8"/>
    <x v="7"/>
    <s v="C:\Users\lmarliere\Desktop\2021-CHG-CBA-TRIPHENYLP 3\plaque 1/@08 TRIPHENYLP 0.18/H8_02.tif "/>
    <s v=" 475.8577 "/>
    <s v=" 63.9091 "/>
    <x v="0"/>
    <n v="30412"/>
    <m/>
    <m/>
  </r>
  <r>
    <x v="8"/>
    <x v="7"/>
    <s v="C:\Users\lmarliere\Desktop\2021-CHG-CBA-TRIPHENYLP 3\plaque 1/@08 TRIPHENYLP 0.18/H8_03.tif "/>
    <s v=" 410.968 "/>
    <s v=" 63.3684 "/>
    <x v="0"/>
    <n v="26042"/>
    <m/>
    <m/>
  </r>
  <r>
    <x v="1"/>
    <x v="8"/>
    <s v=" "/>
    <m/>
    <m/>
    <x v="1"/>
    <m/>
    <m/>
    <m/>
  </r>
  <r>
    <x v="1"/>
    <x v="8"/>
    <s v="group "/>
    <s v=" "/>
    <s v=" mean of mean fluo "/>
    <x v="2"/>
    <s v=" mean of total fluo "/>
    <s v=" SD total fluo "/>
    <s v=" n fluorescent "/>
  </r>
  <r>
    <x v="8"/>
    <x v="9"/>
    <s v="C:\Users\lmarliere\Desktop\2021-CHG-CBA-TRIPHENYLP 3\plaque 1/@08 TRIPHENYLP 0.18/ "/>
    <s v=" "/>
    <s v=" 69.7166 "/>
    <x v="10"/>
    <s v=" 530156.792 "/>
    <s v=" 571143.66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C:\Users\lmarliere\Desktop\2021-CHG-CBA-TRIPHENYLP 3\plaque 1/@09 TRIPHENY P 0.26/A9_01.tif "/>
    <s v=" 324.4484 "/>
    <s v=" 64.6667 "/>
    <x v="0"/>
    <n v="20981"/>
    <m/>
    <m/>
  </r>
  <r>
    <x v="9"/>
    <x v="0"/>
    <s v="C:\Users\lmarliere\Desktop\2021-CHG-CBA-TRIPHENYLP 3\plaque 1/@09 TRIPHENY P 0.26/A9_02.tif "/>
    <s v=" 259.5587 "/>
    <s v=" 65.0833 "/>
    <x v="0"/>
    <n v="16893"/>
    <m/>
    <m/>
  </r>
  <r>
    <x v="9"/>
    <x v="0"/>
    <s v="C:\Users\lmarliere\Desktop\2021-CHG-CBA-TRIPHENYLP 3\plaque 1/@09 TRIPHENY P 0.26/A9_03.tif "/>
    <s v=" 497.4876 "/>
    <s v=" 66.6087 "/>
    <x v="0"/>
    <n v="33137"/>
    <m/>
    <m/>
  </r>
  <r>
    <x v="9"/>
    <x v="1"/>
    <s v="C:\Users\lmarliere\Desktop\2021-CHG-CBA-TRIPHENYLP 3\plaque 1/@09 TRIPHENY P 0.26/B9_01.tif "/>
    <s v=" 5493.9932 "/>
    <s v=" 69.878 "/>
    <x v="0"/>
    <n v="383909"/>
    <m/>
    <m/>
  </r>
  <r>
    <x v="9"/>
    <x v="1"/>
    <s v="C:\Users\lmarliere\Desktop\2021-CHG-CBA-TRIPHENYLP 3\plaque 1/@09 TRIPHENY P 0.26/B9_02.tif "/>
    <s v=" 1427.573 "/>
    <s v=" 63.7576 "/>
    <x v="0"/>
    <n v="91019"/>
    <m/>
    <m/>
  </r>
  <r>
    <x v="9"/>
    <x v="1"/>
    <s v="C:\Users\lmarliere\Desktop\2021-CHG-CBA-TRIPHENYLP 3\plaque 1/@09 TRIPHENY P 0.26/B9_03.tif "/>
    <s v=" 2249.509 "/>
    <s v=" 64.0385 "/>
    <x v="0"/>
    <n v="144055"/>
    <m/>
    <m/>
  </r>
  <r>
    <x v="9"/>
    <x v="2"/>
    <s v="C:\Users\lmarliere\Desktop\2021-CHG-CBA-TRIPHENYLP 3\plaque 1/@09 TRIPHENY P 0.26/C9_01.tif "/>
    <s v=" 605.637 "/>
    <s v=" 62.6429 "/>
    <x v="0"/>
    <n v="37939"/>
    <m/>
    <m/>
  </r>
  <r>
    <x v="9"/>
    <x v="2"/>
    <s v="C:\Users\lmarliere\Desktop\2021-CHG-CBA-TRIPHENYLP 3\plaque 1/@09 TRIPHENY P 0.26/C9_02.tif "/>
    <s v=" 1103.1246 "/>
    <s v=" 65.1765 "/>
    <x v="0"/>
    <n v="71898"/>
    <m/>
    <m/>
  </r>
  <r>
    <x v="9"/>
    <x v="2"/>
    <s v="C:\Users\lmarliere\Desktop\2021-CHG-CBA-TRIPHENYLP 3\plaque 1/@09 TRIPHENY P 0.26/C9_03.tif "/>
    <s v=" 692.1566 "/>
    <s v=" 64.9375 "/>
    <x v="0"/>
    <n v="44947"/>
    <m/>
    <m/>
  </r>
  <r>
    <x v="9"/>
    <x v="3"/>
    <s v="C:\Users\lmarliere\Desktop\2021-CHG-CBA-TRIPHENYLP 3\plaque 1/@09 TRIPHENY P 0.26/D9_01.tif "/>
    <s v=" 6315.9292 "/>
    <s v=" 69.7705 "/>
    <x v="0"/>
    <n v="440666"/>
    <m/>
    <m/>
  </r>
  <r>
    <x v="9"/>
    <x v="3"/>
    <s v="C:\Users\lmarliere\Desktop\2021-CHG-CBA-TRIPHENYLP 3\plaque 1/@09 TRIPHENY P 0.26/D9_02.tif "/>
    <s v=" 1946.6905 "/>
    <s v=" 63.8889 "/>
    <x v="0"/>
    <n v="124372"/>
    <m/>
    <m/>
  </r>
  <r>
    <x v="9"/>
    <x v="3"/>
    <s v="C:\Users\lmarliere\Desktop\2021-CHG-CBA-TRIPHENYLP 3\plaque 1/@09 TRIPHENY P 0.26/D9_03.tif "/>
    <s v=" 6770.157 "/>
    <s v=" 68.5655 "/>
    <x v="0"/>
    <n v="464199"/>
    <m/>
    <m/>
  </r>
  <r>
    <x v="9"/>
    <x v="4"/>
    <s v="C:\Users\lmarliere\Desktop\2021-CHG-CBA-TRIPHENYLP 3\plaque 1/@09 TRIPHENY P 0.26/E9_01.tif "/>
    <s v=" 8543.8084 "/>
    <s v=" 70.9013 "/>
    <x v="0"/>
    <n v="605767"/>
    <m/>
    <m/>
  </r>
  <r>
    <x v="9"/>
    <x v="4"/>
    <s v="C:\Users\lmarliere\Desktop\2021-CHG-CBA-TRIPHENYLP 3\plaque 1/@09 TRIPHENY P 0.26/E9_02- exclu.tif"/>
    <m/>
    <m/>
    <x v="1"/>
    <m/>
    <m/>
    <m/>
  </r>
  <r>
    <x v="9"/>
    <x v="4"/>
    <s v="C:\Users\lmarliere\Desktop\2021-CHG-CBA-TRIPHENYLP 3\plaque 1/@09 TRIPHENY P 0.26/E9_03.tif "/>
    <s v=" 8176.1002 "/>
    <s v=" 71.5476 "/>
    <x v="0"/>
    <n v="584981"/>
    <m/>
    <m/>
  </r>
  <r>
    <x v="9"/>
    <x v="5"/>
    <s v="C:\Users\lmarliere\Desktop\2021-CHG-CBA-TRIPHENYLP 3\plaque 1/@09 TRIPHENY P 0.26/F9_01.tif "/>
    <s v=" 2444.1781 "/>
    <s v=" 63.7345 "/>
    <x v="0"/>
    <n v="155779"/>
    <m/>
    <m/>
  </r>
  <r>
    <x v="9"/>
    <x v="5"/>
    <s v="C:\Users\lmarliere\Desktop\2021-CHG-CBA-TRIPHENYLP 3\plaque 1/@09 TRIPHENY P 0.26/F9_02.tif "/>
    <s v=" 5385.8438 "/>
    <s v=" 71.6426 "/>
    <x v="0"/>
    <n v="385856"/>
    <m/>
    <m/>
  </r>
  <r>
    <x v="9"/>
    <x v="5"/>
    <s v="C:\Users\lmarliere\Desktop\2021-CHG-CBA-TRIPHENYLP 3\plaque 1/@09 TRIPHENY P 0.26/F9_03- exclu.tif"/>
    <m/>
    <m/>
    <x v="1"/>
    <m/>
    <m/>
    <m/>
  </r>
  <r>
    <x v="9"/>
    <x v="6"/>
    <s v="C:\Users\lmarliere\Desktop\2021-CHG-CBA-TRIPHENYLP 3\plaque 1/@09 TRIPHENY P 0.26/G9_01.tif "/>
    <s v=" 2573.9575 "/>
    <s v=" 66.4202 "/>
    <x v="0"/>
    <n v="170963"/>
    <m/>
    <m/>
  </r>
  <r>
    <x v="9"/>
    <x v="6"/>
    <s v="C:\Users\lmarliere\Desktop\2021-CHG-CBA-TRIPHENYLP 3\plaque 1/@09 TRIPHENY P 0.26/G9_02.tif "/>
    <s v=" 1514.0926 "/>
    <s v=" 63.8857 "/>
    <x v="0"/>
    <n v="96729"/>
    <m/>
    <m/>
  </r>
  <r>
    <x v="9"/>
    <x v="6"/>
    <s v="C:\Users\lmarliere\Desktop\2021-CHG-CBA-TRIPHENYLP 3\plaque 1/@09 TRIPHENY P 0.26/G9_03.tif "/>
    <s v=" 778.6762 "/>
    <s v=" 63.6389 "/>
    <x v="0"/>
    <n v="49554"/>
    <m/>
    <m/>
  </r>
  <r>
    <x v="9"/>
    <x v="7"/>
    <s v="C:\Users\lmarliere\Desktop\2021-CHG-CBA-TRIPHENYLP 3\plaque 1/@09 TRIPHENY P 0.26/H9_01.tif "/>
    <s v=" 5061.3953 "/>
    <s v=" 63.6966 "/>
    <x v="0"/>
    <n v="322394"/>
    <m/>
    <m/>
  </r>
  <r>
    <x v="9"/>
    <x v="7"/>
    <s v="C:\Users\lmarliere\Desktop\2021-CHG-CBA-TRIPHENYLP 3\plaque 1/@09 TRIPHENY P 0.26/H9_02.tif "/>
    <s v=" 4325.9789 "/>
    <s v=" 66.075 "/>
    <x v="0"/>
    <n v="285839"/>
    <m/>
    <m/>
  </r>
  <r>
    <x v="9"/>
    <x v="7"/>
    <s v="C:\Users\lmarliere\Desktop\2021-CHG-CBA-TRIPHENYLP 3\plaque 1/@09 TRIPHENY P 0.26/H9_03.tif "/>
    <s v=" 3417.5234 "/>
    <s v=" 64.0506 "/>
    <x v="0"/>
    <n v="218895"/>
    <m/>
    <m/>
  </r>
  <r>
    <x v="1"/>
    <x v="8"/>
    <s v=" "/>
    <m/>
    <m/>
    <x v="1"/>
    <m/>
    <m/>
    <m/>
  </r>
  <r>
    <x v="1"/>
    <x v="8"/>
    <s v="group "/>
    <s v=" "/>
    <s v=" mean of mean fluo "/>
    <x v="2"/>
    <s v=" mean of total fluo "/>
    <s v=" SD total fluo "/>
    <s v=" n fluorescent "/>
  </r>
  <r>
    <x v="9"/>
    <x v="9"/>
    <s v="C:\Users\lmarliere\Desktop\2021-CHG-CBA-TRIPHENYLP 3\plaque 1/@09 TRIPHENY P 0.26/ "/>
    <s v=" "/>
    <s v=" 65.9988 "/>
    <x v="11"/>
    <s v=" 220451.125 "/>
    <s v=" 184312.67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C:\Users\lmarliere\Desktop\2021-CHG-CBA-TRIPHENYLP 3\plaque 1/@10 TRIPHENYLP 0.4/A10_01.tif "/>
    <s v=" 8089.5806 "/>
    <s v=" 64.7968 "/>
    <x v="0"/>
    <n v="524179"/>
    <m/>
    <m/>
  </r>
  <r>
    <x v="10"/>
    <x v="0"/>
    <s v="C:\Users\lmarliere\Desktop\2021-CHG-CBA-TRIPHENYLP 3\plaque 1/@10 TRIPHENYLP 0.4/A10_02- exclu.tif"/>
    <m/>
    <m/>
    <x v="1"/>
    <m/>
    <m/>
    <m/>
  </r>
  <r>
    <x v="10"/>
    <x v="0"/>
    <s v="C:\Users\lmarliere\Desktop\2021-CHG-CBA-TRIPHENYLP 3\plaque 1/@10 TRIPHENYLP 0.4/A10_03- exclu.tif"/>
    <m/>
    <m/>
    <x v="1"/>
    <m/>
    <m/>
    <m/>
  </r>
  <r>
    <x v="10"/>
    <x v="1"/>
    <s v="C:\Users\lmarliere\Desktop\2021-CHG-CBA-TRIPHENYLP 3\plaque 1/@10 TRIPHENYLP 0.4/B10_01.tif "/>
    <s v=" 3720.3419 "/>
    <s v=" 63.7384 "/>
    <x v="0"/>
    <n v="237129"/>
    <m/>
    <m/>
  </r>
  <r>
    <x v="10"/>
    <x v="1"/>
    <s v="C:\Users\lmarliere\Desktop\2021-CHG-CBA-TRIPHENYLP 3\plaque 1/@10 TRIPHENYLP 0.4/B10_02.tif "/>
    <s v=" 4953.2459 "/>
    <s v=" 65.7293 "/>
    <x v="0"/>
    <n v="325573"/>
    <m/>
    <m/>
  </r>
  <r>
    <x v="10"/>
    <x v="1"/>
    <s v="C:\Users\lmarliere\Desktop\2021-CHG-CBA-TRIPHENYLP 3\plaque 1/@10 TRIPHENYLP 0.4/B10_03.tif "/>
    <s v=" 3525.6728 "/>
    <s v=" 65.5031 "/>
    <x v="0"/>
    <n v="230942"/>
    <m/>
    <m/>
  </r>
  <r>
    <x v="10"/>
    <x v="2"/>
    <s v="C:\Users\lmarliere\Desktop\2021-CHG-CBA-TRIPHENYLP 3\plaque 1/@10 TRIPHENYLP 0.4/C10_01.tif "/>
    <s v=" 6121.2602 "/>
    <s v=" 64.8233 "/>
    <x v="0"/>
    <n v="396800"/>
    <m/>
    <m/>
  </r>
  <r>
    <x v="10"/>
    <x v="2"/>
    <s v="C:\Users\lmarliere\Desktop\2021-CHG-CBA-TRIPHENYLP 3\plaque 1/@10 TRIPHENYLP 0.4/C10_02.tif "/>
    <s v=" 9603.6732 "/>
    <s v=" 72.5563 "/>
    <x v="0"/>
    <n v="696807"/>
    <m/>
    <m/>
  </r>
  <r>
    <x v="10"/>
    <x v="2"/>
    <s v="C:\Users\lmarliere\Desktop\2021-CHG-CBA-TRIPHENYLP 3\plaque 1/@10 TRIPHENYLP 0.4/C10_03.tif "/>
    <s v=" 13843.1326 "/>
    <s v=" 69.3187 "/>
    <x v="0"/>
    <n v="959589"/>
    <m/>
    <m/>
  </r>
  <r>
    <x v="10"/>
    <x v="3"/>
    <s v="C:\Users\lmarliere\Desktop\2021-CHG-CBA-TRIPHENYLP 3\plaque 1/@10 TRIPHENYLP 0.4/D10_01.tif "/>
    <s v=" 7743.5023 "/>
    <s v=" 72.6732 "/>
    <x v="0"/>
    <n v="562745"/>
    <m/>
    <m/>
  </r>
  <r>
    <x v="10"/>
    <x v="3"/>
    <s v="C:\Users\lmarliere\Desktop\2021-CHG-CBA-TRIPHENYLP 3\plaque 1/@10 TRIPHENYLP 0.4/D10_02.tif "/>
    <s v=" 8760.1073 "/>
    <s v=" 71.6716 "/>
    <x v="0"/>
    <n v="627851"/>
    <m/>
    <m/>
  </r>
  <r>
    <x v="10"/>
    <x v="3"/>
    <s v="C:\Users\lmarliere\Desktop\2021-CHG-CBA-TRIPHENYLP 3\plaque 1/@10 TRIPHENYLP 0.4/D10_03.tif "/>
    <s v=" 6878.3065 "/>
    <s v=" 75.022 "/>
    <x v="0"/>
    <n v="516024"/>
    <m/>
    <m/>
  </r>
  <r>
    <x v="10"/>
    <x v="4"/>
    <s v="C:\Users\lmarliere\Desktop\2021-CHG-CBA-TRIPHENYLP 3\plaque 1/@10 TRIPHENYLP 0.4/E10_01.tif "/>
    <s v=" 1773.6514 "/>
    <s v=" 62.8293 "/>
    <x v="0"/>
    <n v="111437"/>
    <m/>
    <m/>
  </r>
  <r>
    <x v="10"/>
    <x v="4"/>
    <s v="C:\Users\lmarliere\Desktop\2021-CHG-CBA-TRIPHENYLP 3\plaque 1/@10 TRIPHENYLP 0.4/E10_02.tif "/>
    <s v=" 2595.5874 "/>
    <s v=" 64.4083 "/>
    <x v="0"/>
    <n v="167177"/>
    <m/>
    <m/>
  </r>
  <r>
    <x v="10"/>
    <x v="4"/>
    <s v="C:\Users\lmarliere\Desktop\2021-CHG-CBA-TRIPHENYLP 3\plaque 1/@10 TRIPHENYLP 0.4/E10_03.tif "/>
    <s v=" 4585.5377 "/>
    <s v=" 64.2594 "/>
    <x v="0"/>
    <n v="294664"/>
    <m/>
    <m/>
  </r>
  <r>
    <x v="10"/>
    <x v="5"/>
    <s v="C:\Users\lmarliere\Desktop\2021-CHG-CBA-TRIPHENYLP 3\plaque 1/@10 TRIPHENYLP 0.4/F10_01.tif "/>
    <s v=" 2552.3276 "/>
    <s v=" 63.2712 "/>
    <x v="0"/>
    <n v="161489"/>
    <m/>
    <m/>
  </r>
  <r>
    <x v="10"/>
    <x v="5"/>
    <s v="C:\Users\lmarliere\Desktop\2021-CHG-CBA-TRIPHENYLP 3\plaque 1/@10 TRIPHENYLP 0.4/F10_02.tif "/>
    <s v=" 5926.5911 "/>
    <s v=" 65.4489 "/>
    <x v="0"/>
    <n v="387889"/>
    <m/>
    <m/>
  </r>
  <r>
    <x v="10"/>
    <x v="5"/>
    <s v="C:\Users\lmarliere\Desktop\2021-CHG-CBA-TRIPHENYLP 3\plaque 1/@10 TRIPHENYLP 0.4/F10_03.tif "/>
    <s v=" 10468.869 "/>
    <s v=" 72.5826 "/>
    <x v="0"/>
    <n v="759858"/>
    <m/>
    <m/>
  </r>
  <r>
    <x v="10"/>
    <x v="6"/>
    <s v="C:\Users\lmarliere\Desktop\2021-CHG-CBA-TRIPHENYLP 3\plaque 1/@10 TRIPHENYLP 0.4/G10_01.tif "/>
    <s v=" 13799.8728 "/>
    <s v=" 93.5893 "/>
    <x v="0"/>
    <n v="1291521"/>
    <m/>
    <m/>
  </r>
  <r>
    <x v="10"/>
    <x v="6"/>
    <s v="C:\Users\lmarliere\Desktop\2021-CHG-CBA-TRIPHENYLP 3\plaque 1/@10 TRIPHENYLP 0.4/G10_02.tif "/>
    <s v=" 12740.0079 "/>
    <s v=" 84.2835 "/>
    <x v="0"/>
    <n v="1073773"/>
    <m/>
    <m/>
  </r>
  <r>
    <x v="10"/>
    <x v="6"/>
    <s v="C:\Users\lmarliere\Desktop\2021-CHG-CBA-TRIPHENYLP 3\plaque 1/@10 TRIPHENYLP 0.4/G10_03.tif "/>
    <s v=" 14189.2109 "/>
    <s v=" 85.6387 "/>
    <x v="0"/>
    <n v="1215146"/>
    <m/>
    <m/>
  </r>
  <r>
    <x v="10"/>
    <x v="7"/>
    <s v="C:\Users\lmarliere\Desktop\2021-CHG-CBA-TRIPHENYLP 3\plaque 1/@10 TRIPHENYLP 0.4/H10_01.tif "/>
    <s v=" 5710.2922 "/>
    <s v=" 64.6098 "/>
    <x v="0"/>
    <n v="368941"/>
    <m/>
    <m/>
  </r>
  <r>
    <x v="10"/>
    <x v="7"/>
    <s v="C:\Users\lmarliere\Desktop\2021-CHG-CBA-TRIPHENYLP 3\plaque 1/@10 TRIPHENYLP 0.4/H10_02.tif "/>
    <s v=" 3071.445 "/>
    <s v=" 63.2394 "/>
    <x v="0"/>
    <n v="194236"/>
    <m/>
    <m/>
  </r>
  <r>
    <x v="10"/>
    <x v="7"/>
    <s v="C:\Users\lmarliere\Desktop\2021-CHG-CBA-TRIPHENYLP 3\plaque 1/@10 TRIPHENYLP 0.4/H10_03.tif "/>
    <s v=" 2336.0286 "/>
    <s v=" 64.0463 "/>
    <x v="0"/>
    <n v="149614"/>
    <m/>
    <m/>
  </r>
  <r>
    <x v="1"/>
    <x v="8"/>
    <s v=" "/>
    <m/>
    <m/>
    <x v="1"/>
    <m/>
    <m/>
    <m/>
  </r>
  <r>
    <x v="1"/>
    <x v="8"/>
    <s v="group "/>
    <s v=" "/>
    <s v=" mean of mean fluo "/>
    <x v="2"/>
    <s v=" mean of total fluo "/>
    <s v=" SD total fluo "/>
    <s v=" n fluorescent "/>
  </r>
  <r>
    <x v="10"/>
    <x v="9"/>
    <s v="C:\Users\lmarliere\Desktop\2021-CHG-CBA-TRIPHENYLP 3\plaque 1/@10 TRIPHENYLP 0.4/ "/>
    <s v=" "/>
    <s v=" 69.5057 "/>
    <x v="12"/>
    <n v="506436"/>
    <s v=" 340354.85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C:\Users\lmarliere\Desktop\2021-CHG-CBA-TRIPHENYLP 3\plaque 1/@11 TRIPHENYLP 0.59/A11_01- exclu.tif"/>
    <m/>
    <m/>
    <x v="1"/>
    <m/>
    <m/>
    <m/>
  </r>
  <r>
    <x v="11"/>
    <x v="0"/>
    <s v="C:\Users\lmarliere\Desktop\2021-CHG-CBA-TRIPHENYLP 3\plaque 1/@11 TRIPHENYLP 0.59/A11_02.tif "/>
    <s v=" 7267.6446 "/>
    <s v=" 65.2173 "/>
    <x v="0"/>
    <n v="473976"/>
    <m/>
    <m/>
  </r>
  <r>
    <x v="11"/>
    <x v="0"/>
    <s v="C:\Users\lmarliere\Desktop\2021-CHG-CBA-TRIPHENYLP 3\plaque 1/@11 TRIPHENYLP 0.59/A11_03- exclu.tif"/>
    <m/>
    <m/>
    <x v="1"/>
    <m/>
    <m/>
    <m/>
  </r>
  <r>
    <x v="11"/>
    <x v="1"/>
    <s v="C:\Users\lmarliere\Desktop\2021-CHG-CBA-TRIPHENYLP 3\plaque 1/@11 TRIPHENYLP 0.59/B11_01.tif "/>
    <s v=" 20872.8483 "/>
    <s v=" 64.8218 "/>
    <x v="0"/>
    <n v="1353015"/>
    <m/>
    <m/>
  </r>
  <r>
    <x v="11"/>
    <x v="1"/>
    <s v="C:\Users\lmarliere\Desktop\2021-CHG-CBA-TRIPHENYLP 3\plaque 1/@11 TRIPHENYLP 0.59/B11_02.tif "/>
    <s v=" 28075.6032 "/>
    <s v=" 67.1163 "/>
    <x v="0"/>
    <n v="1884332"/>
    <m/>
    <m/>
  </r>
  <r>
    <x v="11"/>
    <x v="1"/>
    <s v="C:\Users\lmarliere\Desktop\2021-CHG-CBA-TRIPHENYLP 3\plaque 1/@11 TRIPHENYLP 0.59/B11_03.tif "/>
    <s v=" 17195.7662 "/>
    <s v=" 64.6025 "/>
    <x v="0"/>
    <n v="1110890"/>
    <m/>
    <m/>
  </r>
  <r>
    <x v="11"/>
    <x v="2"/>
    <s v="C:\Users\lmarliere\Desktop\2021-CHG-CBA-TRIPHENYLP 3\plaque 1/@11 TRIPHENYLP 0.59/C11_01.tif "/>
    <s v=" 11528.7338 "/>
    <s v=" 64.1238 "/>
    <x v="0"/>
    <n v="739267"/>
    <m/>
    <m/>
  </r>
  <r>
    <x v="11"/>
    <x v="2"/>
    <s v="C:\Users\lmarliere\Desktop\2021-CHG-CBA-TRIPHENYLP 3\plaque 1/@11 TRIPHENYLP 0.59/C11_02.tif "/>
    <s v=" 18991.0475 "/>
    <s v=" 65.3303 "/>
    <x v="0"/>
    <n v="1240691"/>
    <m/>
    <m/>
  </r>
  <r>
    <x v="11"/>
    <x v="2"/>
    <s v="C:\Users\lmarliere\Desktop\2021-CHG-CBA-TRIPHENYLP 3\plaque 1/@11 TRIPHENYLP 0.59/C11_03.tif "/>
    <s v=" 20115.802 "/>
    <s v=" 65.1753 "/>
    <x v="0"/>
    <n v="1311053"/>
    <m/>
    <m/>
  </r>
  <r>
    <x v="11"/>
    <x v="3"/>
    <s v="C:\Users\lmarliere\Desktop\2021-CHG-CBA-TRIPHENYLP 3\plaque 1/@11 TRIPHENYLP 0.59/D11_01- exclu.tif"/>
    <m/>
    <m/>
    <x v="1"/>
    <m/>
    <m/>
    <m/>
  </r>
  <r>
    <x v="11"/>
    <x v="3"/>
    <s v="C:\Users\lmarliere\Desktop\2021-CHG-CBA-TRIPHENYLP 3\plaque 1/@11 TRIPHENYLP 0.59/D11_02.tif "/>
    <s v=" 37311.5682 "/>
    <s v=" 65.5617 "/>
    <x v="0"/>
    <n v="2446211"/>
    <m/>
    <m/>
  </r>
  <r>
    <x v="11"/>
    <x v="3"/>
    <s v="C:\Users\lmarliere\Desktop\2021-CHG-CBA-TRIPHENYLP 3\plaque 1/@11 TRIPHENYLP 0.59/D11_03.tif "/>
    <s v=" 37506.2373 "/>
    <s v=" 65.6828 "/>
    <x v="0"/>
    <n v="2463515"/>
    <m/>
    <m/>
  </r>
  <r>
    <x v="11"/>
    <x v="4"/>
    <s v="C:\Users\lmarliere\Desktop\2021-CHG-CBA-TRIPHENYLP 3\plaque 1/@11 TRIPHENYLP 0.59/E11_01.tif "/>
    <s v=" 18039.3321 "/>
    <s v=" 64.7242 "/>
    <x v="0"/>
    <n v="1167582"/>
    <m/>
    <m/>
  </r>
  <r>
    <x v="11"/>
    <x v="4"/>
    <s v="C:\Users\lmarliere\Desktop\2021-CHG-CBA-TRIPHENYLP 3\plaque 1/@11 TRIPHENYLP 0.59/E11_02.tif "/>
    <s v=" 23944.2934 "/>
    <s v=" 70.1048 "/>
    <x v="0"/>
    <n v="1678610"/>
    <m/>
    <m/>
  </r>
  <r>
    <x v="11"/>
    <x v="4"/>
    <s v="C:\Users\lmarliere\Desktop\2021-CHG-CBA-TRIPHENYLP 3\plaque 1/@11 TRIPHENYLP 0.59/E11_03.tif "/>
    <s v=" 28746.13 "/>
    <s v=" 68.2874 "/>
    <x v="0"/>
    <n v="1962999"/>
    <m/>
    <m/>
  </r>
  <r>
    <x v="11"/>
    <x v="5"/>
    <s v="C:\Users\lmarliere\Desktop\2021-CHG-CBA-TRIPHENYLP 3\plaque 1/@11 TRIPHENYLP 0.59/F11_01- exclu.tif"/>
    <m/>
    <m/>
    <x v="1"/>
    <m/>
    <m/>
    <m/>
  </r>
  <r>
    <x v="11"/>
    <x v="5"/>
    <s v="C:\Users\lmarliere\Desktop\2021-CHG-CBA-TRIPHENYLP 3\plaque 1/@11 TRIPHENYLP 0.59/F11_02.tif "/>
    <s v=" 16936.2075 "/>
    <s v=" 84.5057 "/>
    <x v="0"/>
    <n v="1431207"/>
    <m/>
    <m/>
  </r>
  <r>
    <x v="11"/>
    <x v="5"/>
    <s v="C:\Users\lmarliere\Desktop\2021-CHG-CBA-TRIPHENYLP 3\plaque 1/@11 TRIPHENYLP 0.59/F11_03.tif "/>
    <s v=" 20072.5422 "/>
    <s v=" 92.68 "/>
    <x v="0"/>
    <n v="1860322"/>
    <m/>
    <m/>
  </r>
  <r>
    <x v="11"/>
    <x v="6"/>
    <s v="C:\Users\lmarliere\Desktop\2021-CHG-CBA-TRIPHENYLP 3\plaque 1/@11 TRIPHENYLP 0.59/G11_01- exclu.tif"/>
    <m/>
    <m/>
    <x v="1"/>
    <m/>
    <m/>
    <m/>
  </r>
  <r>
    <x v="11"/>
    <x v="6"/>
    <s v="C:\Users\lmarliere\Desktop\2021-CHG-CBA-TRIPHENYLP 3\plaque 1/@11 TRIPHENYLP 0.59/G11_02.tif "/>
    <s v=" 11398.9545 "/>
    <s v=" 69.8843 "/>
    <x v="0"/>
    <n v="796607"/>
    <m/>
    <m/>
  </r>
  <r>
    <x v="11"/>
    <x v="6"/>
    <s v="C:\Users\lmarliere\Desktop\2021-CHG-CBA-TRIPHENYLP 3\plaque 1/@11 TRIPHENYLP 0.59/G11_03.tif "/>
    <s v=" 12913.0471 "/>
    <s v=" 74.0385 "/>
    <x v="0"/>
    <n v="956063"/>
    <m/>
    <m/>
  </r>
  <r>
    <x v="11"/>
    <x v="7"/>
    <s v="C:\Users\lmarliere\Desktop\2021-CHG-CBA-TRIPHENYLP 3\plaque 1/@11 TRIPHENYLP 0.59/H11_01.tif "/>
    <s v=" 26842.6992 "/>
    <s v=" 66.1757 "/>
    <x v="0"/>
    <n v="1776333"/>
    <m/>
    <m/>
  </r>
  <r>
    <x v="11"/>
    <x v="7"/>
    <s v="C:\Users\lmarliere\Desktop\2021-CHG-CBA-TRIPHENYLP 3\plaque 1/@11 TRIPHENYLP 0.59/H11_02.tif "/>
    <s v=" 28313.5321 "/>
    <s v=" 66.3774 "/>
    <x v="0"/>
    <n v="1879378"/>
    <m/>
    <m/>
  </r>
  <r>
    <x v="11"/>
    <x v="7"/>
    <s v="C:\Users\lmarliere\Desktop\2021-CHG-CBA-TRIPHENYLP 3\plaque 1/@11 TRIPHENYLP 0.59/H11_03.tif "/>
    <s v=" 27296.927 "/>
    <s v=" 65.3281 "/>
    <x v="0"/>
    <n v="1783255"/>
    <m/>
    <m/>
  </r>
  <r>
    <x v="1"/>
    <x v="8"/>
    <s v=" "/>
    <m/>
    <m/>
    <x v="1"/>
    <m/>
    <m/>
    <m/>
  </r>
  <r>
    <x v="1"/>
    <x v="8"/>
    <s v="group "/>
    <s v=" "/>
    <s v=" mean of mean fluo "/>
    <x v="2"/>
    <s v=" mean of total fluo "/>
    <s v=" SD total fluo "/>
    <s v=" n fluorescent "/>
  </r>
  <r>
    <x v="11"/>
    <x v="9"/>
    <s v="C:\Users\lmarliere\Desktop\2021-CHG-CBA-TRIPHENYLP 3\plaque 1/@11 TRIPHENYLP 0.59/ "/>
    <s v=" "/>
    <s v=" 68.627 "/>
    <x v="13"/>
    <s v=" 1316726.17 "/>
    <s v=" 631737.08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C:\Users\lmarliere\Desktop\2021-CHG-CBA-TRIPHENYLP 3\plaque 1/@12 TRIPHENYLP 0.89/A12_01- exclu.tif"/>
    <m/>
    <m/>
    <x v="1"/>
    <m/>
    <m/>
    <m/>
  </r>
  <r>
    <x v="12"/>
    <x v="0"/>
    <s v="C:\Users\lmarliere\Desktop\2021-CHG-CBA-TRIPHENYLP 3\plaque 1/@12 TRIPHENYLP 0.89/A12_02.tif "/>
    <s v=" 41724.0667 "/>
    <s v=" 75.5158 "/>
    <x v="0"/>
    <n v="3150827"/>
    <m/>
    <m/>
  </r>
  <r>
    <x v="12"/>
    <x v="0"/>
    <s v="C:\Users\lmarliere\Desktop\2021-CHG-CBA-TRIPHENYLP 3\plaque 1/@12 TRIPHENYLP 0.89/A12_03.tif "/>
    <s v=" 33504.7068 "/>
    <s v=" 81.9819 "/>
    <x v="0"/>
    <n v="2746780"/>
    <m/>
    <m/>
  </r>
  <r>
    <x v="12"/>
    <x v="1"/>
    <s v="C:\Users\lmarliere\Desktop\2021-CHG-CBA-TRIPHENYLP 3\plaque 1/@12 TRIPHENYLP 0.89/B12_01.tif "/>
    <s v=" 1427.573 "/>
    <s v=" 62.8333 "/>
    <x v="0"/>
    <n v="89699"/>
    <m/>
    <m/>
  </r>
  <r>
    <x v="12"/>
    <x v="1"/>
    <s v="C:\Users\lmarliere\Desktop\2021-CHG-CBA-TRIPHENYLP 3\plaque 1/@12 TRIPHENYLP 0.89/B12_02.tif "/>
    <s v=" 2271.1389 "/>
    <s v=" 62.8667 "/>
    <x v="0"/>
    <n v="142779"/>
    <m/>
    <m/>
  </r>
  <r>
    <x v="12"/>
    <x v="1"/>
    <s v="C:\Users\lmarliere\Desktop\2021-CHG-CBA-TRIPHENYLP 3\plaque 1/@12 TRIPHENYLP 0.89/B12_03.tif "/>
    <s v=" 12264.1503 "/>
    <s v=" 79.7743 "/>
    <x v="0"/>
    <n v="978363"/>
    <m/>
    <m/>
  </r>
  <r>
    <x v="12"/>
    <x v="2"/>
    <s v="C:\Users\lmarliere\Desktop\2021-CHG-CBA-TRIPHENYLP 3\plaque 1/@12 TRIPHENYLP 0.89/C12_01.tif "/>
    <s v=" 56216.0961 "/>
    <s v=" 68.8965 "/>
    <x v="0"/>
    <n v="3873092"/>
    <m/>
    <m/>
  </r>
  <r>
    <x v="12"/>
    <x v="2"/>
    <s v="C:\Users\lmarliere\Desktop\2021-CHG-CBA-TRIPHENYLP 3\plaque 1/@12 TRIPHENYLP 0.89/C12_02.tif "/>
    <s v=" 46266.3446 "/>
    <s v=" 67.8672 "/>
    <x v="0"/>
    <n v="3139969"/>
    <m/>
    <m/>
  </r>
  <r>
    <x v="12"/>
    <x v="2"/>
    <s v="C:\Users\lmarliere\Desktop\2021-CHG-CBA-TRIPHENYLP 3\plaque 1/@12 TRIPHENYLP 0.89/C12_03.tif "/>
    <s v=" 48602.3732 "/>
    <s v=" 67.2844 "/>
    <x v="0"/>
    <n v="3270181"/>
    <m/>
    <m/>
  </r>
  <r>
    <x v="12"/>
    <x v="3"/>
    <s v="C:\Users\lmarliere\Desktop\2021-CHG-CBA-TRIPHENYLP 3\plaque 1/@12 TRIPHENYLP 0.89/D12_01.tif "/>
    <s v=" 30346.7422 "/>
    <s v=" 67.3051 "/>
    <x v="0"/>
    <n v="2042489"/>
    <m/>
    <m/>
  </r>
  <r>
    <x v="12"/>
    <x v="3"/>
    <s v="C:\Users\lmarliere\Desktop\2021-CHG-CBA-TRIPHENYLP 3\plaque 1/@12 TRIPHENYLP 0.89/D12_02.tif "/>
    <s v=" 26237.0622 "/>
    <s v=" 67.1896 "/>
    <x v="0"/>
    <n v="1762858"/>
    <m/>
    <m/>
  </r>
  <r>
    <x v="12"/>
    <x v="3"/>
    <s v="C:\Users\lmarliere\Desktop\2021-CHG-CBA-TRIPHENYLP 3\plaque 1/@12 TRIPHENYLP 0.89/D12_03.tif "/>
    <s v=" 23511.6955 "/>
    <s v=" 66.0166 "/>
    <x v="0"/>
    <n v="1552161"/>
    <m/>
    <m/>
  </r>
  <r>
    <x v="12"/>
    <x v="4"/>
    <s v="C:\Users\lmarliere\Desktop\2021-CHG-CBA-TRIPHENYLP 3\plaque 1/@12 TRIPHENYLP 0.89/E12_01- exclu.tif"/>
    <m/>
    <m/>
    <x v="1"/>
    <m/>
    <m/>
    <m/>
  </r>
  <r>
    <x v="12"/>
    <x v="4"/>
    <s v="C:\Users\lmarliere\Desktop\2021-CHG-CBA-TRIPHENYLP 3\plaque 1/@12 TRIPHENYLP 0.89/E12_02- exclu.tif"/>
    <m/>
    <m/>
    <x v="1"/>
    <m/>
    <m/>
    <m/>
  </r>
  <r>
    <x v="12"/>
    <x v="4"/>
    <s v="C:\Users\lmarliere\Desktop\2021-CHG-CBA-TRIPHENYLP 3\plaque 1/@12 TRIPHENYLP 0.89/E12_03- exclu.tif"/>
    <m/>
    <m/>
    <x v="1"/>
    <m/>
    <m/>
    <m/>
  </r>
  <r>
    <x v="12"/>
    <x v="5"/>
    <s v="C:\Users\lmarliere\Desktop\2021-CHG-CBA-TRIPHENYLP 3\plaque 1/@12 TRIPHENYLP 0.89/F12_01.tif "/>
    <s v=" 62726.6944 "/>
    <s v=" 70.7672 "/>
    <x v="0"/>
    <n v="4438995"/>
    <m/>
    <m/>
  </r>
  <r>
    <x v="12"/>
    <x v="5"/>
    <s v="C:\Users\lmarliere\Desktop\2021-CHG-CBA-TRIPHENYLP 3\plaque 1/@12 TRIPHENYLP 0.89/F12_02- exclu.tif"/>
    <m/>
    <m/>
    <x v="1"/>
    <m/>
    <m/>
    <m/>
  </r>
  <r>
    <x v="12"/>
    <x v="5"/>
    <s v="C:\Users\lmarliere\Desktop\2021-CHG-CBA-TRIPHENYLP 3\plaque 1/@12 TRIPHENYLP 0.89/F12_03.tif "/>
    <s v=" 62856.4738 "/>
    <s v=" 73.9604 "/>
    <x v="0"/>
    <n v="4648892"/>
    <m/>
    <m/>
  </r>
  <r>
    <x v="12"/>
    <x v="6"/>
    <s v="C:\Users\lmarliere\Desktop\2021-CHG-CBA-TRIPHENYLP 3\plaque 1/@12 TRIPHENYLP 0.89/G12_01- exclu.tif"/>
    <m/>
    <m/>
    <x v="1"/>
    <m/>
    <m/>
    <m/>
  </r>
  <r>
    <x v="12"/>
    <x v="6"/>
    <s v="C:\Users\lmarliere\Desktop\2021-CHG-CBA-TRIPHENYLP 3\plaque 1/@12 TRIPHENYLP 0.89/G12_02- exclu.tif"/>
    <m/>
    <m/>
    <x v="1"/>
    <m/>
    <m/>
    <m/>
  </r>
  <r>
    <x v="12"/>
    <x v="6"/>
    <s v="C:\Users\lmarliere\Desktop\2021-CHG-CBA-TRIPHENYLP 3\plaque 1/@12 TRIPHENYLP 0.89/G12_03- exclu.tif"/>
    <m/>
    <m/>
    <x v="1"/>
    <m/>
    <m/>
    <m/>
  </r>
  <r>
    <x v="12"/>
    <x v="7"/>
    <s v="C:\Users\lmarliere\Desktop\2021-CHG-CBA-TRIPHENYLP 3\plaque 1/@12 TRIPHENYLP 0.89/H12_01- exclu.tif"/>
    <m/>
    <m/>
    <x v="1"/>
    <m/>
    <m/>
    <m/>
  </r>
  <r>
    <x v="12"/>
    <x v="7"/>
    <s v="C:\Users\lmarliere\Desktop\2021-CHG-CBA-TRIPHENYLP 3\plaque 1/@12 TRIPHENYLP 0.89/H12_02.tif "/>
    <s v=" 33093.7388 "/>
    <s v=" 67.2725 "/>
    <x v="0"/>
    <n v="2226300"/>
    <m/>
    <m/>
  </r>
  <r>
    <x v="12"/>
    <x v="7"/>
    <s v="C:\Users\lmarliere\Desktop\2021-CHG-CBA-TRIPHENYLP 3\plaque 1/@12 TRIPHENYLP 0.89/H12_03.tif "/>
    <s v=" 34845.7602 "/>
    <s v=" 68.2682 "/>
    <x v="0"/>
    <n v="2378856"/>
    <m/>
    <m/>
  </r>
  <r>
    <x v="1"/>
    <x v="8"/>
    <s v=" "/>
    <m/>
    <m/>
    <x v="1"/>
    <m/>
    <m/>
    <m/>
  </r>
  <r>
    <x v="1"/>
    <x v="8"/>
    <s v="group "/>
    <s v=" "/>
    <s v=" mean of mean fluo "/>
    <x v="2"/>
    <s v=" mean of total fluo "/>
    <s v=" SD total fluo "/>
    <s v=" n fluorescent "/>
  </r>
  <r>
    <x v="12"/>
    <x v="9"/>
    <s v="C:\Users\lmarliere\Desktop\2021-CHG-CBA-TRIPHENYLP 3\plaque 1/@12 TRIPHENYLP 0.89/ "/>
    <s v=" "/>
    <s v=" 68.2138 "/>
    <x v="14"/>
    <s v=" 1747179.96 "/>
    <s v=" 1624905.7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C:\Users\lmarliere\Desktop\2021-CHG-CBA-TRIPHENYLP 3\plaque 2/@13 TESTO/A1_01.tif "/>
    <s v=" 47996.7362 "/>
    <s v=" 75.507 "/>
    <x v="0"/>
    <n v="3624089"/>
    <m/>
    <m/>
  </r>
  <r>
    <x v="13"/>
    <x v="0"/>
    <s v="C:\Users\lmarliere\Desktop\2021-CHG-CBA-TRIPHENYLP 3\plaque 2/@13 TESTO/A1_02.tif "/>
    <s v=" 45292.9994 "/>
    <s v=" 74.9776 "/>
    <x v="0"/>
    <n v="3395958"/>
    <m/>
    <m/>
  </r>
  <r>
    <x v="13"/>
    <x v="0"/>
    <s v="C:\Users\lmarliere\Desktop\2021-CHG-CBA-TRIPHENYLP 3\plaque 2/@13 TESTO/A1_03- exclu.tif"/>
    <m/>
    <m/>
    <x v="1"/>
    <m/>
    <m/>
    <m/>
  </r>
  <r>
    <x v="13"/>
    <x v="1"/>
    <s v="C:\Users\lmarliere\Desktop\2021-CHG-CBA-TRIPHENYLP 3\plaque 2/@13 TESTO/B1_01.tif "/>
    <s v=" 44838.7716 "/>
    <s v=" 72.2142 "/>
    <x v="0"/>
    <n v="3237995"/>
    <m/>
    <m/>
  </r>
  <r>
    <x v="13"/>
    <x v="1"/>
    <s v="C:\Users\lmarliere\Desktop\2021-CHG-CBA-TRIPHENYLP 3\plaque 2/@13 TESTO/B1_02.tif "/>
    <s v=" 50224.6153 "/>
    <s v=" 74.1322 "/>
    <x v="0"/>
    <n v="3723262"/>
    <m/>
    <m/>
  </r>
  <r>
    <x v="13"/>
    <x v="1"/>
    <s v="C:\Users\lmarliere\Desktop\2021-CHG-CBA-TRIPHENYLP 3\plaque 2/@13 TESTO/B1_03.tif "/>
    <s v=" 44124.985 "/>
    <s v=" 73.5422 "/>
    <x v="0"/>
    <n v="3245047"/>
    <m/>
    <m/>
  </r>
  <r>
    <x v="13"/>
    <x v="2"/>
    <s v="C:\Users\lmarliere\Desktop\2021-CHG-CBA-TRIPHENYLP 3\plaque 2/@13 TESTO/C1_01.tif "/>
    <s v=" 26799.4394 "/>
    <s v=" 71.8329 "/>
    <x v="0"/>
    <n v="1925082"/>
    <m/>
    <m/>
  </r>
  <r>
    <x v="13"/>
    <x v="2"/>
    <s v="C:\Users\lmarliere\Desktop\2021-CHG-CBA-TRIPHENYLP 3\plaque 2/@13 TESTO/C1_02.tif "/>
    <s v=" 31276.8276 "/>
    <s v=" 72.6328 "/>
    <x v="0"/>
    <n v="2271723"/>
    <m/>
    <m/>
  </r>
  <r>
    <x v="13"/>
    <x v="2"/>
    <s v="C:\Users\lmarliere\Desktop\2021-CHG-CBA-TRIPHENYLP 3\plaque 2/@13 TESTO/C1_03.tif "/>
    <s v=" 30152.0731 "/>
    <s v=" 71.2963 "/>
    <x v="0"/>
    <n v="2149730"/>
    <m/>
    <m/>
  </r>
  <r>
    <x v="13"/>
    <x v="3"/>
    <s v="C:\Users\lmarliere\Desktop\2021-CHG-CBA-TRIPHENYLP 3\plaque 2/@13 TESTO/D1_01.tif "/>
    <s v=" 63462.1108 "/>
    <s v=" 71.7788 "/>
    <x v="0"/>
    <n v="4555234"/>
    <m/>
    <m/>
  </r>
  <r>
    <x v="13"/>
    <x v="3"/>
    <s v="C:\Users\lmarliere\Desktop\2021-CHG-CBA-TRIPHENYLP 3\plaque 2/@13 TESTO/D1_02.tif "/>
    <s v=" 61731.7193 "/>
    <s v=" 72.4411 "/>
    <x v="0"/>
    <n v="4471916"/>
    <m/>
    <m/>
  </r>
  <r>
    <x v="13"/>
    <x v="3"/>
    <s v="C:\Users\lmarliere\Desktop\2021-CHG-CBA-TRIPHENYLP 3\plaque 2/@13 TESTO/D1_03.tif "/>
    <s v=" 54766.8932 "/>
    <s v=" 71.2429 "/>
    <x v="0"/>
    <n v="3901752"/>
    <m/>
    <m/>
  </r>
  <r>
    <x v="13"/>
    <x v="4"/>
    <s v="C:\Users\lmarliere\Desktop\2021-CHG-CBA-TRIPHENYLP 3\plaque 2/@13 TESTO/E1_01.tif "/>
    <s v=" 50202.9854 "/>
    <s v=" 70.3727 "/>
    <x v="0"/>
    <n v="3532919"/>
    <m/>
    <m/>
  </r>
  <r>
    <x v="13"/>
    <x v="4"/>
    <s v="C:\Users\lmarliere\Desktop\2021-CHG-CBA-TRIPHENYLP 3\plaque 2/@13 TESTO/E1_02.tif "/>
    <s v=" 44535.953 "/>
    <s v=" 70.9174 "/>
    <x v="0"/>
    <n v="3158376"/>
    <m/>
    <m/>
  </r>
  <r>
    <x v="13"/>
    <x v="4"/>
    <s v="C:\Users\lmarliere\Desktop\2021-CHG-CBA-TRIPHENYLP 3\plaque 2/@13 TESTO/E1_03- exclu.tif"/>
    <m/>
    <m/>
    <x v="1"/>
    <m/>
    <m/>
    <m/>
  </r>
  <r>
    <x v="13"/>
    <x v="5"/>
    <s v="C:\Users\lmarliere\Desktop\2021-CHG-CBA-TRIPHENYLP 3\plaque 2/@13 TESTO/F1_01.tif "/>
    <s v=" 22105.7523 "/>
    <s v=" 67.1096 "/>
    <x v="0"/>
    <n v="1483508"/>
    <m/>
    <m/>
  </r>
  <r>
    <x v="13"/>
    <x v="5"/>
    <s v="C:\Users\lmarliere\Desktop\2021-CHG-CBA-TRIPHENYLP 3\plaque 2/@13 TESTO/F1_02.tif "/>
    <s v=" 27188.7775 "/>
    <s v=" 67.4702 "/>
    <x v="0"/>
    <n v="1834431"/>
    <m/>
    <m/>
  </r>
  <r>
    <x v="13"/>
    <x v="5"/>
    <s v="C:\Users\lmarliere\Desktop\2021-CHG-CBA-TRIPHENYLP 3\plaque 2/@13 TESTO/F1_03.tif "/>
    <s v=" 25047.418 "/>
    <s v=" 69.6019 "/>
    <x v="0"/>
    <n v="1743348"/>
    <m/>
    <m/>
  </r>
  <r>
    <x v="13"/>
    <x v="6"/>
    <s v="C:\Users\lmarliere\Desktop\2021-CHG-CBA-TRIPHENYLP 3\plaque 2/@13 TESTO/G1_01.tif "/>
    <s v=" 31471.4967 "/>
    <s v=" 67.7945 "/>
    <x v="0"/>
    <n v="2133594"/>
    <m/>
    <m/>
  </r>
  <r>
    <x v="13"/>
    <x v="6"/>
    <s v="C:\Users\lmarliere\Desktop\2021-CHG-CBA-TRIPHENYLP 3\plaque 2/@13 TESTO/G1_02.tif "/>
    <s v=" 35667.6962 "/>
    <s v=" 68.3305 "/>
    <x v="0"/>
    <n v="2437192"/>
    <m/>
    <m/>
  </r>
  <r>
    <x v="13"/>
    <x v="6"/>
    <s v="C:\Users\lmarliere\Desktop\2021-CHG-CBA-TRIPHENYLP 3\plaque 2/@13 TESTO/G1_03.tif "/>
    <s v=" 28746.13 "/>
    <s v=" 68.5004 "/>
    <x v="0"/>
    <n v="1969121"/>
    <m/>
    <m/>
  </r>
  <r>
    <x v="13"/>
    <x v="7"/>
    <s v="C:\Users\lmarliere\Desktop\2021-CHG-CBA-TRIPHENYLP 3\plaque 2/@13 TESTO/H1_01.tif "/>
    <s v=" 31536.3864 "/>
    <s v=" 71.454 "/>
    <x v="0"/>
    <n v="2253402"/>
    <m/>
    <m/>
  </r>
  <r>
    <x v="13"/>
    <x v="7"/>
    <s v="C:\Users\lmarliere\Desktop\2021-CHG-CBA-TRIPHENYLP 3\plaque 2/@13 TESTO/H1_02.tif "/>
    <s v=" 26691.29 "/>
    <s v=" 70.5203 "/>
    <x v="0"/>
    <n v="1882277"/>
    <m/>
    <m/>
  </r>
  <r>
    <x v="13"/>
    <x v="7"/>
    <s v="C:\Users\lmarliere\Desktop\2021-CHG-CBA-TRIPHENYLP 3\plaque 2/@13 TESTO/H1_03.tif "/>
    <s v=" 32552.9914 "/>
    <s v=" 72.0751 "/>
    <x v="0"/>
    <n v="2346260"/>
    <m/>
    <m/>
  </r>
  <r>
    <x v="1"/>
    <x v="8"/>
    <s v=" "/>
    <m/>
    <m/>
    <x v="1"/>
    <m/>
    <m/>
    <m/>
  </r>
  <r>
    <x v="1"/>
    <x v="8"/>
    <s v="group "/>
    <s v=" "/>
    <s v=" mean of mean fluo "/>
    <x v="2"/>
    <s v=" mean of total fluo "/>
    <s v=" SD total fluo "/>
    <s v=" n fluorescent "/>
  </r>
  <r>
    <x v="13"/>
    <x v="9"/>
    <s v="C:\Users\lmarliere\Desktop\2021-CHG-CBA-TRIPHENYLP 3\plaque 2/@13 TESTO/ "/>
    <s v=" "/>
    <s v=" 71.1818 "/>
    <x v="15"/>
    <s v=" 2824056.75 "/>
    <s v=" 895231.64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C:\Users\lmarliere\Desktop\2021-CHG-CBA-TRIPHENYLP 3\plaque 2/@14 TESTO/A2_01.tif "/>
    <s v=" 15724.9334 "/>
    <s v=" 67.3631 "/>
    <x v="0"/>
    <n v="1059281"/>
    <m/>
    <m/>
  </r>
  <r>
    <x v="14"/>
    <x v="0"/>
    <s v="C:\Users\lmarliere\Desktop\2021-CHG-CBA-TRIPHENYLP 3\plaque 2/@14 TESTO/A2_02.tif "/>
    <s v=" 15313.9654 "/>
    <s v=" 64.6059 "/>
    <x v="0"/>
    <n v="989373"/>
    <m/>
    <m/>
  </r>
  <r>
    <x v="14"/>
    <x v="0"/>
    <s v="C:\Users\lmarliere\Desktop\2021-CHG-CBA-TRIPHENYLP 3\plaque 2/@14 TESTO/A2_03.tif "/>
    <s v=" 16481.9797 "/>
    <s v=" 64.7428 "/>
    <x v="0"/>
    <n v="1067089"/>
    <m/>
    <m/>
  </r>
  <r>
    <x v="14"/>
    <x v="1"/>
    <s v="C:\Users\lmarliere\Desktop\2021-CHG-CBA-TRIPHENYLP 3\plaque 2/@14 TESTO/B2_01- exclu.tif"/>
    <m/>
    <m/>
    <x v="1"/>
    <m/>
    <m/>
    <m/>
  </r>
  <r>
    <x v="14"/>
    <x v="1"/>
    <s v="C:\Users\lmarliere\Desktop\2021-CHG-CBA-TRIPHENYLP 3\plaque 2/@14 TESTO/B2_02.tif "/>
    <s v=" 25739.5746 "/>
    <s v=" 66.8261 "/>
    <x v="0"/>
    <n v="1720074"/>
    <m/>
    <m/>
  </r>
  <r>
    <x v="14"/>
    <x v="1"/>
    <s v="C:\Users\lmarliere\Desktop\2021-CHG-CBA-TRIPHENYLP 3\plaque 2/@14 TESTO/B2_03.tif "/>
    <s v=" 27253.6672 "/>
    <s v=" 67.331 "/>
    <x v="0"/>
    <n v="1835015"/>
    <m/>
    <m/>
  </r>
  <r>
    <x v="14"/>
    <x v="2"/>
    <s v="C:\Users\lmarliere\Desktop\2021-CHG-CBA-TRIPHENYLP 3\plaque 2/@14 TESTO/C2_01.tif "/>
    <s v=" 17779.7734 "/>
    <s v=" 65.371 "/>
    <x v="0"/>
    <n v="1162282"/>
    <m/>
    <m/>
  </r>
  <r>
    <x v="14"/>
    <x v="2"/>
    <s v="C:\Users\lmarliere\Desktop\2021-CHG-CBA-TRIPHENYLP 3\plaque 2/@14 TESTO/C2_02.tif "/>
    <s v=" 26712.9199 "/>
    <s v=" 66.7441 "/>
    <x v="0"/>
    <n v="1782931"/>
    <m/>
    <m/>
  </r>
  <r>
    <x v="14"/>
    <x v="2"/>
    <s v="C:\Users\lmarliere\Desktop\2021-CHG-CBA-TRIPHENYLP 3\plaque 2/@14 TESTO/C2_03.tif "/>
    <s v=" 24917.6386 "/>
    <s v=" 67.1806 "/>
    <x v="0"/>
    <n v="1673981"/>
    <m/>
    <m/>
  </r>
  <r>
    <x v="14"/>
    <x v="3"/>
    <s v="C:\Users\lmarliere\Desktop\2021-CHG-CBA-TRIPHENYLP 3\plaque 2/@14 TESTO/D2_01- exclu.tif"/>
    <m/>
    <m/>
    <x v="1"/>
    <m/>
    <m/>
    <m/>
  </r>
  <r>
    <x v="14"/>
    <x v="3"/>
    <s v="C:\Users\lmarliere\Desktop\2021-CHG-CBA-TRIPHENYLP 3\plaque 2/@14 TESTO/D2_02.tif "/>
    <s v=" 40902.1307 "/>
    <s v=" 74.5087 "/>
    <x v="0"/>
    <n v="3047566"/>
    <m/>
    <m/>
  </r>
  <r>
    <x v="14"/>
    <x v="3"/>
    <s v="C:\Users\lmarliere\Desktop\2021-CHG-CBA-TRIPHENYLP 3\plaque 2/@14 TESTO/D2_03.tif "/>
    <s v=" 36857.3404 "/>
    <s v=" 71.3515 "/>
    <x v="0"/>
    <n v="2629827"/>
    <m/>
    <m/>
  </r>
  <r>
    <x v="14"/>
    <x v="4"/>
    <s v="C:\Users\lmarliere\Desktop\2021-CHG-CBA-TRIPHENYLP 3\plaque 2/@14 TESTO/E2_01- exclu.tif"/>
    <m/>
    <m/>
    <x v="1"/>
    <m/>
    <m/>
    <m/>
  </r>
  <r>
    <x v="14"/>
    <x v="4"/>
    <s v="C:\Users\lmarliere\Desktop\2021-CHG-CBA-TRIPHENYLP 3\plaque 2/@14 TESTO/E2_02.tif "/>
    <s v=" 18623.3393 "/>
    <s v=" 64.9895 "/>
    <x v="0"/>
    <n v="1210322"/>
    <m/>
    <m/>
  </r>
  <r>
    <x v="14"/>
    <x v="4"/>
    <s v="C:\Users\lmarliere\Desktop\2021-CHG-CBA-TRIPHENYLP 3\plaque 2/@14 TESTO/E2_03.tif "/>
    <s v=" 19812.9835 "/>
    <s v=" 65.0371 "/>
    <x v="0"/>
    <n v="1288579"/>
    <m/>
    <m/>
  </r>
  <r>
    <x v="14"/>
    <x v="5"/>
    <s v="C:\Users\lmarliere\Desktop\2021-CHG-CBA-TRIPHENYLP 3\plaque 2/@14 TESTO/F2_01.tif "/>
    <s v=" 50592.3235 "/>
    <s v=" 71.5002 "/>
    <x v="0"/>
    <n v="3617362"/>
    <m/>
    <m/>
  </r>
  <r>
    <x v="14"/>
    <x v="5"/>
    <s v="C:\Users\lmarliere\Desktop\2021-CHG-CBA-TRIPHENYLP 3\plaque 2/@14 TESTO/F2_02.tif "/>
    <s v=" 52301.0852 "/>
    <s v=" 71.8499 "/>
    <x v="0"/>
    <n v="3757826"/>
    <m/>
    <m/>
  </r>
  <r>
    <x v="14"/>
    <x v="5"/>
    <s v="C:\Users\lmarliere\Desktop\2021-CHG-CBA-TRIPHENYLP 3\plaque 2/@14 TESTO/F2_03.tif "/>
    <s v=" 54788.5231 "/>
    <s v=" 73.1026 "/>
    <x v="0"/>
    <n v="4005186"/>
    <m/>
    <m/>
  </r>
  <r>
    <x v="14"/>
    <x v="6"/>
    <s v="C:\Users\lmarliere\Desktop\2021-CHG-CBA-TRIPHENYLP 3\plaque 2/@14 TESTO/G2_01.tif "/>
    <s v=" 39431.2979 "/>
    <s v=" 70.898 "/>
    <x v="0"/>
    <n v="2795599"/>
    <m/>
    <m/>
  </r>
  <r>
    <x v="14"/>
    <x v="6"/>
    <s v="C:\Users\lmarliere\Desktop\2021-CHG-CBA-TRIPHENYLP 3\plaque 2/@14 TESTO/G2_02.tif "/>
    <s v=" 36057.0343 "/>
    <s v=" 70.4403 "/>
    <x v="0"/>
    <n v="2539869"/>
    <m/>
    <m/>
  </r>
  <r>
    <x v="14"/>
    <x v="6"/>
    <s v="C:\Users\lmarliere\Desktop\2021-CHG-CBA-TRIPHENYLP 3\plaque 2/@14 TESTO/G2_03.tif "/>
    <s v=" 40469.5329 "/>
    <s v=" 72.3431 "/>
    <x v="0"/>
    <n v="2927693"/>
    <m/>
    <m/>
  </r>
  <r>
    <x v="14"/>
    <x v="7"/>
    <s v="C:\Users\lmarliere\Desktop\2021-CHG-CBA-TRIPHENYLP 3\plaque 2/@14 TESTO/H2_01.tif "/>
    <s v=" 47369.4692 "/>
    <s v=" 71.5717 "/>
    <x v="0"/>
    <n v="3390313"/>
    <m/>
    <m/>
  </r>
  <r>
    <x v="14"/>
    <x v="7"/>
    <s v="C:\Users\lmarliere\Desktop\2021-CHG-CBA-TRIPHENYLP 3\plaque 2/@14 TESTO/H2_02.tif "/>
    <s v=" 56713.5837 "/>
    <s v=" 73.1167 "/>
    <x v="0"/>
    <n v="4146710"/>
    <m/>
    <m/>
  </r>
  <r>
    <x v="14"/>
    <x v="7"/>
    <s v="C:\Users\lmarliere\Desktop\2021-CHG-CBA-TRIPHENYLP 3\plaque 2/@14 TESTO/H2_03.tif "/>
    <s v=" 49359.4195 "/>
    <s v=" 73.2581 "/>
    <x v="0"/>
    <n v="3615978"/>
    <m/>
    <m/>
  </r>
  <r>
    <x v="1"/>
    <x v="8"/>
    <s v=" "/>
    <m/>
    <m/>
    <x v="1"/>
    <m/>
    <m/>
    <m/>
  </r>
  <r>
    <x v="1"/>
    <x v="8"/>
    <s v="group "/>
    <s v=" "/>
    <s v=" mean of mean fluo "/>
    <x v="2"/>
    <s v=" mean of total fluo "/>
    <s v=" SD total fluo "/>
    <s v=" n fluorescent "/>
  </r>
  <r>
    <x v="14"/>
    <x v="9"/>
    <s v="C:\Users\lmarliere\Desktop\2021-CHG-CBA-TRIPHENYLP 3\plaque 2/@14 TESTO/ "/>
    <s v=" "/>
    <s v=" 68.9513 "/>
    <x v="16"/>
    <s v=" 2269022.75 "/>
    <s v=" 1134063.0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C:\Users\lmarliere\Desktop\2021-CHG-CBA-TRIPHENYLP 3\plaque 2/@15 TESTO + EE2/A3_01.tif "/>
    <s v=" 68004.3887 "/>
    <s v=" 83.5735 "/>
    <x v="0"/>
    <n v="5683363"/>
    <m/>
    <m/>
  </r>
  <r>
    <x v="15"/>
    <x v="0"/>
    <s v="C:\Users\lmarliere\Desktop\2021-CHG-CBA-TRIPHENYLP 3\plaque 2/@15 TESTO + EE2/A3_02.tif "/>
    <s v=" 70037.5988 "/>
    <s v=" 83.3885 "/>
    <x v="0"/>
    <n v="5840331"/>
    <m/>
    <m/>
  </r>
  <r>
    <x v="15"/>
    <x v="0"/>
    <s v="C:\Users\lmarliere\Desktop\2021-CHG-CBA-TRIPHENYLP 3\plaque 2/@15 TESTO + EE2/A3_03.tif "/>
    <s v=" 67701.5702 "/>
    <s v=" 83.8313 "/>
    <x v="0"/>
    <n v="5675511"/>
    <m/>
    <m/>
  </r>
  <r>
    <x v="15"/>
    <x v="1"/>
    <s v="C:\Users\lmarliere\Desktop\2021-CHG-CBA-TRIPHENYLP 3\plaque 2/@15 TESTO + EE2/B3_01- exclu.tif"/>
    <m/>
    <m/>
    <x v="1"/>
    <m/>
    <m/>
    <m/>
  </r>
  <r>
    <x v="15"/>
    <x v="1"/>
    <s v="C:\Users\lmarliere\Desktop\2021-CHG-CBA-TRIPHENYLP 3\plaque 2/@15 TESTO + EE2/B3_02.tif "/>
    <s v=" 67333.862 "/>
    <s v=" 74.4494 "/>
    <x v="0"/>
    <n v="5012966"/>
    <m/>
    <m/>
  </r>
  <r>
    <x v="15"/>
    <x v="1"/>
    <s v="C:\Users\lmarliere\Desktop\2021-CHG-CBA-TRIPHENYLP 3\plaque 2/@15 TESTO + EE2/B3_03.tif "/>
    <s v=" 71421.9121 "/>
    <s v=" 75.798 "/>
    <x v="0"/>
    <n v="5413638"/>
    <m/>
    <m/>
  </r>
  <r>
    <x v="15"/>
    <x v="2"/>
    <s v="C:\Users\lmarliere\Desktop\2021-CHG-CBA-TRIPHENYLP 3\plaque 2/@15 TESTO + EE2/C3_01.tif "/>
    <s v=" 53382.5799 "/>
    <s v=" 79.6714 "/>
    <x v="0"/>
    <n v="4253065"/>
    <m/>
    <m/>
  </r>
  <r>
    <x v="15"/>
    <x v="2"/>
    <s v="C:\Users\lmarliere\Desktop\2021-CHG-CBA-TRIPHENYLP 3\plaque 2/@15 TESTO + EE2/C3_02.tif "/>
    <s v=" 55610.4591 "/>
    <s v=" 78.3629 "/>
    <x v="0"/>
    <n v="4357797"/>
    <m/>
    <m/>
  </r>
  <r>
    <x v="15"/>
    <x v="2"/>
    <s v="C:\Users\lmarliere\Desktop\2021-CHG-CBA-TRIPHENYLP 3\plaque 2/@15 TESTO + EE2/C3_03.tif "/>
    <s v=" 62575.2852 "/>
    <s v=" 78.2693 "/>
    <x v="0"/>
    <n v="4897722"/>
    <m/>
    <m/>
  </r>
  <r>
    <x v="15"/>
    <x v="3"/>
    <s v="C:\Users\lmarliere\Desktop\2021-CHG-CBA-TRIPHENYLP 3\plaque 2/@15 TESTO + EE2/D3_01.tif "/>
    <s v=" 55242.7509 "/>
    <s v=" 72.9456 "/>
    <x v="0"/>
    <n v="4029714"/>
    <m/>
    <m/>
  </r>
  <r>
    <x v="15"/>
    <x v="3"/>
    <s v="C:\Users\lmarliere\Desktop\2021-CHG-CBA-TRIPHENYLP 3\plaque 2/@15 TESTO + EE2/D3_02.tif "/>
    <s v=" 48667.2629 "/>
    <s v=" 71.3658 "/>
    <x v="0"/>
    <n v="3473177"/>
    <m/>
    <m/>
  </r>
  <r>
    <x v="15"/>
    <x v="3"/>
    <s v="C:\Users\lmarliere\Desktop\2021-CHG-CBA-TRIPHENYLP 3\plaque 2/@15 TESTO + EE2/D3_03.tif "/>
    <s v=" 47239.6899 "/>
    <s v=" 71.168 "/>
    <x v="0"/>
    <n v="3361956"/>
    <m/>
    <m/>
  </r>
  <r>
    <x v="15"/>
    <x v="4"/>
    <s v="C:\Users\lmarliere\Desktop\2021-CHG-CBA-TRIPHENYLP 3\plaque 2/@15 TESTO + EE2/E3_01.tif "/>
    <s v=" 59525.47 "/>
    <s v=" 79.9727 "/>
    <x v="0"/>
    <n v="4760415"/>
    <m/>
    <m/>
  </r>
  <r>
    <x v="15"/>
    <x v="4"/>
    <s v="C:\Users\lmarliere\Desktop\2021-CHG-CBA-TRIPHENYLP 3\plaque 2/@15 TESTO + EE2/E3_02.tif "/>
    <s v=" 63700.0397 "/>
    <s v=" 80.9983 "/>
    <x v="0"/>
    <n v="5159595"/>
    <m/>
    <m/>
  </r>
  <r>
    <x v="15"/>
    <x v="4"/>
    <s v="C:\Users\lmarliere\Desktop\2021-CHG-CBA-TRIPHENYLP 3\plaque 2/@15 TESTO + EE2/E3_03.tif "/>
    <s v=" 66144.2178 "/>
    <s v=" 81.8918 "/>
    <x v="0"/>
    <n v="5416666"/>
    <m/>
    <m/>
  </r>
  <r>
    <x v="15"/>
    <x v="5"/>
    <s v="C:\Users\lmarliere\Desktop\2021-CHG-CBA-TRIPHENYLP 3\plaque 2/@15 TESTO + EE2/F3_01.tif "/>
    <s v=" 51673.8183 "/>
    <s v=" 75.5245 "/>
    <x v="0"/>
    <n v="3902639"/>
    <m/>
    <m/>
  </r>
  <r>
    <x v="15"/>
    <x v="5"/>
    <s v="C:\Users\lmarliere\Desktop\2021-CHG-CBA-TRIPHENYLP 3\plaque 2/@15 TESTO + EE2/F3_02.tif "/>
    <s v=" 44752.252 "/>
    <s v=" 77.2803 "/>
    <x v="0"/>
    <n v="3458469"/>
    <m/>
    <m/>
  </r>
  <r>
    <x v="15"/>
    <x v="5"/>
    <s v="C:\Users\lmarliere\Desktop\2021-CHG-CBA-TRIPHENYLP 3\plaque 2/@15 TESTO + EE2/F3_03.tif "/>
    <s v=" 45098.3303 "/>
    <s v=" 77.282 "/>
    <x v="0"/>
    <n v="3485290"/>
    <m/>
    <m/>
  </r>
  <r>
    <x v="15"/>
    <x v="6"/>
    <s v="C:\Users\lmarliere\Desktop\2021-CHG-CBA-TRIPHENYLP 3\plaque 2/@15 TESTO + EE2/G3_01.tif "/>
    <s v=" 34110.3438 "/>
    <s v=" 68.4775 "/>
    <x v="0"/>
    <n v="2335791"/>
    <m/>
    <m/>
  </r>
  <r>
    <x v="15"/>
    <x v="6"/>
    <s v="C:\Users\lmarliere\Desktop\2021-CHG-CBA-TRIPHENYLP 3\plaque 2/@15 TESTO + EE2/G3_02.tif "/>
    <s v=" 33872.415 "/>
    <s v=" 70.1271 "/>
    <x v="0"/>
    <n v="2375373"/>
    <m/>
    <m/>
  </r>
  <r>
    <x v="15"/>
    <x v="6"/>
    <s v="C:\Users\lmarliere\Desktop\2021-CHG-CBA-TRIPHENYLP 3\plaque 2/@15 TESTO + EE2/G3_03.tif "/>
    <s v=" 30930.7493 "/>
    <s v=" 69.707 "/>
    <x v="0"/>
    <n v="2156090"/>
    <m/>
    <m/>
  </r>
  <r>
    <x v="15"/>
    <x v="7"/>
    <s v="C:\Users\lmarliere\Desktop\2021-CHG-CBA-TRIPHENYLP 3\plaque 2/@15 TESTO + EE2/H3_01.tif "/>
    <s v=" 62769.9542 "/>
    <s v=" 82.8622 "/>
    <x v="0"/>
    <n v="5201254"/>
    <m/>
    <m/>
  </r>
  <r>
    <x v="15"/>
    <x v="7"/>
    <s v="C:\Users\lmarliere\Desktop\2021-CHG-CBA-TRIPHENYLP 3\plaque 2/@15 TESTO + EE2/H3_02.tif "/>
    <s v=" 61082.8224 "/>
    <s v=" 83.5018 "/>
    <x v="0"/>
    <n v="5100524"/>
    <m/>
    <m/>
  </r>
  <r>
    <x v="15"/>
    <x v="7"/>
    <s v="C:\Users\lmarliere\Desktop\2021-CHG-CBA-TRIPHENYLP 3\plaque 2/@15 TESTO + EE2/H3_03.tif "/>
    <s v=" 61104.4523 "/>
    <s v=" 83.1908 "/>
    <x v="0"/>
    <n v="5083328"/>
    <m/>
    <m/>
  </r>
  <r>
    <x v="1"/>
    <x v="8"/>
    <s v=" "/>
    <m/>
    <m/>
    <x v="1"/>
    <m/>
    <m/>
    <m/>
  </r>
  <r>
    <x v="1"/>
    <x v="8"/>
    <s v="group "/>
    <s v=" "/>
    <s v=" mean of mean fluo "/>
    <x v="2"/>
    <s v=" mean of total fluo "/>
    <s v=" SD total fluo "/>
    <s v=" n fluorescent "/>
  </r>
  <r>
    <x v="15"/>
    <x v="9"/>
    <s v="C:\Users\lmarliere\Desktop\2021-CHG-CBA-TRIPHENYLP 3\plaque 2/@15 TESTO + EE2/ "/>
    <s v=" "/>
    <s v=" 77.4543 "/>
    <x v="17"/>
    <s v=" 4402925.5 "/>
    <s v=" 1113167.7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C:\Users\lmarliere\Desktop\2021-CHG-CBA-TRIPHENYLP 3\plaque 2/@16 TESTO + FAD/A4_01.tif "/>
    <s v=" 5147.9149 "/>
    <s v=" 67.0756 "/>
    <x v="0"/>
    <n v="345300"/>
    <m/>
    <m/>
  </r>
  <r>
    <x v="16"/>
    <x v="0"/>
    <s v="C:\Users\lmarliere\Desktop\2021-CHG-CBA-TRIPHENYLP 3\plaque 2/@16 TESTO + FAD/A4_02.tif "/>
    <s v=" 3763.6017 "/>
    <s v=" 65.2184 "/>
    <x v="0"/>
    <n v="245456"/>
    <m/>
    <m/>
  </r>
  <r>
    <x v="16"/>
    <x v="0"/>
    <s v="C:\Users\lmarliere\Desktop\2021-CHG-CBA-TRIPHENYLP 3\plaque 2/@16 TESTO + FAD/A4_03.tif "/>
    <s v=" 2465.808 "/>
    <s v=" 66.0965 "/>
    <x v="0"/>
    <n v="162981"/>
    <m/>
    <m/>
  </r>
  <r>
    <x v="16"/>
    <x v="1"/>
    <s v="C:\Users\lmarliere\Desktop\2021-CHG-CBA-TRIPHENYLP 3\plaque 2/@16 TESTO + FAD/B4_01.tif "/>
    <s v=" 1276.1638 "/>
    <s v=" 64.1864 "/>
    <x v="0"/>
    <n v="81912"/>
    <m/>
    <m/>
  </r>
  <r>
    <x v="16"/>
    <x v="1"/>
    <s v="C:\Users\lmarliere\Desktop\2021-CHG-CBA-TRIPHENYLP 3\plaque 2/@16 TESTO + FAD/B4_02.tif "/>
    <s v=" 4563.9078 "/>
    <s v=" 66.6493 "/>
    <x v="0"/>
    <n v="304181"/>
    <m/>
    <m/>
  </r>
  <r>
    <x v="16"/>
    <x v="1"/>
    <s v="C:\Users\lmarliere\Desktop\2021-CHG-CBA-TRIPHENYLP 3\plaque 2/@16 TESTO + FAD/B4_03.tif "/>
    <s v=" 1881.8008 "/>
    <s v=" 63.9655 "/>
    <x v="0"/>
    <n v="120370"/>
    <m/>
    <m/>
  </r>
  <r>
    <x v="16"/>
    <x v="2"/>
    <s v="C:\Users\lmarliere\Desktop\2021-CHG-CBA-TRIPHENYLP 3\plaque 2/@16 TESTO + FAD/C4_01.tif "/>
    <s v=" 3915.0109 "/>
    <s v=" 63.2818 "/>
    <x v="0"/>
    <n v="247749"/>
    <m/>
    <m/>
  </r>
  <r>
    <x v="16"/>
    <x v="2"/>
    <s v="C:\Users\lmarliere\Desktop\2021-CHG-CBA-TRIPHENYLP 3\plaque 2/@16 TESTO + FAD/C4_02.tif "/>
    <s v=" 1989.9503 "/>
    <s v=" 63.5326 "/>
    <x v="0"/>
    <n v="126427"/>
    <m/>
    <m/>
  </r>
  <r>
    <x v="16"/>
    <x v="2"/>
    <s v="C:\Users\lmarliere\Desktop\2021-CHG-CBA-TRIPHENYLP 3\plaque 2/@16 TESTO + FAD/C4_03.tif "/>
    <s v=" 6683.6374 "/>
    <s v=" 64.9838 "/>
    <x v="0"/>
    <n v="434328"/>
    <m/>
    <m/>
  </r>
  <r>
    <x v="16"/>
    <x v="3"/>
    <s v="C:\Users\lmarliere\Desktop\2021-CHG-CBA-TRIPHENYLP 3\plaque 2/@16 TESTO + FAD/D4_01.tif "/>
    <s v=" 8197.7301 "/>
    <s v=" 73.2744 "/>
    <x v="0"/>
    <n v="600684"/>
    <m/>
    <m/>
  </r>
  <r>
    <x v="16"/>
    <x v="3"/>
    <s v="C:\Users\lmarliere\Desktop\2021-CHG-CBA-TRIPHENYLP 3\plaque 2/@16 TESTO + FAD/D4_02.tif "/>
    <s v=" 10209.3103 "/>
    <s v=" 66.8983 "/>
    <x v="0"/>
    <n v="682986"/>
    <m/>
    <m/>
  </r>
  <r>
    <x v="16"/>
    <x v="3"/>
    <s v="C:\Users\lmarliere\Desktop\2021-CHG-CBA-TRIPHENYLP 3\plaque 2/@16 TESTO + FAD/D4_03.tif "/>
    <s v=" 4390.8686 "/>
    <s v=" 64.9901 "/>
    <x v="0"/>
    <n v="285363"/>
    <m/>
    <m/>
  </r>
  <r>
    <x v="16"/>
    <x v="4"/>
    <s v="C:\Users\lmarliere\Desktop\2021-CHG-CBA-TRIPHENYLP 3\plaque 2/@16 TESTO + FAD/E4_01.tif "/>
    <s v=" 3871.7511 "/>
    <s v=" 67.8101 "/>
    <x v="0"/>
    <n v="262544"/>
    <m/>
    <m/>
  </r>
  <r>
    <x v="16"/>
    <x v="4"/>
    <s v="C:\Users\lmarliere\Desktop\2021-CHG-CBA-TRIPHENYLP 3\plaque 2/@16 TESTO + FAD/E4_02.tif "/>
    <s v=" 1643.872 "/>
    <s v=" 64.8158 "/>
    <x v="0"/>
    <n v="106549"/>
    <m/>
    <m/>
  </r>
  <r>
    <x v="16"/>
    <x v="4"/>
    <s v="C:\Users\lmarliere\Desktop\2021-CHG-CBA-TRIPHENYLP 3\plaque 2/@16 TESTO + FAD/E4_03.tif "/>
    <s v=" 908.4556 "/>
    <s v=" 62.881 "/>
    <x v="0"/>
    <n v="57125"/>
    <m/>
    <m/>
  </r>
  <r>
    <x v="16"/>
    <x v="5"/>
    <s v="C:\Users\lmarliere\Desktop\2021-CHG-CBA-TRIPHENYLP 3\plaque 2/@16 TESTO + FAD/F4_01- exclu.tif"/>
    <m/>
    <m/>
    <x v="1"/>
    <m/>
    <m/>
    <m/>
  </r>
  <r>
    <x v="16"/>
    <x v="5"/>
    <s v="C:\Users\lmarliere\Desktop\2021-CHG-CBA-TRIPHENYLP 3\plaque 2/@16 TESTO + FAD/F4_02- exclu.tif"/>
    <m/>
    <m/>
    <x v="1"/>
    <m/>
    <m/>
    <m/>
  </r>
  <r>
    <x v="16"/>
    <x v="5"/>
    <s v="C:\Users\lmarliere\Desktop\2021-CHG-CBA-TRIPHENYLP 3\plaque 2/@16 TESTO + FAD/F4_03.tif "/>
    <s v=" 21543.3751 "/>
    <s v=" 72.2691 "/>
    <x v="0"/>
    <n v="1556920"/>
    <m/>
    <m/>
  </r>
  <r>
    <x v="16"/>
    <x v="6"/>
    <s v="C:\Users\lmarliere\Desktop\2021-CHG-CBA-TRIPHENYLP 3\plaque 2/@16 TESTO + FAD/G4_01.tif "/>
    <s v=" 4174.5697 "/>
    <s v=" 67.2642 "/>
    <x v="0"/>
    <n v="280799"/>
    <m/>
    <m/>
  </r>
  <r>
    <x v="16"/>
    <x v="6"/>
    <s v="C:\Users\lmarliere\Desktop\2021-CHG-CBA-TRIPHENYLP 3\plaque 2/@16 TESTO + FAD/G4_02.tif "/>
    <s v=" 4845.0964 "/>
    <s v=" 65.1161 "/>
    <x v="0"/>
    <n v="315494"/>
    <m/>
    <m/>
  </r>
  <r>
    <x v="16"/>
    <x v="6"/>
    <s v="C:\Users\lmarliere\Desktop\2021-CHG-CBA-TRIPHENYLP 3\plaque 2/@16 TESTO + FAD/G4_03.tif "/>
    <s v=" 4801.8366 "/>
    <s v=" 66.2342 "/>
    <x v="0"/>
    <n v="318046"/>
    <m/>
    <m/>
  </r>
  <r>
    <x v="16"/>
    <x v="7"/>
    <s v="C:\Users\lmarliere\Desktop\2021-CHG-CBA-TRIPHENYLP 3\plaque 2/@16 TESTO + FAD/H4_01.tif "/>
    <s v=" 9149.4454 "/>
    <s v=" 77.0851 "/>
    <x v="0"/>
    <n v="705286"/>
    <m/>
    <m/>
  </r>
  <r>
    <x v="16"/>
    <x v="7"/>
    <s v="C:\Users\lmarliere\Desktop\2021-CHG-CBA-TRIPHENYLP 3\plaque 2/@16 TESTO + FAD/H4_02.tif "/>
    <s v=" 7483.9435 "/>
    <s v=" 77.7948 "/>
    <x v="0"/>
    <n v="582212"/>
    <m/>
    <m/>
  </r>
  <r>
    <x v="16"/>
    <x v="7"/>
    <s v="C:\Users\lmarliere\Desktop\2021-CHG-CBA-TRIPHENYLP 3\plaque 2/@16 TESTO + FAD/H4_03.tif "/>
    <s v=" 7548.8332 "/>
    <s v=" 74.5587 "/>
    <x v="0"/>
    <n v="562831"/>
    <m/>
    <m/>
  </r>
  <r>
    <x v="1"/>
    <x v="8"/>
    <s v=" "/>
    <m/>
    <m/>
    <x v="1"/>
    <m/>
    <m/>
    <m/>
  </r>
  <r>
    <x v="1"/>
    <x v="8"/>
    <s v="group "/>
    <s v=" "/>
    <s v=" mean of mean fluo "/>
    <x v="2"/>
    <s v=" mean of total fluo "/>
    <s v=" SD total fluo "/>
    <s v=" n fluorescent "/>
  </r>
  <r>
    <x v="16"/>
    <x v="9"/>
    <s v="C:\Users\lmarliere\Desktop\2021-CHG-CBA-TRIPHENYLP 3\plaque 2/@16 TESTO + FAD/ "/>
    <s v=" "/>
    <s v=" 68.025 "/>
    <x v="18"/>
    <s v=" 462343.5 "/>
    <s v=" 562570.02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C:\Users\lmarliere\Desktop\2021-CHG-CBA-TRIPHENYLP 3\plaque 2/@17 TRIPHENYLP 0.18 + TESTO/A5_01.tif "/>
    <s v=" 40793.9813 "/>
    <s v=" 71.0514 "/>
    <x v="0"/>
    <n v="2898471"/>
    <m/>
    <m/>
  </r>
  <r>
    <x v="17"/>
    <x v="0"/>
    <s v="C:\Users\lmarliere\Desktop\2021-CHG-CBA-TRIPHENYLP 3\plaque 2/@17 TRIPHENYLP 0.18 + TESTO/A5_02.tif "/>
    <s v=" 44946.921 "/>
    <s v=" 70.6935 "/>
    <x v="0"/>
    <n v="3177453"/>
    <m/>
    <m/>
  </r>
  <r>
    <x v="17"/>
    <x v="0"/>
    <s v="C:\Users\lmarliere\Desktop\2021-CHG-CBA-TRIPHENYLP 3\plaque 2/@17 TRIPHENYLP 0.18 + TESTO/A5_03.tif "/>
    <s v=" 34002.1944 "/>
    <s v=" 68.9307 "/>
    <x v="0"/>
    <n v="2343794"/>
    <m/>
    <m/>
  </r>
  <r>
    <x v="17"/>
    <x v="1"/>
    <s v="C:\Users\lmarliere\Desktop\2021-CHG-CBA-TRIPHENYLP 3\plaque 2/@17 TRIPHENYLP 0.18 + TESTO/B5_01.tif "/>
    <s v=" 51998.2667 "/>
    <s v=" 74.2159 "/>
    <x v="0"/>
    <n v="3859098"/>
    <m/>
    <m/>
  </r>
  <r>
    <x v="17"/>
    <x v="1"/>
    <s v="C:\Users\lmarliere\Desktop\2021-CHG-CBA-TRIPHENYLP 3\plaque 2/@17 TRIPHENYLP 0.18 + TESTO/B5_02.tif "/>
    <s v=" 53079.7614 "/>
    <s v=" 73.8965 "/>
    <x v="0"/>
    <n v="3922408"/>
    <m/>
    <m/>
  </r>
  <r>
    <x v="17"/>
    <x v="1"/>
    <s v="C:\Users\lmarliere\Desktop\2021-CHG-CBA-TRIPHENYLP 3\plaque 2/@17 TRIPHENYLP 0.18 + TESTO/B5_03.tif "/>
    <s v=" 54485.7046 "/>
    <s v=" 73.846 "/>
    <x v="0"/>
    <n v="4023550"/>
    <m/>
    <m/>
  </r>
  <r>
    <x v="17"/>
    <x v="2"/>
    <s v="C:\Users\lmarliere\Desktop\2021-CHG-CBA-TRIPHENYLP 3\plaque 2/@17 TRIPHENYLP 0.18 + TESTO/C5_01.tif "/>
    <s v=" 31190.3081 "/>
    <s v=" 74.8239 "/>
    <x v="0"/>
    <n v="2333779"/>
    <m/>
    <m/>
  </r>
  <r>
    <x v="17"/>
    <x v="2"/>
    <s v="C:\Users\lmarliere\Desktop\2021-CHG-CBA-TRIPHENYLP 3\plaque 2/@17 TRIPHENYLP 0.18 + TESTO/C5_02.tif "/>
    <s v=" 24766.2294 "/>
    <s v=" 78.5004 "/>
    <x v="0"/>
    <n v="1944160"/>
    <m/>
    <m/>
  </r>
  <r>
    <x v="17"/>
    <x v="2"/>
    <s v="C:\Users\lmarliere\Desktop\2021-CHG-CBA-TRIPHENYLP 3\plaque 2/@17 TRIPHENYLP 0.18 + TESTO/C5_03.tif "/>
    <s v=" 26237.0622 "/>
    <s v=" 76.7741 "/>
    <x v="0"/>
    <n v="2014327"/>
    <m/>
    <m/>
  </r>
  <r>
    <x v="17"/>
    <x v="3"/>
    <s v="C:\Users\lmarliere\Desktop\2021-CHG-CBA-TRIPHENYLP 3\plaque 2/@17 TRIPHENYLP 0.18 + TESTO/D5_01.tif "/>
    <s v=" 54831.7829 "/>
    <s v=" 76.0671 "/>
    <x v="0"/>
    <n v="4170893"/>
    <m/>
    <m/>
  </r>
  <r>
    <x v="17"/>
    <x v="3"/>
    <s v="C:\Users\lmarliere\Desktop\2021-CHG-CBA-TRIPHENYLP 3\plaque 2/@17 TRIPHENYLP 0.18 + TESTO/D5_02.tif "/>
    <s v=" 49316.1598 "/>
    <s v=" 74.3355 "/>
    <x v="0"/>
    <n v="3665943"/>
    <m/>
    <m/>
  </r>
  <r>
    <x v="17"/>
    <x v="3"/>
    <s v="C:\Users\lmarliere\Desktop\2021-CHG-CBA-TRIPHENYLP 3\plaque 2/@17 TRIPHENYLP 0.18 + TESTO/D5_03- exclu.tif"/>
    <m/>
    <m/>
    <x v="1"/>
    <m/>
    <m/>
    <m/>
  </r>
  <r>
    <x v="17"/>
    <x v="4"/>
    <s v="C:\Users\lmarliere\Desktop\2021-CHG-CBA-TRIPHENYLP 3\plaque 2/@17 TRIPHENYLP 0.18 + TESTO/E5_01.tif "/>
    <s v=" 49770.3875 "/>
    <s v=" 80.063 "/>
    <x v="0"/>
    <n v="3984767"/>
    <m/>
    <m/>
  </r>
  <r>
    <x v="17"/>
    <x v="4"/>
    <s v="C:\Users\lmarliere\Desktop\2021-CHG-CBA-TRIPHENYLP 3\plaque 2/@17 TRIPHENYLP 0.18 + TESTO/E5_02.tif "/>
    <s v=" 51825.2275 "/>
    <s v=" 78.9992 "/>
    <x v="0"/>
    <n v="4094150"/>
    <m/>
    <m/>
  </r>
  <r>
    <x v="17"/>
    <x v="4"/>
    <s v="C:\Users\lmarliere\Desktop\2021-CHG-CBA-TRIPHENYLP 3\plaque 2/@17 TRIPHENYLP 0.18 + TESTO/E5_03.tif "/>
    <s v=" 50094.836 "/>
    <s v=" 79.9516 "/>
    <x v="0"/>
    <n v="4005164"/>
    <m/>
    <m/>
  </r>
  <r>
    <x v="17"/>
    <x v="5"/>
    <s v="C:\Users\lmarliere\Desktop\2021-CHG-CBA-TRIPHENYLP 3\plaque 2/@17 TRIPHENYLP 0.18 + TESTO/F5_01.tif "/>
    <s v=" 85849.0518 "/>
    <s v=" 81.8871 "/>
    <x v="0"/>
    <n v="7029932"/>
    <m/>
    <m/>
  </r>
  <r>
    <x v="17"/>
    <x v="5"/>
    <s v="C:\Users\lmarliere\Desktop\2021-CHG-CBA-TRIPHENYLP 3\plaque 2/@17 TRIPHENYLP 0.18 + TESTO/F5_02.tif "/>
    <s v=" 70773.0152 "/>
    <s v=" 81.9887 "/>
    <x v="0"/>
    <n v="5802587"/>
    <m/>
    <m/>
  </r>
  <r>
    <x v="17"/>
    <x v="5"/>
    <s v="C:\Users\lmarliere\Desktop\2021-CHG-CBA-TRIPHENYLP 3\plaque 2/@17 TRIPHENYLP 0.18 + TESTO/F5_03.tif "/>
    <s v=" 69064.2535 "/>
    <s v=" 83.1463 "/>
    <x v="0"/>
    <n v="5742434"/>
    <m/>
    <m/>
  </r>
  <r>
    <x v="17"/>
    <x v="6"/>
    <s v="C:\Users\lmarliere\Desktop\2021-CHG-CBA-TRIPHENYLP 3\plaque 2/@17 TRIPHENYLP 0.18 + TESTO/G5_01.tif "/>
    <s v=" 42697.412 "/>
    <s v=" 72.8126 "/>
    <x v="0"/>
    <n v="3108908"/>
    <m/>
    <m/>
  </r>
  <r>
    <x v="17"/>
    <x v="6"/>
    <s v="C:\Users\lmarliere\Desktop\2021-CHG-CBA-TRIPHENYLP 3\plaque 2/@17 TRIPHENYLP 0.18 + TESTO/G5_02.tif "/>
    <s v=" 46244.7147 "/>
    <s v=" 72.051 "/>
    <x v="0"/>
    <n v="3331977"/>
    <m/>
    <m/>
  </r>
  <r>
    <x v="17"/>
    <x v="6"/>
    <s v="C:\Users\lmarliere\Desktop\2021-CHG-CBA-TRIPHENYLP 3\plaque 2/@17 TRIPHENYLP 0.18 + TESTO/G5_03.tif "/>
    <s v=" 47412.729 "/>
    <s v=" 71.7313 "/>
    <x v="0"/>
    <n v="3400976"/>
    <m/>
    <m/>
  </r>
  <r>
    <x v="17"/>
    <x v="7"/>
    <s v="C:\Users\lmarliere\Desktop\2021-CHG-CBA-TRIPHENYLP 3\plaque 2/@17 TRIPHENYLP 0.18 + TESTO/H5_01.tif "/>
    <s v=" 38111.8743 "/>
    <s v=" 75.9262 "/>
    <x v="0"/>
    <n v="2893691"/>
    <m/>
    <m/>
  </r>
  <r>
    <x v="17"/>
    <x v="7"/>
    <s v="C:\Users\lmarliere\Desktop\2021-CHG-CBA-TRIPHENYLP 3\plaque 2/@17 TRIPHENYLP 0.18 + TESTO/H5_02.tif "/>
    <s v=" 38003.7249 "/>
    <s v=" 74.1662 "/>
    <x v="0"/>
    <n v="2818592"/>
    <m/>
    <m/>
  </r>
  <r>
    <x v="17"/>
    <x v="7"/>
    <s v="C:\Users\lmarliere\Desktop\2021-CHG-CBA-TRIPHENYLP 3\plaque 2/@17 TRIPHENYLP 0.18 + TESTO/H5_03.tif "/>
    <s v=" 37809.0558 "/>
    <s v=" 71.8312 "/>
    <x v="0"/>
    <n v="2715871"/>
    <m/>
    <m/>
  </r>
  <r>
    <x v="1"/>
    <x v="8"/>
    <s v=" "/>
    <m/>
    <m/>
    <x v="1"/>
    <m/>
    <m/>
    <m/>
  </r>
  <r>
    <x v="1"/>
    <x v="8"/>
    <s v="group "/>
    <s v=" "/>
    <s v=" mean of mean fluo "/>
    <x v="2"/>
    <s v=" mean of total fluo "/>
    <s v=" SD total fluo "/>
    <s v=" n fluorescent "/>
  </r>
  <r>
    <x v="17"/>
    <x v="9"/>
    <s v="C:\Users\lmarliere\Desktop\2021-CHG-CBA-TRIPHENYLP 3\plaque 2/@17 TRIPHENYLP 0.18 + TESTO/ "/>
    <s v=" "/>
    <s v=" 75.3919 "/>
    <x v="19"/>
    <s v=" 3605141.08 "/>
    <s v=" 1214470.8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C:\Users\lmarliere\Desktop\2021-CHG-CBA-TRIPHENYLP 3\plaque 2/@18  TRIPHENYLP 0.26 + TESTO/A6_01.tif "/>
    <s v=" 63159.2923 "/>
    <s v=" 87.7849 "/>
    <x v="0"/>
    <n v="5544434"/>
    <m/>
    <m/>
  </r>
  <r>
    <x v="18"/>
    <x v="0"/>
    <s v="C:\Users\lmarliere\Desktop\2021-CHG-CBA-TRIPHENYLP 3\plaque 2/@18  TRIPHENYLP 0.26 + TESTO/A6_02.tif "/>
    <s v=" 67636.6805 "/>
    <s v=" 83.2798 "/>
    <x v="0"/>
    <n v="5632771"/>
    <m/>
    <m/>
  </r>
  <r>
    <x v="18"/>
    <x v="0"/>
    <s v="C:\Users\lmarliere\Desktop\2021-CHG-CBA-TRIPHENYLP 3\plaque 2/@18  TRIPHENYLP 0.26 + TESTO/A6_03.tif "/>
    <s v=" 59936.438 "/>
    <s v=" 83.9484 "/>
    <x v="0"/>
    <n v="5031568"/>
    <m/>
    <m/>
  </r>
  <r>
    <x v="18"/>
    <x v="1"/>
    <s v="C:\Users\lmarliere\Desktop\2021-CHG-CBA-TRIPHENYLP 3\plaque 2/@18  TRIPHENYLP 0.26 + TESTO/B6_01.tif "/>
    <s v=" 61580.31 "/>
    <s v=" 84.5922 "/>
    <x v="0"/>
    <n v="5209214"/>
    <m/>
    <m/>
  </r>
  <r>
    <x v="18"/>
    <x v="1"/>
    <s v="C:\Users\lmarliere\Desktop\2021-CHG-CBA-TRIPHENYLP 3\plaque 2/@18  TRIPHENYLP 0.26 + TESTO/B6_02.tif "/>
    <s v=" 68653.2856 "/>
    <s v=" 83.3028 "/>
    <x v="0"/>
    <n v="5719009"/>
    <m/>
    <m/>
  </r>
  <r>
    <x v="18"/>
    <x v="1"/>
    <s v="C:\Users\lmarliere\Desktop\2021-CHG-CBA-TRIPHENYLP 3\plaque 2/@18  TRIPHENYLP 0.26 + TESTO/B6_03.tif "/>
    <s v=" 66230.7374 "/>
    <s v=" 83.7822 "/>
    <x v="0"/>
    <n v="5548955"/>
    <m/>
    <m/>
  </r>
  <r>
    <x v="18"/>
    <x v="2"/>
    <s v="C:\Users\lmarliere\Desktop\2021-CHG-CBA-TRIPHENYLP 3\plaque 2/@18  TRIPHENYLP 0.26 + TESTO/C6_01.tif "/>
    <s v=" 72503.4068 "/>
    <s v=" 76.6551 "/>
    <x v="0"/>
    <n v="5557758"/>
    <m/>
    <m/>
  </r>
  <r>
    <x v="18"/>
    <x v="2"/>
    <s v="C:\Users\lmarliere\Desktop\2021-CHG-CBA-TRIPHENYLP 3\plaque 2/@18  TRIPHENYLP 0.26 + TESTO/C6_02.tif "/>
    <s v=" 78256.9588 "/>
    <s v=" 75.7747 "/>
    <x v="0"/>
    <n v="5929901"/>
    <m/>
    <m/>
  </r>
  <r>
    <x v="18"/>
    <x v="2"/>
    <s v="C:\Users\lmarliere\Desktop\2021-CHG-CBA-TRIPHENYLP 3\plaque 2/@18  TRIPHENYLP 0.26 + TESTO/C6_03.tif "/>
    <s v=" 78819.336 "/>
    <s v=" 75.1273 "/>
    <x v="0"/>
    <n v="5921486"/>
    <m/>
    <m/>
  </r>
  <r>
    <x v="18"/>
    <x v="3"/>
    <s v="C:\Users\lmarliere\Desktop\2021-CHG-CBA-TRIPHENYLP 3\plaque 2/@18  TRIPHENYLP 0.26 + TESTO/D6_01.tif "/>
    <s v=" 63743.2995 "/>
    <s v=" 72.3967 "/>
    <x v="0"/>
    <n v="4614803"/>
    <m/>
    <m/>
  </r>
  <r>
    <x v="18"/>
    <x v="3"/>
    <s v="C:\Users\lmarliere\Desktop\2021-CHG-CBA-TRIPHENYLP 3\plaque 2/@18  TRIPHENYLP 0.26 + TESTO/D6_02.tif "/>
    <s v=" 56151.2065 "/>
    <s v=" 73.6283 "/>
    <x v="0"/>
    <n v="4134316"/>
    <m/>
    <m/>
  </r>
  <r>
    <x v="18"/>
    <x v="3"/>
    <s v="C:\Users\lmarliere\Desktop\2021-CHG-CBA-TRIPHENYLP 3\plaque 2/@18  TRIPHENYLP 0.26 + TESTO/D6_03.tif "/>
    <s v=" 62553.6553 "/>
    <s v=" 74.3752 "/>
    <x v="0"/>
    <n v="4652439"/>
    <m/>
    <m/>
  </r>
  <r>
    <x v="18"/>
    <x v="4"/>
    <s v="C:\Users\lmarliere\Desktop\2021-CHG-CBA-TRIPHENYLP 3\plaque 2/@18  TRIPHENYLP 0.26 + TESTO/E6_01.tif "/>
    <s v=" 77889.2506 "/>
    <s v=" 78.732 "/>
    <x v="0"/>
    <n v="6132378"/>
    <m/>
    <m/>
  </r>
  <r>
    <x v="18"/>
    <x v="4"/>
    <s v="C:\Users\lmarliere\Desktop\2021-CHG-CBA-TRIPHENYLP 3\plaque 2/@18  TRIPHENYLP 0.26 + TESTO/E6_02.tif "/>
    <s v=" 77975.7701 "/>
    <s v=" 80.2832 "/>
    <x v="0"/>
    <n v="6260146"/>
    <m/>
    <m/>
  </r>
  <r>
    <x v="18"/>
    <x v="4"/>
    <s v="C:\Users\lmarliere\Desktop\2021-CHG-CBA-TRIPHENYLP 3\plaque 2/@18  TRIPHENYLP 0.26 + TESTO/E6_03.tif "/>
    <s v=" 75077.3643 "/>
    <s v=" 79.1455 "/>
    <x v="0"/>
    <n v="5942035"/>
    <m/>
    <m/>
  </r>
  <r>
    <x v="18"/>
    <x v="5"/>
    <s v="C:\Users\lmarliere\Desktop\2021-CHG-CBA-TRIPHENYLP 3\plaque 2/@18  TRIPHENYLP 0.26 + TESTO/F6_01.tif "/>
    <s v=" 62618.545 "/>
    <s v=" 78.3655 "/>
    <x v="0"/>
    <n v="4907131"/>
    <m/>
    <m/>
  </r>
  <r>
    <x v="18"/>
    <x v="5"/>
    <s v="C:\Users\lmarliere\Desktop\2021-CHG-CBA-TRIPHENYLP 3\plaque 2/@18  TRIPHENYLP 0.26 + TESTO/F6_02- exclu.tif"/>
    <m/>
    <m/>
    <x v="1"/>
    <m/>
    <m/>
    <m/>
  </r>
  <r>
    <x v="18"/>
    <x v="5"/>
    <s v="C:\Users\lmarliere\Desktop\2021-CHG-CBA-TRIPHENYLP 3\plaque 2/@18  TRIPHENYLP 0.26 + TESTO/F6_03.tif "/>
    <s v=" 62640.1748 "/>
    <s v=" 75.7497 "/>
    <x v="0"/>
    <n v="4744972"/>
    <m/>
    <m/>
  </r>
  <r>
    <x v="18"/>
    <x v="6"/>
    <s v="C:\Users\lmarliere\Desktop\2021-CHG-CBA-TRIPHENYLP 3\plaque 2/@18  TRIPHENYLP 0.26 + TESTO/G6_01.tif "/>
    <s v=" 42048.5152 "/>
    <s v=" 82.7989 "/>
    <x v="0"/>
    <n v="3481569"/>
    <m/>
    <m/>
  </r>
  <r>
    <x v="18"/>
    <x v="6"/>
    <s v="C:\Users\lmarliere\Desktop\2021-CHG-CBA-TRIPHENYLP 3\plaque 2/@18  TRIPHENYLP 0.26 + TESTO/G6_02.tif "/>
    <s v=" 41551.0276 "/>
    <s v=" 84.2207 "/>
    <x v="0"/>
    <n v="3499457"/>
    <m/>
    <m/>
  </r>
  <r>
    <x v="18"/>
    <x v="6"/>
    <s v="C:\Users\lmarliere\Desktop\2021-CHG-CBA-TRIPHENYLP 3\plaque 2/@18  TRIPHENYLP 0.26 + TESTO/G6_03.tif "/>
    <s v=" 40166.7143 "/>
    <s v=" 81.1847 "/>
    <x v="0"/>
    <n v="3260923"/>
    <m/>
    <m/>
  </r>
  <r>
    <x v="18"/>
    <x v="7"/>
    <s v="C:\Users\lmarliere\Desktop\2021-CHG-CBA-TRIPHENYLP 3\plaque 2/@18  TRIPHENYLP 0.26 + TESTO/H6_01.tif "/>
    <s v=" 63894.7087 "/>
    <s v=" 82.9326 "/>
    <x v="0"/>
    <n v="5298956"/>
    <m/>
    <m/>
  </r>
  <r>
    <x v="18"/>
    <x v="7"/>
    <s v="C:\Users\lmarliere\Desktop\2021-CHG-CBA-TRIPHENYLP 3\plaque 2/@18  TRIPHENYLP 0.26 + TESTO/H6_02.tif "/>
    <s v=" 64284.0468 "/>
    <s v=" 84.0599 "/>
    <x v="0"/>
    <n v="5403710"/>
    <m/>
    <m/>
  </r>
  <r>
    <x v="18"/>
    <x v="7"/>
    <s v="C:\Users\lmarliere\Desktop\2021-CHG-CBA-TRIPHENYLP 3\plaque 2/@18  TRIPHENYLP 0.26 + TESTO/H6_03.tif "/>
    <s v=" 58379.0856 "/>
    <s v=" 80.1534 "/>
    <x v="0"/>
    <n v="4679282"/>
    <m/>
    <m/>
  </r>
  <r>
    <x v="1"/>
    <x v="8"/>
    <s v=" "/>
    <m/>
    <m/>
    <x v="1"/>
    <m/>
    <m/>
    <m/>
  </r>
  <r>
    <x v="1"/>
    <x v="8"/>
    <s v="group "/>
    <s v=" "/>
    <s v=" mean of mean fluo "/>
    <x v="2"/>
    <s v=" mean of total fluo "/>
    <s v=" SD total fluo "/>
    <s v=" n fluorescent "/>
  </r>
  <r>
    <x v="18"/>
    <x v="9"/>
    <s v="C:\Users\lmarliere\Desktop\2021-CHG-CBA-TRIPHENYLP 3\plaque 2/@18  TRIPHENYLP 0.26 + TESTO/ "/>
    <s v=" "/>
    <s v=" 79.798 "/>
    <x v="20"/>
    <s v=" 5049058.21 "/>
    <s v=" 864227.13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C:\Users\lmarliere\Desktop\2021-CHG-CBA-TRIPHENYLP 3\plaque 2/@19  TRIPHENYLP 0.4 + TESTO/A7_01.tif "/>
    <s v=" 84118.6602 "/>
    <s v=" 79.4276 "/>
    <x v="0"/>
    <n v="6681345"/>
    <m/>
    <m/>
  </r>
  <r>
    <x v="19"/>
    <x v="0"/>
    <s v="C:\Users\lmarliere\Desktop\2021-CHG-CBA-TRIPHENYLP 3\plaque 2/@19  TRIPHENYLP 0.4 + TESTO/A7_02.tif "/>
    <s v=" 81025.5853 "/>
    <s v=" 81.1807 "/>
    <x v="0"/>
    <n v="6577716"/>
    <m/>
    <m/>
  </r>
  <r>
    <x v="19"/>
    <x v="0"/>
    <s v="C:\Users\lmarliere\Desktop\2021-CHG-CBA-TRIPHENYLP 3\plaque 2/@19  TRIPHENYLP 0.4 + TESTO/A7_03.tif "/>
    <s v=" 86303.2796 "/>
    <s v=" 79.3619 "/>
    <x v="0"/>
    <n v="6849193"/>
    <m/>
    <m/>
  </r>
  <r>
    <x v="19"/>
    <x v="1"/>
    <s v="C:\Users\lmarliere\Desktop\2021-CHG-CBA-TRIPHENYLP 3\plaque 2/@19  TRIPHENYLP 0.4 + TESTO/B7_01.tif "/>
    <s v=" 86238.3899 "/>
    <s v=" 84.4949 "/>
    <x v="0"/>
    <n v="7286701"/>
    <m/>
    <m/>
  </r>
  <r>
    <x v="19"/>
    <x v="1"/>
    <s v="C:\Users\lmarliere\Desktop\2021-CHG-CBA-TRIPHENYLP 3\plaque 2/@19  TRIPHENYLP 0.4 + TESTO/B7_02.tif "/>
    <s v=" 88747.4577 "/>
    <s v=" 85.1102 "/>
    <x v="0"/>
    <n v="7553311"/>
    <m/>
    <m/>
  </r>
  <r>
    <x v="19"/>
    <x v="1"/>
    <s v="C:\Users\lmarliere\Desktop\2021-CHG-CBA-TRIPHENYLP 3\plaque 2/@19  TRIPHENYLP 0.4 + TESTO/B7_03.tif "/>
    <s v=" 86822.397 "/>
    <s v=" 85.565 "/>
    <x v="0"/>
    <n v="7428960"/>
    <m/>
    <m/>
  </r>
  <r>
    <x v="19"/>
    <x v="2"/>
    <s v="C:\Users\lmarliere\Desktop\2021-CHG-CBA-TRIPHENYLP 3\plaque 2/@19  TRIPHENYLP 0.4 + TESTO/C7_01.tif "/>
    <s v=" 74233.7984 "/>
    <s v=" 80.6742 "/>
    <x v="0"/>
    <n v="5988755"/>
    <m/>
    <m/>
  </r>
  <r>
    <x v="19"/>
    <x v="2"/>
    <s v="C:\Users\lmarliere\Desktop\2021-CHG-CBA-TRIPHENYLP 3\plaque 2/@19  TRIPHENYLP 0.4 + TESTO/C7_02.tif "/>
    <s v=" 65819.7694 "/>
    <s v=" 80.326 "/>
    <x v="0"/>
    <n v="5287038"/>
    <m/>
    <m/>
  </r>
  <r>
    <x v="19"/>
    <x v="2"/>
    <s v="C:\Users\lmarliere\Desktop\2021-CHG-CBA-TRIPHENYLP 3\plaque 2/@19  TRIPHENYLP 0.4 + TESTO/C7_03.tif "/>
    <s v=" 65971.1786 "/>
    <s v=" 80.5259 "/>
    <x v="0"/>
    <n v="5312389"/>
    <m/>
    <m/>
  </r>
  <r>
    <x v="19"/>
    <x v="3"/>
    <s v="C:\Users\lmarliere\Desktop\2021-CHG-CBA-TRIPHENYLP 3\plaque 2/@19  TRIPHENYLP 0.4 + TESTO/D7_01.tif "/>
    <s v=" 39842.2659 "/>
    <s v=" 84.7188 "/>
    <x v="0"/>
    <n v="3375388"/>
    <m/>
    <m/>
  </r>
  <r>
    <x v="19"/>
    <x v="3"/>
    <s v="C:\Users\lmarliere\Desktop\2021-CHG-CBA-TRIPHENYLP 3\plaque 2/@19  TRIPHENYLP 0.4 + TESTO/D7_02.tif "/>
    <s v=" 47845.3269 "/>
    <s v=" 81.1591 "/>
    <x v="0"/>
    <n v="3883085"/>
    <m/>
    <m/>
  </r>
  <r>
    <x v="19"/>
    <x v="3"/>
    <s v="C:\Users\lmarliere\Desktop\2021-CHG-CBA-TRIPHENYLP 3\plaque 2/@19  TRIPHENYLP 0.4 + TESTO/D7_03.tif "/>
    <s v=" 44990.1808 "/>
    <s v=" 80.7053 "/>
    <x v="0"/>
    <n v="3630946"/>
    <m/>
    <m/>
  </r>
  <r>
    <x v="19"/>
    <x v="4"/>
    <s v="C:\Users\lmarliere\Desktop\2021-CHG-CBA-TRIPHENYLP 3\plaque 2/@19  TRIPHENYLP 0.4 + TESTO/E7_01.tif "/>
    <s v=" 63483.7407 "/>
    <s v=" 79.7223 "/>
    <x v="0"/>
    <n v="5061071"/>
    <m/>
    <m/>
  </r>
  <r>
    <x v="19"/>
    <x v="4"/>
    <s v="C:\Users\lmarliere\Desktop\2021-CHG-CBA-TRIPHENYLP 3\plaque 2/@19  TRIPHENYLP 0.4 + TESTO/E7_02.tif "/>
    <s v=" 66771.4847 "/>
    <s v=" 79.3576 "/>
    <x v="0"/>
    <n v="5298827"/>
    <m/>
    <m/>
  </r>
  <r>
    <x v="19"/>
    <x v="4"/>
    <s v="C:\Users\lmarliere\Desktop\2021-CHG-CBA-TRIPHENYLP 3\plaque 2/@19  TRIPHENYLP 0.4 + TESTO/E7_03.tif "/>
    <s v=" 64370.5664 "/>
    <s v=" 81.2379 "/>
    <x v="0"/>
    <n v="5229330"/>
    <m/>
    <m/>
  </r>
  <r>
    <x v="19"/>
    <x v="5"/>
    <s v="C:\Users\lmarliere\Desktop\2021-CHG-CBA-TRIPHENYLP 3\plaque 2/@19  TRIPHENYLP 0.4 + TESTO/F7_01.tif "/>
    <s v=" 58530.4949 "/>
    <s v=" 73.6168 "/>
    <x v="0"/>
    <n v="4308826"/>
    <m/>
    <m/>
  </r>
  <r>
    <x v="19"/>
    <x v="5"/>
    <s v="C:\Users\lmarliere\Desktop\2021-CHG-CBA-TRIPHENYLP 3\plaque 2/@19  TRIPHENYLP 0.4 + TESTO/F7_02.tif "/>
    <s v=" 67398.7517 "/>
    <s v=" 74.9843 "/>
    <x v="0"/>
    <n v="5053847"/>
    <m/>
    <m/>
  </r>
  <r>
    <x v="19"/>
    <x v="5"/>
    <s v="C:\Users\lmarliere\Desktop\2021-CHG-CBA-TRIPHENYLP 3\plaque 2/@19  TRIPHENYLP 0.4 + TESTO/F7_03.tif "/>
    <s v=" 60780.0039 "/>
    <s v=" 73.9231 "/>
    <x v="0"/>
    <n v="4493048"/>
    <m/>
    <m/>
  </r>
  <r>
    <x v="19"/>
    <x v="6"/>
    <s v="C:\Users\lmarliere\Desktop\2021-CHG-CBA-TRIPHENYLP 3\plaque 2/@19  TRIPHENYLP 0.4 + TESTO/G7_01.tif "/>
    <s v=" 65127.6127 "/>
    <s v=" 77.1388 "/>
    <x v="0"/>
    <n v="5023867"/>
    <m/>
    <m/>
  </r>
  <r>
    <x v="19"/>
    <x v="6"/>
    <s v="C:\Users\lmarliere\Desktop\2021-CHG-CBA-TRIPHENYLP 3\plaque 2/@19  TRIPHENYLP 0.4 + TESTO/G7_02.tif "/>
    <s v=" 62986.2532 "/>
    <s v=" 78.0862 "/>
    <x v="0"/>
    <n v="4918357"/>
    <m/>
    <m/>
  </r>
  <r>
    <x v="19"/>
    <x v="6"/>
    <s v="C:\Users\lmarliere\Desktop\2021-CHG-CBA-TRIPHENYLP 3\plaque 2/@19  TRIPHENYLP 0.4 + TESTO/G7_03.tif "/>
    <s v=" 60888.1534 "/>
    <s v=" 77.4803 "/>
    <x v="0"/>
    <n v="4717631"/>
    <m/>
    <m/>
  </r>
  <r>
    <x v="19"/>
    <x v="7"/>
    <s v="C:\Users\lmarliere\Desktop\2021-CHG-CBA-TRIPHENYLP 3\plaque 2/@19  TRIPHENYLP 0.4 + TESTO/H7_01.tif "/>
    <s v=" 48645.633 "/>
    <s v=" 78.8631 "/>
    <x v="0"/>
    <n v="3836343"/>
    <m/>
    <m/>
  </r>
  <r>
    <x v="19"/>
    <x v="7"/>
    <s v="C:\Users\lmarliere\Desktop\2021-CHG-CBA-TRIPHENYLP 3\plaque 2/@19  TRIPHENYLP 0.4 + TESTO/H7_02.tif "/>
    <s v=" 54572.2241 "/>
    <s v=" 77.7943 "/>
    <x v="0"/>
    <n v="4245408"/>
    <m/>
    <m/>
  </r>
  <r>
    <x v="19"/>
    <x v="7"/>
    <s v="C:\Users\lmarliere\Desktop\2021-CHG-CBA-TRIPHENYLP 3\plaque 2/@19  TRIPHENYLP 0.4 + TESTO/H7_03.tif "/>
    <s v=" 58811.6835 "/>
    <s v=" 79.2979 "/>
    <x v="0"/>
    <n v="4663643"/>
    <m/>
    <m/>
  </r>
  <r>
    <x v="1"/>
    <x v="8"/>
    <s v=" "/>
    <m/>
    <m/>
    <x v="1"/>
    <m/>
    <m/>
    <m/>
  </r>
  <r>
    <x v="1"/>
    <x v="8"/>
    <s v="group "/>
    <s v=" "/>
    <s v=" mean of mean fluo "/>
    <x v="2"/>
    <s v=" mean of total fluo "/>
    <s v=" SD total fluo "/>
    <s v=" n fluorescent "/>
  </r>
  <r>
    <x v="19"/>
    <x v="9"/>
    <s v="C:\Users\lmarliere\Desktop\2021-CHG-CBA-TRIPHENYLP 3\plaque 2/@19  TRIPHENYLP 0.4 + TESTO/ "/>
    <s v=" "/>
    <s v=" 79.7813 "/>
    <x v="21"/>
    <s v=" 5279376.04 "/>
    <s v=" 1223613.3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C:\Users\lmarliere\Desktop\2021-CHG-CBA-TRIPHENYLP 3\plaque 2/@20  TRIPHENYLP 0.59 + TESTO/A8_01.tif "/>
    <s v=" 50202.9854 "/>
    <s v=" 80.2357 "/>
    <x v="0"/>
    <n v="4028070"/>
    <m/>
    <m/>
  </r>
  <r>
    <x v="20"/>
    <x v="0"/>
    <s v="C:\Users\lmarliere\Desktop\2021-CHG-CBA-TRIPHENYLP 3\plaque 2/@20  TRIPHENYLP 0.59 + TESTO/A8_02.tif "/>
    <s v=" 51565.6688 "/>
    <s v=" 79.7206 "/>
    <x v="0"/>
    <n v="4110848"/>
    <m/>
    <m/>
  </r>
  <r>
    <x v="20"/>
    <x v="0"/>
    <s v="C:\Users\lmarliere\Desktop\2021-CHG-CBA-TRIPHENYLP 3\plaque 2/@20  TRIPHENYLP 0.59 + TESTO/A8_03.tif "/>
    <s v=" 51154.7008 "/>
    <s v=" 80.3023 "/>
    <x v="0"/>
    <n v="4107841"/>
    <m/>
    <m/>
  </r>
  <r>
    <x v="20"/>
    <x v="1"/>
    <s v="C:\Users\lmarliere\Desktop\2021-CHG-CBA-TRIPHENYLP 3\plaque 2/@20  TRIPHENYLP 0.59 + TESTO/B8_01.tif "/>
    <s v=" 56151.2065 "/>
    <s v=" 89.8517 "/>
    <x v="0"/>
    <n v="5045281"/>
    <m/>
    <m/>
  </r>
  <r>
    <x v="20"/>
    <x v="1"/>
    <s v="C:\Users\lmarliere\Desktop\2021-CHG-CBA-TRIPHENYLP 3\plaque 2/@20  TRIPHENYLP 0.59 + TESTO/B8_02.tif "/>
    <s v=" 53750.2882 "/>
    <s v=" 86.932 "/>
    <x v="0"/>
    <n v="4672620"/>
    <m/>
    <m/>
  </r>
  <r>
    <x v="20"/>
    <x v="1"/>
    <s v="C:\Users\lmarliere\Desktop\2021-CHG-CBA-TRIPHENYLP 3\plaque 2/@20  TRIPHENYLP 0.59 + TESTO/B8_03.tif "/>
    <s v=" 54334.2953 "/>
    <s v=" 87.586 "/>
    <x v="0"/>
    <n v="4758923"/>
    <m/>
    <m/>
  </r>
  <r>
    <x v="20"/>
    <x v="2"/>
    <s v="C:\Users\lmarliere\Desktop\2021-CHG-CBA-TRIPHENYLP 3\plaque 2/@20  TRIPHENYLP 0.59 + TESTO/C8_01.tif "/>
    <s v=" 68631.6557 "/>
    <s v=" 74.965 "/>
    <x v="0"/>
    <n v="5144973"/>
    <m/>
    <m/>
  </r>
  <r>
    <x v="20"/>
    <x v="2"/>
    <s v="C:\Users\lmarliere\Desktop\2021-CHG-CBA-TRIPHENYLP 3\plaque 2/@20  TRIPHENYLP 0.59 + TESTO/C8_02.tif "/>
    <s v=" 69194.0329 "/>
    <s v=" 72.1085 "/>
    <x v="0"/>
    <n v="4989476"/>
    <m/>
    <m/>
  </r>
  <r>
    <x v="20"/>
    <x v="2"/>
    <s v="C:\Users\lmarliere\Desktop\2021-CHG-CBA-TRIPHENYLP 3\plaque 2/@20  TRIPHENYLP 0.59 + TESTO/C8_03.tif "/>
    <s v=" 68220.6877 "/>
    <s v=" 72.5888 "/>
    <x v="0"/>
    <n v="4952056"/>
    <m/>
    <m/>
  </r>
  <r>
    <x v="20"/>
    <x v="3"/>
    <s v="C:\Users\lmarliere\Desktop\2021-CHG-CBA-TRIPHENYLP 3\plaque 2/@20  TRIPHENYLP 0.59 + TESTO/D8_01.tif "/>
    <s v=" 73238.8232 "/>
    <s v=" 85.5848 "/>
    <x v="0"/>
    <n v="6268127"/>
    <m/>
    <m/>
  </r>
  <r>
    <x v="20"/>
    <x v="3"/>
    <s v="C:\Users\lmarliere\Desktop\2021-CHG-CBA-TRIPHENYLP 3\plaque 2/@20  TRIPHENYLP 0.59 + TESTO/D8_02.tif "/>
    <s v=" 76829.3857 "/>
    <s v=" 87.846 "/>
    <x v="0"/>
    <n v="6749154"/>
    <m/>
    <m/>
  </r>
  <r>
    <x v="20"/>
    <x v="3"/>
    <s v="C:\Users\lmarliere\Desktop\2021-CHG-CBA-TRIPHENYLP 3\plaque 2/@20  TRIPHENYLP 0.59 + TESTO/D8_03.tif "/>
    <s v=" 71919.3996 "/>
    <s v=" 86.7549 "/>
    <x v="0"/>
    <n v="6239359"/>
    <m/>
    <m/>
  </r>
  <r>
    <x v="20"/>
    <x v="4"/>
    <s v="C:\Users\lmarliere\Desktop\2021-CHG-CBA-TRIPHENYLP 3\plaque 2/@20  TRIPHENYLP 0.59 + TESTO/E8_01.tif "/>
    <s v=" 45422.7787 "/>
    <s v=" 84.1152 "/>
    <x v="0"/>
    <n v="3820748"/>
    <m/>
    <m/>
  </r>
  <r>
    <x v="20"/>
    <x v="4"/>
    <s v="C:\Users\lmarliere\Desktop\2021-CHG-CBA-TRIPHENYLP 3\plaque 2/@20  TRIPHENYLP 0.59 + TESTO/E8_02.tif "/>
    <s v=" 46915.2415 "/>
    <s v=" 84.7257 "/>
    <x v="0"/>
    <n v="3974926"/>
    <m/>
    <m/>
  </r>
  <r>
    <x v="20"/>
    <x v="4"/>
    <s v="C:\Users\lmarliere\Desktop\2021-CHG-CBA-TRIPHENYLP 3\plaque 2/@20  TRIPHENYLP 0.59 + TESTO/E8_03.tif "/>
    <s v=" 47520.8785 "/>
    <s v=" 82.6891 "/>
    <x v="0"/>
    <n v="3929460"/>
    <m/>
    <m/>
  </r>
  <r>
    <x v="20"/>
    <x v="5"/>
    <s v="C:\Users\lmarliere\Desktop\2021-CHG-CBA-TRIPHENYLP 3\plaque 2/@20  TRIPHENYLP 0.59 + TESTO/F8_01.tif "/>
    <s v=" 69129.1432 "/>
    <s v=" 78.566 "/>
    <x v="0"/>
    <n v="5431202"/>
    <m/>
    <m/>
  </r>
  <r>
    <x v="20"/>
    <x v="5"/>
    <s v="C:\Users\lmarliere\Desktop\2021-CHG-CBA-TRIPHENYLP 3\plaque 2/@20  TRIPHENYLP 0.59 + TESTO/F8_02.tif "/>
    <s v=" 69561.7411 "/>
    <s v=" 77.5967 "/>
    <x v="0"/>
    <n v="5397762"/>
    <m/>
    <m/>
  </r>
  <r>
    <x v="20"/>
    <x v="5"/>
    <s v="C:\Users\lmarliere\Desktop\2021-CHG-CBA-TRIPHENYLP 3\plaque 2/@20  TRIPHENYLP 0.59 + TESTO/F8_03.tif "/>
    <s v=" 61710.0894 "/>
    <s v=" 78.2643 "/>
    <x v="0"/>
    <n v="4829696"/>
    <m/>
    <m/>
  </r>
  <r>
    <x v="20"/>
    <x v="6"/>
    <s v="C:\Users\lmarliere\Desktop\2021-CHG-CBA-TRIPHENYLP 3\plaque 2/@20  TRIPHENYLP 0.59 + TESTO/G8_01.tif "/>
    <s v=" 85546.2333 "/>
    <s v=" 77.6086 "/>
    <x v="0"/>
    <n v="6639123"/>
    <m/>
    <m/>
  </r>
  <r>
    <x v="20"/>
    <x v="6"/>
    <s v="C:\Users\lmarliere\Desktop\2021-CHG-CBA-TRIPHENYLP 3\plaque 2/@20  TRIPHENYLP 0.59 + TESTO/G8_02.tif "/>
    <s v=" 78667.9268 "/>
    <s v=" 75.0723 "/>
    <x v="0"/>
    <n v="5905783"/>
    <m/>
    <m/>
  </r>
  <r>
    <x v="20"/>
    <x v="6"/>
    <s v="C:\Users\lmarliere\Desktop\2021-CHG-CBA-TRIPHENYLP 3\plaque 2/@20  TRIPHENYLP 0.59 + TESTO/G8_03.tif "/>
    <s v=" 79424.9731 "/>
    <s v=" 75.6626 "/>
    <x v="0"/>
    <n v="6009499"/>
    <m/>
    <m/>
  </r>
  <r>
    <x v="20"/>
    <x v="7"/>
    <s v="C:\Users\lmarliere\Desktop\2021-CHG-CBA-TRIPHENYLP 3\plaque 2/@20  TRIPHENYLP 0.59 + TESTO/H8_01.tif "/>
    <s v=" 54485.7046 "/>
    <s v=" 83.8329 "/>
    <x v="0"/>
    <n v="4567693"/>
    <m/>
    <m/>
  </r>
  <r>
    <x v="20"/>
    <x v="7"/>
    <s v="C:\Users\lmarliere\Desktop\2021-CHG-CBA-TRIPHENYLP 3\plaque 2/@20  TRIPHENYLP 0.59 + TESTO/H8_02.tif "/>
    <s v=" 51089.8111 "/>
    <s v=" 82.9183 "/>
    <x v="0"/>
    <n v="4236280"/>
    <m/>
    <m/>
  </r>
  <r>
    <x v="20"/>
    <x v="7"/>
    <s v="C:\Users\lmarliere\Desktop\2021-CHG-CBA-TRIPHENYLP 3\plaque 2/@20  TRIPHENYLP 0.59 + TESTO/H8_03.tif "/>
    <s v=" 52452.4945 "/>
    <s v=" 81.9064 "/>
    <x v="0"/>
    <n v="4296195"/>
    <m/>
    <m/>
  </r>
  <r>
    <x v="1"/>
    <x v="8"/>
    <s v=" "/>
    <m/>
    <m/>
    <x v="1"/>
    <m/>
    <m/>
    <m/>
  </r>
  <r>
    <x v="1"/>
    <x v="8"/>
    <s v="group "/>
    <s v=" "/>
    <s v=" mean of mean fluo "/>
    <x v="2"/>
    <s v=" mean of total fluo "/>
    <s v=" SD total fluo "/>
    <s v=" n fluorescent "/>
  </r>
  <r>
    <x v="20"/>
    <x v="9"/>
    <s v="C:\Users\lmarliere\Desktop\2021-CHG-CBA-TRIPHENYLP 3\plaque 2/@20  TRIPHENYLP 0.59 + TESTO/ "/>
    <s v=" "/>
    <s v=" 81.1431 "/>
    <x v="22"/>
    <s v=" 5004378.96 "/>
    <s v=" 901148.33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C:\Users\lmarliere\Desktop\2021-CHG-CBA-TRIPHENYLP 3\plaque 2/@21  TRIPHENYLP 0.89 + TESTO/A9_01.tif "/>
    <s v=" 18796.3784 "/>
    <s v=" 72.1519 "/>
    <x v="0"/>
    <n v="1356194"/>
    <m/>
    <m/>
  </r>
  <r>
    <x v="21"/>
    <x v="0"/>
    <s v="C:\Users\lmarliere\Desktop\2021-CHG-CBA-TRIPHENYLP 3\plaque 2/@21  TRIPHENYLP 0.89 + TESTO/A9_02.tif "/>
    <s v=" 15292.3355 "/>
    <s v=" 69.5771 "/>
    <x v="0"/>
    <n v="1063996"/>
    <m/>
    <m/>
  </r>
  <r>
    <x v="21"/>
    <x v="0"/>
    <s v="C:\Users\lmarliere\Desktop\2021-CHG-CBA-TRIPHENYLP 3\plaque 2/@21  TRIPHENYLP 0.89 + TESTO/A9_03.tif "/>
    <s v=" 19986.0226 "/>
    <s v=" 70.1126 "/>
    <x v="0"/>
    <n v="1401271"/>
    <m/>
    <m/>
  </r>
  <r>
    <x v="21"/>
    <x v="1"/>
    <s v="C:\Users\lmarliere\Desktop\2021-CHG-CBA-TRIPHENYLP 3\plaque 2/@21  TRIPHENYLP 0.89 + TESTO/B9_01.tif "/>
    <s v=" 66057.6982 "/>
    <s v=" 84.2547 "/>
    <x v="0"/>
    <n v="5565675"/>
    <m/>
    <m/>
  </r>
  <r>
    <x v="21"/>
    <x v="1"/>
    <s v="C:\Users\lmarliere\Desktop\2021-CHG-CBA-TRIPHENYLP 3\plaque 2/@21  TRIPHENYLP 0.89 + TESTO/B9_02.tif "/>
    <s v=" 65516.9508 "/>
    <s v=" 84.3027 "/>
    <x v="0"/>
    <n v="5523258"/>
    <m/>
    <m/>
  </r>
  <r>
    <x v="21"/>
    <x v="1"/>
    <s v="C:\Users\lmarliere\Desktop\2021-CHG-CBA-TRIPHENYLP 3\plaque 2/@21  TRIPHENYLP 0.89 + TESTO/B9_03.tif "/>
    <s v=" 62921.3635 "/>
    <s v=" 83.0038 "/>
    <x v="0"/>
    <n v="5222711"/>
    <m/>
    <m/>
  </r>
  <r>
    <x v="21"/>
    <x v="2"/>
    <s v="C:\Users\lmarliere\Desktop\2021-CHG-CBA-TRIPHENYLP 3\plaque 2/@21  TRIPHENYLP 0.89 + TESTO/C9_01.tif "/>
    <s v=" 52409.2347 "/>
    <s v=" 69.0991 "/>
    <x v="0"/>
    <n v="3621428"/>
    <m/>
    <m/>
  </r>
  <r>
    <x v="21"/>
    <x v="2"/>
    <s v="C:\Users\lmarliere\Desktop\2021-CHG-CBA-TRIPHENYLP 3\plaque 2/@21  TRIPHENYLP 0.89 + TESTO/C9_02.tif "/>
    <s v=" 44860.4015 "/>
    <s v=" 68.2015 "/>
    <x v="0"/>
    <n v="3059549"/>
    <m/>
    <m/>
  </r>
  <r>
    <x v="21"/>
    <x v="2"/>
    <s v="C:\Users\lmarliere\Desktop\2021-CHG-CBA-TRIPHENYLP 3\plaque 2/@21  TRIPHENYLP 0.89 + TESTO/C9_03.tif "/>
    <s v=" 46698.9425 "/>
    <s v=" 68.8249 "/>
    <x v="0"/>
    <n v="3214051"/>
    <m/>
    <m/>
  </r>
  <r>
    <x v="21"/>
    <x v="3"/>
    <s v="C:\Users\lmarliere\Desktop\2021-CHG-CBA-TRIPHENYLP 3\plaque 2/@21  TRIPHENYLP 0.89 + TESTO/D9_01.tif "/>
    <s v=" 56648.694 "/>
    <s v=" 76.0878 "/>
    <x v="0"/>
    <n v="4310276"/>
    <m/>
    <m/>
  </r>
  <r>
    <x v="21"/>
    <x v="3"/>
    <s v="C:\Users\lmarliere\Desktop\2021-CHG-CBA-TRIPHENYLP 3\plaque 2/@21  TRIPHENYLP 0.89 + TESTO/D9_02.tif "/>
    <s v=" 2336.0286 "/>
    <s v=" 63.4444 "/>
    <x v="0"/>
    <n v="148208"/>
    <m/>
    <m/>
  </r>
  <r>
    <x v="21"/>
    <x v="3"/>
    <s v="C:\Users\lmarliere\Desktop\2021-CHG-CBA-TRIPHENYLP 3\plaque 2/@21  TRIPHENYLP 0.89 + TESTO/D9_03.tif "/>
    <s v=" 57859.9681 "/>
    <s v=" 73.6938 "/>
    <x v="0"/>
    <n v="4263923"/>
    <m/>
    <m/>
  </r>
  <r>
    <x v="21"/>
    <x v="4"/>
    <s v="C:\Users\lmarliere\Desktop\2021-CHG-CBA-TRIPHENYLP 3\plaque 2/@21  TRIPHENYLP 0.89 + TESTO/E9_01.tif "/>
    <s v=" 79316.8236 "/>
    <s v=" 87.3668 "/>
    <x v="0"/>
    <n v="6929656"/>
    <m/>
    <m/>
  </r>
  <r>
    <x v="21"/>
    <x v="4"/>
    <s v="C:\Users\lmarliere\Desktop\2021-CHG-CBA-TRIPHENYLP 3\plaque 2/@21  TRIPHENYLP 0.89 + TESTO/E9_02.tif "/>
    <s v=" 73606.5314 "/>
    <s v=" 83.677 "/>
    <x v="0"/>
    <n v="6159177"/>
    <m/>
    <m/>
  </r>
  <r>
    <x v="21"/>
    <x v="4"/>
    <s v="C:\Users\lmarliere\Desktop\2021-CHG-CBA-TRIPHENYLP 3\plaque 2/@21  TRIPHENYLP 0.89 + TESTO/E9_03.tif "/>
    <s v=" 72265.478 "/>
    <s v=" 85.5382 "/>
    <x v="0"/>
    <n v="6181456"/>
    <m/>
    <m/>
  </r>
  <r>
    <x v="21"/>
    <x v="5"/>
    <s v="C:\Users\lmarliere\Desktop\2021-CHG-CBA-TRIPHENYLP 3\plaque 2/@21  TRIPHENYLP 0.89 + TESTO/F9_01.tif "/>
    <s v=" 68199.0578 "/>
    <s v=" 83.2553 "/>
    <x v="0"/>
    <n v="5677934"/>
    <m/>
    <m/>
  </r>
  <r>
    <x v="21"/>
    <x v="5"/>
    <s v="C:\Users\lmarliere\Desktop\2021-CHG-CBA-TRIPHENYLP 3\plaque 2/@21  TRIPHENYLP 0.89 + TESTO/F9_02.tif "/>
    <s v=" 68826.3247 "/>
    <s v=" 82.1631 "/>
    <x v="0"/>
    <n v="5654985"/>
    <m/>
    <m/>
  </r>
  <r>
    <x v="21"/>
    <x v="5"/>
    <s v="C:\Users\lmarliere\Desktop\2021-CHG-CBA-TRIPHENYLP 3\plaque 2/@21  TRIPHENYLP 0.89 + TESTO/F9_03.tif "/>
    <s v=" 65257.3921 "/>
    <s v=" 82.2559 "/>
    <x v="0"/>
    <n v="5367804"/>
    <m/>
    <m/>
  </r>
  <r>
    <x v="21"/>
    <x v="6"/>
    <s v="C:\Users\lmarliere\Desktop\2021-CHG-CBA-TRIPHENYLP 3\plaque 2/@21  TRIPHENYLP 0.89 + TESTO/G9_01.tif "/>
    <s v=" 81739.3718 "/>
    <s v=" 87.1122 "/>
    <x v="0"/>
    <n v="7120496"/>
    <m/>
    <m/>
  </r>
  <r>
    <x v="21"/>
    <x v="6"/>
    <s v="C:\Users\lmarliere\Desktop\2021-CHG-CBA-TRIPHENYLP 3\plaque 2/@21  TRIPHENYLP 0.89 + TESTO/G9_02.tif "/>
    <s v=" 81047.2152 "/>
    <s v=" 87.454 "/>
    <x v="0"/>
    <n v="7087900"/>
    <m/>
    <m/>
  </r>
  <r>
    <x v="21"/>
    <x v="6"/>
    <s v="C:\Users\lmarliere\Desktop\2021-CHG-CBA-TRIPHENYLP 3\plaque 2/@21  TRIPHENYLP 0.89 + TESTO/G9_03.tif "/>
    <s v=" 78105.5495 "/>
    <s v=" 87.5982 "/>
    <x v="0"/>
    <n v="6841903"/>
    <m/>
    <m/>
  </r>
  <r>
    <x v="21"/>
    <x v="7"/>
    <s v="C:\Users\lmarliere\Desktop\2021-CHG-CBA-TRIPHENYLP 3\plaque 2/@21  TRIPHENYLP 0.89 + TESTO/H9_01.tif "/>
    <s v=" 73130.6737 "/>
    <s v=" 82.3573 "/>
    <x v="0"/>
    <n v="6022844"/>
    <m/>
    <m/>
  </r>
  <r>
    <x v="21"/>
    <x v="7"/>
    <s v="C:\Users\lmarliere\Desktop\2021-CHG-CBA-TRIPHENYLP 3\plaque 2/@21  TRIPHENYLP 0.89 + TESTO/H9_02.tif "/>
    <s v=" 69842.9298 "/>
    <s v=" 81.6578 "/>
    <x v="0"/>
    <n v="5703219"/>
    <m/>
    <m/>
  </r>
  <r>
    <x v="21"/>
    <x v="7"/>
    <s v="C:\Users\lmarliere\Desktop\2021-CHG-CBA-TRIPHENYLP 3\plaque 2/@21  TRIPHENYLP 0.89 + TESTO/H9_03.tif "/>
    <s v=" 71530.0615 "/>
    <s v=" 80.8627 "/>
    <x v="0"/>
    <n v="5784115"/>
    <m/>
    <m/>
  </r>
  <r>
    <x v="1"/>
    <x v="8"/>
    <s v=" "/>
    <m/>
    <m/>
    <x v="1"/>
    <m/>
    <m/>
    <m/>
  </r>
  <r>
    <x v="1"/>
    <x v="8"/>
    <s v="group "/>
    <s v=" "/>
    <s v=" mean of mean fluo "/>
    <x v="2"/>
    <s v=" mean of total fluo "/>
    <s v=" SD total fluo "/>
    <s v=" n fluorescent "/>
  </r>
  <r>
    <x v="21"/>
    <x v="9"/>
    <s v="C:\Users\lmarliere\Desktop\2021-CHG-CBA-TRIPHENYLP 3\plaque 2/@21  TRIPHENYLP 0.89 + TESTO/ "/>
    <s v=" "/>
    <s v=" 78.9189 "/>
    <x v="23"/>
    <s v=" 4720084.54 "/>
    <s v=" 2040748.41 "/>
    <n v="24"/>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0.18"/>
    <s v="mg/L"/>
    <s v="Triphénylphosphate"/>
    <x v="0"/>
  </r>
  <r>
    <x v="9"/>
    <x v="1"/>
    <n v="0.26"/>
    <s v="mg/L"/>
    <s v="Triphénylphosphate"/>
    <x v="0"/>
  </r>
  <r>
    <x v="10"/>
    <x v="1"/>
    <n v="0.4"/>
    <s v="mg/L"/>
    <s v="Triphénylphosphate"/>
    <x v="0"/>
  </r>
  <r>
    <x v="11"/>
    <x v="1"/>
    <n v="0.59"/>
    <s v="mg/L"/>
    <s v="Triphénylphosphate"/>
    <x v="0"/>
  </r>
  <r>
    <x v="12"/>
    <x v="1"/>
    <n v="0.89"/>
    <s v="mg/L"/>
    <s v="Triphénylphosphate"/>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mg/L"/>
    <s v="Testo 30µg/L + FAD"/>
    <x v="0"/>
  </r>
  <r>
    <x v="17"/>
    <x v="2"/>
    <n v="0.18"/>
    <s v="mg/L"/>
    <s v="Triphénylphosphate"/>
    <x v="1"/>
  </r>
  <r>
    <x v="18"/>
    <x v="2"/>
    <n v="0.26"/>
    <s v="mg/L"/>
    <s v="Triphénylphosphate"/>
    <x v="1"/>
  </r>
  <r>
    <x v="19"/>
    <x v="2"/>
    <n v="0.4"/>
    <s v="mg/L"/>
    <s v="Triphénylphosphate"/>
    <x v="1"/>
  </r>
  <r>
    <x v="20"/>
    <x v="2"/>
    <n v="0.59"/>
    <s v="mg/L"/>
    <s v="Triphénylphosphate"/>
    <x v="1"/>
  </r>
  <r>
    <x v="21"/>
    <x v="2"/>
    <n v="0.89"/>
    <s v="mg/L"/>
    <s v="Triphénylphosphate"/>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3">
        <item x="22"/>
        <item x="13"/>
        <item x="1"/>
        <item x="2"/>
        <item x="3"/>
        <item x="4"/>
        <item x="5"/>
        <item x="6"/>
        <item x="7"/>
        <item x="15"/>
        <item x="16"/>
        <item x="14"/>
        <item x="0"/>
        <item x="8"/>
        <item x="9"/>
        <item x="10"/>
        <item x="11"/>
        <item x="12"/>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8"/>
    </i>
    <i>
      <x v="19"/>
    </i>
    <i>
      <x v="20"/>
    </i>
    <i>
      <x v="21"/>
    </i>
    <i>
      <x v="22"/>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4EC2EB56-4817-4A9A-B2D2-7FFA4A5D54B2}"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FB8DF534-C9C2-4D2E-BACB-5EFCDA59C50C}"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values'!$B$74:$AK$83,4,FALSE)</calculatedColumnFormula>
    </tableColumn>
    <tableColumn id="6" xr3:uid="{00000000-0010-0000-0600-000006000000}" name="CHG-test ND" dataDxfId="12">
      <calculatedColumnFormula>HLOOKUP(Tableau3[[#This Row],[Nom ND]],'pooled normalised values'!$B$74:$AK$83,8,FALSE)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values'!$B$74:$AK$83,4,FALSE)</calculatedColumnFormula>
    </tableColumn>
    <tableColumn id="11" xr3:uid="{00000000-0010-0000-0600-00000B000000}" name="CHG-test D" dataDxfId="8">
      <calculatedColumnFormula>HLOOKUP(Tableau3[[#This Row],[Nom D]],'pooled normalised values'!$B$74:$AK$83,8,FALSE)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37" zoomScale="55" zoomScaleNormal="55" workbookViewId="0">
      <selection activeCell="E46" sqref="E46"/>
    </sheetView>
  </sheetViews>
  <sheetFormatPr defaultColWidth="11.42578125" defaultRowHeight="39" customHeight="1" x14ac:dyDescent="0.25"/>
  <cols>
    <col min="1" max="1" width="42" bestFit="1" customWidth="1"/>
    <col min="2" max="2" width="33.85546875" bestFit="1" customWidth="1"/>
    <col min="3" max="3" width="21.28515625" customWidth="1"/>
    <col min="4" max="4" width="30.42578125" customWidth="1"/>
    <col min="5" max="5" width="62.28515625"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67" t="s">
        <v>36</v>
      </c>
      <c r="B1" s="168"/>
      <c r="C1" s="168"/>
      <c r="D1" s="168"/>
      <c r="E1" s="168"/>
      <c r="F1" s="168"/>
      <c r="G1" s="168"/>
      <c r="H1" s="168"/>
      <c r="I1" s="169"/>
    </row>
    <row r="2" spans="1:9" ht="21" x14ac:dyDescent="0.35">
      <c r="A2" s="157" t="s">
        <v>17</v>
      </c>
      <c r="B2" s="25" t="s">
        <v>115</v>
      </c>
      <c r="C2" s="170"/>
      <c r="D2" s="171"/>
      <c r="E2" s="25" t="s">
        <v>21</v>
      </c>
      <c r="F2" s="182"/>
      <c r="G2" s="183"/>
      <c r="H2" s="183"/>
      <c r="I2" s="184"/>
    </row>
    <row r="3" spans="1:9" ht="21" x14ac:dyDescent="0.35">
      <c r="A3" s="158" t="s">
        <v>18</v>
      </c>
      <c r="B3" s="26" t="s">
        <v>115</v>
      </c>
      <c r="C3" s="172"/>
      <c r="D3" s="173"/>
      <c r="E3" s="26" t="s">
        <v>21</v>
      </c>
      <c r="F3" s="179"/>
      <c r="G3" s="180"/>
      <c r="H3" s="180"/>
      <c r="I3" s="181"/>
    </row>
    <row r="4" spans="1:9" ht="21.75" thickBot="1" x14ac:dyDescent="0.4">
      <c r="A4" s="159" t="s">
        <v>22</v>
      </c>
      <c r="B4" s="148" t="s">
        <v>115</v>
      </c>
      <c r="C4" s="174"/>
      <c r="D4" s="175"/>
      <c r="E4" s="148" t="s">
        <v>21</v>
      </c>
      <c r="F4" s="176"/>
      <c r="G4" s="177"/>
      <c r="H4" s="177"/>
      <c r="I4" s="178"/>
    </row>
    <row r="5" spans="1:9" ht="65.25" customHeight="1" thickBot="1" x14ac:dyDescent="0.3">
      <c r="A5" s="167" t="s">
        <v>37</v>
      </c>
      <c r="B5" s="168"/>
      <c r="C5" s="168"/>
      <c r="D5" s="168"/>
      <c r="E5" s="168"/>
      <c r="F5" s="168"/>
      <c r="G5" s="168"/>
      <c r="H5" s="168"/>
      <c r="I5" s="169"/>
    </row>
    <row r="6" spans="1:9" s="88" customFormat="1" ht="39" customHeight="1" x14ac:dyDescent="0.35">
      <c r="A6" s="57" t="s">
        <v>35</v>
      </c>
      <c r="B6" s="79" t="s">
        <v>7</v>
      </c>
      <c r="C6" s="48" t="s">
        <v>19</v>
      </c>
      <c r="D6" s="48" t="s">
        <v>75</v>
      </c>
      <c r="E6" s="134" t="s">
        <v>51</v>
      </c>
      <c r="F6" s="87" t="s">
        <v>78</v>
      </c>
    </row>
    <row r="7" spans="1:9" s="88" customFormat="1" ht="39" customHeight="1" x14ac:dyDescent="0.35">
      <c r="A7"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35" t="s">
        <v>123</v>
      </c>
      <c r="C7" s="84"/>
      <c r="D7" s="92"/>
      <c r="E7" s="136" t="s">
        <v>125</v>
      </c>
      <c r="F7" s="89"/>
    </row>
    <row r="8" spans="1:9" s="88" customFormat="1" ht="39" customHeight="1" x14ac:dyDescent="0.35">
      <c r="A8"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35" t="s">
        <v>123</v>
      </c>
      <c r="C8" s="84">
        <v>22.5</v>
      </c>
      <c r="D8" s="92" t="s">
        <v>124</v>
      </c>
      <c r="E8" s="136" t="s">
        <v>126</v>
      </c>
      <c r="F8" s="89"/>
    </row>
    <row r="9" spans="1:9" s="88" customFormat="1" ht="39" customHeight="1" x14ac:dyDescent="0.35">
      <c r="A9"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35" t="s">
        <v>123</v>
      </c>
      <c r="C9" s="84">
        <v>33.799999999999997</v>
      </c>
      <c r="D9" s="92" t="s">
        <v>124</v>
      </c>
      <c r="E9" s="136" t="s">
        <v>126</v>
      </c>
      <c r="F9" s="89"/>
    </row>
    <row r="10" spans="1:9" s="88" customFormat="1" ht="39" customHeight="1" x14ac:dyDescent="0.35">
      <c r="A10"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35" t="s">
        <v>123</v>
      </c>
      <c r="C10" s="84">
        <v>50.6</v>
      </c>
      <c r="D10" s="92" t="s">
        <v>124</v>
      </c>
      <c r="E10" s="136" t="s">
        <v>126</v>
      </c>
      <c r="F10" s="89"/>
    </row>
    <row r="11" spans="1:9" s="88" customFormat="1" ht="39" customHeight="1" x14ac:dyDescent="0.35">
      <c r="A11"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35" t="s">
        <v>123</v>
      </c>
      <c r="C11" s="84">
        <v>76</v>
      </c>
      <c r="D11" s="92" t="s">
        <v>124</v>
      </c>
      <c r="E11" s="136" t="s">
        <v>126</v>
      </c>
      <c r="F11" s="89"/>
    </row>
    <row r="12" spans="1:9" s="88" customFormat="1" ht="39" customHeight="1" x14ac:dyDescent="0.35">
      <c r="A12"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35" t="s">
        <v>123</v>
      </c>
      <c r="C12" s="84">
        <v>114</v>
      </c>
      <c r="D12" s="92" t="s">
        <v>124</v>
      </c>
      <c r="E12" s="136" t="s">
        <v>126</v>
      </c>
      <c r="F12" s="89"/>
    </row>
    <row r="13" spans="1:9" s="88" customFormat="1" ht="39" customHeight="1" x14ac:dyDescent="0.35">
      <c r="A13"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35" t="s">
        <v>123</v>
      </c>
      <c r="C13" s="84">
        <v>170.9</v>
      </c>
      <c r="D13" s="92" t="s">
        <v>124</v>
      </c>
      <c r="E13" s="136" t="s">
        <v>126</v>
      </c>
      <c r="F13" s="89"/>
    </row>
    <row r="14" spans="1:9" s="88" customFormat="1" ht="39" customHeight="1" x14ac:dyDescent="0.35">
      <c r="A14"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35" t="s">
        <v>123</v>
      </c>
      <c r="C14" s="84">
        <v>488</v>
      </c>
      <c r="D14" s="92" t="s">
        <v>124</v>
      </c>
      <c r="E14" s="136" t="s">
        <v>126</v>
      </c>
      <c r="F14" s="89"/>
    </row>
    <row r="15" spans="1:9" s="88" customFormat="1" ht="39" customHeight="1" x14ac:dyDescent="0.35">
      <c r="A15" s="49" t="s">
        <v>166</v>
      </c>
      <c r="B15" s="135"/>
      <c r="C15" s="84">
        <v>0.18</v>
      </c>
      <c r="D15" s="92" t="s">
        <v>129</v>
      </c>
      <c r="E15" s="136" t="s">
        <v>171</v>
      </c>
      <c r="F15" s="89"/>
    </row>
    <row r="16" spans="1:9" s="89" customFormat="1" ht="39" customHeight="1" x14ac:dyDescent="0.25">
      <c r="A16" s="49" t="s">
        <v>167</v>
      </c>
      <c r="B16" s="24"/>
      <c r="C16" s="84">
        <v>0.26</v>
      </c>
      <c r="D16" s="92" t="s">
        <v>129</v>
      </c>
      <c r="E16" s="136" t="s">
        <v>171</v>
      </c>
    </row>
    <row r="17" spans="1:5" s="89" customFormat="1" ht="39" customHeight="1" x14ac:dyDescent="0.25">
      <c r="A17" s="49" t="s">
        <v>168</v>
      </c>
      <c r="B17" s="80"/>
      <c r="C17" s="84">
        <v>0.4</v>
      </c>
      <c r="D17" s="92" t="s">
        <v>129</v>
      </c>
      <c r="E17" s="136" t="s">
        <v>171</v>
      </c>
    </row>
    <row r="18" spans="1:5" s="89" customFormat="1" ht="39" customHeight="1" x14ac:dyDescent="0.25">
      <c r="A18" s="49" t="s">
        <v>170</v>
      </c>
      <c r="B18" s="24"/>
      <c r="C18" s="84">
        <v>0.59</v>
      </c>
      <c r="D18" s="92" t="s">
        <v>129</v>
      </c>
      <c r="E18" s="136" t="s">
        <v>171</v>
      </c>
    </row>
    <row r="19" spans="1:5" s="89" customFormat="1" ht="39" customHeight="1" x14ac:dyDescent="0.25">
      <c r="A19" s="49" t="s">
        <v>169</v>
      </c>
      <c r="B19" s="80"/>
      <c r="C19" s="84">
        <v>0.89</v>
      </c>
      <c r="D19" s="92" t="s">
        <v>129</v>
      </c>
      <c r="E19" s="136" t="s">
        <v>171</v>
      </c>
    </row>
    <row r="20" spans="1:5" s="89" customFormat="1" ht="39" customHeight="1" x14ac:dyDescent="0.25">
      <c r="A20"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24"/>
      <c r="C20" s="84"/>
      <c r="D20" s="84"/>
      <c r="E20" s="24"/>
    </row>
    <row r="21" spans="1:5" s="89" customFormat="1" ht="39" customHeight="1" x14ac:dyDescent="0.25">
      <c r="A21"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80"/>
      <c r="C21" s="84"/>
      <c r="D21" s="84"/>
      <c r="E21" s="80"/>
    </row>
    <row r="22" spans="1:5" s="89" customFormat="1" ht="39" customHeight="1" x14ac:dyDescent="0.25">
      <c r="A22"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24"/>
      <c r="C22" s="84"/>
      <c r="D22" s="84"/>
      <c r="E22" s="24"/>
    </row>
    <row r="23" spans="1:5" s="89" customFormat="1" ht="39" customHeight="1" x14ac:dyDescent="0.25">
      <c r="A23"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80"/>
      <c r="C23" s="84"/>
      <c r="D23" s="84"/>
      <c r="E23" s="80"/>
    </row>
    <row r="24" spans="1:5" s="89" customFormat="1" ht="39" customHeight="1" x14ac:dyDescent="0.25">
      <c r="A24"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24"/>
      <c r="C24" s="84"/>
      <c r="D24" s="84"/>
      <c r="E24" s="24"/>
    </row>
    <row r="25" spans="1:5" s="89" customFormat="1" ht="39" customHeight="1" x14ac:dyDescent="0.25">
      <c r="A25"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80"/>
      <c r="C25" s="84"/>
      <c r="D25" s="84"/>
      <c r="E25" s="80"/>
    </row>
    <row r="26" spans="1:5" s="89" customFormat="1" ht="39" customHeight="1" x14ac:dyDescent="0.25">
      <c r="A26"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24"/>
      <c r="C26" s="84"/>
      <c r="D26" s="84"/>
      <c r="E26" s="24"/>
    </row>
    <row r="27" spans="1:5" s="89" customFormat="1" ht="39" customHeight="1" x14ac:dyDescent="0.25">
      <c r="A27"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80"/>
      <c r="C27" s="84"/>
      <c r="D27" s="84"/>
      <c r="E27" s="80"/>
    </row>
    <row r="28" spans="1:5" s="89" customFormat="1" ht="39" customHeight="1" x14ac:dyDescent="0.25">
      <c r="A28"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24"/>
      <c r="C28" s="84"/>
      <c r="D28" s="84"/>
      <c r="E28" s="24"/>
    </row>
    <row r="29" spans="1:5" s="89" customFormat="1" ht="39" customHeight="1" x14ac:dyDescent="0.25">
      <c r="A29"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80"/>
      <c r="C29" s="84"/>
      <c r="D29" s="84"/>
      <c r="E29" s="80"/>
    </row>
    <row r="30" spans="1:5" s="89" customFormat="1" ht="39" customHeight="1" x14ac:dyDescent="0.25">
      <c r="A30"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24"/>
      <c r="C30" s="84"/>
      <c r="D30" s="92"/>
      <c r="E30" s="24"/>
    </row>
    <row r="31" spans="1:5" s="89" customFormat="1" ht="39" customHeight="1" x14ac:dyDescent="0.25">
      <c r="A31"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80"/>
      <c r="C31" s="84"/>
      <c r="D31" s="92"/>
      <c r="E31" s="80"/>
    </row>
    <row r="32" spans="1:5" s="89" customFormat="1" ht="39" customHeight="1" x14ac:dyDescent="0.25">
      <c r="A32"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24"/>
      <c r="C32" s="84"/>
      <c r="D32" s="92"/>
      <c r="E32" s="24"/>
    </row>
    <row r="33" spans="1:6" s="89" customFormat="1" ht="39" customHeight="1" x14ac:dyDescent="0.25">
      <c r="A33"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80"/>
      <c r="C33" s="84"/>
      <c r="D33" s="92"/>
      <c r="E33" s="80"/>
    </row>
    <row r="34" spans="1:6" s="89" customFormat="1" ht="39" customHeight="1" x14ac:dyDescent="0.25">
      <c r="A34" s="4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24"/>
      <c r="C34" s="84"/>
      <c r="D34" s="92"/>
      <c r="E34" s="24"/>
    </row>
    <row r="35" spans="1:6" s="89" customFormat="1" ht="39" customHeight="1" thickBot="1" x14ac:dyDescent="0.3">
      <c r="A35" s="5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37"/>
      <c r="C35" s="138"/>
      <c r="D35" s="93"/>
      <c r="E35" s="137"/>
    </row>
    <row r="36" spans="1:6" s="89" customFormat="1" ht="39" customHeight="1" x14ac:dyDescent="0.25">
      <c r="A36" s="13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81" t="s">
        <v>123</v>
      </c>
      <c r="C36" s="85">
        <v>30</v>
      </c>
      <c r="D36" s="94" t="s">
        <v>127</v>
      </c>
      <c r="E36" s="94" t="s">
        <v>20</v>
      </c>
      <c r="F36" s="140"/>
    </row>
    <row r="37" spans="1:6" s="89" customFormat="1" ht="39" customHeight="1" x14ac:dyDescent="0.25">
      <c r="A37" s="14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82" t="s">
        <v>123</v>
      </c>
      <c r="C37" s="86">
        <v>64</v>
      </c>
      <c r="D37" s="95" t="s">
        <v>124</v>
      </c>
      <c r="E37" s="95" t="s">
        <v>128</v>
      </c>
      <c r="F37" s="142"/>
    </row>
    <row r="38" spans="1:6" s="89" customFormat="1" ht="39" customHeight="1" thickBot="1" x14ac:dyDescent="0.3">
      <c r="A38" s="14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44" t="s">
        <v>123</v>
      </c>
      <c r="C38" s="145">
        <v>10</v>
      </c>
      <c r="D38" s="146" t="s">
        <v>129</v>
      </c>
      <c r="E38" s="146" t="s">
        <v>130</v>
      </c>
      <c r="F38" s="147"/>
    </row>
    <row r="39" spans="1:6" s="89" customFormat="1" ht="39" customHeight="1" x14ac:dyDescent="0.25">
      <c r="A39" s="3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Triphénylphosphate-0,18mg/L + Testostérone</v>
      </c>
      <c r="B39" s="160">
        <f>B15</f>
        <v>0</v>
      </c>
      <c r="C39" s="160">
        <f t="shared" ref="C39:E39" si="0">C15</f>
        <v>0.18</v>
      </c>
      <c r="D39" s="160" t="str">
        <f t="shared" si="0"/>
        <v>mg/L</v>
      </c>
      <c r="E39" s="160" t="str">
        <f t="shared" si="0"/>
        <v>Triphénylphosphate</v>
      </c>
      <c r="F39" s="90" t="s">
        <v>50</v>
      </c>
    </row>
    <row r="40" spans="1:6" s="89" customFormat="1" ht="39" customHeight="1" x14ac:dyDescent="0.25">
      <c r="A40"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Triphénylphosphate-0,26mg/L + Testostérone</v>
      </c>
      <c r="B40" s="162">
        <f t="shared" ref="B40:E40" si="1">B16</f>
        <v>0</v>
      </c>
      <c r="C40" s="162">
        <f t="shared" si="1"/>
        <v>0.26</v>
      </c>
      <c r="D40" s="162" t="str">
        <f t="shared" si="1"/>
        <v>mg/L</v>
      </c>
      <c r="E40" s="162" t="str">
        <f t="shared" si="1"/>
        <v>Triphénylphosphate</v>
      </c>
      <c r="F40" s="91" t="s">
        <v>50</v>
      </c>
    </row>
    <row r="41" spans="1:6" s="89" customFormat="1" ht="39" customHeight="1" x14ac:dyDescent="0.25">
      <c r="A41"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Triphénylphosphate-0,4mg/L + Testostérone</v>
      </c>
      <c r="B41" s="162">
        <f t="shared" ref="B41:E41" si="2">B17</f>
        <v>0</v>
      </c>
      <c r="C41" s="162">
        <f t="shared" si="2"/>
        <v>0.4</v>
      </c>
      <c r="D41" s="162" t="str">
        <f t="shared" si="2"/>
        <v>mg/L</v>
      </c>
      <c r="E41" s="162" t="str">
        <f t="shared" si="2"/>
        <v>Triphénylphosphate</v>
      </c>
      <c r="F41" s="91" t="s">
        <v>50</v>
      </c>
    </row>
    <row r="42" spans="1:6" s="89" customFormat="1" ht="39" customHeight="1" x14ac:dyDescent="0.25">
      <c r="A42"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Triphénylphosphate-0,59mg/L + Testostérone</v>
      </c>
      <c r="B42" s="162">
        <f t="shared" ref="B42:E42" si="3">B18</f>
        <v>0</v>
      </c>
      <c r="C42" s="162">
        <f t="shared" si="3"/>
        <v>0.59</v>
      </c>
      <c r="D42" s="162" t="str">
        <f t="shared" si="3"/>
        <v>mg/L</v>
      </c>
      <c r="E42" s="162" t="str">
        <f t="shared" si="3"/>
        <v>Triphénylphosphate</v>
      </c>
      <c r="F42" s="91" t="s">
        <v>50</v>
      </c>
    </row>
    <row r="43" spans="1:6" s="89" customFormat="1" ht="39" customHeight="1" x14ac:dyDescent="0.25">
      <c r="A43"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Triphénylphosphate-0,89mg/L + Testostérone</v>
      </c>
      <c r="B43" s="162">
        <f t="shared" ref="B43:E43" si="4">B19</f>
        <v>0</v>
      </c>
      <c r="C43" s="162">
        <f t="shared" si="4"/>
        <v>0.89</v>
      </c>
      <c r="D43" s="162" t="str">
        <f t="shared" si="4"/>
        <v>mg/L</v>
      </c>
      <c r="E43" s="162" t="str">
        <f t="shared" si="4"/>
        <v>Triphénylphosphate</v>
      </c>
      <c r="F43" s="91" t="s">
        <v>50</v>
      </c>
    </row>
    <row r="44" spans="1:6" s="89" customFormat="1" ht="39" customHeight="1" x14ac:dyDescent="0.25">
      <c r="A44"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62">
        <f t="shared" ref="B44:E44" si="5">B20</f>
        <v>0</v>
      </c>
      <c r="C44" s="162">
        <f t="shared" si="5"/>
        <v>0</v>
      </c>
      <c r="D44" s="162">
        <f t="shared" si="5"/>
        <v>0</v>
      </c>
      <c r="E44" s="162">
        <f t="shared" si="5"/>
        <v>0</v>
      </c>
      <c r="F44" s="91" t="s">
        <v>50</v>
      </c>
    </row>
    <row r="45" spans="1:6" s="89" customFormat="1" ht="39" customHeight="1" x14ac:dyDescent="0.25">
      <c r="A45"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62">
        <f t="shared" ref="B45:E45" si="6">B21</f>
        <v>0</v>
      </c>
      <c r="C45" s="162">
        <f t="shared" si="6"/>
        <v>0</v>
      </c>
      <c r="D45" s="162">
        <f t="shared" si="6"/>
        <v>0</v>
      </c>
      <c r="E45" s="162">
        <f t="shared" si="6"/>
        <v>0</v>
      </c>
      <c r="F45" s="91" t="s">
        <v>50</v>
      </c>
    </row>
    <row r="46" spans="1:6" s="89" customFormat="1" ht="39" customHeight="1" x14ac:dyDescent="0.25">
      <c r="A46"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62">
        <f t="shared" ref="B46:E46" si="7">B22</f>
        <v>0</v>
      </c>
      <c r="C46" s="162">
        <f t="shared" si="7"/>
        <v>0</v>
      </c>
      <c r="D46" s="162">
        <f t="shared" si="7"/>
        <v>0</v>
      </c>
      <c r="E46" s="162">
        <f t="shared" si="7"/>
        <v>0</v>
      </c>
      <c r="F46" s="91" t="s">
        <v>50</v>
      </c>
    </row>
    <row r="47" spans="1:6" s="89" customFormat="1" ht="39" customHeight="1" x14ac:dyDescent="0.25">
      <c r="A47"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62">
        <f t="shared" ref="B47:E47" si="8">B23</f>
        <v>0</v>
      </c>
      <c r="C47" s="162">
        <f t="shared" si="8"/>
        <v>0</v>
      </c>
      <c r="D47" s="162">
        <f t="shared" si="8"/>
        <v>0</v>
      </c>
      <c r="E47" s="162">
        <f t="shared" si="8"/>
        <v>0</v>
      </c>
      <c r="F47" s="91" t="s">
        <v>50</v>
      </c>
    </row>
    <row r="48" spans="1:6" s="89" customFormat="1" ht="39" customHeight="1" x14ac:dyDescent="0.25">
      <c r="A48"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62">
        <f t="shared" ref="B48:E48" si="9">B24</f>
        <v>0</v>
      </c>
      <c r="C48" s="162">
        <f t="shared" si="9"/>
        <v>0</v>
      </c>
      <c r="D48" s="162">
        <f t="shared" si="9"/>
        <v>0</v>
      </c>
      <c r="E48" s="162">
        <f t="shared" si="9"/>
        <v>0</v>
      </c>
      <c r="F48" s="91" t="s">
        <v>50</v>
      </c>
    </row>
    <row r="49" spans="1:6" s="89" customFormat="1" ht="39" customHeight="1" x14ac:dyDescent="0.25">
      <c r="A49"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62">
        <f t="shared" ref="B49:E49" si="10">B25</f>
        <v>0</v>
      </c>
      <c r="C49" s="162">
        <f t="shared" si="10"/>
        <v>0</v>
      </c>
      <c r="D49" s="162">
        <f t="shared" si="10"/>
        <v>0</v>
      </c>
      <c r="E49" s="162">
        <f t="shared" si="10"/>
        <v>0</v>
      </c>
      <c r="F49" s="91" t="s">
        <v>50</v>
      </c>
    </row>
    <row r="50" spans="1:6" s="89" customFormat="1" ht="39" customHeight="1" x14ac:dyDescent="0.25">
      <c r="A50"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62">
        <f t="shared" ref="B50:E50" si="11">B26</f>
        <v>0</v>
      </c>
      <c r="C50" s="162">
        <f t="shared" si="11"/>
        <v>0</v>
      </c>
      <c r="D50" s="162">
        <f t="shared" si="11"/>
        <v>0</v>
      </c>
      <c r="E50" s="162">
        <f t="shared" si="11"/>
        <v>0</v>
      </c>
      <c r="F50" s="91" t="s">
        <v>50</v>
      </c>
    </row>
    <row r="51" spans="1:6" s="89" customFormat="1" ht="39" customHeight="1" x14ac:dyDescent="0.25">
      <c r="A51"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62">
        <f t="shared" ref="B51:E51" si="12">B27</f>
        <v>0</v>
      </c>
      <c r="C51" s="162">
        <f t="shared" si="12"/>
        <v>0</v>
      </c>
      <c r="D51" s="162">
        <f t="shared" si="12"/>
        <v>0</v>
      </c>
      <c r="E51" s="162">
        <f t="shared" si="12"/>
        <v>0</v>
      </c>
      <c r="F51" s="91" t="s">
        <v>50</v>
      </c>
    </row>
    <row r="52" spans="1:6" s="89" customFormat="1" ht="39" customHeight="1" x14ac:dyDescent="0.25">
      <c r="A52"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62">
        <f t="shared" ref="B52:E52" si="13">B28</f>
        <v>0</v>
      </c>
      <c r="C52" s="162">
        <f t="shared" si="13"/>
        <v>0</v>
      </c>
      <c r="D52" s="162">
        <f t="shared" si="13"/>
        <v>0</v>
      </c>
      <c r="E52" s="162">
        <f t="shared" si="13"/>
        <v>0</v>
      </c>
      <c r="F52" s="91" t="s">
        <v>50</v>
      </c>
    </row>
    <row r="53" spans="1:6" s="89" customFormat="1" ht="39" customHeight="1" x14ac:dyDescent="0.25">
      <c r="A53"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62">
        <f t="shared" ref="B53:E53" si="14">B29</f>
        <v>0</v>
      </c>
      <c r="C53" s="162">
        <f t="shared" si="14"/>
        <v>0</v>
      </c>
      <c r="D53" s="162">
        <f t="shared" si="14"/>
        <v>0</v>
      </c>
      <c r="E53" s="162">
        <f t="shared" si="14"/>
        <v>0</v>
      </c>
      <c r="F53" s="91" t="s">
        <v>50</v>
      </c>
    </row>
    <row r="54" spans="1:6" s="89" customFormat="1" ht="39" customHeight="1" x14ac:dyDescent="0.25">
      <c r="A54"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62">
        <f t="shared" ref="B54:E54" si="15">B30</f>
        <v>0</v>
      </c>
      <c r="C54" s="162">
        <f t="shared" si="15"/>
        <v>0</v>
      </c>
      <c r="D54" s="162">
        <f t="shared" si="15"/>
        <v>0</v>
      </c>
      <c r="E54" s="162">
        <f t="shared" si="15"/>
        <v>0</v>
      </c>
      <c r="F54" s="91" t="s">
        <v>50</v>
      </c>
    </row>
    <row r="55" spans="1:6" s="89" customFormat="1" ht="39" customHeight="1" x14ac:dyDescent="0.25">
      <c r="A55"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62">
        <f t="shared" ref="B55:E55" si="16">B31</f>
        <v>0</v>
      </c>
      <c r="C55" s="162">
        <f t="shared" si="16"/>
        <v>0</v>
      </c>
      <c r="D55" s="162">
        <f t="shared" si="16"/>
        <v>0</v>
      </c>
      <c r="E55" s="162">
        <f t="shared" si="16"/>
        <v>0</v>
      </c>
      <c r="F55" s="91" t="s">
        <v>50</v>
      </c>
    </row>
    <row r="56" spans="1:6" s="89" customFormat="1" ht="39" customHeight="1" x14ac:dyDescent="0.25">
      <c r="A56"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62">
        <f t="shared" ref="B56:E56" si="17">B32</f>
        <v>0</v>
      </c>
      <c r="C56" s="162">
        <f t="shared" si="17"/>
        <v>0</v>
      </c>
      <c r="D56" s="162">
        <f t="shared" si="17"/>
        <v>0</v>
      </c>
      <c r="E56" s="162">
        <f t="shared" si="17"/>
        <v>0</v>
      </c>
      <c r="F56" s="91" t="s">
        <v>50</v>
      </c>
    </row>
    <row r="57" spans="1:6" s="89" customFormat="1" ht="39" customHeight="1" x14ac:dyDescent="0.25">
      <c r="A57" s="5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62">
        <f t="shared" ref="B57:E57" si="18">B33</f>
        <v>0</v>
      </c>
      <c r="C57" s="162">
        <f t="shared" si="18"/>
        <v>0</v>
      </c>
      <c r="D57" s="162">
        <f t="shared" si="18"/>
        <v>0</v>
      </c>
      <c r="E57" s="162">
        <f t="shared" si="18"/>
        <v>0</v>
      </c>
      <c r="F57" s="91" t="s">
        <v>50</v>
      </c>
    </row>
    <row r="58" spans="1:6" s="89" customFormat="1" ht="39" customHeight="1" x14ac:dyDescent="0.25">
      <c r="A58" s="8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61">
        <f t="shared" ref="B58:E58" si="19">B34</f>
        <v>0</v>
      </c>
      <c r="C58" s="161">
        <f t="shared" si="19"/>
        <v>0</v>
      </c>
      <c r="D58" s="161">
        <f t="shared" si="19"/>
        <v>0</v>
      </c>
      <c r="E58" s="161">
        <f t="shared" si="19"/>
        <v>0</v>
      </c>
      <c r="F58" s="91"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42578125"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57"/>
  <sheetViews>
    <sheetView showGridLines="0" topLeftCell="Q1" zoomScale="70" zoomScaleNormal="70" workbookViewId="0">
      <selection activeCell="U5" sqref="U5"/>
    </sheetView>
  </sheetViews>
  <sheetFormatPr defaultColWidth="11.42578125" defaultRowHeight="15" x14ac:dyDescent="0.25"/>
  <cols>
    <col min="1" max="1" width="15" customWidth="1"/>
    <col min="2" max="2" width="26.5703125" customWidth="1"/>
    <col min="3" max="3" width="87.140625" bestFit="1" customWidth="1"/>
    <col min="4" max="4" width="14" customWidth="1"/>
    <col min="5" max="5" width="21.140625" customWidth="1"/>
    <col min="7" max="7" width="21.42578125" customWidth="1"/>
    <col min="8" max="8" width="12.28515625" customWidth="1"/>
    <col min="9" max="9" width="17.140625" customWidth="1"/>
    <col min="11" max="11" width="5.42578125" customWidth="1"/>
    <col min="12" max="12" width="15.42578125" customWidth="1"/>
    <col min="13" max="13" width="14.85546875" bestFit="1" customWidth="1"/>
    <col min="14" max="14" width="12.85546875" customWidth="1"/>
    <col min="15" max="18" width="12.28515625" customWidth="1"/>
    <col min="19" max="19" width="25.42578125" bestFit="1" customWidth="1"/>
    <col min="20" max="20" width="12.28515625" customWidth="1"/>
    <col min="21" max="21" width="17.42578125" customWidth="1"/>
    <col min="22" max="22" width="12.28515625" customWidth="1"/>
    <col min="23" max="23" width="25.42578125" bestFit="1" customWidth="1"/>
    <col min="24" max="25" width="12.28515625" customWidth="1"/>
    <col min="26" max="27" width="15.5703125" customWidth="1"/>
    <col min="28" max="28" width="14.28515625" customWidth="1"/>
  </cols>
  <sheetData>
    <row r="1" spans="1:32" x14ac:dyDescent="0.25">
      <c r="A1" t="s">
        <v>107</v>
      </c>
      <c r="B1" t="s">
        <v>108</v>
      </c>
      <c r="C1" t="s">
        <v>109</v>
      </c>
      <c r="D1" t="s">
        <v>110</v>
      </c>
      <c r="E1" t="s">
        <v>111</v>
      </c>
      <c r="F1" t="s">
        <v>112</v>
      </c>
      <c r="G1" t="s">
        <v>113</v>
      </c>
      <c r="H1" t="s">
        <v>117</v>
      </c>
      <c r="I1" t="s">
        <v>118</v>
      </c>
      <c r="J1" t="s">
        <v>1642</v>
      </c>
      <c r="K1" s="96" t="s">
        <v>112</v>
      </c>
      <c r="L1" t="s">
        <v>119</v>
      </c>
    </row>
    <row r="2" spans="1:32" x14ac:dyDescent="0.25">
      <c r="A2" t="str">
        <f t="shared" ref="A2:A65" si="0">IFERROR(LEFT(RIGHT(C2,LEN(C2)-SEARCH("@",C2)),SEARCH("/",RIGHT(C2,LEN(C2)-SEARCH("@",C2)-1))),"")</f>
        <v>01 TS</v>
      </c>
      <c r="B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t="s">
        <v>172</v>
      </c>
      <c r="K2" s="133" t="s">
        <v>120</v>
      </c>
      <c r="L2" s="133" t="s">
        <v>121</v>
      </c>
    </row>
    <row r="3" spans="1:32" x14ac:dyDescent="0.25">
      <c r="A3" t="str">
        <f t="shared" si="0"/>
        <v>01 TS</v>
      </c>
      <c r="B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t="s">
        <v>173</v>
      </c>
      <c r="D3" t="s">
        <v>174</v>
      </c>
      <c r="E3" t="s">
        <v>175</v>
      </c>
      <c r="F3" t="s">
        <v>112</v>
      </c>
      <c r="G3">
        <v>697110</v>
      </c>
      <c r="K3" s="96" t="s">
        <v>154</v>
      </c>
      <c r="L3" s="96" t="s">
        <v>114</v>
      </c>
    </row>
    <row r="4" spans="1:32" x14ac:dyDescent="0.25">
      <c r="A4" t="str">
        <f t="shared" si="0"/>
        <v>01 TS</v>
      </c>
      <c r="B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t="s">
        <v>176</v>
      </c>
      <c r="D4" t="s">
        <v>177</v>
      </c>
      <c r="E4" t="s">
        <v>178</v>
      </c>
      <c r="F4" t="s">
        <v>112</v>
      </c>
      <c r="G4">
        <v>761329</v>
      </c>
      <c r="K4" s="96" t="s">
        <v>100</v>
      </c>
      <c r="L4" t="s">
        <v>1643</v>
      </c>
      <c r="M4" t="s">
        <v>1644</v>
      </c>
      <c r="N4" t="s">
        <v>1645</v>
      </c>
      <c r="O4" t="s">
        <v>1646</v>
      </c>
      <c r="P4" t="s">
        <v>1647</v>
      </c>
      <c r="Q4" t="s">
        <v>1648</v>
      </c>
      <c r="R4" t="s">
        <v>1649</v>
      </c>
      <c r="S4" t="s">
        <v>1650</v>
      </c>
      <c r="T4" t="s">
        <v>1651</v>
      </c>
      <c r="U4" t="s">
        <v>1652</v>
      </c>
      <c r="V4" t="s">
        <v>1653</v>
      </c>
      <c r="W4" t="s">
        <v>1654</v>
      </c>
      <c r="X4" t="s">
        <v>1655</v>
      </c>
      <c r="Y4" t="s">
        <v>1656</v>
      </c>
      <c r="Z4" t="s">
        <v>1657</v>
      </c>
      <c r="AA4" t="s">
        <v>1658</v>
      </c>
      <c r="AB4" t="s">
        <v>1659</v>
      </c>
      <c r="AC4" t="s">
        <v>1660</v>
      </c>
      <c r="AD4" t="s">
        <v>1661</v>
      </c>
      <c r="AE4" t="s">
        <v>1662</v>
      </c>
      <c r="AF4" t="s">
        <v>1663</v>
      </c>
    </row>
    <row r="5" spans="1:32" x14ac:dyDescent="0.25">
      <c r="A5" t="str">
        <f t="shared" si="0"/>
        <v>01 TS</v>
      </c>
      <c r="B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t="s">
        <v>179</v>
      </c>
      <c r="D5" t="s">
        <v>180</v>
      </c>
      <c r="E5" t="s">
        <v>181</v>
      </c>
      <c r="F5" t="s">
        <v>112</v>
      </c>
      <c r="G5">
        <v>264815</v>
      </c>
      <c r="K5" s="121" t="s">
        <v>164</v>
      </c>
      <c r="L5">
        <v>729219.5</v>
      </c>
      <c r="M5">
        <v>413015.66666666669</v>
      </c>
      <c r="N5">
        <v>908635.66666666663</v>
      </c>
      <c r="O5">
        <v>475216</v>
      </c>
      <c r="P5">
        <v>1070932</v>
      </c>
      <c r="Q5">
        <v>2366973.6666666665</v>
      </c>
      <c r="R5">
        <v>8194968.666666667</v>
      </c>
      <c r="S5">
        <v>292068.33333333331</v>
      </c>
      <c r="T5">
        <v>896321</v>
      </c>
      <c r="U5">
        <v>593315.33333333337</v>
      </c>
      <c r="V5">
        <v>420326.33333333331</v>
      </c>
      <c r="W5">
        <v>5132716.333333333</v>
      </c>
      <c r="X5">
        <v>5700422</v>
      </c>
      <c r="Y5">
        <v>3447653.6666666665</v>
      </c>
      <c r="Z5">
        <v>4565198.666666667</v>
      </c>
      <c r="AA5">
        <v>316575</v>
      </c>
      <c r="AB5">
        <v>3953894</v>
      </c>
      <c r="AC5">
        <v>3514468.6666666665</v>
      </c>
      <c r="AD5">
        <v>5397495</v>
      </c>
      <c r="AE5">
        <v>3812146.3333333335</v>
      </c>
      <c r="AF5">
        <v>5842440</v>
      </c>
    </row>
    <row r="6" spans="1:32" x14ac:dyDescent="0.25">
      <c r="A6" t="str">
        <f t="shared" si="0"/>
        <v>01 TS</v>
      </c>
      <c r="B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t="s">
        <v>182</v>
      </c>
      <c r="K6" s="121" t="s">
        <v>1664</v>
      </c>
      <c r="L6">
        <v>282713.5</v>
      </c>
      <c r="M6">
        <v>660285</v>
      </c>
      <c r="N6">
        <v>567244.33333333337</v>
      </c>
      <c r="O6">
        <v>450507.33333333331</v>
      </c>
      <c r="P6">
        <v>3767459</v>
      </c>
      <c r="Q6">
        <v>2932336</v>
      </c>
      <c r="R6">
        <v>5952994</v>
      </c>
      <c r="S6">
        <v>639646.33333333337</v>
      </c>
      <c r="T6">
        <v>185555.66666666666</v>
      </c>
      <c r="U6">
        <v>231331.66666666666</v>
      </c>
      <c r="V6">
        <v>1426614.3333333333</v>
      </c>
      <c r="X6">
        <v>3054033</v>
      </c>
      <c r="Y6">
        <v>2711970.3333333335</v>
      </c>
      <c r="Z6">
        <v>5159292.333333333</v>
      </c>
      <c r="AA6">
        <v>35084</v>
      </c>
      <c r="AB6">
        <v>5074611.333333333</v>
      </c>
      <c r="AC6">
        <v>5260779.666666667</v>
      </c>
      <c r="AD6">
        <v>6270838</v>
      </c>
      <c r="AE6">
        <v>6570052</v>
      </c>
      <c r="AF6">
        <v>3379541</v>
      </c>
    </row>
    <row r="7" spans="1:32" x14ac:dyDescent="0.25">
      <c r="A7" t="str">
        <f t="shared" si="0"/>
        <v>01 TS</v>
      </c>
      <c r="B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t="s">
        <v>183</v>
      </c>
      <c r="D7" t="s">
        <v>184</v>
      </c>
      <c r="E7" t="s">
        <v>185</v>
      </c>
      <c r="F7" t="s">
        <v>112</v>
      </c>
      <c r="G7">
        <v>300612</v>
      </c>
      <c r="K7" s="121" t="s">
        <v>1665</v>
      </c>
      <c r="L7">
        <v>184106.66666666666</v>
      </c>
      <c r="M7">
        <v>234886.33333333334</v>
      </c>
      <c r="N7">
        <v>458954</v>
      </c>
      <c r="O7">
        <v>859478.33333333337</v>
      </c>
      <c r="P7">
        <v>673187.33333333337</v>
      </c>
      <c r="Q7">
        <v>3818195.6666666665</v>
      </c>
      <c r="R7">
        <v>6442889.666666667</v>
      </c>
      <c r="S7">
        <v>35159.5</v>
      </c>
      <c r="T7">
        <v>171164.66666666666</v>
      </c>
      <c r="U7">
        <v>555290</v>
      </c>
      <c r="V7">
        <v>793572</v>
      </c>
      <c r="W7">
        <v>3019079</v>
      </c>
      <c r="X7">
        <v>2811014</v>
      </c>
      <c r="Y7">
        <v>3509818.5</v>
      </c>
      <c r="Z7">
        <v>4033622.3333333335</v>
      </c>
      <c r="AA7">
        <v>450990.66666666669</v>
      </c>
      <c r="AB7">
        <v>5036405.333333333</v>
      </c>
      <c r="AC7">
        <v>5678474.333333333</v>
      </c>
      <c r="AD7">
        <v>5158686.333333333</v>
      </c>
      <c r="AE7">
        <v>4598523</v>
      </c>
      <c r="AF7">
        <v>6780049</v>
      </c>
    </row>
    <row r="8" spans="1:32" x14ac:dyDescent="0.25">
      <c r="A8" t="str">
        <f t="shared" si="0"/>
        <v>01 TS</v>
      </c>
      <c r="B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t="s">
        <v>186</v>
      </c>
      <c r="D8" t="s">
        <v>187</v>
      </c>
      <c r="E8" t="s">
        <v>188</v>
      </c>
      <c r="F8" t="s">
        <v>112</v>
      </c>
      <c r="G8">
        <v>177019</v>
      </c>
      <c r="K8" s="121" t="s">
        <v>1666</v>
      </c>
      <c r="L8">
        <v>537741</v>
      </c>
      <c r="M8">
        <v>378660</v>
      </c>
      <c r="N8">
        <v>947093.66666666663</v>
      </c>
      <c r="O8">
        <v>855534.33333333337</v>
      </c>
      <c r="P8">
        <v>1056014.6666666667</v>
      </c>
      <c r="Q8">
        <v>4073961.6666666665</v>
      </c>
      <c r="R8">
        <v>6987249</v>
      </c>
      <c r="S8">
        <v>680671</v>
      </c>
      <c r="T8">
        <v>75048.333333333328</v>
      </c>
      <c r="U8">
        <v>835880</v>
      </c>
      <c r="V8">
        <v>3350946.5</v>
      </c>
      <c r="W8">
        <v>1340390</v>
      </c>
      <c r="X8">
        <v>2858974.3333333335</v>
      </c>
      <c r="Y8">
        <v>3232868.6666666665</v>
      </c>
      <c r="Z8">
        <v>3484035.3333333335</v>
      </c>
      <c r="AA8">
        <v>423376.33333333331</v>
      </c>
      <c r="AB8">
        <v>3682720.3333333335</v>
      </c>
      <c r="AC8">
        <v>3979028</v>
      </c>
      <c r="AD8">
        <v>3793991.5</v>
      </c>
      <c r="AE8">
        <v>3533358.6666666665</v>
      </c>
      <c r="AF8">
        <v>6393559</v>
      </c>
    </row>
    <row r="9" spans="1:32" x14ac:dyDescent="0.25">
      <c r="A9" t="str">
        <f t="shared" si="0"/>
        <v>01 TS</v>
      </c>
      <c r="B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t="s">
        <v>189</v>
      </c>
      <c r="D9" t="s">
        <v>190</v>
      </c>
      <c r="E9" t="s">
        <v>191</v>
      </c>
      <c r="F9" t="s">
        <v>112</v>
      </c>
      <c r="G9">
        <v>46829</v>
      </c>
      <c r="K9" s="121" t="s">
        <v>1667</v>
      </c>
      <c r="L9">
        <v>342650</v>
      </c>
      <c r="M9">
        <v>103830.33333333333</v>
      </c>
      <c r="N9">
        <v>505836.66666666669</v>
      </c>
      <c r="O9">
        <v>219406.33333333334</v>
      </c>
      <c r="P9">
        <v>2359100.6666666665</v>
      </c>
      <c r="Q9">
        <v>1528620.3333333333</v>
      </c>
      <c r="R9">
        <v>4390977</v>
      </c>
      <c r="S9">
        <v>310281</v>
      </c>
      <c r="T9">
        <v>672437.33333333337</v>
      </c>
      <c r="U9">
        <v>783420</v>
      </c>
      <c r="V9">
        <v>2390881.6666666665</v>
      </c>
      <c r="W9">
        <v>4075836.3333333335</v>
      </c>
      <c r="X9">
        <v>3195449</v>
      </c>
      <c r="Y9">
        <v>4445570.333333333</v>
      </c>
      <c r="Z9">
        <v>2478576.6666666665</v>
      </c>
      <c r="AA9">
        <v>181958</v>
      </c>
      <c r="AB9">
        <v>4368892.666666667</v>
      </c>
      <c r="AC9">
        <v>5344628</v>
      </c>
      <c r="AD9">
        <v>4611962</v>
      </c>
      <c r="AE9">
        <v>3855204.3333333335</v>
      </c>
      <c r="AF9">
        <v>3475859</v>
      </c>
    </row>
    <row r="10" spans="1:32" x14ac:dyDescent="0.25">
      <c r="A10" t="str">
        <f t="shared" si="0"/>
        <v>01 TS</v>
      </c>
      <c r="B1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t="s">
        <v>192</v>
      </c>
      <c r="D10" t="s">
        <v>193</v>
      </c>
      <c r="E10" t="s">
        <v>194</v>
      </c>
      <c r="F10" t="s">
        <v>112</v>
      </c>
      <c r="G10">
        <v>328472</v>
      </c>
      <c r="K10" s="121" t="s">
        <v>1668</v>
      </c>
      <c r="L10">
        <v>893282</v>
      </c>
      <c r="N10">
        <v>682279</v>
      </c>
      <c r="P10">
        <v>252074.66666666666</v>
      </c>
      <c r="Q10">
        <v>2462916.6666666665</v>
      </c>
      <c r="R10">
        <v>4346931</v>
      </c>
      <c r="S10">
        <v>333417.33333333331</v>
      </c>
      <c r="T10">
        <v>1192686.6666666667</v>
      </c>
      <c r="U10">
        <v>556616.66666666663</v>
      </c>
      <c r="V10">
        <v>721277.66666666663</v>
      </c>
      <c r="W10">
        <v>3379455</v>
      </c>
      <c r="X10">
        <v>3910728</v>
      </c>
      <c r="Y10">
        <v>3696188.6666666665</v>
      </c>
      <c r="Z10">
        <v>3579639.3333333335</v>
      </c>
      <c r="AA10">
        <v>105539.66666666667</v>
      </c>
      <c r="AB10">
        <v>4825305</v>
      </c>
      <c r="AC10">
        <v>32802</v>
      </c>
      <c r="AD10">
        <v>3965898.6666666665</v>
      </c>
      <c r="AE10">
        <v>2793083</v>
      </c>
      <c r="AF10">
        <v>5557628.333333333</v>
      </c>
    </row>
    <row r="11" spans="1:32" x14ac:dyDescent="0.25">
      <c r="A11" t="str">
        <f t="shared" si="0"/>
        <v>01 TS</v>
      </c>
      <c r="B1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t="s">
        <v>195</v>
      </c>
      <c r="D11" t="s">
        <v>196</v>
      </c>
      <c r="E11" t="s">
        <v>197</v>
      </c>
      <c r="F11" t="s">
        <v>112</v>
      </c>
      <c r="G11">
        <v>864309</v>
      </c>
      <c r="K11" s="121" t="s">
        <v>1669</v>
      </c>
      <c r="L11">
        <v>308961</v>
      </c>
      <c r="M11">
        <v>412864.33333333331</v>
      </c>
      <c r="P11">
        <v>2308053.6666666665</v>
      </c>
      <c r="Q11">
        <v>713058.33333333337</v>
      </c>
      <c r="R11">
        <v>5154685</v>
      </c>
      <c r="S11">
        <v>201122</v>
      </c>
      <c r="T11">
        <v>893758</v>
      </c>
      <c r="U11">
        <v>1711963</v>
      </c>
      <c r="V11">
        <v>909148</v>
      </c>
      <c r="X11">
        <v>1448309</v>
      </c>
      <c r="Y11">
        <v>2895096.5</v>
      </c>
      <c r="Z11">
        <v>3431546.6666666665</v>
      </c>
      <c r="AA11">
        <v>415878</v>
      </c>
      <c r="AB11">
        <v>2937739.5</v>
      </c>
      <c r="AC11">
        <v>5504902</v>
      </c>
      <c r="AD11">
        <v>5336751.333333333</v>
      </c>
      <c r="AE11">
        <v>4948985</v>
      </c>
      <c r="AF11">
        <v>4730234.333333333</v>
      </c>
    </row>
    <row r="12" spans="1:32" x14ac:dyDescent="0.25">
      <c r="A12" t="str">
        <f t="shared" si="0"/>
        <v>01 TS</v>
      </c>
      <c r="B1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t="s">
        <v>198</v>
      </c>
      <c r="D12" t="s">
        <v>199</v>
      </c>
      <c r="E12" t="s">
        <v>200</v>
      </c>
      <c r="F12" t="s">
        <v>112</v>
      </c>
      <c r="G12">
        <v>211173</v>
      </c>
      <c r="K12" s="121" t="s">
        <v>1670</v>
      </c>
      <c r="L12">
        <v>261159.33333333334</v>
      </c>
      <c r="M12">
        <v>864258.66666666663</v>
      </c>
      <c r="N12">
        <v>270784.66666666669</v>
      </c>
      <c r="O12">
        <v>229633.5</v>
      </c>
      <c r="P12">
        <v>1703195.3333333333</v>
      </c>
      <c r="Q12">
        <v>3234138</v>
      </c>
      <c r="R12">
        <v>5845320.666666667</v>
      </c>
      <c r="S12">
        <v>176817.33333333334</v>
      </c>
      <c r="T12">
        <v>412648</v>
      </c>
      <c r="V12">
        <v>1172282.6666666667</v>
      </c>
      <c r="X12">
        <v>4555724.333333333</v>
      </c>
      <c r="Y12">
        <v>3916799</v>
      </c>
      <c r="Z12">
        <v>4351188.5</v>
      </c>
      <c r="AA12">
        <v>90809.333333333328</v>
      </c>
      <c r="AB12">
        <v>2767516.3333333335</v>
      </c>
      <c r="AC12">
        <v>2103125</v>
      </c>
      <c r="AD12">
        <v>4050868.3333333335</v>
      </c>
      <c r="AE12">
        <v>5272589.666666667</v>
      </c>
      <c r="AF12">
        <v>4674350</v>
      </c>
    </row>
    <row r="13" spans="1:32" x14ac:dyDescent="0.25">
      <c r="A13" t="str">
        <f t="shared" si="0"/>
        <v>01 TS</v>
      </c>
      <c r="B1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t="s">
        <v>201</v>
      </c>
    </row>
    <row r="14" spans="1:32" x14ac:dyDescent="0.25">
      <c r="A14" t="str">
        <f t="shared" si="0"/>
        <v>01 TS</v>
      </c>
      <c r="B1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t="s">
        <v>202</v>
      </c>
      <c r="D14" t="s">
        <v>203</v>
      </c>
      <c r="E14" t="s">
        <v>204</v>
      </c>
      <c r="F14" t="s">
        <v>112</v>
      </c>
      <c r="G14">
        <v>451005</v>
      </c>
    </row>
    <row r="15" spans="1:32" x14ac:dyDescent="0.25">
      <c r="A15" t="str">
        <f t="shared" si="0"/>
        <v>01 TS</v>
      </c>
      <c r="B1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t="s">
        <v>205</v>
      </c>
      <c r="D15" t="s">
        <v>206</v>
      </c>
      <c r="E15" t="s">
        <v>207</v>
      </c>
      <c r="F15" t="s">
        <v>112</v>
      </c>
      <c r="G15">
        <v>234295</v>
      </c>
    </row>
    <row r="16" spans="1:32" x14ac:dyDescent="0.25">
      <c r="A16" t="str">
        <f t="shared" si="0"/>
        <v>01 TS</v>
      </c>
      <c r="B1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t="s">
        <v>208</v>
      </c>
    </row>
    <row r="17" spans="1:10" x14ac:dyDescent="0.25">
      <c r="A17" t="str">
        <f t="shared" si="0"/>
        <v>01 TS</v>
      </c>
      <c r="B1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t="s">
        <v>209</v>
      </c>
      <c r="D17" t="s">
        <v>210</v>
      </c>
      <c r="E17" t="s">
        <v>211</v>
      </c>
      <c r="F17" t="s">
        <v>112</v>
      </c>
      <c r="G17">
        <v>882175</v>
      </c>
    </row>
    <row r="18" spans="1:10" x14ac:dyDescent="0.25">
      <c r="A18" t="str">
        <f t="shared" si="0"/>
        <v>01 TS</v>
      </c>
      <c r="B1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t="s">
        <v>212</v>
      </c>
      <c r="D18" t="s">
        <v>213</v>
      </c>
      <c r="E18" t="s">
        <v>214</v>
      </c>
      <c r="F18" t="s">
        <v>112</v>
      </c>
      <c r="G18">
        <v>904389</v>
      </c>
    </row>
    <row r="19" spans="1:10" x14ac:dyDescent="0.25">
      <c r="A19" t="str">
        <f t="shared" si="0"/>
        <v>01 TS</v>
      </c>
      <c r="B1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t="s">
        <v>215</v>
      </c>
    </row>
    <row r="20" spans="1:10" x14ac:dyDescent="0.25">
      <c r="A20" t="str">
        <f t="shared" si="0"/>
        <v>01 TS</v>
      </c>
      <c r="B2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t="s">
        <v>216</v>
      </c>
      <c r="D20" t="s">
        <v>217</v>
      </c>
      <c r="E20" t="s">
        <v>218</v>
      </c>
      <c r="F20" t="s">
        <v>112</v>
      </c>
      <c r="G20">
        <v>408956</v>
      </c>
    </row>
    <row r="21" spans="1:10" x14ac:dyDescent="0.25">
      <c r="A21" t="str">
        <f t="shared" si="0"/>
        <v>01 TS</v>
      </c>
      <c r="B2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t="s">
        <v>219</v>
      </c>
      <c r="D21" t="s">
        <v>220</v>
      </c>
      <c r="E21" t="s">
        <v>221</v>
      </c>
      <c r="F21" t="s">
        <v>112</v>
      </c>
      <c r="G21">
        <v>179982</v>
      </c>
    </row>
    <row r="22" spans="1:10" x14ac:dyDescent="0.25">
      <c r="A22" t="str">
        <f t="shared" si="0"/>
        <v>01 TS</v>
      </c>
      <c r="B2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t="s">
        <v>222</v>
      </c>
      <c r="D22" t="s">
        <v>223</v>
      </c>
      <c r="E22" t="s">
        <v>224</v>
      </c>
      <c r="F22" t="s">
        <v>112</v>
      </c>
      <c r="G22">
        <v>337945</v>
      </c>
    </row>
    <row r="23" spans="1:10" x14ac:dyDescent="0.25">
      <c r="A23" t="str">
        <f t="shared" si="0"/>
        <v>01 TS</v>
      </c>
      <c r="B2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t="s">
        <v>225</v>
      </c>
      <c r="D23" t="s">
        <v>226</v>
      </c>
      <c r="E23" t="s">
        <v>227</v>
      </c>
      <c r="F23" t="s">
        <v>112</v>
      </c>
      <c r="G23">
        <v>407421</v>
      </c>
    </row>
    <row r="24" spans="1:10" x14ac:dyDescent="0.25">
      <c r="A24" t="str">
        <f t="shared" si="0"/>
        <v>01 TS</v>
      </c>
      <c r="B2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t="s">
        <v>228</v>
      </c>
      <c r="D24" t="s">
        <v>229</v>
      </c>
      <c r="E24" t="s">
        <v>230</v>
      </c>
      <c r="F24" t="s">
        <v>112</v>
      </c>
      <c r="G24">
        <v>130212</v>
      </c>
    </row>
    <row r="25" spans="1:10" x14ac:dyDescent="0.25">
      <c r="A25" t="str">
        <f t="shared" si="0"/>
        <v>01 TS</v>
      </c>
      <c r="B2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t="s">
        <v>231</v>
      </c>
      <c r="D25" t="s">
        <v>232</v>
      </c>
      <c r="E25" t="s">
        <v>233</v>
      </c>
      <c r="F25" t="s">
        <v>112</v>
      </c>
      <c r="G25">
        <v>245845</v>
      </c>
    </row>
    <row r="26" spans="1:10" x14ac:dyDescent="0.25">
      <c r="A26" t="str">
        <f t="shared" si="0"/>
        <v/>
      </c>
      <c r="B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t="s">
        <v>112</v>
      </c>
    </row>
    <row r="27" spans="1:10" x14ac:dyDescent="0.25">
      <c r="A27" t="str">
        <f t="shared" si="0"/>
        <v/>
      </c>
      <c r="B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t="s">
        <v>234</v>
      </c>
      <c r="D27" t="s">
        <v>112</v>
      </c>
      <c r="E27" t="s">
        <v>235</v>
      </c>
      <c r="F27" t="s">
        <v>236</v>
      </c>
      <c r="G27" t="s">
        <v>237</v>
      </c>
      <c r="H27" t="s">
        <v>238</v>
      </c>
      <c r="I27" t="s">
        <v>239</v>
      </c>
      <c r="J27" t="s">
        <v>240</v>
      </c>
    </row>
    <row r="28" spans="1:10" x14ac:dyDescent="0.25">
      <c r="A28" t="str">
        <f t="shared" si="0"/>
        <v>01 TS</v>
      </c>
      <c r="B2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t="s">
        <v>241</v>
      </c>
      <c r="D28" t="s">
        <v>112</v>
      </c>
      <c r="E28" t="s">
        <v>242</v>
      </c>
      <c r="F28" t="s">
        <v>243</v>
      </c>
      <c r="G28" t="s">
        <v>244</v>
      </c>
      <c r="H28" t="s">
        <v>245</v>
      </c>
      <c r="I28">
        <v>24</v>
      </c>
      <c r="J28">
        <v>24</v>
      </c>
    </row>
    <row r="29" spans="1:10" x14ac:dyDescent="0.25">
      <c r="A29" t="str">
        <f t="shared" si="0"/>
        <v/>
      </c>
      <c r="B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t="s">
        <v>112</v>
      </c>
    </row>
    <row r="30" spans="1:10" x14ac:dyDescent="0.25">
      <c r="A30" t="str">
        <f t="shared" si="0"/>
        <v/>
      </c>
      <c r="B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t="s">
        <v>112</v>
      </c>
    </row>
    <row r="31" spans="1:10" x14ac:dyDescent="0.25">
      <c r="A31" t="str">
        <f t="shared" si="0"/>
        <v/>
      </c>
      <c r="B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t="s">
        <v>112</v>
      </c>
    </row>
    <row r="32" spans="1:10" x14ac:dyDescent="0.25">
      <c r="A32" t="str">
        <f t="shared" si="0"/>
        <v/>
      </c>
      <c r="B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t="s">
        <v>112</v>
      </c>
    </row>
    <row r="33" spans="1:7" x14ac:dyDescent="0.25">
      <c r="A33" t="str">
        <f t="shared" si="0"/>
        <v/>
      </c>
      <c r="B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t="s">
        <v>112</v>
      </c>
    </row>
    <row r="34" spans="1:7" x14ac:dyDescent="0.25">
      <c r="A34" t="str">
        <f t="shared" si="0"/>
        <v/>
      </c>
      <c r="B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t="s">
        <v>246</v>
      </c>
      <c r="D34" t="s">
        <v>110</v>
      </c>
      <c r="E34" t="s">
        <v>111</v>
      </c>
      <c r="F34" t="s">
        <v>112</v>
      </c>
      <c r="G34" t="s">
        <v>113</v>
      </c>
    </row>
    <row r="35" spans="1:7" x14ac:dyDescent="0.25">
      <c r="A35" t="str">
        <f t="shared" si="0"/>
        <v>02 EE2 34</v>
      </c>
      <c r="B3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t="s">
        <v>247</v>
      </c>
      <c r="D35" t="s">
        <v>248</v>
      </c>
      <c r="E35" t="s">
        <v>249</v>
      </c>
      <c r="F35" t="s">
        <v>112</v>
      </c>
      <c r="G35">
        <v>426412</v>
      </c>
    </row>
    <row r="36" spans="1:7" x14ac:dyDescent="0.25">
      <c r="A36" t="str">
        <f t="shared" si="0"/>
        <v>02 EE2 34</v>
      </c>
      <c r="B3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t="s">
        <v>250</v>
      </c>
      <c r="D36" t="s">
        <v>251</v>
      </c>
      <c r="E36" t="s">
        <v>252</v>
      </c>
      <c r="F36" t="s">
        <v>112</v>
      </c>
      <c r="G36">
        <v>521908</v>
      </c>
    </row>
    <row r="37" spans="1:7" x14ac:dyDescent="0.25">
      <c r="A37" t="str">
        <f t="shared" si="0"/>
        <v>02 EE2 34</v>
      </c>
      <c r="B3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t="s">
        <v>253</v>
      </c>
      <c r="D37" t="s">
        <v>254</v>
      </c>
      <c r="E37" t="s">
        <v>255</v>
      </c>
      <c r="F37" t="s">
        <v>112</v>
      </c>
      <c r="G37">
        <v>290727</v>
      </c>
    </row>
    <row r="38" spans="1:7" x14ac:dyDescent="0.25">
      <c r="A38" t="str">
        <f t="shared" si="0"/>
        <v>02 EE2 34</v>
      </c>
      <c r="B3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t="s">
        <v>256</v>
      </c>
      <c r="D38" t="s">
        <v>257</v>
      </c>
      <c r="E38" t="s">
        <v>258</v>
      </c>
      <c r="F38" t="s">
        <v>112</v>
      </c>
      <c r="G38">
        <v>762584</v>
      </c>
    </row>
    <row r="39" spans="1:7" x14ac:dyDescent="0.25">
      <c r="A39" t="str">
        <f t="shared" si="0"/>
        <v>02 EE2 34</v>
      </c>
      <c r="B3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t="s">
        <v>259</v>
      </c>
    </row>
    <row r="40" spans="1:7" x14ac:dyDescent="0.25">
      <c r="A40" t="str">
        <f t="shared" si="0"/>
        <v>02 EE2 34</v>
      </c>
      <c r="B4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t="s">
        <v>260</v>
      </c>
      <c r="D40" t="s">
        <v>261</v>
      </c>
      <c r="E40" t="s">
        <v>262</v>
      </c>
      <c r="F40" t="s">
        <v>112</v>
      </c>
      <c r="G40">
        <v>557986</v>
      </c>
    </row>
    <row r="41" spans="1:7" x14ac:dyDescent="0.25">
      <c r="A41" t="str">
        <f t="shared" si="0"/>
        <v>02 EE2 34</v>
      </c>
      <c r="B4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t="s">
        <v>263</v>
      </c>
      <c r="D41" t="s">
        <v>264</v>
      </c>
      <c r="E41" t="s">
        <v>265</v>
      </c>
      <c r="F41" t="s">
        <v>112</v>
      </c>
      <c r="G41">
        <v>395200</v>
      </c>
    </row>
    <row r="42" spans="1:7" x14ac:dyDescent="0.25">
      <c r="A42" t="str">
        <f t="shared" si="0"/>
        <v>02 EE2 34</v>
      </c>
      <c r="B4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t="s">
        <v>266</v>
      </c>
      <c r="D42" t="s">
        <v>267</v>
      </c>
      <c r="E42" t="s">
        <v>268</v>
      </c>
      <c r="F42" t="s">
        <v>112</v>
      </c>
      <c r="G42">
        <v>119657</v>
      </c>
    </row>
    <row r="43" spans="1:7" x14ac:dyDescent="0.25">
      <c r="A43" t="str">
        <f t="shared" si="0"/>
        <v>02 EE2 34</v>
      </c>
      <c r="B4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t="s">
        <v>269</v>
      </c>
      <c r="D43" t="s">
        <v>270</v>
      </c>
      <c r="E43" t="s">
        <v>271</v>
      </c>
      <c r="F43" t="s">
        <v>112</v>
      </c>
      <c r="G43">
        <v>189802</v>
      </c>
    </row>
    <row r="44" spans="1:7" x14ac:dyDescent="0.25">
      <c r="A44" t="str">
        <f t="shared" si="0"/>
        <v>02 EE2 34</v>
      </c>
      <c r="B4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t="s">
        <v>272</v>
      </c>
      <c r="D44" t="s">
        <v>273</v>
      </c>
      <c r="E44" t="s">
        <v>274</v>
      </c>
      <c r="F44" t="s">
        <v>112</v>
      </c>
      <c r="G44">
        <v>206998</v>
      </c>
    </row>
    <row r="45" spans="1:7" x14ac:dyDescent="0.25">
      <c r="A45" t="str">
        <f t="shared" si="0"/>
        <v>02 EE2 34</v>
      </c>
      <c r="B4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t="s">
        <v>275</v>
      </c>
      <c r="D45" t="s">
        <v>276</v>
      </c>
      <c r="E45" t="s">
        <v>277</v>
      </c>
      <c r="F45" t="s">
        <v>112</v>
      </c>
      <c r="G45">
        <v>709439</v>
      </c>
    </row>
    <row r="46" spans="1:7" x14ac:dyDescent="0.25">
      <c r="A46" t="str">
        <f t="shared" si="0"/>
        <v>02 EE2 34</v>
      </c>
      <c r="B4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t="s">
        <v>278</v>
      </c>
      <c r="D46" t="s">
        <v>279</v>
      </c>
      <c r="E46" t="s">
        <v>280</v>
      </c>
      <c r="F46" t="s">
        <v>112</v>
      </c>
      <c r="G46">
        <v>219543</v>
      </c>
    </row>
    <row r="47" spans="1:7" x14ac:dyDescent="0.25">
      <c r="A47" t="str">
        <f t="shared" si="0"/>
        <v>02 EE2 34</v>
      </c>
      <c r="B4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t="s">
        <v>281</v>
      </c>
      <c r="D47" t="s">
        <v>282</v>
      </c>
      <c r="E47" t="s">
        <v>283</v>
      </c>
      <c r="F47" t="s">
        <v>112</v>
      </c>
      <c r="G47">
        <v>94414</v>
      </c>
    </row>
    <row r="48" spans="1:7" x14ac:dyDescent="0.25">
      <c r="A48" t="str">
        <f t="shared" si="0"/>
        <v>02 EE2 34</v>
      </c>
      <c r="B4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t="s">
        <v>284</v>
      </c>
      <c r="D48" t="s">
        <v>285</v>
      </c>
      <c r="E48" t="s">
        <v>286</v>
      </c>
      <c r="F48" t="s">
        <v>112</v>
      </c>
      <c r="G48">
        <v>75380</v>
      </c>
    </row>
    <row r="49" spans="1:10" x14ac:dyDescent="0.25">
      <c r="A49" t="str">
        <f t="shared" si="0"/>
        <v>02 EE2 34</v>
      </c>
      <c r="B4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t="s">
        <v>287</v>
      </c>
      <c r="D49" t="s">
        <v>288</v>
      </c>
      <c r="E49" t="s">
        <v>289</v>
      </c>
      <c r="F49" t="s">
        <v>112</v>
      </c>
      <c r="G49">
        <v>141697</v>
      </c>
    </row>
    <row r="50" spans="1:10" x14ac:dyDescent="0.25">
      <c r="A50" t="str">
        <f t="shared" si="0"/>
        <v>02 EE2 34</v>
      </c>
      <c r="B5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t="s">
        <v>290</v>
      </c>
    </row>
    <row r="51" spans="1:10" x14ac:dyDescent="0.25">
      <c r="A51" t="str">
        <f t="shared" si="0"/>
        <v>02 EE2 34</v>
      </c>
      <c r="B5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t="s">
        <v>291</v>
      </c>
    </row>
    <row r="52" spans="1:10" x14ac:dyDescent="0.25">
      <c r="A52" t="str">
        <f t="shared" si="0"/>
        <v>02 EE2 34</v>
      </c>
      <c r="B5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t="s">
        <v>292</v>
      </c>
    </row>
    <row r="53" spans="1:10" x14ac:dyDescent="0.25">
      <c r="A53" t="str">
        <f t="shared" si="0"/>
        <v>02 EE2 34</v>
      </c>
      <c r="B5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t="s">
        <v>293</v>
      </c>
      <c r="D53" t="s">
        <v>294</v>
      </c>
      <c r="E53" t="s">
        <v>295</v>
      </c>
      <c r="F53" t="s">
        <v>112</v>
      </c>
      <c r="G53">
        <v>56735</v>
      </c>
    </row>
    <row r="54" spans="1:10" x14ac:dyDescent="0.25">
      <c r="A54" t="str">
        <f t="shared" si="0"/>
        <v>02 EE2 34</v>
      </c>
      <c r="B5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t="s">
        <v>296</v>
      </c>
      <c r="D54" t="s">
        <v>297</v>
      </c>
      <c r="E54" t="s">
        <v>298</v>
      </c>
      <c r="F54" t="s">
        <v>112</v>
      </c>
      <c r="G54">
        <v>695661</v>
      </c>
    </row>
    <row r="55" spans="1:10" x14ac:dyDescent="0.25">
      <c r="A55" t="str">
        <f t="shared" si="0"/>
        <v>02 EE2 34</v>
      </c>
      <c r="B5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t="s">
        <v>299</v>
      </c>
      <c r="D55" t="s">
        <v>300</v>
      </c>
      <c r="E55" t="s">
        <v>301</v>
      </c>
      <c r="F55" t="s">
        <v>112</v>
      </c>
      <c r="G55">
        <v>486197</v>
      </c>
    </row>
    <row r="56" spans="1:10" x14ac:dyDescent="0.25">
      <c r="A56" t="str">
        <f t="shared" si="0"/>
        <v>02 EE2 34</v>
      </c>
      <c r="B5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t="s">
        <v>302</v>
      </c>
      <c r="D56" t="s">
        <v>303</v>
      </c>
      <c r="E56" t="s">
        <v>304</v>
      </c>
      <c r="F56" t="s">
        <v>112</v>
      </c>
      <c r="G56">
        <v>824791</v>
      </c>
    </row>
    <row r="57" spans="1:10" x14ac:dyDescent="0.25">
      <c r="A57" t="str">
        <f t="shared" si="0"/>
        <v>02 EE2 34</v>
      </c>
      <c r="B5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t="s">
        <v>305</v>
      </c>
      <c r="D57" t="s">
        <v>306</v>
      </c>
      <c r="E57" t="s">
        <v>307</v>
      </c>
      <c r="F57" t="s">
        <v>112</v>
      </c>
      <c r="G57">
        <v>915529</v>
      </c>
    </row>
    <row r="58" spans="1:10" x14ac:dyDescent="0.25">
      <c r="A58" t="str">
        <f t="shared" si="0"/>
        <v>02 EE2 34</v>
      </c>
      <c r="B5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t="s">
        <v>308</v>
      </c>
      <c r="D58" t="s">
        <v>309</v>
      </c>
      <c r="E58" t="s">
        <v>310</v>
      </c>
      <c r="F58" t="s">
        <v>112</v>
      </c>
      <c r="G58">
        <v>852456</v>
      </c>
    </row>
    <row r="59" spans="1:10" x14ac:dyDescent="0.25">
      <c r="A59" t="str">
        <f t="shared" si="0"/>
        <v/>
      </c>
      <c r="B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t="s">
        <v>112</v>
      </c>
    </row>
    <row r="60" spans="1:10" x14ac:dyDescent="0.25">
      <c r="A60" t="str">
        <f t="shared" si="0"/>
        <v/>
      </c>
      <c r="B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t="s">
        <v>234</v>
      </c>
      <c r="D60" t="s">
        <v>112</v>
      </c>
      <c r="E60" t="s">
        <v>235</v>
      </c>
      <c r="F60" t="s">
        <v>236</v>
      </c>
      <c r="G60" t="s">
        <v>237</v>
      </c>
      <c r="H60" t="s">
        <v>238</v>
      </c>
      <c r="I60" t="s">
        <v>239</v>
      </c>
      <c r="J60" t="s">
        <v>240</v>
      </c>
    </row>
    <row r="61" spans="1:10" x14ac:dyDescent="0.25">
      <c r="A61" t="str">
        <f t="shared" si="0"/>
        <v>02 EE2 34</v>
      </c>
      <c r="B6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t="s">
        <v>311</v>
      </c>
      <c r="D61" t="s">
        <v>112</v>
      </c>
      <c r="E61" t="s">
        <v>312</v>
      </c>
      <c r="F61" t="s">
        <v>313</v>
      </c>
      <c r="G61" t="s">
        <v>314</v>
      </c>
      <c r="H61" t="s">
        <v>315</v>
      </c>
      <c r="I61">
        <v>24</v>
      </c>
      <c r="J61">
        <v>24</v>
      </c>
    </row>
    <row r="62" spans="1:10" x14ac:dyDescent="0.25">
      <c r="A62" t="str">
        <f t="shared" si="0"/>
        <v/>
      </c>
      <c r="B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t="s">
        <v>112</v>
      </c>
    </row>
    <row r="63" spans="1:10" x14ac:dyDescent="0.25">
      <c r="A63" t="str">
        <f t="shared" si="0"/>
        <v/>
      </c>
      <c r="B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t="s">
        <v>112</v>
      </c>
    </row>
    <row r="64" spans="1:10" x14ac:dyDescent="0.25">
      <c r="A64" t="str">
        <f t="shared" si="0"/>
        <v/>
      </c>
      <c r="B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t="s">
        <v>112</v>
      </c>
    </row>
    <row r="65" spans="1:7" x14ac:dyDescent="0.25">
      <c r="A65" t="str">
        <f t="shared" si="0"/>
        <v/>
      </c>
      <c r="B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t="s">
        <v>112</v>
      </c>
    </row>
    <row r="66" spans="1:7" x14ac:dyDescent="0.25">
      <c r="A66" t="str">
        <f t="shared" ref="A66:A129" si="1">IFERROR(LEFT(RIGHT(C66,LEN(C66)-SEARCH("@",C66)),SEARCH("/",RIGHT(C66,LEN(C66)-SEARCH("@",C66)-1))),"")</f>
        <v/>
      </c>
      <c r="B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t="s">
        <v>112</v>
      </c>
    </row>
    <row r="67" spans="1:7" x14ac:dyDescent="0.25">
      <c r="A67" t="str">
        <f t="shared" si="1"/>
        <v/>
      </c>
      <c r="B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t="s">
        <v>246</v>
      </c>
      <c r="D67" t="s">
        <v>110</v>
      </c>
      <c r="E67" t="s">
        <v>111</v>
      </c>
      <c r="F67" t="s">
        <v>112</v>
      </c>
      <c r="G67" t="s">
        <v>113</v>
      </c>
    </row>
    <row r="68" spans="1:7" x14ac:dyDescent="0.25">
      <c r="A68" t="str">
        <f t="shared" si="1"/>
        <v>03 EE2 51</v>
      </c>
      <c r="B6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t="s">
        <v>316</v>
      </c>
      <c r="D68" t="s">
        <v>317</v>
      </c>
      <c r="E68" t="s">
        <v>318</v>
      </c>
      <c r="F68" t="s">
        <v>112</v>
      </c>
      <c r="G68">
        <v>935536</v>
      </c>
    </row>
    <row r="69" spans="1:7" x14ac:dyDescent="0.25">
      <c r="A69" t="str">
        <f t="shared" si="1"/>
        <v>03 EE2 51</v>
      </c>
      <c r="B6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t="s">
        <v>319</v>
      </c>
      <c r="D69" t="s">
        <v>320</v>
      </c>
      <c r="E69" t="s">
        <v>321</v>
      </c>
      <c r="F69" t="s">
        <v>112</v>
      </c>
      <c r="G69">
        <v>1069771</v>
      </c>
    </row>
    <row r="70" spans="1:7" x14ac:dyDescent="0.25">
      <c r="A70" t="str">
        <f t="shared" si="1"/>
        <v>03 EE2 51</v>
      </c>
      <c r="B7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t="s">
        <v>322</v>
      </c>
      <c r="D70" t="s">
        <v>323</v>
      </c>
      <c r="E70" t="s">
        <v>324</v>
      </c>
      <c r="F70" t="s">
        <v>112</v>
      </c>
      <c r="G70">
        <v>720600</v>
      </c>
    </row>
    <row r="71" spans="1:7" x14ac:dyDescent="0.25">
      <c r="A71" t="str">
        <f t="shared" si="1"/>
        <v>03 EE2 51</v>
      </c>
      <c r="B7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t="s">
        <v>325</v>
      </c>
      <c r="D71" t="s">
        <v>326</v>
      </c>
      <c r="E71" t="s">
        <v>327</v>
      </c>
      <c r="F71" t="s">
        <v>112</v>
      </c>
      <c r="G71">
        <v>714825</v>
      </c>
    </row>
    <row r="72" spans="1:7" x14ac:dyDescent="0.25">
      <c r="A72" t="str">
        <f t="shared" si="1"/>
        <v>03 EE2 51</v>
      </c>
      <c r="B7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t="s">
        <v>328</v>
      </c>
      <c r="D72" t="s">
        <v>329</v>
      </c>
      <c r="E72" t="s">
        <v>330</v>
      </c>
      <c r="F72" t="s">
        <v>112</v>
      </c>
      <c r="G72">
        <v>364118</v>
      </c>
    </row>
    <row r="73" spans="1:7" x14ac:dyDescent="0.25">
      <c r="A73" t="str">
        <f t="shared" si="1"/>
        <v>03 EE2 51</v>
      </c>
      <c r="B7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t="s">
        <v>331</v>
      </c>
      <c r="D73" t="s">
        <v>332</v>
      </c>
      <c r="E73" t="s">
        <v>333</v>
      </c>
      <c r="F73" t="s">
        <v>112</v>
      </c>
      <c r="G73">
        <v>622790</v>
      </c>
    </row>
    <row r="74" spans="1:7" x14ac:dyDescent="0.25">
      <c r="A74" t="str">
        <f t="shared" si="1"/>
        <v>03 EE2 51</v>
      </c>
      <c r="B7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t="s">
        <v>334</v>
      </c>
    </row>
    <row r="75" spans="1:7" x14ac:dyDescent="0.25">
      <c r="A75" t="str">
        <f t="shared" si="1"/>
        <v>03 EE2 51</v>
      </c>
      <c r="B7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t="s">
        <v>335</v>
      </c>
      <c r="D75" t="s">
        <v>336</v>
      </c>
      <c r="E75" t="s">
        <v>337</v>
      </c>
      <c r="F75" t="s">
        <v>112</v>
      </c>
      <c r="G75">
        <v>145115</v>
      </c>
    </row>
    <row r="76" spans="1:7" x14ac:dyDescent="0.25">
      <c r="A76" t="str">
        <f t="shared" si="1"/>
        <v>03 EE2 51</v>
      </c>
      <c r="B7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t="s">
        <v>338</v>
      </c>
      <c r="D76" t="s">
        <v>339</v>
      </c>
      <c r="E76" t="s">
        <v>340</v>
      </c>
      <c r="F76" t="s">
        <v>112</v>
      </c>
      <c r="G76">
        <v>772793</v>
      </c>
    </row>
    <row r="77" spans="1:7" x14ac:dyDescent="0.25">
      <c r="A77" t="str">
        <f t="shared" si="1"/>
        <v>03 EE2 51</v>
      </c>
      <c r="B7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t="s">
        <v>341</v>
      </c>
      <c r="D77" t="s">
        <v>342</v>
      </c>
      <c r="E77" t="s">
        <v>343</v>
      </c>
      <c r="F77" t="s">
        <v>112</v>
      </c>
      <c r="G77">
        <v>914404</v>
      </c>
    </row>
    <row r="78" spans="1:7" x14ac:dyDescent="0.25">
      <c r="A78" t="str">
        <f t="shared" si="1"/>
        <v>03 EE2 51</v>
      </c>
      <c r="B7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t="s">
        <v>344</v>
      </c>
      <c r="D78" t="s">
        <v>345</v>
      </c>
      <c r="E78" t="s">
        <v>346</v>
      </c>
      <c r="F78" t="s">
        <v>112</v>
      </c>
      <c r="G78">
        <v>935233</v>
      </c>
    </row>
    <row r="79" spans="1:7" x14ac:dyDescent="0.25">
      <c r="A79" t="str">
        <f t="shared" si="1"/>
        <v>03 EE2 51</v>
      </c>
      <c r="B7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t="s">
        <v>347</v>
      </c>
      <c r="D79" t="s">
        <v>348</v>
      </c>
      <c r="E79" t="s">
        <v>349</v>
      </c>
      <c r="F79" t="s">
        <v>112</v>
      </c>
      <c r="G79">
        <v>991644</v>
      </c>
    </row>
    <row r="80" spans="1:7" x14ac:dyDescent="0.25">
      <c r="A80" t="str">
        <f t="shared" si="1"/>
        <v>03 EE2 51</v>
      </c>
      <c r="B8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t="s">
        <v>350</v>
      </c>
      <c r="D80" t="s">
        <v>351</v>
      </c>
      <c r="E80" t="s">
        <v>352</v>
      </c>
      <c r="F80" t="s">
        <v>112</v>
      </c>
      <c r="G80">
        <v>568477</v>
      </c>
    </row>
    <row r="81" spans="1:10" x14ac:dyDescent="0.25">
      <c r="A81" t="str">
        <f t="shared" si="1"/>
        <v>03 EE2 51</v>
      </c>
      <c r="B8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t="s">
        <v>353</v>
      </c>
      <c r="D81" t="s">
        <v>354</v>
      </c>
      <c r="E81" t="s">
        <v>355</v>
      </c>
      <c r="F81" t="s">
        <v>112</v>
      </c>
      <c r="G81">
        <v>717355</v>
      </c>
    </row>
    <row r="82" spans="1:10" x14ac:dyDescent="0.25">
      <c r="A82" t="str">
        <f t="shared" si="1"/>
        <v>03 EE2 51</v>
      </c>
      <c r="B8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t="s">
        <v>356</v>
      </c>
      <c r="D82" t="s">
        <v>151</v>
      </c>
      <c r="E82" t="s">
        <v>357</v>
      </c>
      <c r="F82" t="s">
        <v>112</v>
      </c>
      <c r="G82">
        <v>231678</v>
      </c>
    </row>
    <row r="83" spans="1:10" x14ac:dyDescent="0.25">
      <c r="A83" t="str">
        <f t="shared" si="1"/>
        <v>03 EE2 51</v>
      </c>
      <c r="B8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t="s">
        <v>358</v>
      </c>
      <c r="D83" t="s">
        <v>359</v>
      </c>
      <c r="E83" t="s">
        <v>360</v>
      </c>
      <c r="F83" t="s">
        <v>112</v>
      </c>
      <c r="G83">
        <v>672344</v>
      </c>
    </row>
    <row r="84" spans="1:10" x14ac:dyDescent="0.25">
      <c r="A84" t="str">
        <f t="shared" si="1"/>
        <v>03 EE2 51</v>
      </c>
      <c r="B8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t="s">
        <v>361</v>
      </c>
      <c r="D84" t="s">
        <v>362</v>
      </c>
      <c r="E84" t="s">
        <v>363</v>
      </c>
      <c r="F84" t="s">
        <v>112</v>
      </c>
      <c r="G84">
        <v>715041</v>
      </c>
    </row>
    <row r="85" spans="1:10" x14ac:dyDescent="0.25">
      <c r="A85" t="str">
        <f t="shared" si="1"/>
        <v>03 EE2 51</v>
      </c>
      <c r="B8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t="s">
        <v>364</v>
      </c>
      <c r="D85" t="s">
        <v>365</v>
      </c>
      <c r="E85" t="s">
        <v>366</v>
      </c>
      <c r="F85" t="s">
        <v>112</v>
      </c>
      <c r="G85">
        <v>659452</v>
      </c>
    </row>
    <row r="86" spans="1:10" x14ac:dyDescent="0.25">
      <c r="A86" t="str">
        <f t="shared" si="1"/>
        <v>03 EE2 51</v>
      </c>
      <c r="B8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t="s">
        <v>367</v>
      </c>
    </row>
    <row r="87" spans="1:10" x14ac:dyDescent="0.25">
      <c r="A87" t="str">
        <f t="shared" si="1"/>
        <v>03 EE2 51</v>
      </c>
      <c r="B8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t="s">
        <v>368</v>
      </c>
    </row>
    <row r="88" spans="1:10" x14ac:dyDescent="0.25">
      <c r="A88" t="str">
        <f t="shared" si="1"/>
        <v>03 EE2 51</v>
      </c>
      <c r="B8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t="s">
        <v>369</v>
      </c>
    </row>
    <row r="89" spans="1:10" x14ac:dyDescent="0.25">
      <c r="A89" t="str">
        <f t="shared" si="1"/>
        <v>03 EE2 51</v>
      </c>
      <c r="B8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t="s">
        <v>370</v>
      </c>
      <c r="D89" t="s">
        <v>371</v>
      </c>
      <c r="E89" t="s">
        <v>372</v>
      </c>
      <c r="F89" t="s">
        <v>112</v>
      </c>
      <c r="G89">
        <v>139945</v>
      </c>
    </row>
    <row r="90" spans="1:10" x14ac:dyDescent="0.25">
      <c r="A90" t="str">
        <f t="shared" si="1"/>
        <v>03 EE2 51</v>
      </c>
      <c r="B9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t="s">
        <v>373</v>
      </c>
      <c r="D90" t="s">
        <v>374</v>
      </c>
      <c r="E90">
        <v>66</v>
      </c>
      <c r="F90" t="s">
        <v>112</v>
      </c>
      <c r="G90">
        <v>208426</v>
      </c>
    </row>
    <row r="91" spans="1:10" x14ac:dyDescent="0.25">
      <c r="A91" t="str">
        <f t="shared" si="1"/>
        <v>03 EE2 51</v>
      </c>
      <c r="B9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t="s">
        <v>375</v>
      </c>
      <c r="D91" t="s">
        <v>300</v>
      </c>
      <c r="E91" t="s">
        <v>376</v>
      </c>
      <c r="F91" t="s">
        <v>112</v>
      </c>
      <c r="G91">
        <v>463983</v>
      </c>
    </row>
    <row r="92" spans="1:10" x14ac:dyDescent="0.25">
      <c r="A92" t="str">
        <f t="shared" si="1"/>
        <v/>
      </c>
      <c r="B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t="s">
        <v>112</v>
      </c>
    </row>
    <row r="93" spans="1:10" x14ac:dyDescent="0.25">
      <c r="A93" t="str">
        <f t="shared" si="1"/>
        <v/>
      </c>
      <c r="B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t="s">
        <v>234</v>
      </c>
      <c r="D93" t="s">
        <v>112</v>
      </c>
      <c r="E93" t="s">
        <v>235</v>
      </c>
      <c r="F93" t="s">
        <v>236</v>
      </c>
      <c r="G93" t="s">
        <v>237</v>
      </c>
      <c r="H93" t="s">
        <v>238</v>
      </c>
      <c r="I93" t="s">
        <v>239</v>
      </c>
      <c r="J93" t="s">
        <v>240</v>
      </c>
    </row>
    <row r="94" spans="1:10" x14ac:dyDescent="0.25">
      <c r="A94" t="str">
        <f t="shared" si="1"/>
        <v>03 EE2 51</v>
      </c>
      <c r="B9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t="s">
        <v>377</v>
      </c>
      <c r="D94" t="s">
        <v>112</v>
      </c>
      <c r="E94" t="s">
        <v>378</v>
      </c>
      <c r="F94" t="s">
        <v>379</v>
      </c>
      <c r="G94" t="s">
        <v>380</v>
      </c>
      <c r="H94" t="s">
        <v>381</v>
      </c>
      <c r="I94">
        <v>24</v>
      </c>
      <c r="J94">
        <v>24</v>
      </c>
    </row>
    <row r="95" spans="1:10" x14ac:dyDescent="0.25">
      <c r="A95" t="str">
        <f t="shared" si="1"/>
        <v/>
      </c>
      <c r="B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t="s">
        <v>112</v>
      </c>
    </row>
    <row r="96" spans="1:10" x14ac:dyDescent="0.25">
      <c r="A96" t="str">
        <f t="shared" si="1"/>
        <v/>
      </c>
      <c r="B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t="s">
        <v>112</v>
      </c>
    </row>
    <row r="97" spans="1:7" x14ac:dyDescent="0.25">
      <c r="A97" t="str">
        <f t="shared" si="1"/>
        <v/>
      </c>
      <c r="B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t="s">
        <v>112</v>
      </c>
    </row>
    <row r="98" spans="1:7" x14ac:dyDescent="0.25">
      <c r="A98" t="str">
        <f t="shared" si="1"/>
        <v/>
      </c>
      <c r="B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t="s">
        <v>112</v>
      </c>
    </row>
    <row r="99" spans="1:7" x14ac:dyDescent="0.25">
      <c r="A99" t="str">
        <f t="shared" si="1"/>
        <v/>
      </c>
      <c r="B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t="s">
        <v>112</v>
      </c>
    </row>
    <row r="100" spans="1:7" x14ac:dyDescent="0.25">
      <c r="A100" t="str">
        <f t="shared" si="1"/>
        <v/>
      </c>
      <c r="B1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t="s">
        <v>246</v>
      </c>
      <c r="D100" t="s">
        <v>110</v>
      </c>
      <c r="E100" t="s">
        <v>111</v>
      </c>
      <c r="F100" t="s">
        <v>112</v>
      </c>
      <c r="G100" t="s">
        <v>113</v>
      </c>
    </row>
    <row r="101" spans="1:7" x14ac:dyDescent="0.25">
      <c r="A101" t="str">
        <f t="shared" si="1"/>
        <v>04 EE2 76</v>
      </c>
      <c r="B10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t="s">
        <v>382</v>
      </c>
      <c r="D101" t="s">
        <v>383</v>
      </c>
      <c r="E101" t="s">
        <v>384</v>
      </c>
      <c r="F101" t="s">
        <v>112</v>
      </c>
      <c r="G101">
        <v>759512</v>
      </c>
    </row>
    <row r="102" spans="1:7" x14ac:dyDescent="0.25">
      <c r="A102" t="str">
        <f t="shared" si="1"/>
        <v>04 EE2 76</v>
      </c>
      <c r="B10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t="s">
        <v>385</v>
      </c>
      <c r="D102" t="s">
        <v>282</v>
      </c>
      <c r="E102" t="s">
        <v>386</v>
      </c>
      <c r="F102" t="s">
        <v>112</v>
      </c>
      <c r="G102">
        <v>92468</v>
      </c>
    </row>
    <row r="103" spans="1:7" x14ac:dyDescent="0.25">
      <c r="A103" t="str">
        <f t="shared" si="1"/>
        <v>04 EE2 76</v>
      </c>
      <c r="B10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t="s">
        <v>387</v>
      </c>
      <c r="D103" t="s">
        <v>388</v>
      </c>
      <c r="E103" t="s">
        <v>389</v>
      </c>
      <c r="F103" t="s">
        <v>112</v>
      </c>
      <c r="G103">
        <v>573668</v>
      </c>
    </row>
    <row r="104" spans="1:7" x14ac:dyDescent="0.25">
      <c r="A104" t="str">
        <f t="shared" si="1"/>
        <v>04 EE2 76</v>
      </c>
      <c r="B10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t="s">
        <v>390</v>
      </c>
      <c r="D104" t="s">
        <v>217</v>
      </c>
      <c r="E104" t="s">
        <v>391</v>
      </c>
      <c r="F104" t="s">
        <v>112</v>
      </c>
      <c r="G104">
        <v>394789</v>
      </c>
    </row>
    <row r="105" spans="1:7" x14ac:dyDescent="0.25">
      <c r="A105" t="str">
        <f t="shared" si="1"/>
        <v>04 EE2 76</v>
      </c>
      <c r="B10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t="s">
        <v>392</v>
      </c>
      <c r="D105" t="s">
        <v>393</v>
      </c>
      <c r="E105" t="s">
        <v>394</v>
      </c>
      <c r="F105" t="s">
        <v>112</v>
      </c>
      <c r="G105">
        <v>404349</v>
      </c>
    </row>
    <row r="106" spans="1:7" x14ac:dyDescent="0.25">
      <c r="A106" t="str">
        <f t="shared" si="1"/>
        <v>04 EE2 76</v>
      </c>
      <c r="B10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t="s">
        <v>395</v>
      </c>
      <c r="D106" t="s">
        <v>396</v>
      </c>
      <c r="E106" t="s">
        <v>397</v>
      </c>
      <c r="F106" t="s">
        <v>112</v>
      </c>
      <c r="G106">
        <v>552384</v>
      </c>
    </row>
    <row r="107" spans="1:7" x14ac:dyDescent="0.25">
      <c r="A107" t="str">
        <f t="shared" si="1"/>
        <v>04 EE2 76</v>
      </c>
      <c r="B10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t="s">
        <v>398</v>
      </c>
      <c r="D107" t="s">
        <v>399</v>
      </c>
      <c r="E107" t="s">
        <v>400</v>
      </c>
      <c r="F107" t="s">
        <v>112</v>
      </c>
      <c r="G107">
        <v>870560</v>
      </c>
    </row>
    <row r="108" spans="1:7" x14ac:dyDescent="0.25">
      <c r="A108" t="str">
        <f t="shared" si="1"/>
        <v>04 EE2 76</v>
      </c>
      <c r="B10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t="s">
        <v>401</v>
      </c>
      <c r="D108" t="s">
        <v>402</v>
      </c>
      <c r="E108" t="s">
        <v>403</v>
      </c>
      <c r="F108" t="s">
        <v>112</v>
      </c>
      <c r="G108">
        <v>931124</v>
      </c>
    </row>
    <row r="109" spans="1:7" x14ac:dyDescent="0.25">
      <c r="A109" t="str">
        <f t="shared" si="1"/>
        <v>04 EE2 76</v>
      </c>
      <c r="B10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t="s">
        <v>404</v>
      </c>
      <c r="D109" t="s">
        <v>383</v>
      </c>
      <c r="E109" t="s">
        <v>405</v>
      </c>
      <c r="F109" t="s">
        <v>112</v>
      </c>
      <c r="G109">
        <v>776751</v>
      </c>
    </row>
    <row r="110" spans="1:7" x14ac:dyDescent="0.25">
      <c r="A110" t="str">
        <f t="shared" si="1"/>
        <v>04 EE2 76</v>
      </c>
      <c r="B11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t="s">
        <v>406</v>
      </c>
      <c r="D110" t="s">
        <v>407</v>
      </c>
      <c r="E110" t="s">
        <v>408</v>
      </c>
      <c r="F110" t="s">
        <v>112</v>
      </c>
      <c r="G110">
        <v>757609</v>
      </c>
    </row>
    <row r="111" spans="1:7" x14ac:dyDescent="0.25">
      <c r="A111" t="str">
        <f t="shared" si="1"/>
        <v>04 EE2 76</v>
      </c>
      <c r="B11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t="s">
        <v>409</v>
      </c>
      <c r="D111" t="s">
        <v>410</v>
      </c>
      <c r="E111" t="s">
        <v>411</v>
      </c>
      <c r="F111" t="s">
        <v>112</v>
      </c>
      <c r="G111">
        <v>890416</v>
      </c>
    </row>
    <row r="112" spans="1:7" x14ac:dyDescent="0.25">
      <c r="A112" t="str">
        <f t="shared" si="1"/>
        <v>04 EE2 76</v>
      </c>
      <c r="B11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t="s">
        <v>412</v>
      </c>
      <c r="D112" t="s">
        <v>413</v>
      </c>
      <c r="E112" t="s">
        <v>414</v>
      </c>
      <c r="F112" t="s">
        <v>112</v>
      </c>
      <c r="G112">
        <v>918578</v>
      </c>
    </row>
    <row r="113" spans="1:10" x14ac:dyDescent="0.25">
      <c r="A113" t="str">
        <f t="shared" si="1"/>
        <v>04 EE2 76</v>
      </c>
      <c r="B11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t="s">
        <v>415</v>
      </c>
      <c r="D113" t="s">
        <v>416</v>
      </c>
      <c r="E113" t="s">
        <v>417</v>
      </c>
      <c r="F113" t="s">
        <v>112</v>
      </c>
      <c r="G113">
        <v>278961</v>
      </c>
    </row>
    <row r="114" spans="1:10" x14ac:dyDescent="0.25">
      <c r="A114" t="str">
        <f t="shared" si="1"/>
        <v>04 EE2 76</v>
      </c>
      <c r="B11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t="s">
        <v>418</v>
      </c>
      <c r="D114" t="s">
        <v>419</v>
      </c>
      <c r="E114" t="s">
        <v>420</v>
      </c>
      <c r="F114" t="s">
        <v>112</v>
      </c>
      <c r="G114">
        <v>173558</v>
      </c>
    </row>
    <row r="115" spans="1:10" x14ac:dyDescent="0.25">
      <c r="A115" t="str">
        <f t="shared" si="1"/>
        <v>04 EE2 76</v>
      </c>
      <c r="B11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t="s">
        <v>421</v>
      </c>
      <c r="D115" t="s">
        <v>422</v>
      </c>
      <c r="E115" t="s">
        <v>423</v>
      </c>
      <c r="F115" t="s">
        <v>112</v>
      </c>
      <c r="G115">
        <v>205700</v>
      </c>
    </row>
    <row r="116" spans="1:10" x14ac:dyDescent="0.25">
      <c r="A116" t="str">
        <f t="shared" si="1"/>
        <v>04 EE2 76</v>
      </c>
      <c r="B11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t="s">
        <v>424</v>
      </c>
    </row>
    <row r="117" spans="1:10" x14ac:dyDescent="0.25">
      <c r="A117" t="str">
        <f t="shared" si="1"/>
        <v>04 EE2 76</v>
      </c>
      <c r="B11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t="s">
        <v>425</v>
      </c>
    </row>
    <row r="118" spans="1:10" x14ac:dyDescent="0.25">
      <c r="A118" t="str">
        <f t="shared" si="1"/>
        <v>04 EE2 76</v>
      </c>
      <c r="B11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t="s">
        <v>426</v>
      </c>
    </row>
    <row r="119" spans="1:10" x14ac:dyDescent="0.25">
      <c r="A119" t="str">
        <f t="shared" si="1"/>
        <v>04 EE2 76</v>
      </c>
      <c r="B11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t="s">
        <v>427</v>
      </c>
    </row>
    <row r="120" spans="1:10" x14ac:dyDescent="0.25">
      <c r="A120" t="str">
        <f t="shared" si="1"/>
        <v>04 EE2 76</v>
      </c>
      <c r="B12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t="s">
        <v>428</v>
      </c>
    </row>
    <row r="121" spans="1:10" x14ac:dyDescent="0.25">
      <c r="A121" t="str">
        <f t="shared" si="1"/>
        <v>04 EE2 76</v>
      </c>
      <c r="B12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t="s">
        <v>429</v>
      </c>
    </row>
    <row r="122" spans="1:10" x14ac:dyDescent="0.25">
      <c r="A122" t="str">
        <f t="shared" si="1"/>
        <v>04 EE2 76</v>
      </c>
      <c r="B12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t="s">
        <v>430</v>
      </c>
    </row>
    <row r="123" spans="1:10" x14ac:dyDescent="0.25">
      <c r="A123" t="str">
        <f t="shared" si="1"/>
        <v>04 EE2 76</v>
      </c>
      <c r="B12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t="s">
        <v>431</v>
      </c>
      <c r="D123" t="s">
        <v>432</v>
      </c>
      <c r="E123" t="s">
        <v>433</v>
      </c>
      <c r="F123" t="s">
        <v>112</v>
      </c>
      <c r="G123">
        <v>261462</v>
      </c>
    </row>
    <row r="124" spans="1:10" x14ac:dyDescent="0.25">
      <c r="A124" t="str">
        <f t="shared" si="1"/>
        <v>04 EE2 76</v>
      </c>
      <c r="B12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t="s">
        <v>434</v>
      </c>
      <c r="D124" t="s">
        <v>435</v>
      </c>
      <c r="E124" t="s">
        <v>436</v>
      </c>
      <c r="F124" t="s">
        <v>112</v>
      </c>
      <c r="G124">
        <v>197805</v>
      </c>
    </row>
    <row r="125" spans="1:10" x14ac:dyDescent="0.25">
      <c r="A125" t="str">
        <f t="shared" si="1"/>
        <v/>
      </c>
      <c r="B1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t="s">
        <v>112</v>
      </c>
    </row>
    <row r="126" spans="1:10" x14ac:dyDescent="0.25">
      <c r="A126" t="str">
        <f t="shared" si="1"/>
        <v/>
      </c>
      <c r="B1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t="s">
        <v>234</v>
      </c>
      <c r="D126" t="s">
        <v>112</v>
      </c>
      <c r="E126" t="s">
        <v>235</v>
      </c>
      <c r="F126" t="s">
        <v>236</v>
      </c>
      <c r="G126" t="s">
        <v>237</v>
      </c>
      <c r="H126" t="s">
        <v>238</v>
      </c>
      <c r="I126" t="s">
        <v>239</v>
      </c>
      <c r="J126" t="s">
        <v>240</v>
      </c>
    </row>
    <row r="127" spans="1:10" x14ac:dyDescent="0.25">
      <c r="A127" t="str">
        <f t="shared" si="1"/>
        <v>04 EE2 76</v>
      </c>
      <c r="B12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t="s">
        <v>437</v>
      </c>
      <c r="D127" t="s">
        <v>112</v>
      </c>
      <c r="E127" t="s">
        <v>438</v>
      </c>
      <c r="F127" t="s">
        <v>439</v>
      </c>
      <c r="G127" t="s">
        <v>440</v>
      </c>
      <c r="H127" t="s">
        <v>441</v>
      </c>
      <c r="I127">
        <v>24</v>
      </c>
      <c r="J127">
        <v>24</v>
      </c>
    </row>
    <row r="128" spans="1:10" x14ac:dyDescent="0.25">
      <c r="A128" t="str">
        <f t="shared" si="1"/>
        <v/>
      </c>
      <c r="B1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t="s">
        <v>112</v>
      </c>
    </row>
    <row r="129" spans="1:7" x14ac:dyDescent="0.25">
      <c r="A129" t="str">
        <f t="shared" si="1"/>
        <v/>
      </c>
      <c r="B1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t="s">
        <v>112</v>
      </c>
    </row>
    <row r="130" spans="1:7" x14ac:dyDescent="0.25">
      <c r="A130" t="str">
        <f t="shared" ref="A130:A193" si="2">IFERROR(LEFT(RIGHT(C130,LEN(C130)-SEARCH("@",C130)),SEARCH("/",RIGHT(C130,LEN(C130)-SEARCH("@",C130)-1))),"")</f>
        <v/>
      </c>
      <c r="B1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t="s">
        <v>112</v>
      </c>
    </row>
    <row r="131" spans="1:7" x14ac:dyDescent="0.25">
      <c r="A131" t="str">
        <f t="shared" si="2"/>
        <v/>
      </c>
      <c r="B1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t="s">
        <v>112</v>
      </c>
    </row>
    <row r="132" spans="1:7" x14ac:dyDescent="0.25">
      <c r="A132" t="str">
        <f t="shared" si="2"/>
        <v/>
      </c>
      <c r="B1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t="s">
        <v>112</v>
      </c>
    </row>
    <row r="133" spans="1:7" x14ac:dyDescent="0.25">
      <c r="A133" t="str">
        <f t="shared" si="2"/>
        <v/>
      </c>
      <c r="B1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t="s">
        <v>246</v>
      </c>
      <c r="D133" t="s">
        <v>110</v>
      </c>
      <c r="E133" t="s">
        <v>111</v>
      </c>
      <c r="F133" t="s">
        <v>112</v>
      </c>
      <c r="G133" t="s">
        <v>113</v>
      </c>
    </row>
    <row r="134" spans="1:7" x14ac:dyDescent="0.25">
      <c r="A134" t="str">
        <f t="shared" si="2"/>
        <v>05 EE2 114</v>
      </c>
      <c r="B13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t="s">
        <v>442</v>
      </c>
      <c r="D134" t="s">
        <v>443</v>
      </c>
      <c r="E134" t="s">
        <v>444</v>
      </c>
      <c r="F134" t="s">
        <v>112</v>
      </c>
      <c r="G134">
        <v>1271989</v>
      </c>
    </row>
    <row r="135" spans="1:7" x14ac:dyDescent="0.25">
      <c r="A135" t="str">
        <f t="shared" si="2"/>
        <v>05 EE2 114</v>
      </c>
      <c r="B13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t="s">
        <v>445</v>
      </c>
      <c r="D135" t="s">
        <v>446</v>
      </c>
      <c r="E135" t="s">
        <v>447</v>
      </c>
      <c r="F135" t="s">
        <v>112</v>
      </c>
      <c r="G135">
        <v>1198945</v>
      </c>
    </row>
    <row r="136" spans="1:7" x14ac:dyDescent="0.25">
      <c r="A136" t="str">
        <f t="shared" si="2"/>
        <v>05 EE2 114</v>
      </c>
      <c r="B13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t="s">
        <v>448</v>
      </c>
      <c r="D136" t="s">
        <v>342</v>
      </c>
      <c r="E136" t="s">
        <v>449</v>
      </c>
      <c r="F136" t="s">
        <v>112</v>
      </c>
      <c r="G136">
        <v>741862</v>
      </c>
    </row>
    <row r="137" spans="1:7" x14ac:dyDescent="0.25">
      <c r="A137" t="str">
        <f t="shared" si="2"/>
        <v>05 EE2 114</v>
      </c>
      <c r="B13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t="s">
        <v>450</v>
      </c>
      <c r="D137" t="s">
        <v>451</v>
      </c>
      <c r="E137" t="s">
        <v>452</v>
      </c>
      <c r="F137" t="s">
        <v>112</v>
      </c>
      <c r="G137">
        <v>3659994</v>
      </c>
    </row>
    <row r="138" spans="1:7" x14ac:dyDescent="0.25">
      <c r="A138" t="str">
        <f t="shared" si="2"/>
        <v>05 EE2 114</v>
      </c>
      <c r="B13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t="s">
        <v>453</v>
      </c>
      <c r="D138" t="s">
        <v>454</v>
      </c>
      <c r="E138" t="s">
        <v>455</v>
      </c>
      <c r="F138" t="s">
        <v>112</v>
      </c>
      <c r="G138">
        <v>3950657</v>
      </c>
    </row>
    <row r="139" spans="1:7" x14ac:dyDescent="0.25">
      <c r="A139" t="str">
        <f t="shared" si="2"/>
        <v>05 EE2 114</v>
      </c>
      <c r="B13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t="s">
        <v>456</v>
      </c>
      <c r="D139" t="s">
        <v>457</v>
      </c>
      <c r="E139" t="s">
        <v>458</v>
      </c>
      <c r="F139" t="s">
        <v>112</v>
      </c>
      <c r="G139">
        <v>3691726</v>
      </c>
    </row>
    <row r="140" spans="1:7" x14ac:dyDescent="0.25">
      <c r="A140" t="str">
        <f t="shared" si="2"/>
        <v>05 EE2 114</v>
      </c>
      <c r="B14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t="s">
        <v>459</v>
      </c>
      <c r="D140" t="s">
        <v>460</v>
      </c>
      <c r="E140" t="s">
        <v>461</v>
      </c>
      <c r="F140" t="s">
        <v>112</v>
      </c>
      <c r="G140">
        <v>369266</v>
      </c>
    </row>
    <row r="141" spans="1:7" x14ac:dyDescent="0.25">
      <c r="A141" t="str">
        <f t="shared" si="2"/>
        <v>05 EE2 114</v>
      </c>
      <c r="B14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t="s">
        <v>462</v>
      </c>
      <c r="D141" t="s">
        <v>463</v>
      </c>
      <c r="E141" t="s">
        <v>464</v>
      </c>
      <c r="F141" t="s">
        <v>112</v>
      </c>
      <c r="G141">
        <v>1189536</v>
      </c>
    </row>
    <row r="142" spans="1:7" x14ac:dyDescent="0.25">
      <c r="A142" t="str">
        <f t="shared" si="2"/>
        <v>05 EE2 114</v>
      </c>
      <c r="B14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t="s">
        <v>465</v>
      </c>
      <c r="D142" t="s">
        <v>466</v>
      </c>
      <c r="E142" t="s">
        <v>467</v>
      </c>
      <c r="F142" t="s">
        <v>112</v>
      </c>
      <c r="G142">
        <v>460760</v>
      </c>
    </row>
    <row r="143" spans="1:7" x14ac:dyDescent="0.25">
      <c r="A143" t="str">
        <f t="shared" si="2"/>
        <v>05 EE2 114</v>
      </c>
      <c r="B14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t="s">
        <v>468</v>
      </c>
      <c r="D143" t="s">
        <v>469</v>
      </c>
      <c r="E143" t="s">
        <v>470</v>
      </c>
      <c r="F143" t="s">
        <v>112</v>
      </c>
      <c r="G143">
        <v>1068906</v>
      </c>
    </row>
    <row r="144" spans="1:7" x14ac:dyDescent="0.25">
      <c r="A144" t="str">
        <f t="shared" si="2"/>
        <v>05 EE2 114</v>
      </c>
      <c r="B14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t="s">
        <v>471</v>
      </c>
      <c r="D144" t="s">
        <v>472</v>
      </c>
      <c r="E144" t="s">
        <v>473</v>
      </c>
      <c r="F144" t="s">
        <v>112</v>
      </c>
      <c r="G144">
        <v>1295306</v>
      </c>
    </row>
    <row r="145" spans="1:10" x14ac:dyDescent="0.25">
      <c r="A145" t="str">
        <f t="shared" si="2"/>
        <v>05 EE2 114</v>
      </c>
      <c r="B14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t="s">
        <v>474</v>
      </c>
      <c r="D145" t="s">
        <v>475</v>
      </c>
      <c r="E145" t="s">
        <v>476</v>
      </c>
      <c r="F145" t="s">
        <v>112</v>
      </c>
      <c r="G145">
        <v>803832</v>
      </c>
    </row>
    <row r="146" spans="1:10" x14ac:dyDescent="0.25">
      <c r="A146" t="str">
        <f t="shared" si="2"/>
        <v>05 EE2 114</v>
      </c>
      <c r="B14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t="s">
        <v>477</v>
      </c>
      <c r="D146" t="s">
        <v>478</v>
      </c>
      <c r="E146" t="s">
        <v>479</v>
      </c>
      <c r="F146" t="s">
        <v>112</v>
      </c>
      <c r="G146">
        <v>2514281</v>
      </c>
    </row>
    <row r="147" spans="1:10" x14ac:dyDescent="0.25">
      <c r="A147" t="str">
        <f t="shared" si="2"/>
        <v>05 EE2 114</v>
      </c>
      <c r="B14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t="s">
        <v>480</v>
      </c>
      <c r="D147" t="s">
        <v>481</v>
      </c>
      <c r="E147" t="s">
        <v>482</v>
      </c>
      <c r="F147" t="s">
        <v>112</v>
      </c>
      <c r="G147">
        <v>2091351</v>
      </c>
    </row>
    <row r="148" spans="1:10" x14ac:dyDescent="0.25">
      <c r="A148" t="str">
        <f t="shared" si="2"/>
        <v>05 EE2 114</v>
      </c>
      <c r="B14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t="s">
        <v>483</v>
      </c>
      <c r="D148" t="s">
        <v>484</v>
      </c>
      <c r="E148" t="s">
        <v>485</v>
      </c>
      <c r="F148" t="s">
        <v>112</v>
      </c>
      <c r="G148">
        <v>2471670</v>
      </c>
    </row>
    <row r="149" spans="1:10" x14ac:dyDescent="0.25">
      <c r="A149" t="str">
        <f t="shared" si="2"/>
        <v>05 EE2 114</v>
      </c>
      <c r="B14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t="s">
        <v>486</v>
      </c>
      <c r="D149" t="s">
        <v>487</v>
      </c>
      <c r="E149" t="s">
        <v>488</v>
      </c>
      <c r="F149" t="s">
        <v>112</v>
      </c>
      <c r="G149">
        <v>296027</v>
      </c>
    </row>
    <row r="150" spans="1:10" x14ac:dyDescent="0.25">
      <c r="A150" t="str">
        <f t="shared" si="2"/>
        <v>05 EE2 114</v>
      </c>
      <c r="B15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t="s">
        <v>489</v>
      </c>
      <c r="D150" t="s">
        <v>490</v>
      </c>
      <c r="E150" t="s">
        <v>491</v>
      </c>
      <c r="F150" t="s">
        <v>112</v>
      </c>
      <c r="G150">
        <v>220084</v>
      </c>
    </row>
    <row r="151" spans="1:10" x14ac:dyDescent="0.25">
      <c r="A151" t="str">
        <f t="shared" si="2"/>
        <v>05 EE2 114</v>
      </c>
      <c r="B15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t="s">
        <v>492</v>
      </c>
      <c r="D151" t="s">
        <v>493</v>
      </c>
      <c r="E151" t="s">
        <v>494</v>
      </c>
      <c r="F151" t="s">
        <v>112</v>
      </c>
      <c r="G151">
        <v>240113</v>
      </c>
    </row>
    <row r="152" spans="1:10" x14ac:dyDescent="0.25">
      <c r="A152" t="str">
        <f t="shared" si="2"/>
        <v>05 EE2 114</v>
      </c>
      <c r="B15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t="s">
        <v>495</v>
      </c>
      <c r="D152" t="s">
        <v>496</v>
      </c>
      <c r="E152" t="s">
        <v>497</v>
      </c>
      <c r="F152" t="s">
        <v>112</v>
      </c>
      <c r="G152">
        <v>2654550</v>
      </c>
    </row>
    <row r="153" spans="1:10" x14ac:dyDescent="0.25">
      <c r="A153" t="str">
        <f t="shared" si="2"/>
        <v>05 EE2 114</v>
      </c>
      <c r="B15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t="s">
        <v>498</v>
      </c>
      <c r="D153" t="s">
        <v>499</v>
      </c>
      <c r="E153" t="s">
        <v>500</v>
      </c>
      <c r="F153" t="s">
        <v>112</v>
      </c>
      <c r="G153">
        <v>2180185</v>
      </c>
    </row>
    <row r="154" spans="1:10" x14ac:dyDescent="0.25">
      <c r="A154" t="str">
        <f t="shared" si="2"/>
        <v>05 EE2 114</v>
      </c>
      <c r="B15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t="s">
        <v>501</v>
      </c>
      <c r="D154" t="s">
        <v>502</v>
      </c>
      <c r="E154" t="s">
        <v>503</v>
      </c>
      <c r="F154" t="s">
        <v>112</v>
      </c>
      <c r="G154">
        <v>2089426</v>
      </c>
    </row>
    <row r="155" spans="1:10" x14ac:dyDescent="0.25">
      <c r="A155" t="str">
        <f t="shared" si="2"/>
        <v>05 EE2 114</v>
      </c>
      <c r="B15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t="s">
        <v>504</v>
      </c>
      <c r="D155" t="s">
        <v>443</v>
      </c>
      <c r="E155" t="s">
        <v>505</v>
      </c>
      <c r="F155" t="s">
        <v>112</v>
      </c>
      <c r="G155">
        <v>1319488</v>
      </c>
    </row>
    <row r="156" spans="1:10" x14ac:dyDescent="0.25">
      <c r="A156" t="str">
        <f t="shared" si="2"/>
        <v>05 EE2 114</v>
      </c>
      <c r="B15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t="s">
        <v>506</v>
      </c>
      <c r="D156" t="s">
        <v>507</v>
      </c>
      <c r="E156" t="s">
        <v>508</v>
      </c>
      <c r="F156" t="s">
        <v>112</v>
      </c>
      <c r="G156">
        <v>1231433</v>
      </c>
    </row>
    <row r="157" spans="1:10" x14ac:dyDescent="0.25">
      <c r="A157" t="str">
        <f t="shared" si="2"/>
        <v>05 EE2 114</v>
      </c>
      <c r="B15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t="s">
        <v>509</v>
      </c>
      <c r="D157" t="s">
        <v>510</v>
      </c>
      <c r="E157" t="s">
        <v>511</v>
      </c>
      <c r="F157" t="s">
        <v>112</v>
      </c>
      <c r="G157">
        <v>2558665</v>
      </c>
    </row>
    <row r="158" spans="1:10" x14ac:dyDescent="0.25">
      <c r="A158" t="str">
        <f t="shared" si="2"/>
        <v/>
      </c>
      <c r="B1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t="s">
        <v>112</v>
      </c>
    </row>
    <row r="159" spans="1:10" x14ac:dyDescent="0.25">
      <c r="A159" t="str">
        <f t="shared" si="2"/>
        <v/>
      </c>
      <c r="B1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t="s">
        <v>234</v>
      </c>
      <c r="D159" t="s">
        <v>112</v>
      </c>
      <c r="E159" t="s">
        <v>235</v>
      </c>
      <c r="F159" t="s">
        <v>236</v>
      </c>
      <c r="G159" t="s">
        <v>237</v>
      </c>
      <c r="H159" t="s">
        <v>238</v>
      </c>
      <c r="I159" t="s">
        <v>239</v>
      </c>
      <c r="J159" t="s">
        <v>240</v>
      </c>
    </row>
    <row r="160" spans="1:10" x14ac:dyDescent="0.25">
      <c r="A160" t="str">
        <f t="shared" si="2"/>
        <v>05 EE2 114</v>
      </c>
      <c r="B16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t="s">
        <v>512</v>
      </c>
      <c r="D160" t="s">
        <v>112</v>
      </c>
      <c r="E160" t="s">
        <v>513</v>
      </c>
      <c r="F160" t="s">
        <v>514</v>
      </c>
      <c r="G160" t="s">
        <v>515</v>
      </c>
      <c r="H160" t="s">
        <v>516</v>
      </c>
      <c r="I160">
        <v>24</v>
      </c>
      <c r="J160">
        <v>24</v>
      </c>
    </row>
    <row r="161" spans="1:7" x14ac:dyDescent="0.25">
      <c r="A161" t="str">
        <f t="shared" si="2"/>
        <v/>
      </c>
      <c r="B1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t="s">
        <v>112</v>
      </c>
    </row>
    <row r="162" spans="1:7" x14ac:dyDescent="0.25">
      <c r="A162" t="str">
        <f t="shared" si="2"/>
        <v/>
      </c>
      <c r="B1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t="s">
        <v>112</v>
      </c>
    </row>
    <row r="163" spans="1:7" x14ac:dyDescent="0.25">
      <c r="A163" t="str">
        <f t="shared" si="2"/>
        <v/>
      </c>
      <c r="B1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t="s">
        <v>112</v>
      </c>
    </row>
    <row r="164" spans="1:7" x14ac:dyDescent="0.25">
      <c r="A164" t="str">
        <f t="shared" si="2"/>
        <v/>
      </c>
      <c r="B1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t="s">
        <v>112</v>
      </c>
    </row>
    <row r="165" spans="1:7" x14ac:dyDescent="0.25">
      <c r="A165" t="str">
        <f t="shared" si="2"/>
        <v/>
      </c>
      <c r="B1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t="s">
        <v>112</v>
      </c>
    </row>
    <row r="166" spans="1:7" x14ac:dyDescent="0.25">
      <c r="A166" t="str">
        <f t="shared" si="2"/>
        <v/>
      </c>
      <c r="B1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t="s">
        <v>246</v>
      </c>
      <c r="D166" t="s">
        <v>110</v>
      </c>
      <c r="E166" t="s">
        <v>111</v>
      </c>
      <c r="F166" t="s">
        <v>112</v>
      </c>
      <c r="G166" t="s">
        <v>113</v>
      </c>
    </row>
    <row r="167" spans="1:7" x14ac:dyDescent="0.25">
      <c r="A167" t="str">
        <f t="shared" si="2"/>
        <v>06 EE2 171</v>
      </c>
      <c r="B16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t="s">
        <v>517</v>
      </c>
      <c r="D167" t="s">
        <v>518</v>
      </c>
      <c r="E167" t="s">
        <v>519</v>
      </c>
      <c r="F167" t="s">
        <v>112</v>
      </c>
      <c r="G167">
        <v>2581852</v>
      </c>
    </row>
    <row r="168" spans="1:7" x14ac:dyDescent="0.25">
      <c r="A168" t="str">
        <f t="shared" si="2"/>
        <v>06 EE2 171</v>
      </c>
      <c r="B16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t="s">
        <v>520</v>
      </c>
      <c r="D168" t="s">
        <v>521</v>
      </c>
      <c r="E168" t="s">
        <v>522</v>
      </c>
      <c r="F168" t="s">
        <v>112</v>
      </c>
      <c r="G168">
        <v>2369295</v>
      </c>
    </row>
    <row r="169" spans="1:7" x14ac:dyDescent="0.25">
      <c r="A169" t="str">
        <f t="shared" si="2"/>
        <v>06 EE2 171</v>
      </c>
      <c r="B16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t="s">
        <v>523</v>
      </c>
      <c r="D169" t="s">
        <v>524</v>
      </c>
      <c r="E169" t="s">
        <v>525</v>
      </c>
      <c r="F169" t="s">
        <v>112</v>
      </c>
      <c r="G169">
        <v>2149774</v>
      </c>
    </row>
    <row r="170" spans="1:7" x14ac:dyDescent="0.25">
      <c r="A170" t="str">
        <f t="shared" si="2"/>
        <v>06 EE2 171</v>
      </c>
      <c r="B17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t="s">
        <v>526</v>
      </c>
      <c r="D170" t="s">
        <v>527</v>
      </c>
      <c r="E170" t="s">
        <v>528</v>
      </c>
      <c r="F170" t="s">
        <v>112</v>
      </c>
      <c r="G170">
        <v>2911665</v>
      </c>
    </row>
    <row r="171" spans="1:7" x14ac:dyDescent="0.25">
      <c r="A171" t="str">
        <f t="shared" si="2"/>
        <v>06 EE2 171</v>
      </c>
      <c r="B17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t="s">
        <v>529</v>
      </c>
      <c r="D171" t="s">
        <v>530</v>
      </c>
      <c r="E171" t="s">
        <v>531</v>
      </c>
      <c r="F171" t="s">
        <v>112</v>
      </c>
      <c r="G171">
        <v>3036491</v>
      </c>
    </row>
    <row r="172" spans="1:7" x14ac:dyDescent="0.25">
      <c r="A172" t="str">
        <f t="shared" si="2"/>
        <v>06 EE2 171</v>
      </c>
      <c r="B17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t="s">
        <v>532</v>
      </c>
      <c r="D172" t="s">
        <v>484</v>
      </c>
      <c r="E172" t="s">
        <v>533</v>
      </c>
      <c r="F172" t="s">
        <v>112</v>
      </c>
      <c r="G172">
        <v>2848852</v>
      </c>
    </row>
    <row r="173" spans="1:7" x14ac:dyDescent="0.25">
      <c r="A173" t="str">
        <f t="shared" si="2"/>
        <v>06 EE2 171</v>
      </c>
      <c r="B17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t="s">
        <v>534</v>
      </c>
      <c r="D173" t="s">
        <v>535</v>
      </c>
      <c r="E173" t="s">
        <v>536</v>
      </c>
      <c r="F173" t="s">
        <v>112</v>
      </c>
      <c r="G173">
        <v>4032245</v>
      </c>
    </row>
    <row r="174" spans="1:7" x14ac:dyDescent="0.25">
      <c r="A174" t="str">
        <f t="shared" si="2"/>
        <v>06 EE2 171</v>
      </c>
      <c r="B17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t="s">
        <v>537</v>
      </c>
      <c r="D174" t="s">
        <v>538</v>
      </c>
      <c r="E174" t="s">
        <v>539</v>
      </c>
      <c r="F174" t="s">
        <v>112</v>
      </c>
      <c r="G174">
        <v>3569517</v>
      </c>
    </row>
    <row r="175" spans="1:7" x14ac:dyDescent="0.25">
      <c r="A175" t="str">
        <f t="shared" si="2"/>
        <v>06 EE2 171</v>
      </c>
      <c r="B17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t="s">
        <v>540</v>
      </c>
      <c r="D175" t="s">
        <v>541</v>
      </c>
      <c r="E175" t="s">
        <v>542</v>
      </c>
      <c r="F175" t="s">
        <v>112</v>
      </c>
      <c r="G175">
        <v>3852825</v>
      </c>
    </row>
    <row r="176" spans="1:7" x14ac:dyDescent="0.25">
      <c r="A176" t="str">
        <f t="shared" si="2"/>
        <v>06 EE2 171</v>
      </c>
      <c r="B17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t="s">
        <v>543</v>
      </c>
      <c r="D176" t="s">
        <v>544</v>
      </c>
      <c r="E176" t="s">
        <v>545</v>
      </c>
      <c r="F176" t="s">
        <v>112</v>
      </c>
      <c r="G176">
        <v>4376095</v>
      </c>
    </row>
    <row r="177" spans="1:10" x14ac:dyDescent="0.25">
      <c r="A177" t="str">
        <f t="shared" si="2"/>
        <v>06 EE2 171</v>
      </c>
      <c r="B17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t="s">
        <v>546</v>
      </c>
      <c r="D177" t="s">
        <v>547</v>
      </c>
      <c r="E177" t="s">
        <v>548</v>
      </c>
      <c r="F177" t="s">
        <v>112</v>
      </c>
      <c r="G177">
        <v>3967312</v>
      </c>
    </row>
    <row r="178" spans="1:10" x14ac:dyDescent="0.25">
      <c r="A178" t="str">
        <f t="shared" si="2"/>
        <v>06 EE2 171</v>
      </c>
      <c r="B17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t="s">
        <v>549</v>
      </c>
      <c r="D178" t="s">
        <v>550</v>
      </c>
      <c r="E178" t="s">
        <v>551</v>
      </c>
      <c r="F178" t="s">
        <v>112</v>
      </c>
      <c r="G178">
        <v>3878478</v>
      </c>
    </row>
    <row r="179" spans="1:10" x14ac:dyDescent="0.25">
      <c r="A179" t="str">
        <f t="shared" si="2"/>
        <v>06 EE2 171</v>
      </c>
      <c r="B17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t="s">
        <v>552</v>
      </c>
      <c r="D179" t="s">
        <v>553</v>
      </c>
      <c r="E179" t="s">
        <v>554</v>
      </c>
      <c r="F179" t="s">
        <v>112</v>
      </c>
      <c r="G179">
        <v>1496918</v>
      </c>
    </row>
    <row r="180" spans="1:10" x14ac:dyDescent="0.25">
      <c r="A180" t="str">
        <f t="shared" si="2"/>
        <v>06 EE2 171</v>
      </c>
      <c r="B18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t="s">
        <v>555</v>
      </c>
      <c r="D180" t="s">
        <v>556</v>
      </c>
      <c r="E180" t="s">
        <v>557</v>
      </c>
      <c r="F180" t="s">
        <v>112</v>
      </c>
      <c r="G180">
        <v>1371573</v>
      </c>
    </row>
    <row r="181" spans="1:10" x14ac:dyDescent="0.25">
      <c r="A181" t="str">
        <f t="shared" si="2"/>
        <v>06 EE2 171</v>
      </c>
      <c r="B18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t="s">
        <v>558</v>
      </c>
      <c r="D181" t="s">
        <v>559</v>
      </c>
      <c r="E181" t="s">
        <v>560</v>
      </c>
      <c r="F181" t="s">
        <v>112</v>
      </c>
      <c r="G181">
        <v>1717370</v>
      </c>
    </row>
    <row r="182" spans="1:10" x14ac:dyDescent="0.25">
      <c r="A182" t="str">
        <f t="shared" si="2"/>
        <v>06 EE2 171</v>
      </c>
      <c r="B18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t="s">
        <v>561</v>
      </c>
      <c r="D182" t="s">
        <v>562</v>
      </c>
      <c r="E182" t="s">
        <v>563</v>
      </c>
      <c r="F182" t="s">
        <v>112</v>
      </c>
      <c r="G182">
        <v>2548477</v>
      </c>
    </row>
    <row r="183" spans="1:10" x14ac:dyDescent="0.25">
      <c r="A183" t="str">
        <f t="shared" si="2"/>
        <v>06 EE2 171</v>
      </c>
      <c r="B18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t="s">
        <v>564</v>
      </c>
      <c r="D183" t="s">
        <v>565</v>
      </c>
      <c r="E183" t="s">
        <v>566</v>
      </c>
      <c r="F183" t="s">
        <v>112</v>
      </c>
      <c r="G183">
        <v>2621284</v>
      </c>
    </row>
    <row r="184" spans="1:10" x14ac:dyDescent="0.25">
      <c r="A184" t="str">
        <f t="shared" si="2"/>
        <v>06 EE2 171</v>
      </c>
      <c r="B18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t="s">
        <v>567</v>
      </c>
      <c r="D184" t="s">
        <v>568</v>
      </c>
      <c r="E184" t="s">
        <v>569</v>
      </c>
      <c r="F184" t="s">
        <v>112</v>
      </c>
      <c r="G184">
        <v>2218989</v>
      </c>
    </row>
    <row r="185" spans="1:10" x14ac:dyDescent="0.25">
      <c r="A185" t="str">
        <f t="shared" si="2"/>
        <v>06 EE2 171</v>
      </c>
      <c r="B18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t="s">
        <v>570</v>
      </c>
      <c r="D185" t="s">
        <v>571</v>
      </c>
      <c r="E185" t="s">
        <v>572</v>
      </c>
      <c r="F185" t="s">
        <v>112</v>
      </c>
      <c r="G185">
        <v>617058</v>
      </c>
    </row>
    <row r="186" spans="1:10" x14ac:dyDescent="0.25">
      <c r="A186" t="str">
        <f t="shared" si="2"/>
        <v>06 EE2 171</v>
      </c>
      <c r="B18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t="s">
        <v>573</v>
      </c>
      <c r="D186" t="s">
        <v>574</v>
      </c>
      <c r="E186" t="s">
        <v>575</v>
      </c>
      <c r="F186" t="s">
        <v>112</v>
      </c>
      <c r="G186">
        <v>548902</v>
      </c>
    </row>
    <row r="187" spans="1:10" x14ac:dyDescent="0.25">
      <c r="A187" t="str">
        <f t="shared" si="2"/>
        <v>06 EE2 171</v>
      </c>
      <c r="B18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t="s">
        <v>576</v>
      </c>
      <c r="D187" t="s">
        <v>577</v>
      </c>
      <c r="E187" t="s">
        <v>578</v>
      </c>
      <c r="F187" t="s">
        <v>112</v>
      </c>
      <c r="G187">
        <v>973215</v>
      </c>
    </row>
    <row r="188" spans="1:10" x14ac:dyDescent="0.25">
      <c r="A188" t="str">
        <f t="shared" si="2"/>
        <v>06 EE2 171</v>
      </c>
      <c r="B18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t="s">
        <v>579</v>
      </c>
      <c r="D188" t="s">
        <v>580</v>
      </c>
      <c r="E188" t="s">
        <v>581</v>
      </c>
      <c r="F188" t="s">
        <v>112</v>
      </c>
      <c r="G188">
        <v>3329187</v>
      </c>
    </row>
    <row r="189" spans="1:10" x14ac:dyDescent="0.25">
      <c r="A189" t="str">
        <f t="shared" si="2"/>
        <v>06 EE2 171</v>
      </c>
      <c r="B18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t="s">
        <v>582</v>
      </c>
      <c r="D189" t="s">
        <v>583</v>
      </c>
      <c r="E189" t="s">
        <v>584</v>
      </c>
      <c r="F189" t="s">
        <v>112</v>
      </c>
      <c r="G189">
        <v>3290167</v>
      </c>
    </row>
    <row r="190" spans="1:10" x14ac:dyDescent="0.25">
      <c r="A190" t="str">
        <f t="shared" si="2"/>
        <v>06 EE2 171</v>
      </c>
      <c r="B19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t="s">
        <v>585</v>
      </c>
      <c r="D190" t="s">
        <v>586</v>
      </c>
      <c r="E190" t="s">
        <v>587</v>
      </c>
      <c r="F190" t="s">
        <v>112</v>
      </c>
      <c r="G190">
        <v>3083060</v>
      </c>
    </row>
    <row r="191" spans="1:10" x14ac:dyDescent="0.25">
      <c r="A191" t="str">
        <f t="shared" si="2"/>
        <v/>
      </c>
      <c r="B1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t="s">
        <v>112</v>
      </c>
    </row>
    <row r="192" spans="1:10" x14ac:dyDescent="0.25">
      <c r="A192" t="str">
        <f t="shared" si="2"/>
        <v/>
      </c>
      <c r="B1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t="s">
        <v>234</v>
      </c>
      <c r="D192" t="s">
        <v>112</v>
      </c>
      <c r="E192" t="s">
        <v>235</v>
      </c>
      <c r="F192" t="s">
        <v>236</v>
      </c>
      <c r="G192" t="s">
        <v>237</v>
      </c>
      <c r="H192" t="s">
        <v>238</v>
      </c>
      <c r="I192" t="s">
        <v>239</v>
      </c>
      <c r="J192" t="s">
        <v>240</v>
      </c>
    </row>
    <row r="193" spans="1:10" x14ac:dyDescent="0.25">
      <c r="A193" t="str">
        <f t="shared" si="2"/>
        <v>06 EE2 171</v>
      </c>
      <c r="B19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t="s">
        <v>588</v>
      </c>
      <c r="D193" t="s">
        <v>112</v>
      </c>
      <c r="E193" t="s">
        <v>589</v>
      </c>
      <c r="F193" t="s">
        <v>590</v>
      </c>
      <c r="G193" t="s">
        <v>591</v>
      </c>
      <c r="H193" t="s">
        <v>592</v>
      </c>
      <c r="I193">
        <v>24</v>
      </c>
      <c r="J193">
        <v>24</v>
      </c>
    </row>
    <row r="194" spans="1:10" x14ac:dyDescent="0.25">
      <c r="A194" t="str">
        <f t="shared" ref="A194:A257" si="3">IFERROR(LEFT(RIGHT(C194,LEN(C194)-SEARCH("@",C194)),SEARCH("/",RIGHT(C194,LEN(C194)-SEARCH("@",C194)-1))),"")</f>
        <v/>
      </c>
      <c r="B1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t="s">
        <v>112</v>
      </c>
    </row>
    <row r="195" spans="1:10" x14ac:dyDescent="0.25">
      <c r="A195" t="str">
        <f t="shared" si="3"/>
        <v/>
      </c>
      <c r="B1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t="s">
        <v>112</v>
      </c>
    </row>
    <row r="196" spans="1:10" x14ac:dyDescent="0.25">
      <c r="A196" t="str">
        <f t="shared" si="3"/>
        <v/>
      </c>
      <c r="B1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t="s">
        <v>112</v>
      </c>
    </row>
    <row r="197" spans="1:10" x14ac:dyDescent="0.25">
      <c r="A197" t="str">
        <f t="shared" si="3"/>
        <v/>
      </c>
      <c r="B1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t="s">
        <v>112</v>
      </c>
    </row>
    <row r="198" spans="1:10" x14ac:dyDescent="0.25">
      <c r="A198" t="str">
        <f t="shared" si="3"/>
        <v/>
      </c>
      <c r="B1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t="s">
        <v>112</v>
      </c>
    </row>
    <row r="199" spans="1:10" x14ac:dyDescent="0.25">
      <c r="A199" t="str">
        <f t="shared" si="3"/>
        <v/>
      </c>
      <c r="B1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t="s">
        <v>246</v>
      </c>
      <c r="D199" t="s">
        <v>110</v>
      </c>
      <c r="E199" t="s">
        <v>111</v>
      </c>
      <c r="F199" t="s">
        <v>112</v>
      </c>
      <c r="G199" t="s">
        <v>113</v>
      </c>
    </row>
    <row r="200" spans="1:10" x14ac:dyDescent="0.25">
      <c r="A200" t="str">
        <f t="shared" si="3"/>
        <v>07 EE2 488</v>
      </c>
      <c r="B20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t="s">
        <v>593</v>
      </c>
      <c r="D200" t="s">
        <v>594</v>
      </c>
      <c r="E200" t="s">
        <v>595</v>
      </c>
      <c r="F200" t="s">
        <v>112</v>
      </c>
      <c r="G200">
        <v>8308583</v>
      </c>
    </row>
    <row r="201" spans="1:10" x14ac:dyDescent="0.25">
      <c r="A201" t="str">
        <f t="shared" si="3"/>
        <v>07 EE2 488</v>
      </c>
      <c r="B20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t="s">
        <v>596</v>
      </c>
      <c r="D201" t="s">
        <v>597</v>
      </c>
      <c r="E201" t="s">
        <v>598</v>
      </c>
      <c r="F201" t="s">
        <v>112</v>
      </c>
      <c r="G201">
        <v>7811658</v>
      </c>
    </row>
    <row r="202" spans="1:10" x14ac:dyDescent="0.25">
      <c r="A202" t="str">
        <f t="shared" si="3"/>
        <v>07 EE2 488</v>
      </c>
      <c r="B20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t="s">
        <v>599</v>
      </c>
      <c r="D202" t="s">
        <v>600</v>
      </c>
      <c r="E202" t="s">
        <v>601</v>
      </c>
      <c r="F202" t="s">
        <v>112</v>
      </c>
      <c r="G202">
        <v>8464665</v>
      </c>
    </row>
    <row r="203" spans="1:10" x14ac:dyDescent="0.25">
      <c r="A203" t="str">
        <f t="shared" si="3"/>
        <v>07 EE2 488</v>
      </c>
      <c r="B20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t="s">
        <v>602</v>
      </c>
      <c r="D203" t="s">
        <v>603</v>
      </c>
      <c r="E203" t="s">
        <v>604</v>
      </c>
      <c r="F203" t="s">
        <v>112</v>
      </c>
      <c r="G203">
        <v>5798456</v>
      </c>
    </row>
    <row r="204" spans="1:10" x14ac:dyDescent="0.25">
      <c r="A204" t="str">
        <f t="shared" si="3"/>
        <v>07 EE2 488</v>
      </c>
      <c r="B20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t="s">
        <v>605</v>
      </c>
      <c r="D204" t="s">
        <v>606</v>
      </c>
      <c r="E204" t="s">
        <v>607</v>
      </c>
      <c r="F204" t="s">
        <v>112</v>
      </c>
      <c r="G204">
        <v>5606274</v>
      </c>
    </row>
    <row r="205" spans="1:10" x14ac:dyDescent="0.25">
      <c r="A205" t="str">
        <f t="shared" si="3"/>
        <v>07 EE2 488</v>
      </c>
      <c r="B20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t="s">
        <v>608</v>
      </c>
      <c r="D205" t="s">
        <v>609</v>
      </c>
      <c r="E205" t="s">
        <v>610</v>
      </c>
      <c r="F205" t="s">
        <v>112</v>
      </c>
      <c r="G205">
        <v>6454252</v>
      </c>
    </row>
    <row r="206" spans="1:10" x14ac:dyDescent="0.25">
      <c r="A206" t="str">
        <f t="shared" si="3"/>
        <v>07 EE2 488</v>
      </c>
      <c r="B20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t="s">
        <v>611</v>
      </c>
      <c r="D206" t="s">
        <v>612</v>
      </c>
      <c r="E206" t="s">
        <v>613</v>
      </c>
      <c r="F206" t="s">
        <v>112</v>
      </c>
      <c r="G206">
        <v>6620305</v>
      </c>
    </row>
    <row r="207" spans="1:10" x14ac:dyDescent="0.25">
      <c r="A207" t="str">
        <f t="shared" si="3"/>
        <v>07 EE2 488</v>
      </c>
      <c r="B20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t="s">
        <v>614</v>
      </c>
      <c r="D207" t="s">
        <v>615</v>
      </c>
      <c r="E207" t="s">
        <v>616</v>
      </c>
      <c r="F207" t="s">
        <v>112</v>
      </c>
      <c r="G207">
        <v>6136142</v>
      </c>
    </row>
    <row r="208" spans="1:10" x14ac:dyDescent="0.25">
      <c r="A208" t="str">
        <f t="shared" si="3"/>
        <v>07 EE2 488</v>
      </c>
      <c r="B20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t="s">
        <v>617</v>
      </c>
      <c r="D208" t="s">
        <v>618</v>
      </c>
      <c r="E208" t="s">
        <v>619</v>
      </c>
      <c r="F208" t="s">
        <v>112</v>
      </c>
      <c r="G208">
        <v>6572222</v>
      </c>
    </row>
    <row r="209" spans="1:7" x14ac:dyDescent="0.25">
      <c r="A209" t="str">
        <f t="shared" si="3"/>
        <v>07 EE2 488</v>
      </c>
      <c r="B20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t="s">
        <v>620</v>
      </c>
      <c r="D209" t="s">
        <v>621</v>
      </c>
      <c r="E209" t="s">
        <v>622</v>
      </c>
      <c r="F209" t="s">
        <v>112</v>
      </c>
      <c r="G209">
        <v>6971899</v>
      </c>
    </row>
    <row r="210" spans="1:7" x14ac:dyDescent="0.25">
      <c r="A210" t="str">
        <f t="shared" si="3"/>
        <v>07 EE2 488</v>
      </c>
      <c r="B21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t="s">
        <v>623</v>
      </c>
      <c r="D210" t="s">
        <v>624</v>
      </c>
      <c r="E210" t="s">
        <v>625</v>
      </c>
      <c r="F210" t="s">
        <v>112</v>
      </c>
      <c r="G210">
        <v>6870866</v>
      </c>
    </row>
    <row r="211" spans="1:7" x14ac:dyDescent="0.25">
      <c r="A211" t="str">
        <f t="shared" si="3"/>
        <v>07 EE2 488</v>
      </c>
      <c r="B21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t="s">
        <v>626</v>
      </c>
      <c r="D211" t="s">
        <v>627</v>
      </c>
      <c r="E211" t="s">
        <v>628</v>
      </c>
      <c r="F211" t="s">
        <v>112</v>
      </c>
      <c r="G211">
        <v>7118982</v>
      </c>
    </row>
    <row r="212" spans="1:7" x14ac:dyDescent="0.25">
      <c r="A212" t="str">
        <f t="shared" si="3"/>
        <v>07 EE2 488</v>
      </c>
      <c r="B21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t="s">
        <v>629</v>
      </c>
      <c r="D212" t="s">
        <v>630</v>
      </c>
      <c r="E212" t="s">
        <v>631</v>
      </c>
      <c r="F212" t="s">
        <v>112</v>
      </c>
      <c r="G212">
        <v>4265048</v>
      </c>
    </row>
    <row r="213" spans="1:7" x14ac:dyDescent="0.25">
      <c r="A213" t="str">
        <f t="shared" si="3"/>
        <v>07 EE2 488</v>
      </c>
      <c r="B21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t="s">
        <v>632</v>
      </c>
      <c r="D213" t="s">
        <v>633</v>
      </c>
      <c r="E213" t="s">
        <v>634</v>
      </c>
      <c r="F213" t="s">
        <v>112</v>
      </c>
      <c r="G213">
        <v>4044920</v>
      </c>
    </row>
    <row r="214" spans="1:7" x14ac:dyDescent="0.25">
      <c r="A214" t="str">
        <f t="shared" si="3"/>
        <v>07 EE2 488</v>
      </c>
      <c r="B21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t="s">
        <v>635</v>
      </c>
      <c r="D214" t="s">
        <v>636</v>
      </c>
      <c r="E214" t="s">
        <v>637</v>
      </c>
      <c r="F214" t="s">
        <v>112</v>
      </c>
      <c r="G214">
        <v>4862963</v>
      </c>
    </row>
    <row r="215" spans="1:7" x14ac:dyDescent="0.25">
      <c r="A215" t="str">
        <f t="shared" si="3"/>
        <v>07 EE2 488</v>
      </c>
      <c r="B21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t="s">
        <v>638</v>
      </c>
      <c r="D215" t="s">
        <v>639</v>
      </c>
      <c r="E215" t="s">
        <v>640</v>
      </c>
      <c r="F215" t="s">
        <v>112</v>
      </c>
      <c r="G215">
        <v>4368244</v>
      </c>
    </row>
    <row r="216" spans="1:7" x14ac:dyDescent="0.25">
      <c r="A216" t="str">
        <f t="shared" si="3"/>
        <v>07 EE2 488</v>
      </c>
      <c r="B21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t="s">
        <v>641</v>
      </c>
      <c r="D216" t="s">
        <v>642</v>
      </c>
      <c r="E216" t="s">
        <v>643</v>
      </c>
      <c r="F216" t="s">
        <v>112</v>
      </c>
      <c r="G216">
        <v>4250750</v>
      </c>
    </row>
    <row r="217" spans="1:7" x14ac:dyDescent="0.25">
      <c r="A217" t="str">
        <f t="shared" si="3"/>
        <v>07 EE2 488</v>
      </c>
      <c r="B21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t="s">
        <v>644</v>
      </c>
      <c r="D217" t="s">
        <v>645</v>
      </c>
      <c r="E217" t="s">
        <v>646</v>
      </c>
      <c r="F217" t="s">
        <v>112</v>
      </c>
      <c r="G217">
        <v>4421799</v>
      </c>
    </row>
    <row r="218" spans="1:7" x14ac:dyDescent="0.25">
      <c r="A218" t="str">
        <f t="shared" si="3"/>
        <v>07 EE2 488</v>
      </c>
      <c r="B21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t="s">
        <v>647</v>
      </c>
      <c r="D218" t="s">
        <v>648</v>
      </c>
      <c r="E218" t="s">
        <v>649</v>
      </c>
      <c r="F218" t="s">
        <v>112</v>
      </c>
      <c r="G218">
        <v>5131173</v>
      </c>
    </row>
    <row r="219" spans="1:7" x14ac:dyDescent="0.25">
      <c r="A219" t="str">
        <f t="shared" si="3"/>
        <v>07 EE2 488</v>
      </c>
      <c r="B21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t="s">
        <v>650</v>
      </c>
      <c r="D219" t="s">
        <v>651</v>
      </c>
      <c r="E219" t="s">
        <v>652</v>
      </c>
      <c r="F219" t="s">
        <v>112</v>
      </c>
      <c r="G219">
        <v>5602986</v>
      </c>
    </row>
    <row r="220" spans="1:7" x14ac:dyDescent="0.25">
      <c r="A220" t="str">
        <f t="shared" si="3"/>
        <v>07 EE2 488</v>
      </c>
      <c r="B22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t="s">
        <v>653</v>
      </c>
      <c r="D220" t="s">
        <v>654</v>
      </c>
      <c r="E220" t="s">
        <v>655</v>
      </c>
      <c r="F220" t="s">
        <v>112</v>
      </c>
      <c r="G220">
        <v>4729896</v>
      </c>
    </row>
    <row r="221" spans="1:7" x14ac:dyDescent="0.25">
      <c r="A221" t="str">
        <f t="shared" si="3"/>
        <v>07 EE2 488</v>
      </c>
      <c r="B22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t="s">
        <v>656</v>
      </c>
      <c r="D221" t="s">
        <v>657</v>
      </c>
      <c r="E221" t="s">
        <v>658</v>
      </c>
      <c r="F221" t="s">
        <v>112</v>
      </c>
      <c r="G221">
        <v>5814008</v>
      </c>
    </row>
    <row r="222" spans="1:7" x14ac:dyDescent="0.25">
      <c r="A222" t="str">
        <f t="shared" si="3"/>
        <v>07 EE2 488</v>
      </c>
      <c r="B22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t="s">
        <v>659</v>
      </c>
      <c r="D222" t="s">
        <v>660</v>
      </c>
      <c r="E222" t="s">
        <v>661</v>
      </c>
      <c r="F222" t="s">
        <v>112</v>
      </c>
      <c r="G222">
        <v>5951963</v>
      </c>
    </row>
    <row r="223" spans="1:7" x14ac:dyDescent="0.25">
      <c r="A223" t="str">
        <f t="shared" si="3"/>
        <v>07 EE2 488</v>
      </c>
      <c r="B22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t="s">
        <v>662</v>
      </c>
      <c r="D223" t="s">
        <v>663</v>
      </c>
      <c r="E223" t="s">
        <v>664</v>
      </c>
      <c r="F223" t="s">
        <v>112</v>
      </c>
      <c r="G223">
        <v>5769991</v>
      </c>
    </row>
    <row r="224" spans="1:7" x14ac:dyDescent="0.25">
      <c r="A224" t="str">
        <f t="shared" si="3"/>
        <v/>
      </c>
      <c r="B2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t="s">
        <v>112</v>
      </c>
    </row>
    <row r="225" spans="1:10" x14ac:dyDescent="0.25">
      <c r="A225" t="str">
        <f t="shared" si="3"/>
        <v/>
      </c>
      <c r="B2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t="s">
        <v>234</v>
      </c>
      <c r="D225" t="s">
        <v>112</v>
      </c>
      <c r="E225" t="s">
        <v>235</v>
      </c>
      <c r="F225" t="s">
        <v>236</v>
      </c>
      <c r="G225" t="s">
        <v>237</v>
      </c>
      <c r="H225" t="s">
        <v>238</v>
      </c>
      <c r="I225" t="s">
        <v>239</v>
      </c>
      <c r="J225" t="s">
        <v>240</v>
      </c>
    </row>
    <row r="226" spans="1:10" x14ac:dyDescent="0.25">
      <c r="A226" t="str">
        <f t="shared" si="3"/>
        <v>07 EE2 488</v>
      </c>
      <c r="B22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t="s">
        <v>665</v>
      </c>
      <c r="D226" t="s">
        <v>112</v>
      </c>
      <c r="E226" t="s">
        <v>666</v>
      </c>
      <c r="F226" t="s">
        <v>667</v>
      </c>
      <c r="G226" t="s">
        <v>668</v>
      </c>
      <c r="H226" t="s">
        <v>669</v>
      </c>
      <c r="I226">
        <v>24</v>
      </c>
      <c r="J226">
        <v>24</v>
      </c>
    </row>
    <row r="227" spans="1:10" x14ac:dyDescent="0.25">
      <c r="A227" t="str">
        <f t="shared" si="3"/>
        <v/>
      </c>
      <c r="B2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t="s">
        <v>112</v>
      </c>
    </row>
    <row r="228" spans="1:10" x14ac:dyDescent="0.25">
      <c r="A228" t="str">
        <f t="shared" si="3"/>
        <v/>
      </c>
      <c r="B2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t="s">
        <v>112</v>
      </c>
    </row>
    <row r="229" spans="1:10" x14ac:dyDescent="0.25">
      <c r="A229" t="str">
        <f t="shared" si="3"/>
        <v/>
      </c>
      <c r="B2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t="s">
        <v>112</v>
      </c>
    </row>
    <row r="230" spans="1:10" x14ac:dyDescent="0.25">
      <c r="A230" t="str">
        <f t="shared" si="3"/>
        <v/>
      </c>
      <c r="B2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t="s">
        <v>112</v>
      </c>
    </row>
    <row r="231" spans="1:10" x14ac:dyDescent="0.25">
      <c r="A231" t="str">
        <f t="shared" si="3"/>
        <v/>
      </c>
      <c r="B2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t="s">
        <v>112</v>
      </c>
    </row>
    <row r="232" spans="1:10" x14ac:dyDescent="0.25">
      <c r="A232" t="str">
        <f t="shared" si="3"/>
        <v/>
      </c>
      <c r="B2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t="s">
        <v>246</v>
      </c>
      <c r="D232" t="s">
        <v>110</v>
      </c>
      <c r="E232" t="s">
        <v>111</v>
      </c>
      <c r="F232" t="s">
        <v>112</v>
      </c>
      <c r="G232" t="s">
        <v>113</v>
      </c>
    </row>
    <row r="233" spans="1:10" x14ac:dyDescent="0.25">
      <c r="A233" t="str">
        <f t="shared" si="3"/>
        <v>08 TRIPHENYLP 0.18</v>
      </c>
      <c r="B23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t="s">
        <v>670</v>
      </c>
      <c r="D233" t="s">
        <v>671</v>
      </c>
      <c r="E233" t="s">
        <v>672</v>
      </c>
      <c r="F233" t="s">
        <v>112</v>
      </c>
      <c r="G233">
        <v>221944</v>
      </c>
    </row>
    <row r="234" spans="1:10" x14ac:dyDescent="0.25">
      <c r="A234" t="str">
        <f t="shared" si="3"/>
        <v>08 TRIPHENYLP 0.18</v>
      </c>
      <c r="B23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t="s">
        <v>673</v>
      </c>
      <c r="D234" t="s">
        <v>674</v>
      </c>
      <c r="E234" t="s">
        <v>675</v>
      </c>
      <c r="F234" t="s">
        <v>112</v>
      </c>
      <c r="G234">
        <v>340195</v>
      </c>
    </row>
    <row r="235" spans="1:10" x14ac:dyDescent="0.25">
      <c r="A235" t="str">
        <f t="shared" si="3"/>
        <v>08 TRIPHENYLP 0.18</v>
      </c>
      <c r="B23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t="s">
        <v>676</v>
      </c>
      <c r="D235" t="s">
        <v>677</v>
      </c>
      <c r="E235" t="s">
        <v>678</v>
      </c>
      <c r="F235" t="s">
        <v>112</v>
      </c>
      <c r="G235">
        <v>314066</v>
      </c>
    </row>
    <row r="236" spans="1:10" x14ac:dyDescent="0.25">
      <c r="A236" t="str">
        <f t="shared" si="3"/>
        <v>08 TRIPHENYLP 0.18</v>
      </c>
      <c r="B23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t="s">
        <v>679</v>
      </c>
      <c r="D236" t="s">
        <v>680</v>
      </c>
      <c r="E236" t="s">
        <v>681</v>
      </c>
      <c r="F236" t="s">
        <v>112</v>
      </c>
      <c r="G236">
        <v>563134</v>
      </c>
    </row>
    <row r="237" spans="1:10" x14ac:dyDescent="0.25">
      <c r="A237" t="str">
        <f t="shared" si="3"/>
        <v>08 TRIPHENYLP 0.18</v>
      </c>
      <c r="B23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t="s">
        <v>682</v>
      </c>
      <c r="D237" t="s">
        <v>683</v>
      </c>
      <c r="E237" t="s">
        <v>684</v>
      </c>
      <c r="F237" t="s">
        <v>112</v>
      </c>
      <c r="G237">
        <v>693498</v>
      </c>
    </row>
    <row r="238" spans="1:10" x14ac:dyDescent="0.25">
      <c r="A238" t="str">
        <f t="shared" si="3"/>
        <v>08 TRIPHENYLP 0.18</v>
      </c>
      <c r="B23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t="s">
        <v>685</v>
      </c>
      <c r="D238" t="s">
        <v>365</v>
      </c>
      <c r="E238" t="s">
        <v>686</v>
      </c>
      <c r="F238" t="s">
        <v>112</v>
      </c>
      <c r="G238">
        <v>662307</v>
      </c>
    </row>
    <row r="239" spans="1:10" x14ac:dyDescent="0.25">
      <c r="A239" t="str">
        <f t="shared" si="3"/>
        <v>08 TRIPHENYLP 0.18</v>
      </c>
      <c r="B23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t="s">
        <v>687</v>
      </c>
      <c r="D239" t="s">
        <v>688</v>
      </c>
      <c r="E239" t="s">
        <v>689</v>
      </c>
      <c r="F239" t="s">
        <v>112</v>
      </c>
      <c r="G239">
        <v>44082</v>
      </c>
    </row>
    <row r="240" spans="1:10" x14ac:dyDescent="0.25">
      <c r="A240" t="str">
        <f t="shared" si="3"/>
        <v>08 TRIPHENYLP 0.18</v>
      </c>
      <c r="B24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t="s">
        <v>690</v>
      </c>
    </row>
    <row r="241" spans="1:7" x14ac:dyDescent="0.25">
      <c r="A241" t="str">
        <f t="shared" si="3"/>
        <v>08 TRIPHENYLP 0.18</v>
      </c>
      <c r="B24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t="s">
        <v>691</v>
      </c>
      <c r="D241" t="s">
        <v>692</v>
      </c>
      <c r="E241" t="s">
        <v>693</v>
      </c>
      <c r="F241" t="s">
        <v>112</v>
      </c>
      <c r="G241">
        <v>26237</v>
      </c>
    </row>
    <row r="242" spans="1:7" x14ac:dyDescent="0.25">
      <c r="A242" t="str">
        <f t="shared" si="3"/>
        <v>08 TRIPHENYLP 0.18</v>
      </c>
      <c r="B24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t="s">
        <v>694</v>
      </c>
      <c r="D242" t="s">
        <v>695</v>
      </c>
      <c r="E242" t="s">
        <v>696</v>
      </c>
      <c r="F242" t="s">
        <v>112</v>
      </c>
      <c r="G242">
        <v>638450</v>
      </c>
    </row>
    <row r="243" spans="1:7" x14ac:dyDescent="0.25">
      <c r="A243" t="str">
        <f t="shared" si="3"/>
        <v>08 TRIPHENYLP 0.18</v>
      </c>
      <c r="B24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t="s">
        <v>697</v>
      </c>
      <c r="D243" t="s">
        <v>698</v>
      </c>
      <c r="E243" t="s">
        <v>699</v>
      </c>
      <c r="F243" t="s">
        <v>112</v>
      </c>
      <c r="G243">
        <v>640677</v>
      </c>
    </row>
    <row r="244" spans="1:7" x14ac:dyDescent="0.25">
      <c r="A244" t="str">
        <f t="shared" si="3"/>
        <v>08 TRIPHENYLP 0.18</v>
      </c>
      <c r="B24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t="s">
        <v>700</v>
      </c>
      <c r="D244" t="s">
        <v>306</v>
      </c>
      <c r="E244" t="s">
        <v>701</v>
      </c>
      <c r="F244" t="s">
        <v>112</v>
      </c>
      <c r="G244">
        <v>762886</v>
      </c>
    </row>
    <row r="245" spans="1:7" x14ac:dyDescent="0.25">
      <c r="A245" t="str">
        <f t="shared" si="3"/>
        <v>08 TRIPHENYLP 0.18</v>
      </c>
      <c r="B24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t="s">
        <v>702</v>
      </c>
      <c r="D245" t="s">
        <v>703</v>
      </c>
      <c r="E245" t="s">
        <v>704</v>
      </c>
      <c r="F245" t="s">
        <v>112</v>
      </c>
      <c r="G245">
        <v>263950</v>
      </c>
    </row>
    <row r="246" spans="1:7" x14ac:dyDescent="0.25">
      <c r="A246" t="str">
        <f t="shared" si="3"/>
        <v>08 TRIPHENYLP 0.18</v>
      </c>
      <c r="B24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t="s">
        <v>705</v>
      </c>
    </row>
    <row r="247" spans="1:7" x14ac:dyDescent="0.25">
      <c r="A247" t="str">
        <f t="shared" si="3"/>
        <v>08 TRIPHENYLP 0.18</v>
      </c>
      <c r="B24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t="s">
        <v>706</v>
      </c>
      <c r="D247" t="s">
        <v>707</v>
      </c>
      <c r="E247" t="s">
        <v>708</v>
      </c>
      <c r="F247" t="s">
        <v>112</v>
      </c>
      <c r="G247">
        <v>356612</v>
      </c>
    </row>
    <row r="248" spans="1:7" x14ac:dyDescent="0.25">
      <c r="A248" t="str">
        <f t="shared" si="3"/>
        <v>08 TRIPHENYLP 0.18</v>
      </c>
      <c r="B24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t="s">
        <v>709</v>
      </c>
      <c r="D248" t="s">
        <v>710</v>
      </c>
      <c r="E248" t="s">
        <v>711</v>
      </c>
      <c r="F248" t="s">
        <v>112</v>
      </c>
      <c r="G248">
        <v>365848</v>
      </c>
    </row>
    <row r="249" spans="1:7" x14ac:dyDescent="0.25">
      <c r="A249" t="str">
        <f t="shared" si="3"/>
        <v>08 TRIPHENYLP 0.18</v>
      </c>
      <c r="B24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t="s">
        <v>712</v>
      </c>
      <c r="D249" t="s">
        <v>713</v>
      </c>
      <c r="E249" t="s">
        <v>714</v>
      </c>
      <c r="F249" t="s">
        <v>112</v>
      </c>
      <c r="G249">
        <v>361089</v>
      </c>
    </row>
    <row r="250" spans="1:7" x14ac:dyDescent="0.25">
      <c r="A250" t="str">
        <f t="shared" si="3"/>
        <v>08 TRIPHENYLP 0.18</v>
      </c>
      <c r="B25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t="s">
        <v>715</v>
      </c>
      <c r="D250" t="s">
        <v>716</v>
      </c>
      <c r="E250" t="s">
        <v>717</v>
      </c>
      <c r="F250" t="s">
        <v>112</v>
      </c>
      <c r="G250">
        <v>273315</v>
      </c>
    </row>
    <row r="251" spans="1:7" x14ac:dyDescent="0.25">
      <c r="A251" t="str">
        <f t="shared" si="3"/>
        <v>08 TRIPHENYLP 0.18</v>
      </c>
      <c r="B25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t="s">
        <v>718</v>
      </c>
      <c r="D251" t="s">
        <v>719</v>
      </c>
      <c r="E251" t="s">
        <v>720</v>
      </c>
      <c r="F251" t="s">
        <v>112</v>
      </c>
      <c r="G251">
        <v>451459</v>
      </c>
    </row>
    <row r="252" spans="1:7" x14ac:dyDescent="0.25">
      <c r="A252" t="str">
        <f t="shared" si="3"/>
        <v>08 TRIPHENYLP 0.18</v>
      </c>
      <c r="B25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t="s">
        <v>721</v>
      </c>
      <c r="D252" t="s">
        <v>722</v>
      </c>
      <c r="E252" t="s">
        <v>723</v>
      </c>
      <c r="F252" t="s">
        <v>112</v>
      </c>
      <c r="G252">
        <v>39799</v>
      </c>
    </row>
    <row r="253" spans="1:7" x14ac:dyDescent="0.25">
      <c r="A253" t="str">
        <f t="shared" si="3"/>
        <v>08 TRIPHENYLP 0.18</v>
      </c>
      <c r="B25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t="s">
        <v>724</v>
      </c>
      <c r="D253" t="s">
        <v>725</v>
      </c>
      <c r="E253" t="s">
        <v>726</v>
      </c>
      <c r="F253" t="s">
        <v>112</v>
      </c>
      <c r="G253">
        <v>112108</v>
      </c>
    </row>
    <row r="254" spans="1:7" x14ac:dyDescent="0.25">
      <c r="A254" t="str">
        <f t="shared" si="3"/>
        <v>08 TRIPHENYLP 0.18</v>
      </c>
      <c r="B25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t="s">
        <v>727</v>
      </c>
      <c r="D254" t="s">
        <v>728</v>
      </c>
      <c r="E254" t="s">
        <v>729</v>
      </c>
      <c r="F254" t="s">
        <v>112</v>
      </c>
      <c r="G254">
        <v>126254</v>
      </c>
    </row>
    <row r="255" spans="1:7" x14ac:dyDescent="0.25">
      <c r="A255" t="str">
        <f t="shared" si="3"/>
        <v>08 TRIPHENYLP 0.18</v>
      </c>
      <c r="B25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t="s">
        <v>730</v>
      </c>
      <c r="D255" t="s">
        <v>731</v>
      </c>
      <c r="E255" t="s">
        <v>732</v>
      </c>
      <c r="F255" t="s">
        <v>112</v>
      </c>
      <c r="G255">
        <v>115244</v>
      </c>
    </row>
    <row r="256" spans="1:7" x14ac:dyDescent="0.25">
      <c r="A256" t="str">
        <f t="shared" si="3"/>
        <v>08 TRIPHENYLP 0.18</v>
      </c>
      <c r="B25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t="s">
        <v>733</v>
      </c>
      <c r="D256" t="s">
        <v>734</v>
      </c>
      <c r="E256" t="s">
        <v>735</v>
      </c>
      <c r="F256" t="s">
        <v>112</v>
      </c>
      <c r="G256">
        <v>288954</v>
      </c>
    </row>
    <row r="257" spans="1:10" x14ac:dyDescent="0.25">
      <c r="A257" t="str">
        <f t="shared" si="3"/>
        <v/>
      </c>
      <c r="B2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t="s">
        <v>112</v>
      </c>
    </row>
    <row r="258" spans="1:10" x14ac:dyDescent="0.25">
      <c r="A258" t="str">
        <f t="shared" ref="A258:A321" si="4">IFERROR(LEFT(RIGHT(C258,LEN(C258)-SEARCH("@",C258)),SEARCH("/",RIGHT(C258,LEN(C258)-SEARCH("@",C258)-1))),"")</f>
        <v/>
      </c>
      <c r="B2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t="s">
        <v>234</v>
      </c>
      <c r="D258" t="s">
        <v>112</v>
      </c>
      <c r="E258" t="s">
        <v>235</v>
      </c>
      <c r="F258" t="s">
        <v>236</v>
      </c>
      <c r="G258" t="s">
        <v>237</v>
      </c>
      <c r="H258" t="s">
        <v>238</v>
      </c>
      <c r="I258" t="s">
        <v>239</v>
      </c>
      <c r="J258" t="s">
        <v>240</v>
      </c>
    </row>
    <row r="259" spans="1:10" x14ac:dyDescent="0.25">
      <c r="A259" t="str">
        <f t="shared" si="4"/>
        <v>08 TRIPHENYLP 0.18</v>
      </c>
      <c r="B25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t="s">
        <v>736</v>
      </c>
      <c r="D259" t="s">
        <v>112</v>
      </c>
      <c r="E259" t="s">
        <v>737</v>
      </c>
      <c r="F259" t="s">
        <v>738</v>
      </c>
      <c r="G259" t="s">
        <v>739</v>
      </c>
      <c r="H259" t="s">
        <v>740</v>
      </c>
      <c r="I259">
        <v>24</v>
      </c>
      <c r="J259">
        <v>24</v>
      </c>
    </row>
    <row r="260" spans="1:10" x14ac:dyDescent="0.25">
      <c r="A260" t="str">
        <f t="shared" si="4"/>
        <v/>
      </c>
      <c r="B2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t="s">
        <v>112</v>
      </c>
    </row>
    <row r="261" spans="1:10" x14ac:dyDescent="0.25">
      <c r="A261" t="str">
        <f t="shared" si="4"/>
        <v/>
      </c>
      <c r="B2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t="s">
        <v>112</v>
      </c>
    </row>
    <row r="262" spans="1:10" x14ac:dyDescent="0.25">
      <c r="A262" t="str">
        <f t="shared" si="4"/>
        <v/>
      </c>
      <c r="B2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t="s">
        <v>112</v>
      </c>
    </row>
    <row r="263" spans="1:10" x14ac:dyDescent="0.25">
      <c r="A263" t="str">
        <f t="shared" si="4"/>
        <v/>
      </c>
      <c r="B2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t="s">
        <v>112</v>
      </c>
    </row>
    <row r="264" spans="1:10" x14ac:dyDescent="0.25">
      <c r="A264" t="str">
        <f t="shared" si="4"/>
        <v/>
      </c>
      <c r="B2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t="s">
        <v>112</v>
      </c>
    </row>
    <row r="265" spans="1:10" x14ac:dyDescent="0.25">
      <c r="A265" t="str">
        <f t="shared" si="4"/>
        <v/>
      </c>
      <c r="B2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t="s">
        <v>246</v>
      </c>
      <c r="D265" t="s">
        <v>110</v>
      </c>
      <c r="E265" t="s">
        <v>111</v>
      </c>
      <c r="F265" t="s">
        <v>112</v>
      </c>
      <c r="G265" t="s">
        <v>113</v>
      </c>
    </row>
    <row r="266" spans="1:10" x14ac:dyDescent="0.25">
      <c r="A266" t="str">
        <f t="shared" si="4"/>
        <v>09 TRIPHENYLP 0.26</v>
      </c>
      <c r="B26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t="s">
        <v>741</v>
      </c>
      <c r="D266" t="s">
        <v>742</v>
      </c>
      <c r="E266" t="s">
        <v>743</v>
      </c>
      <c r="F266" t="s">
        <v>112</v>
      </c>
      <c r="G266">
        <v>565946</v>
      </c>
    </row>
    <row r="267" spans="1:10" x14ac:dyDescent="0.25">
      <c r="A267" t="str">
        <f t="shared" si="4"/>
        <v>09 TRIPHENYLP 0.26</v>
      </c>
      <c r="B26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t="s">
        <v>744</v>
      </c>
      <c r="D267" t="s">
        <v>745</v>
      </c>
      <c r="E267" t="s">
        <v>746</v>
      </c>
      <c r="F267" t="s">
        <v>112</v>
      </c>
      <c r="G267">
        <v>1082100</v>
      </c>
    </row>
    <row r="268" spans="1:10" x14ac:dyDescent="0.25">
      <c r="A268" t="str">
        <f t="shared" si="4"/>
        <v>09 TRIPHENYLP 0.26</v>
      </c>
      <c r="B26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t="s">
        <v>747</v>
      </c>
      <c r="D268" t="s">
        <v>748</v>
      </c>
      <c r="E268" t="s">
        <v>749</v>
      </c>
      <c r="F268" t="s">
        <v>112</v>
      </c>
      <c r="G268">
        <v>1040917</v>
      </c>
    </row>
    <row r="269" spans="1:10" x14ac:dyDescent="0.25">
      <c r="A269" t="str">
        <f t="shared" si="4"/>
        <v>09 TRIPHENYLP 0.26</v>
      </c>
      <c r="B26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t="s">
        <v>750</v>
      </c>
      <c r="D269" t="s">
        <v>371</v>
      </c>
      <c r="E269" t="s">
        <v>751</v>
      </c>
      <c r="F269" t="s">
        <v>112</v>
      </c>
      <c r="G269">
        <v>134170</v>
      </c>
    </row>
    <row r="270" spans="1:10" x14ac:dyDescent="0.25">
      <c r="A270" t="str">
        <f t="shared" si="4"/>
        <v>09 TRIPHENYLP 0.26</v>
      </c>
      <c r="B27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t="s">
        <v>752</v>
      </c>
      <c r="D270" t="s">
        <v>734</v>
      </c>
      <c r="E270" t="s">
        <v>753</v>
      </c>
      <c r="F270" t="s">
        <v>112</v>
      </c>
      <c r="G270">
        <v>290749</v>
      </c>
    </row>
    <row r="271" spans="1:10" x14ac:dyDescent="0.25">
      <c r="A271" t="str">
        <f t="shared" si="4"/>
        <v>09 TRIPHENYLP 0.26</v>
      </c>
      <c r="B27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t="s">
        <v>754</v>
      </c>
      <c r="D271" t="s">
        <v>755</v>
      </c>
      <c r="E271" t="s">
        <v>756</v>
      </c>
      <c r="F271" t="s">
        <v>112</v>
      </c>
      <c r="G271">
        <v>131748</v>
      </c>
    </row>
    <row r="272" spans="1:10" x14ac:dyDescent="0.25">
      <c r="A272" t="str">
        <f t="shared" si="4"/>
        <v>09 TRIPHENYLP 0.26</v>
      </c>
      <c r="B27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t="s">
        <v>757</v>
      </c>
      <c r="D272" t="s">
        <v>758</v>
      </c>
      <c r="E272" t="s">
        <v>759</v>
      </c>
      <c r="F272" t="s">
        <v>112</v>
      </c>
      <c r="G272">
        <v>387478</v>
      </c>
    </row>
    <row r="273" spans="1:7" x14ac:dyDescent="0.25">
      <c r="A273" t="str">
        <f t="shared" si="4"/>
        <v>09 TRIPHENYLP 0.26</v>
      </c>
      <c r="B27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t="s">
        <v>760</v>
      </c>
      <c r="D273" t="s">
        <v>761</v>
      </c>
      <c r="E273" t="s">
        <v>762</v>
      </c>
      <c r="F273" t="s">
        <v>112</v>
      </c>
      <c r="G273">
        <v>88704</v>
      </c>
    </row>
    <row r="274" spans="1:7" x14ac:dyDescent="0.25">
      <c r="A274" t="str">
        <f t="shared" si="4"/>
        <v>09 TRIPHENYLP 0.26</v>
      </c>
      <c r="B27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t="s">
        <v>763</v>
      </c>
      <c r="D274" t="s">
        <v>764</v>
      </c>
      <c r="E274" t="s">
        <v>765</v>
      </c>
      <c r="F274" t="s">
        <v>112</v>
      </c>
      <c r="G274">
        <v>37312</v>
      </c>
    </row>
    <row r="275" spans="1:7" x14ac:dyDescent="0.25">
      <c r="A275" t="str">
        <f t="shared" si="4"/>
        <v>09 TRIPHENYLP 0.26</v>
      </c>
      <c r="B27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t="s">
        <v>766</v>
      </c>
      <c r="D275" t="s">
        <v>767</v>
      </c>
      <c r="E275" t="s">
        <v>768</v>
      </c>
      <c r="F275" t="s">
        <v>112</v>
      </c>
      <c r="G275">
        <v>155086</v>
      </c>
    </row>
    <row r="276" spans="1:7" x14ac:dyDescent="0.25">
      <c r="A276" t="str">
        <f t="shared" si="4"/>
        <v>09 TRIPHENYLP 0.26</v>
      </c>
      <c r="B27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t="s">
        <v>769</v>
      </c>
      <c r="D276" t="s">
        <v>770</v>
      </c>
      <c r="E276" t="s">
        <v>771</v>
      </c>
      <c r="F276" t="s">
        <v>112</v>
      </c>
      <c r="G276">
        <v>28984</v>
      </c>
    </row>
    <row r="277" spans="1:7" x14ac:dyDescent="0.25">
      <c r="A277" t="str">
        <f t="shared" si="4"/>
        <v>09 TRIPHENYLP 0.26</v>
      </c>
      <c r="B27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t="s">
        <v>772</v>
      </c>
      <c r="D277" t="s">
        <v>722</v>
      </c>
      <c r="E277" t="s">
        <v>773</v>
      </c>
      <c r="F277" t="s">
        <v>112</v>
      </c>
      <c r="G277">
        <v>41075</v>
      </c>
    </row>
    <row r="278" spans="1:7" x14ac:dyDescent="0.25">
      <c r="A278" t="str">
        <f t="shared" si="4"/>
        <v>09 TRIPHENYLP 0.26</v>
      </c>
      <c r="B27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t="s">
        <v>774</v>
      </c>
      <c r="D278" t="s">
        <v>775</v>
      </c>
      <c r="E278" t="s">
        <v>776</v>
      </c>
      <c r="F278" t="s">
        <v>112</v>
      </c>
      <c r="G278">
        <v>800111</v>
      </c>
    </row>
    <row r="279" spans="1:7" x14ac:dyDescent="0.25">
      <c r="A279" t="str">
        <f t="shared" si="4"/>
        <v>09 TRIPHENYLP 0.26</v>
      </c>
      <c r="B27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t="s">
        <v>777</v>
      </c>
      <c r="D279" t="s">
        <v>778</v>
      </c>
      <c r="E279" t="s">
        <v>779</v>
      </c>
      <c r="F279" t="s">
        <v>112</v>
      </c>
      <c r="G279">
        <v>551714</v>
      </c>
    </row>
    <row r="280" spans="1:7" x14ac:dyDescent="0.25">
      <c r="A280" t="str">
        <f t="shared" si="4"/>
        <v>09 TRIPHENYLP 0.26</v>
      </c>
      <c r="B28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t="s">
        <v>780</v>
      </c>
      <c r="D280" t="s">
        <v>781</v>
      </c>
      <c r="E280" t="s">
        <v>782</v>
      </c>
      <c r="F280" t="s">
        <v>112</v>
      </c>
      <c r="G280">
        <v>665487</v>
      </c>
    </row>
    <row r="281" spans="1:7" x14ac:dyDescent="0.25">
      <c r="A281" t="str">
        <f t="shared" si="4"/>
        <v>09 TRIPHENYLP 0.26</v>
      </c>
      <c r="B28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t="s">
        <v>783</v>
      </c>
      <c r="D281" t="s">
        <v>784</v>
      </c>
      <c r="E281" t="s">
        <v>785</v>
      </c>
      <c r="F281" t="s">
        <v>112</v>
      </c>
      <c r="G281">
        <v>1332899</v>
      </c>
    </row>
    <row r="282" spans="1:7" x14ac:dyDescent="0.25">
      <c r="A282" t="str">
        <f t="shared" si="4"/>
        <v>09 TRIPHENYLP 0.26</v>
      </c>
      <c r="B28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t="s">
        <v>786</v>
      </c>
      <c r="D282" t="s">
        <v>351</v>
      </c>
      <c r="E282" t="s">
        <v>787</v>
      </c>
      <c r="F282" t="s">
        <v>112</v>
      </c>
      <c r="G282">
        <v>566746</v>
      </c>
    </row>
    <row r="283" spans="1:7" x14ac:dyDescent="0.25">
      <c r="A283" t="str">
        <f t="shared" si="4"/>
        <v>09 TRIPHENYLP 0.26</v>
      </c>
      <c r="B28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t="s">
        <v>788</v>
      </c>
      <c r="D283" t="s">
        <v>789</v>
      </c>
      <c r="E283" t="s">
        <v>790</v>
      </c>
      <c r="F283" t="s">
        <v>112</v>
      </c>
      <c r="G283">
        <v>1678415</v>
      </c>
    </row>
    <row r="284" spans="1:7" x14ac:dyDescent="0.25">
      <c r="A284" t="str">
        <f t="shared" si="4"/>
        <v>09 TRIPHENYLP 0.26</v>
      </c>
      <c r="B28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t="s">
        <v>791</v>
      </c>
      <c r="D284" t="s">
        <v>792</v>
      </c>
      <c r="E284" t="s">
        <v>793</v>
      </c>
      <c r="F284" t="s">
        <v>112</v>
      </c>
      <c r="G284">
        <v>1050521</v>
      </c>
    </row>
    <row r="285" spans="1:7" x14ac:dyDescent="0.25">
      <c r="A285" t="str">
        <f t="shared" si="4"/>
        <v>09 TRIPHENYLP 0.26</v>
      </c>
      <c r="B28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t="s">
        <v>794</v>
      </c>
    </row>
    <row r="286" spans="1:7" x14ac:dyDescent="0.25">
      <c r="A286" t="str">
        <f t="shared" si="4"/>
        <v>09 TRIPHENYLP 0.26</v>
      </c>
      <c r="B28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t="s">
        <v>795</v>
      </c>
      <c r="D286" t="s">
        <v>695</v>
      </c>
      <c r="E286" t="s">
        <v>796</v>
      </c>
      <c r="F286" t="s">
        <v>112</v>
      </c>
      <c r="G286">
        <v>736995</v>
      </c>
    </row>
    <row r="287" spans="1:7" x14ac:dyDescent="0.25">
      <c r="A287" t="str">
        <f t="shared" si="4"/>
        <v>09 TRIPHENYLP 0.26</v>
      </c>
      <c r="B28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t="s">
        <v>797</v>
      </c>
      <c r="D287" t="s">
        <v>798</v>
      </c>
      <c r="E287" t="s">
        <v>799</v>
      </c>
      <c r="F287" t="s">
        <v>112</v>
      </c>
      <c r="G287">
        <v>443175</v>
      </c>
    </row>
    <row r="288" spans="1:7" x14ac:dyDescent="0.25">
      <c r="A288" t="str">
        <f t="shared" si="4"/>
        <v>09 TRIPHENYLP 0.26</v>
      </c>
      <c r="B28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t="s">
        <v>800</v>
      </c>
      <c r="D288" t="s">
        <v>801</v>
      </c>
      <c r="E288" t="s">
        <v>802</v>
      </c>
      <c r="F288" t="s">
        <v>112</v>
      </c>
      <c r="G288">
        <v>546155</v>
      </c>
    </row>
    <row r="289" spans="1:10" x14ac:dyDescent="0.25">
      <c r="A289" t="str">
        <f t="shared" si="4"/>
        <v>09 TRIPHENYLP 0.26</v>
      </c>
      <c r="B28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t="s">
        <v>803</v>
      </c>
      <c r="D289" t="s">
        <v>804</v>
      </c>
      <c r="E289" t="s">
        <v>805</v>
      </c>
      <c r="F289" t="s">
        <v>112</v>
      </c>
      <c r="G289">
        <v>248614</v>
      </c>
    </row>
    <row r="290" spans="1:10" x14ac:dyDescent="0.25">
      <c r="A290" t="str">
        <f t="shared" si="4"/>
        <v/>
      </c>
      <c r="B2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t="s">
        <v>112</v>
      </c>
    </row>
    <row r="291" spans="1:10" x14ac:dyDescent="0.25">
      <c r="A291" t="str">
        <f t="shared" si="4"/>
        <v/>
      </c>
      <c r="B2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t="s">
        <v>234</v>
      </c>
      <c r="D291" t="s">
        <v>112</v>
      </c>
      <c r="E291" t="s">
        <v>235</v>
      </c>
      <c r="F291" t="s">
        <v>236</v>
      </c>
      <c r="G291" t="s">
        <v>237</v>
      </c>
      <c r="H291" t="s">
        <v>238</v>
      </c>
      <c r="I291" t="s">
        <v>239</v>
      </c>
      <c r="J291" t="s">
        <v>240</v>
      </c>
    </row>
    <row r="292" spans="1:10" x14ac:dyDescent="0.25">
      <c r="A292" t="str">
        <f t="shared" si="4"/>
        <v>09 TRIPHENYLP 0.26</v>
      </c>
      <c r="B29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t="s">
        <v>806</v>
      </c>
      <c r="D292" t="s">
        <v>112</v>
      </c>
      <c r="E292" t="s">
        <v>807</v>
      </c>
      <c r="F292" t="s">
        <v>808</v>
      </c>
      <c r="G292" t="s">
        <v>809</v>
      </c>
      <c r="H292" t="s">
        <v>810</v>
      </c>
      <c r="I292">
        <v>24</v>
      </c>
      <c r="J292">
        <v>24</v>
      </c>
    </row>
    <row r="293" spans="1:10" x14ac:dyDescent="0.25">
      <c r="A293" t="str">
        <f t="shared" si="4"/>
        <v/>
      </c>
      <c r="B2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t="s">
        <v>112</v>
      </c>
    </row>
    <row r="294" spans="1:10" x14ac:dyDescent="0.25">
      <c r="A294" t="str">
        <f t="shared" si="4"/>
        <v/>
      </c>
      <c r="B2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t="s">
        <v>112</v>
      </c>
    </row>
    <row r="295" spans="1:10" x14ac:dyDescent="0.25">
      <c r="A295" t="str">
        <f t="shared" si="4"/>
        <v/>
      </c>
      <c r="B2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t="s">
        <v>112</v>
      </c>
    </row>
    <row r="296" spans="1:10" x14ac:dyDescent="0.25">
      <c r="A296" t="str">
        <f t="shared" si="4"/>
        <v/>
      </c>
      <c r="B2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t="s">
        <v>112</v>
      </c>
    </row>
    <row r="297" spans="1:10" x14ac:dyDescent="0.25">
      <c r="A297" t="str">
        <f t="shared" si="4"/>
        <v/>
      </c>
      <c r="B2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t="s">
        <v>112</v>
      </c>
    </row>
    <row r="298" spans="1:10" x14ac:dyDescent="0.25">
      <c r="A298" t="str">
        <f t="shared" si="4"/>
        <v/>
      </c>
      <c r="B2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t="s">
        <v>246</v>
      </c>
      <c r="D298" t="s">
        <v>110</v>
      </c>
      <c r="E298" t="s">
        <v>111</v>
      </c>
      <c r="F298" t="s">
        <v>112</v>
      </c>
      <c r="G298" t="s">
        <v>113</v>
      </c>
    </row>
    <row r="299" spans="1:10" x14ac:dyDescent="0.25">
      <c r="A299" t="str">
        <f t="shared" si="4"/>
        <v>10 TRIPHENYLP 0.4</v>
      </c>
      <c r="B29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t="s">
        <v>811</v>
      </c>
      <c r="D299" t="s">
        <v>812</v>
      </c>
      <c r="E299" t="s">
        <v>813</v>
      </c>
      <c r="F299" t="s">
        <v>112</v>
      </c>
      <c r="G299">
        <v>600273</v>
      </c>
    </row>
    <row r="300" spans="1:10" x14ac:dyDescent="0.25">
      <c r="A300" t="str">
        <f t="shared" si="4"/>
        <v>10 TRIPHENYLP 0.4</v>
      </c>
      <c r="B30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t="s">
        <v>814</v>
      </c>
      <c r="D300" t="s">
        <v>815</v>
      </c>
      <c r="E300" t="s">
        <v>816</v>
      </c>
      <c r="F300" t="s">
        <v>112</v>
      </c>
      <c r="G300">
        <v>615868</v>
      </c>
    </row>
    <row r="301" spans="1:10" x14ac:dyDescent="0.25">
      <c r="A301" t="str">
        <f t="shared" si="4"/>
        <v>10 TRIPHENYLP 0.4</v>
      </c>
      <c r="B30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t="s">
        <v>817</v>
      </c>
      <c r="D301" t="s">
        <v>818</v>
      </c>
      <c r="E301" t="s">
        <v>819</v>
      </c>
      <c r="F301" t="s">
        <v>112</v>
      </c>
      <c r="G301">
        <v>563805</v>
      </c>
    </row>
    <row r="302" spans="1:10" x14ac:dyDescent="0.25">
      <c r="A302" t="str">
        <f t="shared" si="4"/>
        <v>10 TRIPHENYLP 0.4</v>
      </c>
      <c r="B30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t="s">
        <v>820</v>
      </c>
      <c r="D302" t="s">
        <v>821</v>
      </c>
      <c r="E302" t="s">
        <v>822</v>
      </c>
      <c r="F302" t="s">
        <v>112</v>
      </c>
      <c r="G302">
        <v>459289</v>
      </c>
    </row>
    <row r="303" spans="1:10" x14ac:dyDescent="0.25">
      <c r="A303" t="str">
        <f t="shared" si="4"/>
        <v>10 TRIPHENYLP 0.4</v>
      </c>
      <c r="B30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t="s">
        <v>823</v>
      </c>
      <c r="D303" t="s">
        <v>824</v>
      </c>
      <c r="E303" t="s">
        <v>825</v>
      </c>
      <c r="F303" t="s">
        <v>112</v>
      </c>
      <c r="G303">
        <v>104559</v>
      </c>
    </row>
    <row r="304" spans="1:10" x14ac:dyDescent="0.25">
      <c r="A304" t="str">
        <f t="shared" si="4"/>
        <v>10 TRIPHENYLP 0.4</v>
      </c>
      <c r="B30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t="s">
        <v>826</v>
      </c>
      <c r="D304" t="s">
        <v>827</v>
      </c>
      <c r="E304" t="s">
        <v>828</v>
      </c>
      <c r="F304" t="s">
        <v>112</v>
      </c>
      <c r="G304">
        <v>130147</v>
      </c>
    </row>
    <row r="305" spans="1:7" x14ac:dyDescent="0.25">
      <c r="A305" t="str">
        <f t="shared" si="4"/>
        <v>10 TRIPHENYLP 0.4</v>
      </c>
      <c r="B30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t="s">
        <v>829</v>
      </c>
      <c r="D305" t="s">
        <v>830</v>
      </c>
      <c r="E305" t="s">
        <v>831</v>
      </c>
      <c r="F305" t="s">
        <v>112</v>
      </c>
      <c r="G305">
        <v>611499</v>
      </c>
    </row>
    <row r="306" spans="1:7" x14ac:dyDescent="0.25">
      <c r="A306" t="str">
        <f t="shared" si="4"/>
        <v>10 TRIPHENYLP 0.4</v>
      </c>
      <c r="B30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t="s">
        <v>832</v>
      </c>
      <c r="D306" t="s">
        <v>833</v>
      </c>
      <c r="E306" t="s">
        <v>834</v>
      </c>
      <c r="F306" t="s">
        <v>112</v>
      </c>
      <c r="G306">
        <v>423340</v>
      </c>
    </row>
    <row r="307" spans="1:7" x14ac:dyDescent="0.25">
      <c r="A307" t="str">
        <f t="shared" si="4"/>
        <v>10 TRIPHENYLP 0.4</v>
      </c>
      <c r="B30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t="s">
        <v>835</v>
      </c>
      <c r="D307" t="s">
        <v>836</v>
      </c>
      <c r="E307" t="s">
        <v>837</v>
      </c>
      <c r="F307" t="s">
        <v>112</v>
      </c>
      <c r="G307">
        <v>631031</v>
      </c>
    </row>
    <row r="308" spans="1:7" x14ac:dyDescent="0.25">
      <c r="A308" t="str">
        <f t="shared" si="4"/>
        <v>10 TRIPHENYLP 0.4</v>
      </c>
      <c r="B30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t="s">
        <v>838</v>
      </c>
      <c r="D308" t="s">
        <v>839</v>
      </c>
      <c r="E308" t="s">
        <v>840</v>
      </c>
      <c r="F308" t="s">
        <v>112</v>
      </c>
      <c r="G308">
        <v>862903</v>
      </c>
    </row>
    <row r="309" spans="1:7" x14ac:dyDescent="0.25">
      <c r="A309" t="str">
        <f t="shared" si="4"/>
        <v>10 TRIPHENYLP 0.4</v>
      </c>
      <c r="B30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t="s">
        <v>841</v>
      </c>
      <c r="D309" t="s">
        <v>842</v>
      </c>
      <c r="E309" t="s">
        <v>843</v>
      </c>
      <c r="F309" t="s">
        <v>112</v>
      </c>
      <c r="G309">
        <v>790097</v>
      </c>
    </row>
    <row r="310" spans="1:7" x14ac:dyDescent="0.25">
      <c r="A310" t="str">
        <f t="shared" si="4"/>
        <v>10 TRIPHENYLP 0.4</v>
      </c>
      <c r="B31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t="s">
        <v>844</v>
      </c>
      <c r="D310" t="s">
        <v>845</v>
      </c>
      <c r="E310" t="s">
        <v>846</v>
      </c>
      <c r="F310" t="s">
        <v>112</v>
      </c>
      <c r="G310">
        <v>854640</v>
      </c>
    </row>
    <row r="311" spans="1:7" x14ac:dyDescent="0.25">
      <c r="A311" t="str">
        <f t="shared" si="4"/>
        <v>10 TRIPHENYLP 0.4</v>
      </c>
      <c r="B31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t="s">
        <v>847</v>
      </c>
      <c r="D311" t="s">
        <v>848</v>
      </c>
      <c r="E311" t="s">
        <v>849</v>
      </c>
      <c r="F311" t="s">
        <v>112</v>
      </c>
      <c r="G311">
        <v>931902</v>
      </c>
    </row>
    <row r="312" spans="1:7" x14ac:dyDescent="0.25">
      <c r="A312" t="str">
        <f t="shared" si="4"/>
        <v>10 TRIPHENYLP 0.4</v>
      </c>
      <c r="B31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t="s">
        <v>850</v>
      </c>
      <c r="D312" t="s">
        <v>851</v>
      </c>
      <c r="E312" t="s">
        <v>852</v>
      </c>
      <c r="F312" t="s">
        <v>112</v>
      </c>
      <c r="G312">
        <v>780017</v>
      </c>
    </row>
    <row r="313" spans="1:7" x14ac:dyDescent="0.25">
      <c r="A313" t="str">
        <f t="shared" si="4"/>
        <v>10 TRIPHENYLP 0.4</v>
      </c>
      <c r="B31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t="s">
        <v>853</v>
      </c>
      <c r="D313" t="s">
        <v>854</v>
      </c>
      <c r="E313" t="s">
        <v>855</v>
      </c>
      <c r="F313" t="s">
        <v>112</v>
      </c>
      <c r="G313">
        <v>638341</v>
      </c>
    </row>
    <row r="314" spans="1:7" x14ac:dyDescent="0.25">
      <c r="A314" t="str">
        <f t="shared" si="4"/>
        <v>10 TRIPHENYLP 0.4</v>
      </c>
      <c r="B31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t="s">
        <v>856</v>
      </c>
      <c r="D314" t="s">
        <v>857</v>
      </c>
      <c r="E314" t="s">
        <v>858</v>
      </c>
      <c r="F314" t="s">
        <v>112</v>
      </c>
      <c r="G314">
        <v>539817</v>
      </c>
    </row>
    <row r="315" spans="1:7" x14ac:dyDescent="0.25">
      <c r="A315" t="str">
        <f t="shared" si="4"/>
        <v>10 TRIPHENYLP 0.4</v>
      </c>
      <c r="B31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t="s">
        <v>859</v>
      </c>
      <c r="D315" t="s">
        <v>860</v>
      </c>
      <c r="E315" t="s">
        <v>861</v>
      </c>
      <c r="F315" t="s">
        <v>112</v>
      </c>
      <c r="G315">
        <v>505491</v>
      </c>
    </row>
    <row r="316" spans="1:7" x14ac:dyDescent="0.25">
      <c r="A316" t="str">
        <f t="shared" si="4"/>
        <v>10 TRIPHENYLP 0.4</v>
      </c>
      <c r="B31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t="s">
        <v>862</v>
      </c>
      <c r="D316" t="s">
        <v>863</v>
      </c>
      <c r="E316" t="s">
        <v>864</v>
      </c>
      <c r="F316" t="s">
        <v>112</v>
      </c>
      <c r="G316">
        <v>624542</v>
      </c>
    </row>
    <row r="317" spans="1:7" x14ac:dyDescent="0.25">
      <c r="A317" t="str">
        <f t="shared" si="4"/>
        <v>10 TRIPHENYLP 0.4</v>
      </c>
      <c r="B31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t="s">
        <v>865</v>
      </c>
      <c r="D317" t="s">
        <v>866</v>
      </c>
      <c r="E317" t="s">
        <v>867</v>
      </c>
      <c r="F317" t="s">
        <v>112</v>
      </c>
      <c r="G317">
        <v>1910828</v>
      </c>
    </row>
    <row r="318" spans="1:7" x14ac:dyDescent="0.25">
      <c r="A318" t="str">
        <f t="shared" si="4"/>
        <v>10 TRIPHENYLP 0.4</v>
      </c>
      <c r="B31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t="s">
        <v>868</v>
      </c>
      <c r="D318" t="s">
        <v>869</v>
      </c>
      <c r="E318" t="s">
        <v>870</v>
      </c>
      <c r="F318" t="s">
        <v>112</v>
      </c>
      <c r="G318">
        <v>1748193</v>
      </c>
    </row>
    <row r="319" spans="1:7" x14ac:dyDescent="0.25">
      <c r="A319" t="str">
        <f t="shared" si="4"/>
        <v>10 TRIPHENYLP 0.4</v>
      </c>
      <c r="B31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t="s">
        <v>871</v>
      </c>
      <c r="D319" t="s">
        <v>872</v>
      </c>
      <c r="E319" t="s">
        <v>873</v>
      </c>
      <c r="F319" t="s">
        <v>112</v>
      </c>
      <c r="G319">
        <v>1476868</v>
      </c>
    </row>
    <row r="320" spans="1:7" x14ac:dyDescent="0.25">
      <c r="A320" t="str">
        <f t="shared" si="4"/>
        <v>10 TRIPHENYLP 0.4</v>
      </c>
      <c r="B32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t="s">
        <v>874</v>
      </c>
    </row>
    <row r="321" spans="1:10" x14ac:dyDescent="0.25">
      <c r="A321" t="str">
        <f t="shared" si="4"/>
        <v>10 TRIPHENYLP 0.4</v>
      </c>
      <c r="B32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t="s">
        <v>875</v>
      </c>
    </row>
    <row r="322" spans="1:10" x14ac:dyDescent="0.25">
      <c r="A322" t="str">
        <f t="shared" ref="A322:A385" si="5">IFERROR(LEFT(RIGHT(C322,LEN(C322)-SEARCH("@",C322)),SEARCH("/",RIGHT(C322,LEN(C322)-SEARCH("@",C322)-1))),"")</f>
        <v>10 TRIPHENYLP 0.4</v>
      </c>
      <c r="B32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t="s">
        <v>876</v>
      </c>
    </row>
    <row r="323" spans="1:10" x14ac:dyDescent="0.25">
      <c r="A323" t="str">
        <f t="shared" si="5"/>
        <v/>
      </c>
      <c r="B3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t="s">
        <v>112</v>
      </c>
    </row>
    <row r="324" spans="1:10" x14ac:dyDescent="0.25">
      <c r="A324" t="str">
        <f t="shared" si="5"/>
        <v/>
      </c>
      <c r="B3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t="s">
        <v>234</v>
      </c>
      <c r="D324" t="s">
        <v>112</v>
      </c>
      <c r="E324" t="s">
        <v>235</v>
      </c>
      <c r="F324" t="s">
        <v>236</v>
      </c>
      <c r="G324" t="s">
        <v>237</v>
      </c>
      <c r="H324" t="s">
        <v>238</v>
      </c>
      <c r="I324" t="s">
        <v>239</v>
      </c>
      <c r="J324" t="s">
        <v>240</v>
      </c>
    </row>
    <row r="325" spans="1:10" x14ac:dyDescent="0.25">
      <c r="A325" t="str">
        <f t="shared" si="5"/>
        <v>10 TRIPHENYLP 0.4</v>
      </c>
      <c r="B32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t="s">
        <v>877</v>
      </c>
      <c r="D325" t="s">
        <v>112</v>
      </c>
      <c r="E325" t="s">
        <v>878</v>
      </c>
      <c r="F325" t="s">
        <v>879</v>
      </c>
      <c r="G325" t="s">
        <v>880</v>
      </c>
      <c r="H325" t="s">
        <v>881</v>
      </c>
      <c r="I325">
        <v>24</v>
      </c>
      <c r="J325">
        <v>24</v>
      </c>
    </row>
    <row r="326" spans="1:10" x14ac:dyDescent="0.25">
      <c r="A326" t="str">
        <f t="shared" si="5"/>
        <v/>
      </c>
      <c r="B3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t="s">
        <v>112</v>
      </c>
    </row>
    <row r="327" spans="1:10" x14ac:dyDescent="0.25">
      <c r="A327" t="str">
        <f t="shared" si="5"/>
        <v/>
      </c>
      <c r="B3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t="s">
        <v>112</v>
      </c>
    </row>
    <row r="328" spans="1:10" x14ac:dyDescent="0.25">
      <c r="A328" t="str">
        <f t="shared" si="5"/>
        <v/>
      </c>
      <c r="B3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t="s">
        <v>112</v>
      </c>
    </row>
    <row r="329" spans="1:10" x14ac:dyDescent="0.25">
      <c r="A329" t="str">
        <f t="shared" si="5"/>
        <v/>
      </c>
      <c r="B3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t="s">
        <v>112</v>
      </c>
    </row>
    <row r="330" spans="1:10" x14ac:dyDescent="0.25">
      <c r="A330" t="str">
        <f t="shared" si="5"/>
        <v/>
      </c>
      <c r="B3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t="s">
        <v>112</v>
      </c>
    </row>
    <row r="331" spans="1:10" x14ac:dyDescent="0.25">
      <c r="A331" t="str">
        <f t="shared" si="5"/>
        <v/>
      </c>
      <c r="B3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t="s">
        <v>246</v>
      </c>
      <c r="D331" t="s">
        <v>110</v>
      </c>
      <c r="E331" t="s">
        <v>111</v>
      </c>
      <c r="F331" t="s">
        <v>112</v>
      </c>
      <c r="G331" t="s">
        <v>113</v>
      </c>
    </row>
    <row r="332" spans="1:10" x14ac:dyDescent="0.25">
      <c r="A332" t="str">
        <f t="shared" si="5"/>
        <v>11 TRIPHENYLP 0.59</v>
      </c>
      <c r="B33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t="s">
        <v>882</v>
      </c>
      <c r="D332" t="s">
        <v>177</v>
      </c>
      <c r="E332" t="s">
        <v>883</v>
      </c>
      <c r="F332" t="s">
        <v>112</v>
      </c>
      <c r="G332">
        <v>677794</v>
      </c>
    </row>
    <row r="333" spans="1:10" x14ac:dyDescent="0.25">
      <c r="A333" t="str">
        <f t="shared" si="5"/>
        <v>11 TRIPHENYLP 0.59</v>
      </c>
      <c r="B33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t="s">
        <v>884</v>
      </c>
      <c r="D333" t="s">
        <v>885</v>
      </c>
      <c r="E333" t="s">
        <v>886</v>
      </c>
      <c r="F333" t="s">
        <v>112</v>
      </c>
      <c r="G333">
        <v>310540</v>
      </c>
    </row>
    <row r="334" spans="1:10" x14ac:dyDescent="0.25">
      <c r="A334" t="str">
        <f t="shared" si="5"/>
        <v>11 TRIPHENYLP 0.59</v>
      </c>
      <c r="B33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t="s">
        <v>887</v>
      </c>
      <c r="D334" t="s">
        <v>416</v>
      </c>
      <c r="E334" t="s">
        <v>888</v>
      </c>
      <c r="F334" t="s">
        <v>112</v>
      </c>
      <c r="G334">
        <v>272645</v>
      </c>
    </row>
    <row r="335" spans="1:10" x14ac:dyDescent="0.25">
      <c r="A335" t="str">
        <f t="shared" si="5"/>
        <v>11 TRIPHENYLP 0.59</v>
      </c>
      <c r="B33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t="s">
        <v>889</v>
      </c>
      <c r="D335" t="s">
        <v>890</v>
      </c>
      <c r="E335" t="s">
        <v>891</v>
      </c>
      <c r="F335" t="s">
        <v>112</v>
      </c>
      <c r="G335">
        <v>1596200</v>
      </c>
    </row>
    <row r="336" spans="1:10" x14ac:dyDescent="0.25">
      <c r="A336" t="str">
        <f t="shared" si="5"/>
        <v>11 TRIPHENYLP 0.59</v>
      </c>
      <c r="B33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t="s">
        <v>892</v>
      </c>
      <c r="D336" t="s">
        <v>893</v>
      </c>
      <c r="E336" t="s">
        <v>894</v>
      </c>
      <c r="F336" t="s">
        <v>112</v>
      </c>
      <c r="G336">
        <v>1498692</v>
      </c>
    </row>
    <row r="337" spans="1:7" x14ac:dyDescent="0.25">
      <c r="A337" t="str">
        <f t="shared" si="5"/>
        <v>11 TRIPHENYLP 0.59</v>
      </c>
      <c r="B33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t="s">
        <v>895</v>
      </c>
      <c r="D337" t="s">
        <v>896</v>
      </c>
      <c r="E337" t="s">
        <v>897</v>
      </c>
      <c r="F337" t="s">
        <v>112</v>
      </c>
      <c r="G337">
        <v>1184951</v>
      </c>
    </row>
    <row r="338" spans="1:7" x14ac:dyDescent="0.25">
      <c r="A338" t="str">
        <f t="shared" si="5"/>
        <v>11 TRIPHENYLP 0.59</v>
      </c>
      <c r="B33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t="s">
        <v>898</v>
      </c>
      <c r="D338" t="s">
        <v>899</v>
      </c>
      <c r="E338" t="s">
        <v>900</v>
      </c>
      <c r="F338" t="s">
        <v>112</v>
      </c>
      <c r="G338">
        <v>399526</v>
      </c>
    </row>
    <row r="339" spans="1:7" x14ac:dyDescent="0.25">
      <c r="A339" t="str">
        <f t="shared" si="5"/>
        <v>11 TRIPHENYLP 0.59</v>
      </c>
      <c r="B33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t="s">
        <v>901</v>
      </c>
      <c r="D339" t="s">
        <v>902</v>
      </c>
      <c r="E339" t="s">
        <v>903</v>
      </c>
      <c r="F339" t="s">
        <v>112</v>
      </c>
      <c r="G339">
        <v>789426</v>
      </c>
    </row>
    <row r="340" spans="1:7" x14ac:dyDescent="0.25">
      <c r="A340" t="str">
        <f t="shared" si="5"/>
        <v>11 TRIPHENYLP 0.59</v>
      </c>
      <c r="B34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t="s">
        <v>904</v>
      </c>
      <c r="D340" t="s">
        <v>905</v>
      </c>
      <c r="E340" t="s">
        <v>906</v>
      </c>
      <c r="F340" t="s">
        <v>112</v>
      </c>
      <c r="G340">
        <v>1191764</v>
      </c>
    </row>
    <row r="341" spans="1:7" x14ac:dyDescent="0.25">
      <c r="A341" t="str">
        <f t="shared" si="5"/>
        <v>11 TRIPHENYLP 0.59</v>
      </c>
      <c r="B34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t="s">
        <v>907</v>
      </c>
      <c r="D341" t="s">
        <v>908</v>
      </c>
      <c r="E341" t="s">
        <v>909</v>
      </c>
      <c r="F341" t="s">
        <v>112</v>
      </c>
      <c r="G341">
        <v>3343441</v>
      </c>
    </row>
    <row r="342" spans="1:7" x14ac:dyDescent="0.25">
      <c r="A342" t="str">
        <f t="shared" si="5"/>
        <v>11 TRIPHENYLP 0.59</v>
      </c>
      <c r="B34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t="s">
        <v>910</v>
      </c>
      <c r="D342" t="s">
        <v>911</v>
      </c>
      <c r="E342" t="s">
        <v>912</v>
      </c>
      <c r="F342" t="s">
        <v>112</v>
      </c>
      <c r="G342">
        <v>3358452</v>
      </c>
    </row>
    <row r="343" spans="1:7" x14ac:dyDescent="0.25">
      <c r="A343" t="str">
        <f t="shared" si="5"/>
        <v>11 TRIPHENYLP 0.59</v>
      </c>
      <c r="B34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t="s">
        <v>913</v>
      </c>
    </row>
    <row r="344" spans="1:7" x14ac:dyDescent="0.25">
      <c r="A344" t="str">
        <f t="shared" si="5"/>
        <v>11 TRIPHENYLP 0.59</v>
      </c>
      <c r="B34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t="s">
        <v>914</v>
      </c>
      <c r="D344" t="s">
        <v>915</v>
      </c>
      <c r="E344" t="s">
        <v>916</v>
      </c>
      <c r="F344" t="s">
        <v>112</v>
      </c>
      <c r="G344">
        <v>2691429</v>
      </c>
    </row>
    <row r="345" spans="1:7" x14ac:dyDescent="0.25">
      <c r="A345" t="str">
        <f t="shared" si="5"/>
        <v>11 TRIPHENYLP 0.59</v>
      </c>
      <c r="B34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t="s">
        <v>917</v>
      </c>
      <c r="D345" t="s">
        <v>918</v>
      </c>
      <c r="E345" t="s">
        <v>919</v>
      </c>
      <c r="F345" t="s">
        <v>112</v>
      </c>
      <c r="G345">
        <v>2325300</v>
      </c>
    </row>
    <row r="346" spans="1:7" x14ac:dyDescent="0.25">
      <c r="A346" t="str">
        <f t="shared" si="5"/>
        <v>11 TRIPHENYLP 0.59</v>
      </c>
      <c r="B34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t="s">
        <v>920</v>
      </c>
      <c r="D346" t="s">
        <v>921</v>
      </c>
      <c r="E346" t="s">
        <v>922</v>
      </c>
      <c r="F346" t="s">
        <v>112</v>
      </c>
      <c r="G346">
        <v>2155916</v>
      </c>
    </row>
    <row r="347" spans="1:7" x14ac:dyDescent="0.25">
      <c r="A347" t="str">
        <f t="shared" si="5"/>
        <v>11 TRIPHENYLP 0.59</v>
      </c>
      <c r="B34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t="s">
        <v>923</v>
      </c>
      <c r="D347" t="s">
        <v>924</v>
      </c>
      <c r="E347" t="s">
        <v>925</v>
      </c>
      <c r="F347" t="s">
        <v>112</v>
      </c>
      <c r="G347">
        <v>536962</v>
      </c>
    </row>
    <row r="348" spans="1:7" x14ac:dyDescent="0.25">
      <c r="A348" t="str">
        <f t="shared" si="5"/>
        <v>11 TRIPHENYLP 0.59</v>
      </c>
      <c r="B34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t="s">
        <v>926</v>
      </c>
      <c r="D348" t="s">
        <v>927</v>
      </c>
      <c r="E348" t="s">
        <v>928</v>
      </c>
      <c r="F348" t="s">
        <v>112</v>
      </c>
      <c r="G348">
        <v>798619</v>
      </c>
    </row>
    <row r="349" spans="1:7" x14ac:dyDescent="0.25">
      <c r="A349" t="str">
        <f t="shared" si="5"/>
        <v>11 TRIPHENYLP 0.59</v>
      </c>
      <c r="B34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t="s">
        <v>929</v>
      </c>
      <c r="D349" t="s">
        <v>345</v>
      </c>
      <c r="E349" t="s">
        <v>930</v>
      </c>
      <c r="F349" t="s">
        <v>112</v>
      </c>
      <c r="G349">
        <v>828252</v>
      </c>
    </row>
    <row r="350" spans="1:7" x14ac:dyDescent="0.25">
      <c r="A350" t="str">
        <f t="shared" si="5"/>
        <v>11 TRIPHENYLP 0.59</v>
      </c>
      <c r="B35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t="s">
        <v>931</v>
      </c>
    </row>
    <row r="351" spans="1:7" x14ac:dyDescent="0.25">
      <c r="A351" t="str">
        <f t="shared" si="5"/>
        <v>11 TRIPHENYLP 0.59</v>
      </c>
      <c r="B35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t="s">
        <v>932</v>
      </c>
    </row>
    <row r="352" spans="1:7" x14ac:dyDescent="0.25">
      <c r="A352" t="str">
        <f t="shared" si="5"/>
        <v>11 TRIPHENYLP 0.59</v>
      </c>
      <c r="B35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t="s">
        <v>933</v>
      </c>
      <c r="D352" t="s">
        <v>934</v>
      </c>
      <c r="E352" t="s">
        <v>935</v>
      </c>
      <c r="F352" t="s">
        <v>112</v>
      </c>
      <c r="G352">
        <v>909148</v>
      </c>
    </row>
    <row r="353" spans="1:10" x14ac:dyDescent="0.25">
      <c r="A353" t="str">
        <f t="shared" si="5"/>
        <v>11 TRIPHENYLP 0.59</v>
      </c>
      <c r="B35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t="s">
        <v>936</v>
      </c>
      <c r="D353" t="s">
        <v>937</v>
      </c>
      <c r="E353" t="s">
        <v>938</v>
      </c>
      <c r="F353" t="s">
        <v>112</v>
      </c>
      <c r="G353">
        <v>1329698</v>
      </c>
    </row>
    <row r="354" spans="1:10" x14ac:dyDescent="0.25">
      <c r="A354" t="str">
        <f t="shared" si="5"/>
        <v>11 TRIPHENYLP 0.59</v>
      </c>
      <c r="B35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t="s">
        <v>939</v>
      </c>
      <c r="D354" t="s">
        <v>940</v>
      </c>
      <c r="E354" t="s">
        <v>941</v>
      </c>
      <c r="F354" t="s">
        <v>112</v>
      </c>
      <c r="G354">
        <v>853927</v>
      </c>
    </row>
    <row r="355" spans="1:10" x14ac:dyDescent="0.25">
      <c r="A355" t="str">
        <f t="shared" si="5"/>
        <v>11 TRIPHENYLP 0.59</v>
      </c>
      <c r="B35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t="s">
        <v>942</v>
      </c>
      <c r="D355" t="s">
        <v>943</v>
      </c>
      <c r="E355" t="s">
        <v>944</v>
      </c>
      <c r="F355" t="s">
        <v>112</v>
      </c>
      <c r="G355">
        <v>1333223</v>
      </c>
    </row>
    <row r="356" spans="1:10" x14ac:dyDescent="0.25">
      <c r="A356" t="str">
        <f t="shared" si="5"/>
        <v/>
      </c>
      <c r="B3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t="s">
        <v>112</v>
      </c>
    </row>
    <row r="357" spans="1:10" x14ac:dyDescent="0.25">
      <c r="A357" t="str">
        <f t="shared" si="5"/>
        <v/>
      </c>
      <c r="B3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t="s">
        <v>234</v>
      </c>
      <c r="D357" t="s">
        <v>112</v>
      </c>
      <c r="E357" t="s">
        <v>235</v>
      </c>
      <c r="F357" t="s">
        <v>236</v>
      </c>
      <c r="G357" t="s">
        <v>237</v>
      </c>
      <c r="H357" t="s">
        <v>238</v>
      </c>
      <c r="I357" t="s">
        <v>239</v>
      </c>
      <c r="J357" t="s">
        <v>240</v>
      </c>
    </row>
    <row r="358" spans="1:10" x14ac:dyDescent="0.25">
      <c r="A358" t="str">
        <f t="shared" si="5"/>
        <v>11 TRIPHENYLP 0.59</v>
      </c>
      <c r="B35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t="s">
        <v>945</v>
      </c>
      <c r="D358" t="s">
        <v>112</v>
      </c>
      <c r="E358" t="s">
        <v>946</v>
      </c>
      <c r="F358" t="s">
        <v>947</v>
      </c>
      <c r="G358" t="s">
        <v>948</v>
      </c>
      <c r="H358" t="s">
        <v>949</v>
      </c>
      <c r="I358">
        <v>24</v>
      </c>
      <c r="J358">
        <v>24</v>
      </c>
    </row>
    <row r="359" spans="1:10" x14ac:dyDescent="0.25">
      <c r="A359" t="str">
        <f t="shared" si="5"/>
        <v/>
      </c>
      <c r="B3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t="s">
        <v>112</v>
      </c>
    </row>
    <row r="360" spans="1:10" x14ac:dyDescent="0.25">
      <c r="A360" t="str">
        <f t="shared" si="5"/>
        <v/>
      </c>
      <c r="B3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t="s">
        <v>112</v>
      </c>
    </row>
    <row r="361" spans="1:10" x14ac:dyDescent="0.25">
      <c r="A361" t="str">
        <f t="shared" si="5"/>
        <v/>
      </c>
      <c r="B3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t="s">
        <v>112</v>
      </c>
    </row>
    <row r="362" spans="1:10" x14ac:dyDescent="0.25">
      <c r="A362" t="str">
        <f t="shared" si="5"/>
        <v/>
      </c>
      <c r="B3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t="s">
        <v>112</v>
      </c>
    </row>
    <row r="363" spans="1:10" x14ac:dyDescent="0.25">
      <c r="A363" t="str">
        <f t="shared" si="5"/>
        <v/>
      </c>
      <c r="B3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t="s">
        <v>112</v>
      </c>
    </row>
    <row r="364" spans="1:10" x14ac:dyDescent="0.25">
      <c r="A364" t="str">
        <f t="shared" si="5"/>
        <v/>
      </c>
      <c r="B3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t="s">
        <v>246</v>
      </c>
      <c r="D364" t="s">
        <v>110</v>
      </c>
      <c r="E364" t="s">
        <v>111</v>
      </c>
      <c r="F364" t="s">
        <v>112</v>
      </c>
      <c r="G364" t="s">
        <v>113</v>
      </c>
    </row>
    <row r="365" spans="1:10" x14ac:dyDescent="0.25">
      <c r="A365" t="str">
        <f t="shared" si="5"/>
        <v>12 TRIPHENYLP 0.89</v>
      </c>
      <c r="B36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t="s">
        <v>950</v>
      </c>
      <c r="D365" t="s">
        <v>951</v>
      </c>
      <c r="E365" t="s">
        <v>952</v>
      </c>
      <c r="F365" t="s">
        <v>112</v>
      </c>
      <c r="G365">
        <v>4720054</v>
      </c>
    </row>
    <row r="366" spans="1:10" x14ac:dyDescent="0.25">
      <c r="A366" t="str">
        <f t="shared" si="5"/>
        <v>12 TRIPHENYLP 0.89</v>
      </c>
      <c r="B36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t="s">
        <v>953</v>
      </c>
      <c r="D366" t="s">
        <v>954</v>
      </c>
      <c r="E366" t="s">
        <v>955</v>
      </c>
      <c r="F366" t="s">
        <v>112</v>
      </c>
      <c r="G366">
        <v>4882321</v>
      </c>
    </row>
    <row r="367" spans="1:10" x14ac:dyDescent="0.25">
      <c r="A367" t="str">
        <f t="shared" si="5"/>
        <v>12 TRIPHENYLP 0.89</v>
      </c>
      <c r="B36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t="s">
        <v>956</v>
      </c>
      <c r="D367" t="s">
        <v>957</v>
      </c>
      <c r="E367" t="s">
        <v>958</v>
      </c>
      <c r="F367" t="s">
        <v>112</v>
      </c>
      <c r="G367">
        <v>5795774</v>
      </c>
    </row>
    <row r="368" spans="1:10" x14ac:dyDescent="0.25">
      <c r="A368" t="str">
        <f t="shared" si="5"/>
        <v>12 TRIPHENYLP 0.89</v>
      </c>
      <c r="B36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t="s">
        <v>959</v>
      </c>
    </row>
    <row r="369" spans="1:7" x14ac:dyDescent="0.25">
      <c r="A369" t="str">
        <f t="shared" si="5"/>
        <v>12 TRIPHENYLP 0.89</v>
      </c>
      <c r="B36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t="s">
        <v>960</v>
      </c>
    </row>
    <row r="370" spans="1:7" x14ac:dyDescent="0.25">
      <c r="A370" t="str">
        <f t="shared" si="5"/>
        <v>12 TRIPHENYLP 0.89</v>
      </c>
      <c r="B37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t="s">
        <v>961</v>
      </c>
    </row>
    <row r="371" spans="1:7" x14ac:dyDescent="0.25">
      <c r="A371" t="str">
        <f t="shared" si="5"/>
        <v>12 TRIPHENYLP 0.89</v>
      </c>
      <c r="B37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t="s">
        <v>962</v>
      </c>
      <c r="D371" t="s">
        <v>580</v>
      </c>
      <c r="E371" t="s">
        <v>963</v>
      </c>
      <c r="F371" t="s">
        <v>112</v>
      </c>
      <c r="G371">
        <v>3019079</v>
      </c>
    </row>
    <row r="372" spans="1:7" x14ac:dyDescent="0.25">
      <c r="A372" t="str">
        <f t="shared" si="5"/>
        <v>12 TRIPHENYLP 0.89</v>
      </c>
      <c r="B37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t="s">
        <v>964</v>
      </c>
    </row>
    <row r="373" spans="1:7" x14ac:dyDescent="0.25">
      <c r="A373" t="str">
        <f t="shared" si="5"/>
        <v>12 TRIPHENYLP 0.89</v>
      </c>
      <c r="B37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t="s">
        <v>965</v>
      </c>
    </row>
    <row r="374" spans="1:7" x14ac:dyDescent="0.25">
      <c r="A374" t="str">
        <f t="shared" si="5"/>
        <v>12 TRIPHENYLP 0.89</v>
      </c>
      <c r="B37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t="s">
        <v>966</v>
      </c>
      <c r="D374" t="s">
        <v>967</v>
      </c>
      <c r="E374" t="s">
        <v>968</v>
      </c>
      <c r="F374" t="s">
        <v>112</v>
      </c>
      <c r="G374">
        <v>1171410</v>
      </c>
    </row>
    <row r="375" spans="1:7" x14ac:dyDescent="0.25">
      <c r="A375" t="str">
        <f t="shared" si="5"/>
        <v>12 TRIPHENYLP 0.89</v>
      </c>
      <c r="B37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t="s">
        <v>969</v>
      </c>
      <c r="D375" t="s">
        <v>970</v>
      </c>
      <c r="E375" t="s">
        <v>971</v>
      </c>
      <c r="F375" t="s">
        <v>112</v>
      </c>
      <c r="G375">
        <v>1600158</v>
      </c>
    </row>
    <row r="376" spans="1:7" x14ac:dyDescent="0.25">
      <c r="A376" t="str">
        <f t="shared" si="5"/>
        <v>12 TRIPHENYLP 0.89</v>
      </c>
      <c r="B37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t="s">
        <v>972</v>
      </c>
      <c r="D376" t="s">
        <v>896</v>
      </c>
      <c r="E376" t="s">
        <v>973</v>
      </c>
      <c r="F376" t="s">
        <v>112</v>
      </c>
      <c r="G376">
        <v>1249602</v>
      </c>
    </row>
    <row r="377" spans="1:7" x14ac:dyDescent="0.25">
      <c r="A377" t="str">
        <f t="shared" si="5"/>
        <v>12 TRIPHENYLP 0.89</v>
      </c>
      <c r="B37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t="s">
        <v>974</v>
      </c>
      <c r="D377" t="s">
        <v>975</v>
      </c>
      <c r="E377" t="s">
        <v>976</v>
      </c>
      <c r="F377" t="s">
        <v>112</v>
      </c>
      <c r="G377">
        <v>4024177</v>
      </c>
    </row>
    <row r="378" spans="1:7" x14ac:dyDescent="0.25">
      <c r="A378" t="str">
        <f t="shared" si="5"/>
        <v>12 TRIPHENYLP 0.89</v>
      </c>
      <c r="B37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t="s">
        <v>977</v>
      </c>
      <c r="D378" t="s">
        <v>651</v>
      </c>
      <c r="E378" t="s">
        <v>978</v>
      </c>
      <c r="F378" t="s">
        <v>112</v>
      </c>
      <c r="G378">
        <v>4297211</v>
      </c>
    </row>
    <row r="379" spans="1:7" x14ac:dyDescent="0.25">
      <c r="A379" t="str">
        <f t="shared" si="5"/>
        <v>12 TRIPHENYLP 0.89</v>
      </c>
      <c r="B37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t="s">
        <v>979</v>
      </c>
      <c r="D379" t="s">
        <v>980</v>
      </c>
      <c r="E379" t="s">
        <v>981</v>
      </c>
      <c r="F379" t="s">
        <v>112</v>
      </c>
      <c r="G379">
        <v>3906121</v>
      </c>
    </row>
    <row r="380" spans="1:7" x14ac:dyDescent="0.25">
      <c r="A380" t="str">
        <f t="shared" si="5"/>
        <v>12 TRIPHENYLP 0.89</v>
      </c>
      <c r="B38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t="s">
        <v>982</v>
      </c>
      <c r="D380" t="s">
        <v>983</v>
      </c>
      <c r="E380" t="s">
        <v>984</v>
      </c>
      <c r="F380" t="s">
        <v>112</v>
      </c>
      <c r="G380">
        <v>2675445</v>
      </c>
    </row>
    <row r="381" spans="1:7" x14ac:dyDescent="0.25">
      <c r="A381" t="str">
        <f t="shared" si="5"/>
        <v>12 TRIPHENYLP 0.89</v>
      </c>
      <c r="B38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t="s">
        <v>985</v>
      </c>
      <c r="D381" t="s">
        <v>642</v>
      </c>
      <c r="E381" t="s">
        <v>986</v>
      </c>
      <c r="F381" t="s">
        <v>112</v>
      </c>
      <c r="G381">
        <v>3693175</v>
      </c>
    </row>
    <row r="382" spans="1:7" x14ac:dyDescent="0.25">
      <c r="A382" t="str">
        <f t="shared" si="5"/>
        <v>12 TRIPHENYLP 0.89</v>
      </c>
      <c r="B38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t="s">
        <v>987</v>
      </c>
      <c r="D382" t="s">
        <v>988</v>
      </c>
      <c r="E382" t="s">
        <v>989</v>
      </c>
      <c r="F382" t="s">
        <v>112</v>
      </c>
      <c r="G382">
        <v>3769745</v>
      </c>
    </row>
    <row r="383" spans="1:7" x14ac:dyDescent="0.25">
      <c r="A383" t="str">
        <f t="shared" si="5"/>
        <v>12 TRIPHENYLP 0.89</v>
      </c>
      <c r="B38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t="s">
        <v>990</v>
      </c>
    </row>
    <row r="384" spans="1:7" x14ac:dyDescent="0.25">
      <c r="A384" t="str">
        <f t="shared" si="5"/>
        <v>12 TRIPHENYLP 0.89</v>
      </c>
      <c r="B38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t="s">
        <v>991</v>
      </c>
    </row>
    <row r="385" spans="1:10" x14ac:dyDescent="0.25">
      <c r="A385" t="str">
        <f t="shared" si="5"/>
        <v>12 TRIPHENYLP 0.89</v>
      </c>
      <c r="B38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t="s">
        <v>992</v>
      </c>
    </row>
    <row r="386" spans="1:10" x14ac:dyDescent="0.25">
      <c r="A386" t="str">
        <f t="shared" ref="A386:A449" si="6">IFERROR(LEFT(RIGHT(C386,LEN(C386)-SEARCH("@",C386)),SEARCH("/",RIGHT(C386,LEN(C386)-SEARCH("@",C386)-1))),"")</f>
        <v>12 TRIPHENYLP 0.89</v>
      </c>
      <c r="B38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t="s">
        <v>993</v>
      </c>
    </row>
    <row r="387" spans="1:10" x14ac:dyDescent="0.25">
      <c r="A387" t="str">
        <f t="shared" si="6"/>
        <v>12 TRIPHENYLP 0.89</v>
      </c>
      <c r="B38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t="s">
        <v>994</v>
      </c>
    </row>
    <row r="388" spans="1:10" x14ac:dyDescent="0.25">
      <c r="A388" t="str">
        <f t="shared" si="6"/>
        <v>12 TRIPHENYLP 0.89</v>
      </c>
      <c r="B38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t="s">
        <v>995</v>
      </c>
    </row>
    <row r="389" spans="1:10" x14ac:dyDescent="0.25">
      <c r="A389" t="str">
        <f t="shared" si="6"/>
        <v/>
      </c>
      <c r="B3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t="s">
        <v>112</v>
      </c>
    </row>
    <row r="390" spans="1:10" x14ac:dyDescent="0.25">
      <c r="A390" t="str">
        <f t="shared" si="6"/>
        <v/>
      </c>
      <c r="B3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t="s">
        <v>234</v>
      </c>
      <c r="D390" t="s">
        <v>112</v>
      </c>
      <c r="E390" t="s">
        <v>235</v>
      </c>
      <c r="F390" t="s">
        <v>236</v>
      </c>
      <c r="G390" t="s">
        <v>237</v>
      </c>
      <c r="H390" t="s">
        <v>238</v>
      </c>
      <c r="I390" t="s">
        <v>239</v>
      </c>
      <c r="J390" t="s">
        <v>240</v>
      </c>
    </row>
    <row r="391" spans="1:10" x14ac:dyDescent="0.25">
      <c r="A391" t="str">
        <f t="shared" si="6"/>
        <v>12 TRIPHENYLP 0.89</v>
      </c>
      <c r="B39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t="s">
        <v>996</v>
      </c>
      <c r="D391" t="s">
        <v>112</v>
      </c>
      <c r="E391" t="s">
        <v>997</v>
      </c>
      <c r="F391" t="s">
        <v>998</v>
      </c>
      <c r="G391" t="s">
        <v>999</v>
      </c>
      <c r="H391" t="s">
        <v>1000</v>
      </c>
      <c r="I391">
        <v>24</v>
      </c>
      <c r="J391">
        <v>24</v>
      </c>
    </row>
    <row r="392" spans="1:10" x14ac:dyDescent="0.25">
      <c r="A392" t="str">
        <f t="shared" si="6"/>
        <v/>
      </c>
      <c r="B3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t="s">
        <v>112</v>
      </c>
    </row>
    <row r="393" spans="1:10" x14ac:dyDescent="0.25">
      <c r="A393" t="str">
        <f t="shared" si="6"/>
        <v/>
      </c>
      <c r="B3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t="s">
        <v>112</v>
      </c>
    </row>
    <row r="394" spans="1:10" x14ac:dyDescent="0.25">
      <c r="A394" t="str">
        <f t="shared" si="6"/>
        <v/>
      </c>
      <c r="B3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t="s">
        <v>112</v>
      </c>
    </row>
    <row r="395" spans="1:10" x14ac:dyDescent="0.25">
      <c r="A395" t="str">
        <f t="shared" si="6"/>
        <v/>
      </c>
      <c r="B3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t="s">
        <v>112</v>
      </c>
    </row>
    <row r="396" spans="1:10" x14ac:dyDescent="0.25">
      <c r="A396" t="str">
        <f t="shared" si="6"/>
        <v/>
      </c>
      <c r="B3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t="s">
        <v>112</v>
      </c>
    </row>
    <row r="397" spans="1:10" x14ac:dyDescent="0.25">
      <c r="A397" t="str">
        <f t="shared" si="6"/>
        <v/>
      </c>
      <c r="B3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t="s">
        <v>246</v>
      </c>
      <c r="D397" t="s">
        <v>110</v>
      </c>
      <c r="E397" t="s">
        <v>111</v>
      </c>
      <c r="F397" t="s">
        <v>112</v>
      </c>
      <c r="G397" t="s">
        <v>113</v>
      </c>
    </row>
    <row r="398" spans="1:10" x14ac:dyDescent="0.25">
      <c r="A398" t="str">
        <f t="shared" si="6"/>
        <v>01 TESTO</v>
      </c>
      <c r="B39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t="s">
        <v>1001</v>
      </c>
      <c r="D398" t="s">
        <v>1002</v>
      </c>
      <c r="E398" t="s">
        <v>1003</v>
      </c>
      <c r="F398" t="s">
        <v>112</v>
      </c>
      <c r="G398">
        <v>5781433</v>
      </c>
    </row>
    <row r="399" spans="1:10" x14ac:dyDescent="0.25">
      <c r="A399" t="str">
        <f t="shared" si="6"/>
        <v>01 TESTO</v>
      </c>
      <c r="B39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t="s">
        <v>1004</v>
      </c>
      <c r="D399" t="s">
        <v>1005</v>
      </c>
      <c r="E399" t="s">
        <v>1006</v>
      </c>
      <c r="F399" t="s">
        <v>112</v>
      </c>
      <c r="G399">
        <v>6017372</v>
      </c>
    </row>
    <row r="400" spans="1:10" x14ac:dyDescent="0.25">
      <c r="A400" t="str">
        <f t="shared" si="6"/>
        <v>01 TESTO</v>
      </c>
      <c r="B40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t="s">
        <v>1007</v>
      </c>
      <c r="D400" t="s">
        <v>1008</v>
      </c>
      <c r="E400" t="s">
        <v>1009</v>
      </c>
      <c r="F400" t="s">
        <v>112</v>
      </c>
      <c r="G400">
        <v>5302461</v>
      </c>
    </row>
    <row r="401" spans="1:7" x14ac:dyDescent="0.25">
      <c r="A401" t="str">
        <f t="shared" si="6"/>
        <v>01 TESTO</v>
      </c>
      <c r="B40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t="s">
        <v>1010</v>
      </c>
      <c r="D401" t="s">
        <v>1011</v>
      </c>
      <c r="E401" t="s">
        <v>1012</v>
      </c>
      <c r="F401" t="s">
        <v>112</v>
      </c>
      <c r="G401">
        <v>3408504</v>
      </c>
    </row>
    <row r="402" spans="1:7" x14ac:dyDescent="0.25">
      <c r="A402" t="str">
        <f t="shared" si="6"/>
        <v>01 TESTO</v>
      </c>
      <c r="B40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t="s">
        <v>1013</v>
      </c>
      <c r="D402" t="s">
        <v>1014</v>
      </c>
      <c r="E402" t="s">
        <v>1015</v>
      </c>
      <c r="F402" t="s">
        <v>112</v>
      </c>
      <c r="G402">
        <v>2602271</v>
      </c>
    </row>
    <row r="403" spans="1:7" x14ac:dyDescent="0.25">
      <c r="A403" t="str">
        <f t="shared" si="6"/>
        <v>01 TESTO</v>
      </c>
      <c r="B40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t="s">
        <v>1016</v>
      </c>
      <c r="D403" t="s">
        <v>1017</v>
      </c>
      <c r="E403" t="s">
        <v>1018</v>
      </c>
      <c r="F403" t="s">
        <v>112</v>
      </c>
      <c r="G403">
        <v>3151324</v>
      </c>
    </row>
    <row r="404" spans="1:7" x14ac:dyDescent="0.25">
      <c r="A404" t="str">
        <f t="shared" si="6"/>
        <v>01 TESTO</v>
      </c>
      <c r="B40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t="s">
        <v>1019</v>
      </c>
      <c r="D404" t="s">
        <v>1020</v>
      </c>
      <c r="E404" t="s">
        <v>1021</v>
      </c>
      <c r="F404" t="s">
        <v>112</v>
      </c>
      <c r="G404">
        <v>2612437</v>
      </c>
    </row>
    <row r="405" spans="1:7" x14ac:dyDescent="0.25">
      <c r="A405" t="str">
        <f t="shared" si="6"/>
        <v>01 TESTO</v>
      </c>
      <c r="B40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t="s">
        <v>1022</v>
      </c>
      <c r="D405" t="s">
        <v>1023</v>
      </c>
      <c r="E405" t="s">
        <v>1024</v>
      </c>
      <c r="F405" t="s">
        <v>112</v>
      </c>
      <c r="G405">
        <v>3083861</v>
      </c>
    </row>
    <row r="406" spans="1:7" x14ac:dyDescent="0.25">
      <c r="A406" t="str">
        <f t="shared" si="6"/>
        <v>01 TESTO</v>
      </c>
      <c r="B40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t="s">
        <v>1025</v>
      </c>
      <c r="D406" t="s">
        <v>1026</v>
      </c>
      <c r="E406" t="s">
        <v>1027</v>
      </c>
      <c r="F406" t="s">
        <v>112</v>
      </c>
      <c r="G406">
        <v>2736744</v>
      </c>
    </row>
    <row r="407" spans="1:7" x14ac:dyDescent="0.25">
      <c r="A407" t="str">
        <f t="shared" si="6"/>
        <v>01 TESTO</v>
      </c>
      <c r="B40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t="s">
        <v>1028</v>
      </c>
      <c r="D407" t="s">
        <v>1029</v>
      </c>
      <c r="E407" t="s">
        <v>1030</v>
      </c>
      <c r="F407" t="s">
        <v>112</v>
      </c>
      <c r="G407">
        <v>2948111</v>
      </c>
    </row>
    <row r="408" spans="1:7" x14ac:dyDescent="0.25">
      <c r="A408" t="str">
        <f t="shared" si="6"/>
        <v>01 TESTO</v>
      </c>
      <c r="B40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t="s">
        <v>1031</v>
      </c>
      <c r="D408" t="s">
        <v>1029</v>
      </c>
      <c r="E408" t="s">
        <v>1032</v>
      </c>
      <c r="F408" t="s">
        <v>112</v>
      </c>
      <c r="G408">
        <v>2957196</v>
      </c>
    </row>
    <row r="409" spans="1:7" x14ac:dyDescent="0.25">
      <c r="A409" t="str">
        <f t="shared" si="6"/>
        <v>01 TESTO</v>
      </c>
      <c r="B40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t="s">
        <v>1033</v>
      </c>
      <c r="D409" t="s">
        <v>1034</v>
      </c>
      <c r="E409" t="s">
        <v>1035</v>
      </c>
      <c r="F409" t="s">
        <v>112</v>
      </c>
      <c r="G409">
        <v>2671616</v>
      </c>
    </row>
    <row r="410" spans="1:7" x14ac:dyDescent="0.25">
      <c r="A410" t="str">
        <f t="shared" si="6"/>
        <v>01 TESTO</v>
      </c>
      <c r="B41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t="s">
        <v>1036</v>
      </c>
      <c r="D410" t="s">
        <v>1037</v>
      </c>
      <c r="E410" t="s">
        <v>1038</v>
      </c>
      <c r="F410" t="s">
        <v>112</v>
      </c>
      <c r="G410">
        <v>3261420</v>
      </c>
    </row>
    <row r="411" spans="1:7" x14ac:dyDescent="0.25">
      <c r="A411" t="str">
        <f t="shared" si="6"/>
        <v>01 TESTO</v>
      </c>
      <c r="B41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t="s">
        <v>1039</v>
      </c>
      <c r="D411" t="s">
        <v>1040</v>
      </c>
      <c r="E411" t="s">
        <v>1041</v>
      </c>
      <c r="F411" t="s">
        <v>112</v>
      </c>
      <c r="G411">
        <v>3120999</v>
      </c>
    </row>
    <row r="412" spans="1:7" x14ac:dyDescent="0.25">
      <c r="A412" t="str">
        <f t="shared" si="6"/>
        <v>01 TESTO</v>
      </c>
      <c r="B41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t="s">
        <v>1042</v>
      </c>
      <c r="D412" t="s">
        <v>908</v>
      </c>
      <c r="E412" t="s">
        <v>1043</v>
      </c>
      <c r="F412" t="s">
        <v>112</v>
      </c>
      <c r="G412">
        <v>3203928</v>
      </c>
    </row>
    <row r="413" spans="1:7" x14ac:dyDescent="0.25">
      <c r="A413" t="str">
        <f t="shared" si="6"/>
        <v>01 TESTO</v>
      </c>
      <c r="B41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t="s">
        <v>1044</v>
      </c>
      <c r="D413" t="s">
        <v>1045</v>
      </c>
      <c r="E413" t="s">
        <v>1046</v>
      </c>
      <c r="F413" t="s">
        <v>112</v>
      </c>
      <c r="G413">
        <v>4012648</v>
      </c>
    </row>
    <row r="414" spans="1:7" x14ac:dyDescent="0.25">
      <c r="A414" t="str">
        <f t="shared" si="6"/>
        <v>01 TESTO</v>
      </c>
      <c r="B41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t="s">
        <v>1047</v>
      </c>
      <c r="D414" t="s">
        <v>1048</v>
      </c>
      <c r="E414" t="s">
        <v>1049</v>
      </c>
      <c r="F414" t="s">
        <v>112</v>
      </c>
      <c r="G414">
        <v>4084784</v>
      </c>
    </row>
    <row r="415" spans="1:7" x14ac:dyDescent="0.25">
      <c r="A415" t="str">
        <f t="shared" si="6"/>
        <v>01 TESTO</v>
      </c>
      <c r="B41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t="s">
        <v>1050</v>
      </c>
      <c r="D415" t="s">
        <v>1051</v>
      </c>
      <c r="E415" t="s">
        <v>1052</v>
      </c>
      <c r="F415" t="s">
        <v>112</v>
      </c>
      <c r="G415">
        <v>3634752</v>
      </c>
    </row>
    <row r="416" spans="1:7" x14ac:dyDescent="0.25">
      <c r="A416" t="str">
        <f t="shared" si="6"/>
        <v>01 TESTO</v>
      </c>
      <c r="B41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t="s">
        <v>1053</v>
      </c>
      <c r="D416" t="s">
        <v>1054</v>
      </c>
      <c r="E416" t="s">
        <v>1055</v>
      </c>
      <c r="F416" t="s">
        <v>112</v>
      </c>
      <c r="G416">
        <v>1458569</v>
      </c>
    </row>
    <row r="417" spans="1:10" x14ac:dyDescent="0.25">
      <c r="A417" t="str">
        <f t="shared" si="6"/>
        <v>01 TESTO</v>
      </c>
      <c r="B41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t="s">
        <v>1056</v>
      </c>
      <c r="D417" t="s">
        <v>1057</v>
      </c>
      <c r="E417" t="s">
        <v>1058</v>
      </c>
      <c r="F417" t="s">
        <v>112</v>
      </c>
      <c r="G417">
        <v>1473299</v>
      </c>
    </row>
    <row r="418" spans="1:10" x14ac:dyDescent="0.25">
      <c r="A418" t="str">
        <f t="shared" si="6"/>
        <v>01 TESTO</v>
      </c>
      <c r="B41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t="s">
        <v>1059</v>
      </c>
      <c r="D418" t="s">
        <v>1060</v>
      </c>
      <c r="E418" t="s">
        <v>1061</v>
      </c>
      <c r="F418" t="s">
        <v>112</v>
      </c>
      <c r="G418">
        <v>1413059</v>
      </c>
    </row>
    <row r="419" spans="1:10" x14ac:dyDescent="0.25">
      <c r="A419" t="str">
        <f t="shared" si="6"/>
        <v>01 TESTO</v>
      </c>
      <c r="B41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t="s">
        <v>1062</v>
      </c>
      <c r="D419" t="s">
        <v>1063</v>
      </c>
      <c r="E419" t="s">
        <v>1064</v>
      </c>
      <c r="F419" t="s">
        <v>112</v>
      </c>
      <c r="G419">
        <v>4033521</v>
      </c>
    </row>
    <row r="420" spans="1:10" x14ac:dyDescent="0.25">
      <c r="A420" t="str">
        <f t="shared" si="6"/>
        <v>01 TESTO</v>
      </c>
      <c r="B42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t="s">
        <v>1065</v>
      </c>
      <c r="D420" t="s">
        <v>1066</v>
      </c>
      <c r="E420" t="s">
        <v>1067</v>
      </c>
      <c r="F420" t="s">
        <v>112</v>
      </c>
      <c r="G420">
        <v>5323485</v>
      </c>
    </row>
    <row r="421" spans="1:10" x14ac:dyDescent="0.25">
      <c r="A421" t="str">
        <f t="shared" si="6"/>
        <v>01 TESTO</v>
      </c>
      <c r="B42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t="s">
        <v>1068</v>
      </c>
      <c r="D421" t="s">
        <v>1069</v>
      </c>
      <c r="E421" t="s">
        <v>1070</v>
      </c>
      <c r="F421" t="s">
        <v>112</v>
      </c>
      <c r="G421">
        <v>4310167</v>
      </c>
    </row>
    <row r="422" spans="1:10" x14ac:dyDescent="0.25">
      <c r="A422" t="str">
        <f t="shared" si="6"/>
        <v/>
      </c>
      <c r="B4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t="s">
        <v>112</v>
      </c>
    </row>
    <row r="423" spans="1:10" x14ac:dyDescent="0.25">
      <c r="A423" t="str">
        <f t="shared" si="6"/>
        <v/>
      </c>
      <c r="B4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t="s">
        <v>234</v>
      </c>
      <c r="D423" t="s">
        <v>112</v>
      </c>
      <c r="E423" t="s">
        <v>235</v>
      </c>
      <c r="F423" t="s">
        <v>236</v>
      </c>
      <c r="G423" t="s">
        <v>237</v>
      </c>
      <c r="H423" t="s">
        <v>238</v>
      </c>
      <c r="I423" t="s">
        <v>239</v>
      </c>
      <c r="J423" t="s">
        <v>240</v>
      </c>
    </row>
    <row r="424" spans="1:10" x14ac:dyDescent="0.25">
      <c r="A424" t="str">
        <f t="shared" si="6"/>
        <v>01 TESTO</v>
      </c>
      <c r="B42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t="s">
        <v>1071</v>
      </c>
      <c r="D424" t="s">
        <v>112</v>
      </c>
      <c r="E424" t="s">
        <v>1072</v>
      </c>
      <c r="F424" t="s">
        <v>1073</v>
      </c>
      <c r="G424" t="s">
        <v>1074</v>
      </c>
      <c r="H424" t="s">
        <v>1075</v>
      </c>
      <c r="I424">
        <v>24</v>
      </c>
      <c r="J424">
        <v>24</v>
      </c>
    </row>
    <row r="425" spans="1:10" x14ac:dyDescent="0.25">
      <c r="A425" t="str">
        <f t="shared" si="6"/>
        <v/>
      </c>
      <c r="B4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t="s">
        <v>112</v>
      </c>
    </row>
    <row r="426" spans="1:10" x14ac:dyDescent="0.25">
      <c r="A426" t="str">
        <f t="shared" si="6"/>
        <v/>
      </c>
      <c r="B4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t="s">
        <v>112</v>
      </c>
    </row>
    <row r="427" spans="1:10" x14ac:dyDescent="0.25">
      <c r="A427" t="str">
        <f t="shared" si="6"/>
        <v/>
      </c>
      <c r="B4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t="s">
        <v>112</v>
      </c>
    </row>
    <row r="428" spans="1:10" x14ac:dyDescent="0.25">
      <c r="A428" t="str">
        <f t="shared" si="6"/>
        <v/>
      </c>
      <c r="B4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t="s">
        <v>112</v>
      </c>
    </row>
    <row r="429" spans="1:10" x14ac:dyDescent="0.25">
      <c r="A429" t="str">
        <f t="shared" si="6"/>
        <v/>
      </c>
      <c r="B4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t="s">
        <v>112</v>
      </c>
    </row>
    <row r="430" spans="1:10" x14ac:dyDescent="0.25">
      <c r="A430" t="str">
        <f t="shared" si="6"/>
        <v/>
      </c>
      <c r="B4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t="s">
        <v>246</v>
      </c>
      <c r="D430" t="s">
        <v>110</v>
      </c>
      <c r="E430" t="s">
        <v>111</v>
      </c>
      <c r="F430" t="s">
        <v>112</v>
      </c>
      <c r="G430" t="s">
        <v>113</v>
      </c>
    </row>
    <row r="431" spans="1:10" x14ac:dyDescent="0.25">
      <c r="A431" t="str">
        <f t="shared" si="6"/>
        <v>02 TESTO</v>
      </c>
      <c r="B43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t="s">
        <v>1076</v>
      </c>
      <c r="D431" t="s">
        <v>1077</v>
      </c>
      <c r="E431" t="s">
        <v>1078</v>
      </c>
      <c r="F431" t="s">
        <v>112</v>
      </c>
      <c r="G431">
        <v>3351985</v>
      </c>
    </row>
    <row r="432" spans="1:10" x14ac:dyDescent="0.25">
      <c r="A432" t="str">
        <f t="shared" si="6"/>
        <v>02 TESTO</v>
      </c>
      <c r="B43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t="s">
        <v>1079</v>
      </c>
      <c r="D432" t="s">
        <v>1080</v>
      </c>
      <c r="E432" t="s">
        <v>1081</v>
      </c>
      <c r="F432" t="s">
        <v>112</v>
      </c>
      <c r="G432">
        <v>3256467</v>
      </c>
    </row>
    <row r="433" spans="1:7" x14ac:dyDescent="0.25">
      <c r="A433" t="str">
        <f t="shared" si="6"/>
        <v>02 TESTO</v>
      </c>
      <c r="B43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t="s">
        <v>1082</v>
      </c>
      <c r="D433" t="s">
        <v>1083</v>
      </c>
      <c r="E433" t="s">
        <v>1084</v>
      </c>
      <c r="F433" t="s">
        <v>112</v>
      </c>
      <c r="G433">
        <v>3734509</v>
      </c>
    </row>
    <row r="434" spans="1:7" x14ac:dyDescent="0.25">
      <c r="A434" t="str">
        <f t="shared" si="6"/>
        <v>02 TESTO</v>
      </c>
      <c r="B43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t="s">
        <v>1085</v>
      </c>
      <c r="D434" t="s">
        <v>1086</v>
      </c>
      <c r="E434" t="s">
        <v>1087</v>
      </c>
      <c r="F434" t="s">
        <v>112</v>
      </c>
      <c r="G434">
        <v>2695647</v>
      </c>
    </row>
    <row r="435" spans="1:7" x14ac:dyDescent="0.25">
      <c r="A435" t="str">
        <f t="shared" si="6"/>
        <v>02 TESTO</v>
      </c>
      <c r="B43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t="s">
        <v>1088</v>
      </c>
      <c r="D435" t="s">
        <v>1089</v>
      </c>
      <c r="E435" t="s">
        <v>1090</v>
      </c>
      <c r="F435" t="s">
        <v>112</v>
      </c>
      <c r="G435">
        <v>3071488</v>
      </c>
    </row>
    <row r="436" spans="1:7" x14ac:dyDescent="0.25">
      <c r="A436" t="str">
        <f t="shared" si="6"/>
        <v>02 TESTO</v>
      </c>
      <c r="B43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t="s">
        <v>1091</v>
      </c>
      <c r="D436" t="s">
        <v>527</v>
      </c>
      <c r="E436" t="s">
        <v>1092</v>
      </c>
      <c r="F436" t="s">
        <v>112</v>
      </c>
      <c r="G436">
        <v>2368776</v>
      </c>
    </row>
    <row r="437" spans="1:7" x14ac:dyDescent="0.25">
      <c r="A437" t="str">
        <f t="shared" si="6"/>
        <v>02 TESTO</v>
      </c>
      <c r="B43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t="s">
        <v>1093</v>
      </c>
      <c r="D437" t="s">
        <v>1094</v>
      </c>
      <c r="E437" t="s">
        <v>1095</v>
      </c>
      <c r="F437" t="s">
        <v>112</v>
      </c>
      <c r="G437">
        <v>3783069</v>
      </c>
    </row>
    <row r="438" spans="1:7" x14ac:dyDescent="0.25">
      <c r="A438" t="str">
        <f t="shared" si="6"/>
        <v>02 TESTO</v>
      </c>
      <c r="B43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t="s">
        <v>1096</v>
      </c>
      <c r="D438" t="s">
        <v>1097</v>
      </c>
      <c r="E438" t="s">
        <v>1098</v>
      </c>
      <c r="F438" t="s">
        <v>112</v>
      </c>
      <c r="G438">
        <v>3236568</v>
      </c>
    </row>
    <row r="439" spans="1:7" x14ac:dyDescent="0.25">
      <c r="A439" t="str">
        <f t="shared" si="6"/>
        <v>02 TESTO</v>
      </c>
      <c r="B43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t="s">
        <v>1099</v>
      </c>
    </row>
    <row r="440" spans="1:7" x14ac:dyDescent="0.25">
      <c r="A440" t="str">
        <f t="shared" si="6"/>
        <v>02 TESTO</v>
      </c>
      <c r="B44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t="s">
        <v>1100</v>
      </c>
      <c r="D440" t="s">
        <v>1101</v>
      </c>
      <c r="E440" t="s">
        <v>1102</v>
      </c>
      <c r="F440" t="s">
        <v>112</v>
      </c>
      <c r="G440">
        <v>3559415</v>
      </c>
    </row>
    <row r="441" spans="1:7" x14ac:dyDescent="0.25">
      <c r="A441" t="str">
        <f t="shared" si="6"/>
        <v>02 TESTO</v>
      </c>
      <c r="B44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t="s">
        <v>1103</v>
      </c>
      <c r="D441" t="s">
        <v>1104</v>
      </c>
      <c r="E441" t="s">
        <v>1105</v>
      </c>
      <c r="F441" t="s">
        <v>112</v>
      </c>
      <c r="G441">
        <v>3184699</v>
      </c>
    </row>
    <row r="442" spans="1:7" x14ac:dyDescent="0.25">
      <c r="A442" t="str">
        <f t="shared" si="6"/>
        <v>02 TESTO</v>
      </c>
      <c r="B44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t="s">
        <v>1106</v>
      </c>
      <c r="D442" t="s">
        <v>1107</v>
      </c>
      <c r="E442" t="s">
        <v>1108</v>
      </c>
      <c r="F442" t="s">
        <v>112</v>
      </c>
      <c r="G442">
        <v>2954492</v>
      </c>
    </row>
    <row r="443" spans="1:7" x14ac:dyDescent="0.25">
      <c r="A443" t="str">
        <f t="shared" si="6"/>
        <v>02 TESTO</v>
      </c>
      <c r="B44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t="s">
        <v>1109</v>
      </c>
      <c r="D443" t="s">
        <v>1110</v>
      </c>
      <c r="E443" t="s">
        <v>1111</v>
      </c>
      <c r="F443" t="s">
        <v>112</v>
      </c>
      <c r="G443">
        <v>4141476</v>
      </c>
    </row>
    <row r="444" spans="1:7" x14ac:dyDescent="0.25">
      <c r="A444" t="str">
        <f t="shared" si="6"/>
        <v>02 TESTO</v>
      </c>
      <c r="B44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t="s">
        <v>1112</v>
      </c>
      <c r="D444" t="s">
        <v>1113</v>
      </c>
      <c r="E444" t="s">
        <v>1114</v>
      </c>
      <c r="F444" t="s">
        <v>112</v>
      </c>
      <c r="G444">
        <v>4942517</v>
      </c>
    </row>
    <row r="445" spans="1:7" x14ac:dyDescent="0.25">
      <c r="A445" t="str">
        <f t="shared" si="6"/>
        <v>02 TESTO</v>
      </c>
      <c r="B44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t="s">
        <v>1115</v>
      </c>
      <c r="D445" t="s">
        <v>1116</v>
      </c>
      <c r="E445" t="s">
        <v>1117</v>
      </c>
      <c r="F445" t="s">
        <v>112</v>
      </c>
      <c r="G445">
        <v>4252718</v>
      </c>
    </row>
    <row r="446" spans="1:7" x14ac:dyDescent="0.25">
      <c r="A446" t="str">
        <f t="shared" si="6"/>
        <v>02 TESTO</v>
      </c>
      <c r="B44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t="s">
        <v>1118</v>
      </c>
      <c r="D446" t="s">
        <v>1119</v>
      </c>
      <c r="E446" t="s">
        <v>1120</v>
      </c>
      <c r="F446" t="s">
        <v>112</v>
      </c>
      <c r="G446">
        <v>3614810</v>
      </c>
    </row>
    <row r="447" spans="1:7" x14ac:dyDescent="0.25">
      <c r="A447" t="str">
        <f t="shared" si="6"/>
        <v>02 TESTO</v>
      </c>
      <c r="B44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t="s">
        <v>1121</v>
      </c>
      <c r="D447" t="s">
        <v>1122</v>
      </c>
      <c r="E447" t="s">
        <v>1123</v>
      </c>
      <c r="F447" t="s">
        <v>112</v>
      </c>
      <c r="G447">
        <v>3649093</v>
      </c>
    </row>
    <row r="448" spans="1:7" x14ac:dyDescent="0.25">
      <c r="A448" t="str">
        <f t="shared" si="6"/>
        <v>02 TESTO</v>
      </c>
      <c r="B44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t="s">
        <v>1124</v>
      </c>
      <c r="D448" t="s">
        <v>1125</v>
      </c>
      <c r="E448" t="s">
        <v>1126</v>
      </c>
      <c r="F448" t="s">
        <v>112</v>
      </c>
      <c r="G448">
        <v>3824663</v>
      </c>
    </row>
    <row r="449" spans="1:10" x14ac:dyDescent="0.25">
      <c r="A449" t="str">
        <f t="shared" si="6"/>
        <v>02 TESTO</v>
      </c>
      <c r="B44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t="s">
        <v>1127</v>
      </c>
    </row>
    <row r="450" spans="1:10" x14ac:dyDescent="0.25">
      <c r="A450" t="str">
        <f t="shared" ref="A450:A513" si="7">IFERROR(LEFT(RIGHT(C450,LEN(C450)-SEARCH("@",C450)),SEARCH("/",RIGHT(C450,LEN(C450)-SEARCH("@",C450)-1))),"")</f>
        <v>02 TESTO</v>
      </c>
      <c r="B45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t="s">
        <v>1128</v>
      </c>
      <c r="D450" t="s">
        <v>1129</v>
      </c>
      <c r="E450" t="s">
        <v>1130</v>
      </c>
      <c r="F450" t="s">
        <v>112</v>
      </c>
      <c r="G450">
        <v>2824821</v>
      </c>
    </row>
    <row r="451" spans="1:10" x14ac:dyDescent="0.25">
      <c r="A451" t="str">
        <f t="shared" si="7"/>
        <v>02 TESTO</v>
      </c>
      <c r="B45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t="s">
        <v>1131</v>
      </c>
      <c r="D451" t="s">
        <v>1132</v>
      </c>
      <c r="E451" t="s">
        <v>1133</v>
      </c>
      <c r="F451" t="s">
        <v>112</v>
      </c>
      <c r="G451">
        <v>2965372</v>
      </c>
    </row>
    <row r="452" spans="1:10" x14ac:dyDescent="0.25">
      <c r="A452" t="str">
        <f t="shared" si="7"/>
        <v>02 TESTO</v>
      </c>
      <c r="B45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t="s">
        <v>1134</v>
      </c>
      <c r="D452" t="s">
        <v>1135</v>
      </c>
      <c r="E452" t="s">
        <v>1136</v>
      </c>
      <c r="F452" t="s">
        <v>112</v>
      </c>
      <c r="G452">
        <v>4014487</v>
      </c>
    </row>
    <row r="453" spans="1:10" x14ac:dyDescent="0.25">
      <c r="A453" t="str">
        <f t="shared" si="7"/>
        <v>02 TESTO</v>
      </c>
      <c r="B45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t="s">
        <v>1137</v>
      </c>
      <c r="D453" t="s">
        <v>1138</v>
      </c>
      <c r="E453" t="s">
        <v>1139</v>
      </c>
      <c r="F453" t="s">
        <v>112</v>
      </c>
      <c r="G453">
        <v>3860871</v>
      </c>
    </row>
    <row r="454" spans="1:10" x14ac:dyDescent="0.25">
      <c r="A454" t="str">
        <f t="shared" si="7"/>
        <v>02 TESTO</v>
      </c>
      <c r="B45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t="s">
        <v>1140</v>
      </c>
      <c r="D454" t="s">
        <v>1138</v>
      </c>
      <c r="E454" t="s">
        <v>1141</v>
      </c>
      <c r="F454" t="s">
        <v>112</v>
      </c>
      <c r="G454">
        <v>3875039</v>
      </c>
    </row>
    <row r="455" spans="1:10" x14ac:dyDescent="0.25">
      <c r="A455" t="str">
        <f t="shared" si="7"/>
        <v/>
      </c>
      <c r="B4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t="s">
        <v>112</v>
      </c>
    </row>
    <row r="456" spans="1:10" x14ac:dyDescent="0.25">
      <c r="A456" t="str">
        <f t="shared" si="7"/>
        <v/>
      </c>
      <c r="B4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t="s">
        <v>234</v>
      </c>
      <c r="D456" t="s">
        <v>112</v>
      </c>
      <c r="E456" t="s">
        <v>235</v>
      </c>
      <c r="F456" t="s">
        <v>236</v>
      </c>
      <c r="G456" t="s">
        <v>237</v>
      </c>
      <c r="H456" t="s">
        <v>238</v>
      </c>
      <c r="I456" t="s">
        <v>239</v>
      </c>
      <c r="J456" t="s">
        <v>240</v>
      </c>
    </row>
    <row r="457" spans="1:10" x14ac:dyDescent="0.25">
      <c r="A457" t="str">
        <f t="shared" si="7"/>
        <v>02 TESTO</v>
      </c>
      <c r="B45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t="s">
        <v>1142</v>
      </c>
      <c r="D457" t="s">
        <v>112</v>
      </c>
      <c r="E457" t="s">
        <v>1143</v>
      </c>
      <c r="F457" t="s">
        <v>1144</v>
      </c>
      <c r="G457" t="s">
        <v>1145</v>
      </c>
      <c r="H457" t="s">
        <v>1146</v>
      </c>
      <c r="I457">
        <v>24</v>
      </c>
      <c r="J457">
        <v>24</v>
      </c>
    </row>
    <row r="458" spans="1:10" x14ac:dyDescent="0.25">
      <c r="A458" t="str">
        <f t="shared" si="7"/>
        <v/>
      </c>
      <c r="B4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t="s">
        <v>112</v>
      </c>
    </row>
    <row r="459" spans="1:10" x14ac:dyDescent="0.25">
      <c r="A459" t="str">
        <f t="shared" si="7"/>
        <v/>
      </c>
      <c r="B4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t="s">
        <v>112</v>
      </c>
    </row>
    <row r="460" spans="1:10" x14ac:dyDescent="0.25">
      <c r="A460" t="str">
        <f t="shared" si="7"/>
        <v/>
      </c>
      <c r="B4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t="s">
        <v>112</v>
      </c>
    </row>
    <row r="461" spans="1:10" x14ac:dyDescent="0.25">
      <c r="A461" t="str">
        <f t="shared" si="7"/>
        <v/>
      </c>
      <c r="B4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t="s">
        <v>112</v>
      </c>
    </row>
    <row r="462" spans="1:10" x14ac:dyDescent="0.25">
      <c r="A462" t="str">
        <f t="shared" si="7"/>
        <v/>
      </c>
      <c r="B4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t="s">
        <v>112</v>
      </c>
    </row>
    <row r="463" spans="1:10" x14ac:dyDescent="0.25">
      <c r="A463" t="str">
        <f t="shared" si="7"/>
        <v/>
      </c>
      <c r="B4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t="s">
        <v>246</v>
      </c>
      <c r="D463" t="s">
        <v>110</v>
      </c>
      <c r="E463" t="s">
        <v>111</v>
      </c>
      <c r="F463" t="s">
        <v>112</v>
      </c>
      <c r="G463" t="s">
        <v>113</v>
      </c>
    </row>
    <row r="464" spans="1:10" x14ac:dyDescent="0.25">
      <c r="A464" t="str">
        <f t="shared" si="7"/>
        <v>03 TESTO + EE2</v>
      </c>
      <c r="B46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t="s">
        <v>1147</v>
      </c>
      <c r="D464" t="s">
        <v>1148</v>
      </c>
      <c r="E464" t="s">
        <v>1149</v>
      </c>
      <c r="F464" t="s">
        <v>112</v>
      </c>
      <c r="G464">
        <v>4253065</v>
      </c>
    </row>
    <row r="465" spans="1:7" x14ac:dyDescent="0.25">
      <c r="A465" t="str">
        <f t="shared" si="7"/>
        <v>03 TESTO + EE2</v>
      </c>
      <c r="B46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t="s">
        <v>1150</v>
      </c>
      <c r="D465" t="s">
        <v>1151</v>
      </c>
      <c r="E465" t="s">
        <v>1152</v>
      </c>
      <c r="F465" t="s">
        <v>112</v>
      </c>
      <c r="G465">
        <v>4662021</v>
      </c>
    </row>
    <row r="466" spans="1:7" x14ac:dyDescent="0.25">
      <c r="A466" t="str">
        <f t="shared" si="7"/>
        <v>03 TESTO + EE2</v>
      </c>
      <c r="B46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t="s">
        <v>1153</v>
      </c>
      <c r="D466" t="s">
        <v>1154</v>
      </c>
      <c r="E466" t="s">
        <v>1155</v>
      </c>
      <c r="F466" t="s">
        <v>112</v>
      </c>
      <c r="G466">
        <v>4780510</v>
      </c>
    </row>
    <row r="467" spans="1:7" x14ac:dyDescent="0.25">
      <c r="A467" t="str">
        <f t="shared" si="7"/>
        <v>03 TESTO + EE2</v>
      </c>
      <c r="B46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t="s">
        <v>1156</v>
      </c>
      <c r="D467" t="s">
        <v>1157</v>
      </c>
      <c r="E467" t="s">
        <v>1158</v>
      </c>
      <c r="F467" t="s">
        <v>112</v>
      </c>
      <c r="G467">
        <v>4844794</v>
      </c>
    </row>
    <row r="468" spans="1:7" x14ac:dyDescent="0.25">
      <c r="A468" t="str">
        <f t="shared" si="7"/>
        <v>03 TESTO + EE2</v>
      </c>
      <c r="B46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t="s">
        <v>1159</v>
      </c>
      <c r="D468" t="s">
        <v>1160</v>
      </c>
      <c r="E468" t="s">
        <v>1161</v>
      </c>
      <c r="F468" t="s">
        <v>112</v>
      </c>
      <c r="G468">
        <v>5256216</v>
      </c>
    </row>
    <row r="469" spans="1:7" x14ac:dyDescent="0.25">
      <c r="A469" t="str">
        <f t="shared" si="7"/>
        <v>03 TESTO + EE2</v>
      </c>
      <c r="B46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t="s">
        <v>1162</v>
      </c>
      <c r="D469" t="s">
        <v>1163</v>
      </c>
      <c r="E469" t="s">
        <v>1164</v>
      </c>
      <c r="F469" t="s">
        <v>112</v>
      </c>
      <c r="G469">
        <v>5376867</v>
      </c>
    </row>
    <row r="470" spans="1:7" x14ac:dyDescent="0.25">
      <c r="A470" t="str">
        <f t="shared" si="7"/>
        <v>03 TESTO + EE2</v>
      </c>
      <c r="B47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t="s">
        <v>1165</v>
      </c>
      <c r="D470" t="s">
        <v>1151</v>
      </c>
      <c r="E470" t="s">
        <v>1166</v>
      </c>
      <c r="F470" t="s">
        <v>112</v>
      </c>
      <c r="G470">
        <v>4428916</v>
      </c>
    </row>
    <row r="471" spans="1:7" x14ac:dyDescent="0.25">
      <c r="A471" t="str">
        <f t="shared" si="7"/>
        <v>03 TESTO + EE2</v>
      </c>
      <c r="B47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t="s">
        <v>1167</v>
      </c>
      <c r="D471" t="s">
        <v>1168</v>
      </c>
      <c r="E471" t="s">
        <v>1169</v>
      </c>
      <c r="F471" t="s">
        <v>112</v>
      </c>
      <c r="G471">
        <v>4030623</v>
      </c>
    </row>
    <row r="472" spans="1:7" x14ac:dyDescent="0.25">
      <c r="A472" t="str">
        <f t="shared" si="7"/>
        <v>03 TESTO + EE2</v>
      </c>
      <c r="B47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t="s">
        <v>1170</v>
      </c>
      <c r="D472" t="s">
        <v>1171</v>
      </c>
      <c r="E472" t="s">
        <v>1172</v>
      </c>
      <c r="F472" t="s">
        <v>112</v>
      </c>
      <c r="G472">
        <v>3641328</v>
      </c>
    </row>
    <row r="473" spans="1:7" x14ac:dyDescent="0.25">
      <c r="A473" t="str">
        <f t="shared" si="7"/>
        <v>03 TESTO + EE2</v>
      </c>
      <c r="B47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t="s">
        <v>1173</v>
      </c>
      <c r="D473" t="s">
        <v>1174</v>
      </c>
      <c r="E473" t="s">
        <v>1175</v>
      </c>
      <c r="F473" t="s">
        <v>112</v>
      </c>
      <c r="G473">
        <v>3140336</v>
      </c>
    </row>
    <row r="474" spans="1:7" x14ac:dyDescent="0.25">
      <c r="A474" t="str">
        <f t="shared" si="7"/>
        <v>03 TESTO + EE2</v>
      </c>
      <c r="B47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t="s">
        <v>1176</v>
      </c>
      <c r="D474" t="s">
        <v>630</v>
      </c>
      <c r="E474" t="s">
        <v>1177</v>
      </c>
      <c r="F474" t="s">
        <v>112</v>
      </c>
      <c r="G474">
        <v>3671675</v>
      </c>
    </row>
    <row r="475" spans="1:7" x14ac:dyDescent="0.25">
      <c r="A475" t="str">
        <f t="shared" si="7"/>
        <v>03 TESTO + EE2</v>
      </c>
      <c r="B47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t="s">
        <v>1178</v>
      </c>
      <c r="D475" t="s">
        <v>1179</v>
      </c>
      <c r="E475" t="s">
        <v>1180</v>
      </c>
      <c r="F475" t="s">
        <v>112</v>
      </c>
      <c r="G475">
        <v>3640095</v>
      </c>
    </row>
    <row r="476" spans="1:7" x14ac:dyDescent="0.25">
      <c r="A476" t="str">
        <f t="shared" si="7"/>
        <v>03 TESTO + EE2</v>
      </c>
      <c r="B47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t="s">
        <v>1181</v>
      </c>
      <c r="D476" t="s">
        <v>1182</v>
      </c>
      <c r="E476" t="s">
        <v>1183</v>
      </c>
      <c r="F476" t="s">
        <v>112</v>
      </c>
      <c r="G476">
        <v>2518260</v>
      </c>
    </row>
    <row r="477" spans="1:7" x14ac:dyDescent="0.25">
      <c r="A477" t="str">
        <f t="shared" si="7"/>
        <v>03 TESTO + EE2</v>
      </c>
      <c r="B47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t="s">
        <v>1184</v>
      </c>
      <c r="D477" t="s">
        <v>1185</v>
      </c>
      <c r="E477" t="s">
        <v>1186</v>
      </c>
      <c r="F477" t="s">
        <v>112</v>
      </c>
      <c r="G477">
        <v>2267505</v>
      </c>
    </row>
    <row r="478" spans="1:7" x14ac:dyDescent="0.25">
      <c r="A478" t="str">
        <f t="shared" si="7"/>
        <v>03 TESTO + EE2</v>
      </c>
      <c r="B47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t="s">
        <v>1187</v>
      </c>
      <c r="D478" t="s">
        <v>1188</v>
      </c>
      <c r="E478" t="s">
        <v>1189</v>
      </c>
      <c r="F478" t="s">
        <v>112</v>
      </c>
      <c r="G478">
        <v>2649965</v>
      </c>
    </row>
    <row r="479" spans="1:7" x14ac:dyDescent="0.25">
      <c r="A479" t="str">
        <f t="shared" si="7"/>
        <v>03 TESTO + EE2</v>
      </c>
      <c r="B47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t="s">
        <v>1190</v>
      </c>
      <c r="D479" t="s">
        <v>1191</v>
      </c>
      <c r="E479" t="s">
        <v>1192</v>
      </c>
      <c r="F479" t="s">
        <v>112</v>
      </c>
      <c r="G479">
        <v>3518340</v>
      </c>
    </row>
    <row r="480" spans="1:7" x14ac:dyDescent="0.25">
      <c r="A480" t="str">
        <f t="shared" si="7"/>
        <v>03 TESTO + EE2</v>
      </c>
      <c r="B48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t="s">
        <v>1193</v>
      </c>
      <c r="D480" t="s">
        <v>1194</v>
      </c>
      <c r="E480" t="s">
        <v>1195</v>
      </c>
      <c r="F480" t="s">
        <v>112</v>
      </c>
      <c r="G480">
        <v>3508607</v>
      </c>
    </row>
    <row r="481" spans="1:10" x14ac:dyDescent="0.25">
      <c r="A481" t="str">
        <f t="shared" si="7"/>
        <v>03 TESTO + EE2</v>
      </c>
      <c r="B48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t="s">
        <v>1196</v>
      </c>
      <c r="D481" t="s">
        <v>1197</v>
      </c>
      <c r="E481" t="s">
        <v>1198</v>
      </c>
      <c r="F481" t="s">
        <v>112</v>
      </c>
      <c r="G481">
        <v>3711971</v>
      </c>
    </row>
    <row r="482" spans="1:10" x14ac:dyDescent="0.25">
      <c r="A482" t="str">
        <f t="shared" si="7"/>
        <v>03 TESTO + EE2</v>
      </c>
      <c r="B48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t="s">
        <v>1199</v>
      </c>
      <c r="D482" t="s">
        <v>1200</v>
      </c>
      <c r="E482" t="s">
        <v>1201</v>
      </c>
      <c r="F482" t="s">
        <v>112</v>
      </c>
      <c r="G482">
        <v>3558074</v>
      </c>
    </row>
    <row r="483" spans="1:10" x14ac:dyDescent="0.25">
      <c r="A483" t="str">
        <f t="shared" si="7"/>
        <v>03 TESTO + EE2</v>
      </c>
      <c r="B48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t="s">
        <v>1202</v>
      </c>
      <c r="D483" t="s">
        <v>1203</v>
      </c>
      <c r="E483" t="s">
        <v>1204</v>
      </c>
      <c r="F483" t="s">
        <v>112</v>
      </c>
      <c r="G483">
        <v>3436666</v>
      </c>
    </row>
    <row r="484" spans="1:10" x14ac:dyDescent="0.25">
      <c r="A484" t="str">
        <f t="shared" si="7"/>
        <v>03 TESTO + EE2</v>
      </c>
      <c r="B48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t="s">
        <v>1205</v>
      </c>
      <c r="D484" t="s">
        <v>1206</v>
      </c>
      <c r="E484" t="s">
        <v>1207</v>
      </c>
      <c r="F484" t="s">
        <v>112</v>
      </c>
      <c r="G484">
        <v>3299900</v>
      </c>
    </row>
    <row r="485" spans="1:10" x14ac:dyDescent="0.25">
      <c r="A485" t="str">
        <f t="shared" si="7"/>
        <v>03 TESTO + EE2</v>
      </c>
      <c r="B48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t="s">
        <v>1208</v>
      </c>
      <c r="D485" t="s">
        <v>1209</v>
      </c>
      <c r="E485" t="s">
        <v>1210</v>
      </c>
      <c r="F485" t="s">
        <v>112</v>
      </c>
      <c r="G485">
        <v>4041005</v>
      </c>
    </row>
    <row r="486" spans="1:10" x14ac:dyDescent="0.25">
      <c r="A486" t="str">
        <f t="shared" si="7"/>
        <v>03 TESTO + EE2</v>
      </c>
      <c r="B48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t="s">
        <v>1211</v>
      </c>
      <c r="D486" t="s">
        <v>1212</v>
      </c>
      <c r="E486" t="s">
        <v>1213</v>
      </c>
      <c r="F486" t="s">
        <v>112</v>
      </c>
      <c r="G486">
        <v>4661372</v>
      </c>
    </row>
    <row r="487" spans="1:10" x14ac:dyDescent="0.25">
      <c r="A487" t="str">
        <f t="shared" si="7"/>
        <v>03 TESTO + EE2</v>
      </c>
      <c r="B48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t="s">
        <v>1214</v>
      </c>
    </row>
    <row r="488" spans="1:10" x14ac:dyDescent="0.25">
      <c r="A488" t="str">
        <f t="shared" si="7"/>
        <v/>
      </c>
      <c r="B4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t="s">
        <v>112</v>
      </c>
    </row>
    <row r="489" spans="1:10" x14ac:dyDescent="0.25">
      <c r="A489" t="str">
        <f t="shared" si="7"/>
        <v/>
      </c>
      <c r="B4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t="s">
        <v>234</v>
      </c>
      <c r="D489" t="s">
        <v>112</v>
      </c>
      <c r="E489" t="s">
        <v>235</v>
      </c>
      <c r="F489" t="s">
        <v>236</v>
      </c>
      <c r="G489" t="s">
        <v>237</v>
      </c>
      <c r="H489" t="s">
        <v>238</v>
      </c>
      <c r="I489" t="s">
        <v>239</v>
      </c>
      <c r="J489" t="s">
        <v>240</v>
      </c>
    </row>
    <row r="490" spans="1:10" x14ac:dyDescent="0.25">
      <c r="A490" t="str">
        <f t="shared" si="7"/>
        <v>03 TESTO + EE2</v>
      </c>
      <c r="B49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t="s">
        <v>1215</v>
      </c>
      <c r="D490" t="s">
        <v>112</v>
      </c>
      <c r="E490" t="s">
        <v>1216</v>
      </c>
      <c r="F490" t="s">
        <v>1217</v>
      </c>
      <c r="G490" t="s">
        <v>1218</v>
      </c>
      <c r="H490" t="s">
        <v>1219</v>
      </c>
      <c r="I490">
        <v>24</v>
      </c>
      <c r="J490">
        <v>24</v>
      </c>
    </row>
    <row r="491" spans="1:10" x14ac:dyDescent="0.25">
      <c r="A491" t="str">
        <f t="shared" si="7"/>
        <v/>
      </c>
      <c r="B4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t="s">
        <v>112</v>
      </c>
    </row>
    <row r="492" spans="1:10" x14ac:dyDescent="0.25">
      <c r="A492" t="str">
        <f t="shared" si="7"/>
        <v/>
      </c>
      <c r="B4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t="s">
        <v>112</v>
      </c>
    </row>
    <row r="493" spans="1:10" x14ac:dyDescent="0.25">
      <c r="A493" t="str">
        <f t="shared" si="7"/>
        <v/>
      </c>
      <c r="B4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t="s">
        <v>112</v>
      </c>
    </row>
    <row r="494" spans="1:10" x14ac:dyDescent="0.25">
      <c r="A494" t="str">
        <f t="shared" si="7"/>
        <v/>
      </c>
      <c r="B4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t="s">
        <v>112</v>
      </c>
    </row>
    <row r="495" spans="1:10" x14ac:dyDescent="0.25">
      <c r="A495" t="str">
        <f t="shared" si="7"/>
        <v/>
      </c>
      <c r="B4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t="s">
        <v>112</v>
      </c>
    </row>
    <row r="496" spans="1:10" x14ac:dyDescent="0.25">
      <c r="A496" t="str">
        <f t="shared" si="7"/>
        <v/>
      </c>
      <c r="B4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t="s">
        <v>246</v>
      </c>
      <c r="D496" t="s">
        <v>110</v>
      </c>
      <c r="E496" t="s">
        <v>111</v>
      </c>
      <c r="F496" t="s">
        <v>112</v>
      </c>
      <c r="G496" t="s">
        <v>113</v>
      </c>
    </row>
    <row r="497" spans="1:7" x14ac:dyDescent="0.25">
      <c r="A497" t="str">
        <f t="shared" si="7"/>
        <v>04 TESTO + FAD</v>
      </c>
      <c r="B49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t="s">
        <v>1220</v>
      </c>
    </row>
    <row r="498" spans="1:7" x14ac:dyDescent="0.25">
      <c r="A498" t="str">
        <f t="shared" si="7"/>
        <v>04 TESTO + FAD</v>
      </c>
      <c r="B49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t="s">
        <v>1221</v>
      </c>
      <c r="D498" t="s">
        <v>1222</v>
      </c>
      <c r="E498" t="s">
        <v>1223</v>
      </c>
      <c r="F498" t="s">
        <v>112</v>
      </c>
      <c r="G498">
        <v>284152</v>
      </c>
    </row>
    <row r="499" spans="1:7" x14ac:dyDescent="0.25">
      <c r="A499" t="str">
        <f t="shared" si="7"/>
        <v>04 TESTO + FAD</v>
      </c>
      <c r="B49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t="s">
        <v>1224</v>
      </c>
      <c r="D499" t="s">
        <v>710</v>
      </c>
      <c r="E499" t="s">
        <v>1225</v>
      </c>
      <c r="F499" t="s">
        <v>112</v>
      </c>
      <c r="G499">
        <v>348998</v>
      </c>
    </row>
    <row r="500" spans="1:7" x14ac:dyDescent="0.25">
      <c r="A500" t="str">
        <f t="shared" si="7"/>
        <v>04 TESTO + FAD</v>
      </c>
      <c r="B50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t="s">
        <v>1226</v>
      </c>
      <c r="D500" t="s">
        <v>1227</v>
      </c>
      <c r="E500">
        <v>63</v>
      </c>
      <c r="F500" t="s">
        <v>112</v>
      </c>
      <c r="G500">
        <v>27254</v>
      </c>
    </row>
    <row r="501" spans="1:7" x14ac:dyDescent="0.25">
      <c r="A501" t="str">
        <f t="shared" si="7"/>
        <v>04 TESTO + FAD</v>
      </c>
      <c r="B50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t="s">
        <v>1228</v>
      </c>
    </row>
    <row r="502" spans="1:7" x14ac:dyDescent="0.25">
      <c r="A502" t="str">
        <f t="shared" si="7"/>
        <v>04 TESTO + FAD</v>
      </c>
      <c r="B50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t="s">
        <v>1229</v>
      </c>
      <c r="D502" t="s">
        <v>1230</v>
      </c>
      <c r="E502">
        <v>64</v>
      </c>
      <c r="F502" t="s">
        <v>112</v>
      </c>
      <c r="G502">
        <v>42914</v>
      </c>
    </row>
    <row r="503" spans="1:7" x14ac:dyDescent="0.25">
      <c r="A503" t="str">
        <f t="shared" si="7"/>
        <v>04 TESTO + FAD</v>
      </c>
      <c r="B50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t="s">
        <v>1231</v>
      </c>
      <c r="D503" t="s">
        <v>1232</v>
      </c>
      <c r="E503" t="s">
        <v>1233</v>
      </c>
      <c r="F503" t="s">
        <v>112</v>
      </c>
      <c r="G503">
        <v>501922</v>
      </c>
    </row>
    <row r="504" spans="1:7" x14ac:dyDescent="0.25">
      <c r="A504" t="str">
        <f t="shared" si="7"/>
        <v>04 TESTO + FAD</v>
      </c>
      <c r="B50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t="s">
        <v>1234</v>
      </c>
      <c r="D504" t="s">
        <v>217</v>
      </c>
      <c r="E504" t="s">
        <v>1235</v>
      </c>
      <c r="F504" t="s">
        <v>112</v>
      </c>
      <c r="G504">
        <v>446073</v>
      </c>
    </row>
    <row r="505" spans="1:7" x14ac:dyDescent="0.25">
      <c r="A505" t="str">
        <f t="shared" si="7"/>
        <v>04 TESTO + FAD</v>
      </c>
      <c r="B50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t="s">
        <v>1236</v>
      </c>
      <c r="D505" t="s">
        <v>1237</v>
      </c>
      <c r="E505" t="s">
        <v>1238</v>
      </c>
      <c r="F505" t="s">
        <v>112</v>
      </c>
      <c r="G505">
        <v>404977</v>
      </c>
    </row>
    <row r="506" spans="1:7" x14ac:dyDescent="0.25">
      <c r="A506" t="str">
        <f t="shared" si="7"/>
        <v>04 TESTO + FAD</v>
      </c>
      <c r="B50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t="s">
        <v>1239</v>
      </c>
      <c r="D506" t="s">
        <v>1240</v>
      </c>
      <c r="E506" t="s">
        <v>1241</v>
      </c>
      <c r="F506" t="s">
        <v>112</v>
      </c>
      <c r="G506">
        <v>573127</v>
      </c>
    </row>
    <row r="507" spans="1:7" x14ac:dyDescent="0.25">
      <c r="A507" t="str">
        <f t="shared" si="7"/>
        <v>04 TESTO + FAD</v>
      </c>
      <c r="B50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t="s">
        <v>1242</v>
      </c>
      <c r="D507" t="s">
        <v>1243</v>
      </c>
      <c r="E507" t="s">
        <v>1244</v>
      </c>
      <c r="F507" t="s">
        <v>112</v>
      </c>
      <c r="G507">
        <v>124610</v>
      </c>
    </row>
    <row r="508" spans="1:7" x14ac:dyDescent="0.25">
      <c r="A508" t="str">
        <f t="shared" si="7"/>
        <v>04 TESTO + FAD</v>
      </c>
      <c r="B50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t="s">
        <v>1245</v>
      </c>
      <c r="D508" t="s">
        <v>1246</v>
      </c>
      <c r="E508" t="s">
        <v>1247</v>
      </c>
      <c r="F508" t="s">
        <v>112</v>
      </c>
      <c r="G508">
        <v>572392</v>
      </c>
    </row>
    <row r="509" spans="1:7" x14ac:dyDescent="0.25">
      <c r="A509" t="str">
        <f t="shared" si="7"/>
        <v>04 TESTO + FAD</v>
      </c>
      <c r="B50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t="s">
        <v>1248</v>
      </c>
      <c r="D509" t="s">
        <v>1249</v>
      </c>
      <c r="E509" t="s">
        <v>1250</v>
      </c>
      <c r="F509" t="s">
        <v>112</v>
      </c>
      <c r="G509">
        <v>141611</v>
      </c>
    </row>
    <row r="510" spans="1:7" x14ac:dyDescent="0.25">
      <c r="A510" t="str">
        <f t="shared" si="7"/>
        <v>04 TESTO + FAD</v>
      </c>
      <c r="B51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t="s">
        <v>1251</v>
      </c>
      <c r="D510" t="s">
        <v>1252</v>
      </c>
      <c r="E510" t="s">
        <v>1253</v>
      </c>
      <c r="F510" t="s">
        <v>112</v>
      </c>
      <c r="G510">
        <v>224583</v>
      </c>
    </row>
    <row r="511" spans="1:7" x14ac:dyDescent="0.25">
      <c r="A511" t="str">
        <f t="shared" si="7"/>
        <v>04 TESTO + FAD</v>
      </c>
      <c r="B51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t="s">
        <v>1254</v>
      </c>
      <c r="D511" t="s">
        <v>1255</v>
      </c>
      <c r="E511" t="s">
        <v>1256</v>
      </c>
      <c r="F511" t="s">
        <v>112</v>
      </c>
      <c r="G511">
        <v>179680</v>
      </c>
    </row>
    <row r="512" spans="1:7" x14ac:dyDescent="0.25">
      <c r="A512" t="str">
        <f t="shared" si="7"/>
        <v>04 TESTO + FAD</v>
      </c>
      <c r="B51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t="s">
        <v>1257</v>
      </c>
      <c r="D512" t="s">
        <v>1258</v>
      </c>
      <c r="E512" t="s">
        <v>1259</v>
      </c>
      <c r="F512" t="s">
        <v>112</v>
      </c>
      <c r="G512">
        <v>53318</v>
      </c>
    </row>
    <row r="513" spans="1:10" x14ac:dyDescent="0.25">
      <c r="A513" t="str">
        <f t="shared" si="7"/>
        <v>04 TESTO + FAD</v>
      </c>
      <c r="B51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t="s">
        <v>1260</v>
      </c>
      <c r="D513" t="s">
        <v>1261</v>
      </c>
      <c r="E513" t="s">
        <v>1262</v>
      </c>
      <c r="F513" t="s">
        <v>112</v>
      </c>
      <c r="G513">
        <v>69843</v>
      </c>
    </row>
    <row r="514" spans="1:10" x14ac:dyDescent="0.25">
      <c r="A514" t="str">
        <f t="shared" ref="A514:A577" si="8">IFERROR(LEFT(RIGHT(C514,LEN(C514)-SEARCH("@",C514)),SEARCH("/",RIGHT(C514,LEN(C514)-SEARCH("@",C514)-1))),"")</f>
        <v>04 TESTO + FAD</v>
      </c>
      <c r="B51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t="s">
        <v>1263</v>
      </c>
      <c r="D514" t="s">
        <v>1264</v>
      </c>
      <c r="E514" t="s">
        <v>1265</v>
      </c>
      <c r="F514" t="s">
        <v>112</v>
      </c>
      <c r="G514">
        <v>193458</v>
      </c>
    </row>
    <row r="515" spans="1:10" x14ac:dyDescent="0.25">
      <c r="A515" t="str">
        <f t="shared" si="8"/>
        <v>04 TESTO + FAD</v>
      </c>
      <c r="B51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t="s">
        <v>1266</v>
      </c>
      <c r="D515" t="s">
        <v>1267</v>
      </c>
      <c r="E515" t="s">
        <v>1268</v>
      </c>
      <c r="F515" t="s">
        <v>112</v>
      </c>
      <c r="G515">
        <v>382092</v>
      </c>
    </row>
    <row r="516" spans="1:10" x14ac:dyDescent="0.25">
      <c r="A516" t="str">
        <f t="shared" si="8"/>
        <v>04 TESTO + FAD</v>
      </c>
      <c r="B51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t="s">
        <v>1269</v>
      </c>
      <c r="D516" t="s">
        <v>1270</v>
      </c>
      <c r="E516" t="s">
        <v>1271</v>
      </c>
      <c r="F516" t="s">
        <v>112</v>
      </c>
      <c r="G516">
        <v>449664</v>
      </c>
    </row>
    <row r="517" spans="1:10" x14ac:dyDescent="0.25">
      <c r="A517" t="str">
        <f t="shared" si="8"/>
        <v>04 TESTO + FAD</v>
      </c>
      <c r="B51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t="s">
        <v>1272</v>
      </c>
    </row>
    <row r="518" spans="1:10" x14ac:dyDescent="0.25">
      <c r="A518" t="str">
        <f t="shared" si="8"/>
        <v>04 TESTO + FAD</v>
      </c>
      <c r="B51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t="s">
        <v>1273</v>
      </c>
      <c r="D518" t="s">
        <v>1274</v>
      </c>
      <c r="E518" t="s">
        <v>1275</v>
      </c>
      <c r="F518" t="s">
        <v>112</v>
      </c>
      <c r="G518">
        <v>76375</v>
      </c>
    </row>
    <row r="519" spans="1:10" x14ac:dyDescent="0.25">
      <c r="A519" t="str">
        <f t="shared" si="8"/>
        <v>04 TESTO + FAD</v>
      </c>
      <c r="B51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t="s">
        <v>1276</v>
      </c>
      <c r="D519" t="s">
        <v>1277</v>
      </c>
      <c r="E519" t="s">
        <v>1278</v>
      </c>
      <c r="F519" t="s">
        <v>112</v>
      </c>
      <c r="G519">
        <v>59439</v>
      </c>
    </row>
    <row r="520" spans="1:10" x14ac:dyDescent="0.25">
      <c r="A520" t="str">
        <f t="shared" si="8"/>
        <v>04 TESTO + FAD</v>
      </c>
      <c r="B52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t="s">
        <v>1279</v>
      </c>
      <c r="D520" t="s">
        <v>371</v>
      </c>
      <c r="E520" t="s">
        <v>1280</v>
      </c>
      <c r="F520" t="s">
        <v>112</v>
      </c>
      <c r="G520">
        <v>136614</v>
      </c>
    </row>
    <row r="521" spans="1:10" x14ac:dyDescent="0.25">
      <c r="A521" t="str">
        <f t="shared" si="8"/>
        <v/>
      </c>
      <c r="B5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t="s">
        <v>112</v>
      </c>
    </row>
    <row r="522" spans="1:10" x14ac:dyDescent="0.25">
      <c r="A522" t="str">
        <f t="shared" si="8"/>
        <v/>
      </c>
      <c r="B5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t="s">
        <v>234</v>
      </c>
      <c r="D522" t="s">
        <v>112</v>
      </c>
      <c r="E522" t="s">
        <v>235</v>
      </c>
      <c r="F522" t="s">
        <v>236</v>
      </c>
      <c r="G522" t="s">
        <v>237</v>
      </c>
      <c r="H522" t="s">
        <v>238</v>
      </c>
      <c r="I522" t="s">
        <v>239</v>
      </c>
      <c r="J522" t="s">
        <v>240</v>
      </c>
    </row>
    <row r="523" spans="1:10" x14ac:dyDescent="0.25">
      <c r="A523" t="str">
        <f t="shared" si="8"/>
        <v>04 TESTO + FAD</v>
      </c>
      <c r="B52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t="s">
        <v>1281</v>
      </c>
      <c r="D523" t="s">
        <v>112</v>
      </c>
      <c r="E523" t="s">
        <v>1282</v>
      </c>
      <c r="F523" t="s">
        <v>1283</v>
      </c>
      <c r="G523" t="s">
        <v>1284</v>
      </c>
      <c r="H523" t="s">
        <v>1285</v>
      </c>
      <c r="I523">
        <v>24</v>
      </c>
      <c r="J523">
        <v>24</v>
      </c>
    </row>
    <row r="524" spans="1:10" x14ac:dyDescent="0.25">
      <c r="A524" t="str">
        <f t="shared" si="8"/>
        <v/>
      </c>
      <c r="B5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t="s">
        <v>112</v>
      </c>
    </row>
    <row r="525" spans="1:10" x14ac:dyDescent="0.25">
      <c r="A525" t="str">
        <f t="shared" si="8"/>
        <v/>
      </c>
      <c r="B5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t="s">
        <v>112</v>
      </c>
    </row>
    <row r="526" spans="1:10" x14ac:dyDescent="0.25">
      <c r="A526" t="str">
        <f t="shared" si="8"/>
        <v/>
      </c>
      <c r="B5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t="s">
        <v>112</v>
      </c>
    </row>
    <row r="527" spans="1:10" x14ac:dyDescent="0.25">
      <c r="A527" t="str">
        <f t="shared" si="8"/>
        <v/>
      </c>
      <c r="B5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t="s">
        <v>112</v>
      </c>
    </row>
    <row r="528" spans="1:10" x14ac:dyDescent="0.25">
      <c r="A528" t="str">
        <f t="shared" si="8"/>
        <v/>
      </c>
      <c r="B5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t="s">
        <v>112</v>
      </c>
    </row>
    <row r="529" spans="1:7" x14ac:dyDescent="0.25">
      <c r="A529" t="str">
        <f t="shared" si="8"/>
        <v/>
      </c>
      <c r="B5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t="s">
        <v>246</v>
      </c>
      <c r="D529" t="s">
        <v>110</v>
      </c>
      <c r="E529" t="s">
        <v>111</v>
      </c>
      <c r="F529" t="s">
        <v>112</v>
      </c>
      <c r="G529" t="s">
        <v>113</v>
      </c>
    </row>
    <row r="530" spans="1:7" x14ac:dyDescent="0.25">
      <c r="A530" t="str">
        <f t="shared" si="8"/>
        <v>05 TRIPHENYLP 0.18 + TESTO</v>
      </c>
      <c r="B53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t="s">
        <v>1286</v>
      </c>
      <c r="D530" t="s">
        <v>1287</v>
      </c>
      <c r="E530" t="s">
        <v>1288</v>
      </c>
      <c r="F530" t="s">
        <v>112</v>
      </c>
      <c r="G530">
        <v>3795354</v>
      </c>
    </row>
    <row r="531" spans="1:7" x14ac:dyDescent="0.25">
      <c r="A531" t="str">
        <f t="shared" si="8"/>
        <v>05 TRIPHENYLP 0.18 + TESTO</v>
      </c>
      <c r="B53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t="s">
        <v>1289</v>
      </c>
      <c r="D531" t="s">
        <v>1290</v>
      </c>
      <c r="E531" t="s">
        <v>1291</v>
      </c>
      <c r="F531" t="s">
        <v>112</v>
      </c>
      <c r="G531">
        <v>3957492</v>
      </c>
    </row>
    <row r="532" spans="1:7" x14ac:dyDescent="0.25">
      <c r="A532" t="str">
        <f t="shared" si="8"/>
        <v>05 TRIPHENYLP 0.18 + TESTO</v>
      </c>
      <c r="B53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t="s">
        <v>1292</v>
      </c>
      <c r="D532" t="s">
        <v>1293</v>
      </c>
      <c r="E532" t="s">
        <v>1294</v>
      </c>
      <c r="F532" t="s">
        <v>112</v>
      </c>
      <c r="G532">
        <v>4108836</v>
      </c>
    </row>
    <row r="533" spans="1:7" x14ac:dyDescent="0.25">
      <c r="A533" t="str">
        <f t="shared" si="8"/>
        <v>05 TRIPHENYLP 0.18 + TESTO</v>
      </c>
      <c r="B53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t="s">
        <v>1295</v>
      </c>
      <c r="D533" t="s">
        <v>1296</v>
      </c>
      <c r="E533" t="s">
        <v>1297</v>
      </c>
      <c r="F533" t="s">
        <v>112</v>
      </c>
      <c r="G533">
        <v>4541348</v>
      </c>
    </row>
    <row r="534" spans="1:7" x14ac:dyDescent="0.25">
      <c r="A534" t="str">
        <f t="shared" si="8"/>
        <v>05 TRIPHENYLP 0.18 + TESTO</v>
      </c>
      <c r="B53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t="s">
        <v>1298</v>
      </c>
      <c r="D534" t="s">
        <v>1299</v>
      </c>
      <c r="E534" t="s">
        <v>1300</v>
      </c>
      <c r="F534" t="s">
        <v>112</v>
      </c>
      <c r="G534">
        <v>5640233</v>
      </c>
    </row>
    <row r="535" spans="1:7" x14ac:dyDescent="0.25">
      <c r="A535" t="str">
        <f t="shared" si="8"/>
        <v>05 TRIPHENYLP 0.18 + TESTO</v>
      </c>
      <c r="B53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t="s">
        <v>1301</v>
      </c>
      <c r="D535" t="s">
        <v>1302</v>
      </c>
      <c r="E535" t="s">
        <v>1303</v>
      </c>
      <c r="F535" t="s">
        <v>112</v>
      </c>
      <c r="G535">
        <v>5042253</v>
      </c>
    </row>
    <row r="536" spans="1:7" x14ac:dyDescent="0.25">
      <c r="A536" t="str">
        <f t="shared" si="8"/>
        <v>05 TRIPHENYLP 0.18 + TESTO</v>
      </c>
      <c r="B53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t="s">
        <v>1304</v>
      </c>
      <c r="D536" t="s">
        <v>1305</v>
      </c>
      <c r="E536" t="s">
        <v>1306</v>
      </c>
      <c r="F536" t="s">
        <v>112</v>
      </c>
      <c r="G536">
        <v>5143935</v>
      </c>
    </row>
    <row r="537" spans="1:7" x14ac:dyDescent="0.25">
      <c r="A537" t="str">
        <f t="shared" si="8"/>
        <v>05 TRIPHENYLP 0.18 + TESTO</v>
      </c>
      <c r="B53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t="s">
        <v>1307</v>
      </c>
      <c r="D537" t="s">
        <v>1308</v>
      </c>
      <c r="E537" t="s">
        <v>1309</v>
      </c>
      <c r="F537" t="s">
        <v>112</v>
      </c>
      <c r="G537">
        <v>4804713</v>
      </c>
    </row>
    <row r="538" spans="1:7" x14ac:dyDescent="0.25">
      <c r="A538" t="str">
        <f t="shared" si="8"/>
        <v>05 TRIPHENYLP 0.18 + TESTO</v>
      </c>
      <c r="B53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t="s">
        <v>1310</v>
      </c>
      <c r="D538" t="s">
        <v>1311</v>
      </c>
      <c r="E538" t="s">
        <v>1312</v>
      </c>
      <c r="F538" t="s">
        <v>112</v>
      </c>
      <c r="G538">
        <v>5160568</v>
      </c>
    </row>
    <row r="539" spans="1:7" x14ac:dyDescent="0.25">
      <c r="A539" t="str">
        <f t="shared" si="8"/>
        <v>05 TRIPHENYLP 0.18 + TESTO</v>
      </c>
      <c r="B53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t="s">
        <v>1313</v>
      </c>
      <c r="D539" t="s">
        <v>1314</v>
      </c>
      <c r="E539" t="s">
        <v>1315</v>
      </c>
      <c r="F539" t="s">
        <v>112</v>
      </c>
      <c r="G539">
        <v>3436536</v>
      </c>
    </row>
    <row r="540" spans="1:7" x14ac:dyDescent="0.25">
      <c r="A540" t="str">
        <f t="shared" si="8"/>
        <v>05 TRIPHENYLP 0.18 + TESTO</v>
      </c>
      <c r="B54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t="s">
        <v>1316</v>
      </c>
      <c r="D540" t="s">
        <v>1317</v>
      </c>
      <c r="E540" t="s">
        <v>1318</v>
      </c>
      <c r="F540" t="s">
        <v>112</v>
      </c>
      <c r="G540">
        <v>4249885</v>
      </c>
    </row>
    <row r="541" spans="1:7" x14ac:dyDescent="0.25">
      <c r="A541" t="str">
        <f t="shared" si="8"/>
        <v>05 TRIPHENYLP 0.18 + TESTO</v>
      </c>
      <c r="B54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t="s">
        <v>1319</v>
      </c>
      <c r="D541" t="s">
        <v>1320</v>
      </c>
      <c r="E541" t="s">
        <v>1321</v>
      </c>
      <c r="F541" t="s">
        <v>112</v>
      </c>
      <c r="G541">
        <v>3361740</v>
      </c>
    </row>
    <row r="542" spans="1:7" x14ac:dyDescent="0.25">
      <c r="A542" t="str">
        <f t="shared" si="8"/>
        <v>05 TRIPHENYLP 0.18 + TESTO</v>
      </c>
      <c r="B54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t="s">
        <v>1322</v>
      </c>
      <c r="D542" t="s">
        <v>1323</v>
      </c>
      <c r="E542" t="s">
        <v>1324</v>
      </c>
      <c r="F542" t="s">
        <v>112</v>
      </c>
      <c r="G542">
        <v>4204419</v>
      </c>
    </row>
    <row r="543" spans="1:7" x14ac:dyDescent="0.25">
      <c r="A543" t="str">
        <f t="shared" si="8"/>
        <v>05 TRIPHENYLP 0.18 + TESTO</v>
      </c>
      <c r="B54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t="s">
        <v>1325</v>
      </c>
      <c r="D543" t="s">
        <v>1326</v>
      </c>
      <c r="E543" t="s">
        <v>1327</v>
      </c>
      <c r="F543" t="s">
        <v>112</v>
      </c>
      <c r="G543">
        <v>4500467</v>
      </c>
    </row>
    <row r="544" spans="1:7" x14ac:dyDescent="0.25">
      <c r="A544" t="str">
        <f t="shared" si="8"/>
        <v>05 TRIPHENYLP 0.18 + TESTO</v>
      </c>
      <c r="B54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t="s">
        <v>1328</v>
      </c>
      <c r="D544" t="s">
        <v>1329</v>
      </c>
      <c r="E544" t="s">
        <v>1330</v>
      </c>
      <c r="F544" t="s">
        <v>112</v>
      </c>
      <c r="G544">
        <v>4401792</v>
      </c>
    </row>
    <row r="545" spans="1:10" x14ac:dyDescent="0.25">
      <c r="A545" t="str">
        <f t="shared" si="8"/>
        <v>05 TRIPHENYLP 0.18 + TESTO</v>
      </c>
      <c r="B54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t="s">
        <v>1331</v>
      </c>
      <c r="D545" t="s">
        <v>1332</v>
      </c>
      <c r="E545" t="s">
        <v>1333</v>
      </c>
      <c r="F545" t="s">
        <v>112</v>
      </c>
      <c r="G545">
        <v>4720162</v>
      </c>
    </row>
    <row r="546" spans="1:10" x14ac:dyDescent="0.25">
      <c r="A546" t="str">
        <f t="shared" si="8"/>
        <v>05 TRIPHENYLP 0.18 + TESTO</v>
      </c>
      <c r="B54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t="s">
        <v>1334</v>
      </c>
    </row>
    <row r="547" spans="1:10" x14ac:dyDescent="0.25">
      <c r="A547" t="str">
        <f t="shared" si="8"/>
        <v>05 TRIPHENYLP 0.18 + TESTO</v>
      </c>
      <c r="B54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t="s">
        <v>1335</v>
      </c>
      <c r="D547" t="s">
        <v>1336</v>
      </c>
      <c r="E547" t="s">
        <v>1337</v>
      </c>
      <c r="F547" t="s">
        <v>112</v>
      </c>
      <c r="G547">
        <v>4930448</v>
      </c>
    </row>
    <row r="548" spans="1:10" x14ac:dyDescent="0.25">
      <c r="A548" t="str">
        <f t="shared" si="8"/>
        <v>05 TRIPHENYLP 0.18 + TESTO</v>
      </c>
      <c r="B54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t="s">
        <v>1338</v>
      </c>
    </row>
    <row r="549" spans="1:10" x14ac:dyDescent="0.25">
      <c r="A549" t="str">
        <f t="shared" si="8"/>
        <v>05 TRIPHENYLP 0.18 + TESTO</v>
      </c>
      <c r="B54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t="s">
        <v>1339</v>
      </c>
      <c r="D549" t="s">
        <v>1340</v>
      </c>
      <c r="E549" t="s">
        <v>1341</v>
      </c>
      <c r="F549" t="s">
        <v>112</v>
      </c>
      <c r="G549">
        <v>2932689</v>
      </c>
    </row>
    <row r="550" spans="1:10" x14ac:dyDescent="0.25">
      <c r="A550" t="str">
        <f t="shared" si="8"/>
        <v>05 TRIPHENYLP 0.18 + TESTO</v>
      </c>
      <c r="B55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t="s">
        <v>1342</v>
      </c>
      <c r="D550" t="s">
        <v>1343</v>
      </c>
      <c r="E550" t="s">
        <v>1344</v>
      </c>
      <c r="F550" t="s">
        <v>112</v>
      </c>
      <c r="G550">
        <v>2942790</v>
      </c>
    </row>
    <row r="551" spans="1:10" x14ac:dyDescent="0.25">
      <c r="A551" t="str">
        <f t="shared" si="8"/>
        <v>05 TRIPHENYLP 0.18 + TESTO</v>
      </c>
      <c r="B55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t="s">
        <v>1345</v>
      </c>
      <c r="D551" t="s">
        <v>1346</v>
      </c>
      <c r="E551" t="s">
        <v>1347</v>
      </c>
      <c r="F551" t="s">
        <v>112</v>
      </c>
      <c r="G551">
        <v>2732332</v>
      </c>
    </row>
    <row r="552" spans="1:10" x14ac:dyDescent="0.25">
      <c r="A552" t="str">
        <f t="shared" si="8"/>
        <v>05 TRIPHENYLP 0.18 + TESTO</v>
      </c>
      <c r="B55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t="s">
        <v>1348</v>
      </c>
      <c r="D552" t="s">
        <v>1349</v>
      </c>
      <c r="E552" t="s">
        <v>1350</v>
      </c>
      <c r="F552" t="s">
        <v>112</v>
      </c>
      <c r="G552">
        <v>2984450</v>
      </c>
    </row>
    <row r="553" spans="1:10" x14ac:dyDescent="0.25">
      <c r="A553" t="str">
        <f t="shared" si="8"/>
        <v>05 TRIPHENYLP 0.18 + TESTO</v>
      </c>
      <c r="B55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t="s">
        <v>1351</v>
      </c>
      <c r="D553" t="s">
        <v>1352</v>
      </c>
      <c r="E553" t="s">
        <v>1353</v>
      </c>
      <c r="F553" t="s">
        <v>112</v>
      </c>
      <c r="G553">
        <v>2585767</v>
      </c>
    </row>
    <row r="554" spans="1:10" x14ac:dyDescent="0.25">
      <c r="A554" t="str">
        <f t="shared" si="8"/>
        <v/>
      </c>
      <c r="B5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t="s">
        <v>112</v>
      </c>
    </row>
    <row r="555" spans="1:10" x14ac:dyDescent="0.25">
      <c r="A555" t="str">
        <f t="shared" si="8"/>
        <v/>
      </c>
      <c r="B5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t="s">
        <v>234</v>
      </c>
      <c r="D555" t="s">
        <v>112</v>
      </c>
      <c r="E555" t="s">
        <v>235</v>
      </c>
      <c r="F555" t="s">
        <v>236</v>
      </c>
      <c r="G555" t="s">
        <v>237</v>
      </c>
      <c r="H555" t="s">
        <v>238</v>
      </c>
      <c r="I555" t="s">
        <v>239</v>
      </c>
      <c r="J555" t="s">
        <v>240</v>
      </c>
    </row>
    <row r="556" spans="1:10" x14ac:dyDescent="0.25">
      <c r="A556" t="str">
        <f t="shared" si="8"/>
        <v>05 TRIPHENYLP 0.18 + TESTO</v>
      </c>
      <c r="B55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t="s">
        <v>1354</v>
      </c>
      <c r="D556" t="s">
        <v>112</v>
      </c>
      <c r="E556" t="s">
        <v>1355</v>
      </c>
      <c r="F556" t="s">
        <v>1356</v>
      </c>
      <c r="G556" t="s">
        <v>1357</v>
      </c>
      <c r="H556" t="s">
        <v>1358</v>
      </c>
      <c r="I556">
        <v>24</v>
      </c>
      <c r="J556">
        <v>24</v>
      </c>
    </row>
    <row r="557" spans="1:10" x14ac:dyDescent="0.25">
      <c r="A557" t="str">
        <f t="shared" si="8"/>
        <v/>
      </c>
      <c r="B5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t="s">
        <v>112</v>
      </c>
    </row>
    <row r="558" spans="1:10" x14ac:dyDescent="0.25">
      <c r="A558" t="str">
        <f t="shared" si="8"/>
        <v/>
      </c>
      <c r="B5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t="s">
        <v>112</v>
      </c>
    </row>
    <row r="559" spans="1:10" x14ac:dyDescent="0.25">
      <c r="A559" t="str">
        <f t="shared" si="8"/>
        <v/>
      </c>
      <c r="B5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t="s">
        <v>112</v>
      </c>
    </row>
    <row r="560" spans="1:10" x14ac:dyDescent="0.25">
      <c r="A560" t="str">
        <f t="shared" si="8"/>
        <v/>
      </c>
      <c r="B5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t="s">
        <v>112</v>
      </c>
    </row>
    <row r="561" spans="1:7" x14ac:dyDescent="0.25">
      <c r="A561" t="str">
        <f t="shared" si="8"/>
        <v/>
      </c>
      <c r="B5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t="s">
        <v>112</v>
      </c>
    </row>
    <row r="562" spans="1:7" x14ac:dyDescent="0.25">
      <c r="A562" t="str">
        <f t="shared" si="8"/>
        <v/>
      </c>
      <c r="B5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t="s">
        <v>246</v>
      </c>
      <c r="D562" t="s">
        <v>110</v>
      </c>
      <c r="E562" t="s">
        <v>111</v>
      </c>
      <c r="F562" t="s">
        <v>112</v>
      </c>
      <c r="G562" t="s">
        <v>113</v>
      </c>
    </row>
    <row r="563" spans="1:7" x14ac:dyDescent="0.25">
      <c r="A563" t="str">
        <f t="shared" si="8"/>
        <v>06 TRIPHENYLP 0.26 + TESTO</v>
      </c>
      <c r="B56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t="s">
        <v>1359</v>
      </c>
      <c r="D563" t="s">
        <v>1129</v>
      </c>
      <c r="E563" t="s">
        <v>1360</v>
      </c>
      <c r="F563" t="s">
        <v>112</v>
      </c>
      <c r="G563">
        <v>3435563</v>
      </c>
    </row>
    <row r="564" spans="1:7" x14ac:dyDescent="0.25">
      <c r="A564" t="str">
        <f t="shared" si="8"/>
        <v>06 TRIPHENYLP 0.26 + TESTO</v>
      </c>
      <c r="B56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t="s">
        <v>1361</v>
      </c>
      <c r="D564" t="s">
        <v>1362</v>
      </c>
      <c r="E564" t="s">
        <v>1363</v>
      </c>
      <c r="F564" t="s">
        <v>112</v>
      </c>
      <c r="G564">
        <v>3681711</v>
      </c>
    </row>
    <row r="565" spans="1:7" x14ac:dyDescent="0.25">
      <c r="A565" t="str">
        <f t="shared" si="8"/>
        <v>06 TRIPHENYLP 0.26 + TESTO</v>
      </c>
      <c r="B56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t="s">
        <v>1364</v>
      </c>
      <c r="D565" t="s">
        <v>1365</v>
      </c>
      <c r="E565" t="s">
        <v>1366</v>
      </c>
      <c r="F565" t="s">
        <v>112</v>
      </c>
      <c r="G565">
        <v>3426132</v>
      </c>
    </row>
    <row r="566" spans="1:7" x14ac:dyDescent="0.25">
      <c r="A566" t="str">
        <f t="shared" si="8"/>
        <v>06 TRIPHENYLP 0.26 + TESTO</v>
      </c>
      <c r="B56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t="s">
        <v>1367</v>
      </c>
      <c r="D566" t="s">
        <v>1368</v>
      </c>
      <c r="E566" t="s">
        <v>1369</v>
      </c>
      <c r="F566" t="s">
        <v>112</v>
      </c>
      <c r="G566">
        <v>4725894</v>
      </c>
    </row>
    <row r="567" spans="1:7" x14ac:dyDescent="0.25">
      <c r="A567" t="str">
        <f t="shared" si="8"/>
        <v>06 TRIPHENYLP 0.26 + TESTO</v>
      </c>
      <c r="B56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t="s">
        <v>1370</v>
      </c>
      <c r="D567" t="s">
        <v>1371</v>
      </c>
      <c r="E567" t="s">
        <v>1372</v>
      </c>
      <c r="F567" t="s">
        <v>112</v>
      </c>
      <c r="G567">
        <v>5484325</v>
      </c>
    </row>
    <row r="568" spans="1:7" x14ac:dyDescent="0.25">
      <c r="A568" t="str">
        <f t="shared" si="8"/>
        <v>06 TRIPHENYLP 0.26 + TESTO</v>
      </c>
      <c r="B56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t="s">
        <v>1373</v>
      </c>
      <c r="D568" t="s">
        <v>1374</v>
      </c>
      <c r="E568" t="s">
        <v>1375</v>
      </c>
      <c r="F568" t="s">
        <v>112</v>
      </c>
      <c r="G568">
        <v>5572120</v>
      </c>
    </row>
    <row r="569" spans="1:7" x14ac:dyDescent="0.25">
      <c r="A569" t="str">
        <f t="shared" si="8"/>
        <v>06 TRIPHENYLP 0.26 + TESTO</v>
      </c>
      <c r="B56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t="s">
        <v>1376</v>
      </c>
      <c r="D569" t="s">
        <v>1377</v>
      </c>
      <c r="E569" t="s">
        <v>1378</v>
      </c>
      <c r="F569" t="s">
        <v>112</v>
      </c>
      <c r="G569">
        <v>6072095</v>
      </c>
    </row>
    <row r="570" spans="1:7" x14ac:dyDescent="0.25">
      <c r="A570" t="str">
        <f t="shared" si="8"/>
        <v>06 TRIPHENYLP 0.26 + TESTO</v>
      </c>
      <c r="B57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t="s">
        <v>1379</v>
      </c>
      <c r="D570" t="s">
        <v>615</v>
      </c>
      <c r="E570" t="s">
        <v>1380</v>
      </c>
      <c r="F570" t="s">
        <v>112</v>
      </c>
      <c r="G570">
        <v>5389975</v>
      </c>
    </row>
    <row r="571" spans="1:7" x14ac:dyDescent="0.25">
      <c r="A571" t="str">
        <f t="shared" si="8"/>
        <v>06 TRIPHENYLP 0.26 + TESTO</v>
      </c>
      <c r="B57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t="s">
        <v>1381</v>
      </c>
      <c r="D571" t="s">
        <v>1382</v>
      </c>
      <c r="E571" t="s">
        <v>1383</v>
      </c>
      <c r="F571" t="s">
        <v>112</v>
      </c>
      <c r="G571">
        <v>5573353</v>
      </c>
    </row>
    <row r="572" spans="1:7" x14ac:dyDescent="0.25">
      <c r="A572" t="str">
        <f t="shared" si="8"/>
        <v>06 TRIPHENYLP 0.26 + TESTO</v>
      </c>
      <c r="B57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t="s">
        <v>1384</v>
      </c>
      <c r="D572" t="s">
        <v>1385</v>
      </c>
      <c r="E572" t="s">
        <v>1386</v>
      </c>
      <c r="F572" t="s">
        <v>112</v>
      </c>
      <c r="G572">
        <v>3778591</v>
      </c>
    </row>
    <row r="573" spans="1:7" x14ac:dyDescent="0.25">
      <c r="A573" t="str">
        <f t="shared" si="8"/>
        <v>06 TRIPHENYLP 0.26 + TESTO</v>
      </c>
      <c r="B57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t="s">
        <v>1387</v>
      </c>
      <c r="D573" t="s">
        <v>1388</v>
      </c>
      <c r="E573" t="s">
        <v>1389</v>
      </c>
      <c r="F573" t="s">
        <v>112</v>
      </c>
      <c r="G573">
        <v>3982085</v>
      </c>
    </row>
    <row r="574" spans="1:7" x14ac:dyDescent="0.25">
      <c r="A574" t="str">
        <f t="shared" si="8"/>
        <v>06 TRIPHENYLP 0.26 + TESTO</v>
      </c>
      <c r="B57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t="s">
        <v>1390</v>
      </c>
      <c r="D574" t="s">
        <v>1391</v>
      </c>
      <c r="E574" t="s">
        <v>1392</v>
      </c>
      <c r="F574" t="s">
        <v>112</v>
      </c>
      <c r="G574">
        <v>4176408</v>
      </c>
    </row>
    <row r="575" spans="1:7" x14ac:dyDescent="0.25">
      <c r="A575" t="str">
        <f t="shared" si="8"/>
        <v>06 TRIPHENYLP 0.26 + TESTO</v>
      </c>
      <c r="B57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t="s">
        <v>1393</v>
      </c>
      <c r="D575" t="s">
        <v>1394</v>
      </c>
      <c r="E575" t="s">
        <v>1395</v>
      </c>
      <c r="F575" t="s">
        <v>112</v>
      </c>
      <c r="G575">
        <v>5317688</v>
      </c>
    </row>
    <row r="576" spans="1:7" x14ac:dyDescent="0.25">
      <c r="A576" t="str">
        <f t="shared" si="8"/>
        <v>06 TRIPHENYLP 0.26 + TESTO</v>
      </c>
      <c r="B57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t="s">
        <v>1396</v>
      </c>
    </row>
    <row r="577" spans="1:10" x14ac:dyDescent="0.25">
      <c r="A577" t="str">
        <f t="shared" si="8"/>
        <v>06 TRIPHENYLP 0.26 + TESTO</v>
      </c>
      <c r="B57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t="s">
        <v>1397</v>
      </c>
      <c r="D577" t="s">
        <v>1398</v>
      </c>
      <c r="E577" t="s">
        <v>1399</v>
      </c>
      <c r="F577" t="s">
        <v>112</v>
      </c>
      <c r="G577">
        <v>5371568</v>
      </c>
    </row>
    <row r="578" spans="1:10" x14ac:dyDescent="0.25">
      <c r="A578" t="str">
        <f t="shared" ref="A578:A641" si="9">IFERROR(LEFT(RIGHT(C578,LEN(C578)-SEARCH("@",C578)),SEARCH("/",RIGHT(C578,LEN(C578)-SEARCH("@",C578)-1))),"")</f>
        <v>06 TRIPHENYLP 0.26 + TESTO</v>
      </c>
      <c r="B57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t="s">
        <v>1400</v>
      </c>
      <c r="D578" t="s">
        <v>1401</v>
      </c>
      <c r="E578">
        <v>63</v>
      </c>
      <c r="F578" t="s">
        <v>112</v>
      </c>
      <c r="G578">
        <v>47694</v>
      </c>
    </row>
    <row r="579" spans="1:10" x14ac:dyDescent="0.25">
      <c r="A579" t="str">
        <f t="shared" si="9"/>
        <v>06 TRIPHENYLP 0.26 + TESTO</v>
      </c>
      <c r="B57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t="s">
        <v>1402</v>
      </c>
    </row>
    <row r="580" spans="1:10" x14ac:dyDescent="0.25">
      <c r="A580" t="str">
        <f t="shared" si="9"/>
        <v>06 TRIPHENYLP 0.26 + TESTO</v>
      </c>
      <c r="B58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t="s">
        <v>1403</v>
      </c>
      <c r="D580" t="s">
        <v>1404</v>
      </c>
      <c r="E580" t="s">
        <v>1405</v>
      </c>
      <c r="F580" t="s">
        <v>112</v>
      </c>
      <c r="G580">
        <v>17910</v>
      </c>
    </row>
    <row r="581" spans="1:10" x14ac:dyDescent="0.25">
      <c r="A581" t="str">
        <f t="shared" si="9"/>
        <v>06 TRIPHENYLP 0.26 + TESTO</v>
      </c>
      <c r="B58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t="s">
        <v>1406</v>
      </c>
      <c r="D581" t="s">
        <v>1407</v>
      </c>
      <c r="E581" t="s">
        <v>1408</v>
      </c>
      <c r="F581" t="s">
        <v>112</v>
      </c>
      <c r="G581">
        <v>5464014</v>
      </c>
    </row>
    <row r="582" spans="1:10" x14ac:dyDescent="0.25">
      <c r="A582" t="str">
        <f t="shared" si="9"/>
        <v>06 TRIPHENYLP 0.26 + TESTO</v>
      </c>
      <c r="B58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t="s">
        <v>1409</v>
      </c>
      <c r="D582" t="s">
        <v>1410</v>
      </c>
      <c r="E582" t="s">
        <v>1411</v>
      </c>
      <c r="F582" t="s">
        <v>112</v>
      </c>
      <c r="G582">
        <v>5622367</v>
      </c>
    </row>
    <row r="583" spans="1:10" x14ac:dyDescent="0.25">
      <c r="A583" t="str">
        <f t="shared" si="9"/>
        <v>06 TRIPHENYLP 0.26 + TESTO</v>
      </c>
      <c r="B58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t="s">
        <v>1412</v>
      </c>
      <c r="D583" t="s">
        <v>1413</v>
      </c>
      <c r="E583" t="s">
        <v>1414</v>
      </c>
      <c r="F583" t="s">
        <v>112</v>
      </c>
      <c r="G583">
        <v>5428325</v>
      </c>
    </row>
    <row r="584" spans="1:10" x14ac:dyDescent="0.25">
      <c r="A584" t="str">
        <f t="shared" si="9"/>
        <v>06 TRIPHENYLP 0.26 + TESTO</v>
      </c>
      <c r="B58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t="s">
        <v>1415</v>
      </c>
      <c r="D584" t="s">
        <v>1416</v>
      </c>
      <c r="E584" t="s">
        <v>1417</v>
      </c>
      <c r="F584" t="s">
        <v>112</v>
      </c>
      <c r="G584">
        <v>2142484</v>
      </c>
    </row>
    <row r="585" spans="1:10" x14ac:dyDescent="0.25">
      <c r="A585" t="str">
        <f t="shared" si="9"/>
        <v>06 TRIPHENYLP 0.26 + TESTO</v>
      </c>
      <c r="B58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t="s">
        <v>1418</v>
      </c>
      <c r="D585" t="s">
        <v>1419</v>
      </c>
      <c r="E585" t="s">
        <v>1420</v>
      </c>
      <c r="F585" t="s">
        <v>112</v>
      </c>
      <c r="G585">
        <v>2249596</v>
      </c>
    </row>
    <row r="586" spans="1:10" x14ac:dyDescent="0.25">
      <c r="A586" t="str">
        <f t="shared" si="9"/>
        <v>06 TRIPHENYLP 0.26 + TESTO</v>
      </c>
      <c r="B58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t="s">
        <v>1421</v>
      </c>
      <c r="D586" t="s">
        <v>1422</v>
      </c>
      <c r="E586" t="s">
        <v>1423</v>
      </c>
      <c r="F586" t="s">
        <v>112</v>
      </c>
      <c r="G586">
        <v>1917295</v>
      </c>
    </row>
    <row r="587" spans="1:10" x14ac:dyDescent="0.25">
      <c r="A587" t="str">
        <f t="shared" si="9"/>
        <v/>
      </c>
      <c r="B5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t="s">
        <v>112</v>
      </c>
    </row>
    <row r="588" spans="1:10" x14ac:dyDescent="0.25">
      <c r="A588" t="str">
        <f t="shared" si="9"/>
        <v/>
      </c>
      <c r="B5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t="s">
        <v>234</v>
      </c>
      <c r="D588" t="s">
        <v>112</v>
      </c>
      <c r="E588" t="s">
        <v>235</v>
      </c>
      <c r="F588" t="s">
        <v>236</v>
      </c>
      <c r="G588" t="s">
        <v>237</v>
      </c>
      <c r="H588" t="s">
        <v>238</v>
      </c>
      <c r="I588" t="s">
        <v>239</v>
      </c>
      <c r="J588" t="s">
        <v>240</v>
      </c>
    </row>
    <row r="589" spans="1:10" x14ac:dyDescent="0.25">
      <c r="A589" t="str">
        <f t="shared" si="9"/>
        <v>06 TRIPHENYLP 0.26 + TESTO</v>
      </c>
      <c r="B58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t="s">
        <v>1424</v>
      </c>
      <c r="D589" t="s">
        <v>112</v>
      </c>
      <c r="E589" t="s">
        <v>1425</v>
      </c>
      <c r="F589" t="s">
        <v>1426</v>
      </c>
      <c r="G589" t="s">
        <v>1427</v>
      </c>
      <c r="H589" t="s">
        <v>1428</v>
      </c>
      <c r="I589">
        <v>24</v>
      </c>
      <c r="J589">
        <v>24</v>
      </c>
    </row>
    <row r="590" spans="1:10" x14ac:dyDescent="0.25">
      <c r="A590" t="str">
        <f t="shared" si="9"/>
        <v/>
      </c>
      <c r="B5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t="s">
        <v>112</v>
      </c>
    </row>
    <row r="591" spans="1:10" x14ac:dyDescent="0.25">
      <c r="A591" t="str">
        <f t="shared" si="9"/>
        <v/>
      </c>
      <c r="B5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t="s">
        <v>112</v>
      </c>
    </row>
    <row r="592" spans="1:10" x14ac:dyDescent="0.25">
      <c r="A592" t="str">
        <f t="shared" si="9"/>
        <v/>
      </c>
      <c r="B5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t="s">
        <v>112</v>
      </c>
    </row>
    <row r="593" spans="1:7" x14ac:dyDescent="0.25">
      <c r="A593" t="str">
        <f t="shared" si="9"/>
        <v/>
      </c>
      <c r="B5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t="s">
        <v>112</v>
      </c>
    </row>
    <row r="594" spans="1:7" x14ac:dyDescent="0.25">
      <c r="A594" t="str">
        <f t="shared" si="9"/>
        <v/>
      </c>
      <c r="B5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t="s">
        <v>112</v>
      </c>
    </row>
    <row r="595" spans="1:7" x14ac:dyDescent="0.25">
      <c r="A595" t="str">
        <f t="shared" si="9"/>
        <v/>
      </c>
      <c r="B5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t="s">
        <v>246</v>
      </c>
      <c r="D595" t="s">
        <v>110</v>
      </c>
      <c r="E595" t="s">
        <v>111</v>
      </c>
      <c r="F595" t="s">
        <v>112</v>
      </c>
      <c r="G595" t="s">
        <v>113</v>
      </c>
    </row>
    <row r="596" spans="1:7" x14ac:dyDescent="0.25">
      <c r="A596" t="str">
        <f t="shared" si="9"/>
        <v>07 TRIPHENYLP 0.4 + TESTO</v>
      </c>
      <c r="B59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t="s">
        <v>1429</v>
      </c>
      <c r="D596" t="s">
        <v>1430</v>
      </c>
      <c r="E596" t="s">
        <v>1431</v>
      </c>
      <c r="F596" t="s">
        <v>112</v>
      </c>
      <c r="G596">
        <v>4989238</v>
      </c>
    </row>
    <row r="597" spans="1:7" x14ac:dyDescent="0.25">
      <c r="A597" t="str">
        <f t="shared" si="9"/>
        <v>07 TRIPHENYLP 0.4 + TESTO</v>
      </c>
      <c r="B59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t="s">
        <v>1432</v>
      </c>
      <c r="D597" t="s">
        <v>1433</v>
      </c>
      <c r="E597" t="s">
        <v>1434</v>
      </c>
      <c r="F597" t="s">
        <v>112</v>
      </c>
      <c r="G597">
        <v>5527887</v>
      </c>
    </row>
    <row r="598" spans="1:7" x14ac:dyDescent="0.25">
      <c r="A598" t="str">
        <f t="shared" si="9"/>
        <v>07 TRIPHENYLP 0.4 + TESTO</v>
      </c>
      <c r="B59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t="s">
        <v>1435</v>
      </c>
      <c r="D598" t="s">
        <v>1436</v>
      </c>
      <c r="E598" t="s">
        <v>1437</v>
      </c>
      <c r="F598" t="s">
        <v>112</v>
      </c>
      <c r="G598">
        <v>5675360</v>
      </c>
    </row>
    <row r="599" spans="1:7" x14ac:dyDescent="0.25">
      <c r="A599" t="str">
        <f t="shared" si="9"/>
        <v>07 TRIPHENYLP 0.4 + TESTO</v>
      </c>
      <c r="B59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t="s">
        <v>1438</v>
      </c>
      <c r="D599" t="s">
        <v>1439</v>
      </c>
      <c r="E599" t="s">
        <v>1440</v>
      </c>
      <c r="F599" t="s">
        <v>112</v>
      </c>
      <c r="G599">
        <v>6808117</v>
      </c>
    </row>
    <row r="600" spans="1:7" x14ac:dyDescent="0.25">
      <c r="A600" t="str">
        <f t="shared" si="9"/>
        <v>07 TRIPHENYLP 0.4 + TESTO</v>
      </c>
      <c r="B60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t="s">
        <v>1441</v>
      </c>
      <c r="D600" t="s">
        <v>1442</v>
      </c>
      <c r="E600" t="s">
        <v>1443</v>
      </c>
      <c r="F600" t="s">
        <v>112</v>
      </c>
      <c r="G600">
        <v>6247579</v>
      </c>
    </row>
    <row r="601" spans="1:7" x14ac:dyDescent="0.25">
      <c r="A601" t="str">
        <f t="shared" si="9"/>
        <v>07 TRIPHENYLP 0.4 + TESTO</v>
      </c>
      <c r="B60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t="s">
        <v>1444</v>
      </c>
      <c r="D601" t="s">
        <v>1445</v>
      </c>
      <c r="E601" t="s">
        <v>1446</v>
      </c>
      <c r="F601" t="s">
        <v>112</v>
      </c>
      <c r="G601">
        <v>5756818</v>
      </c>
    </row>
    <row r="602" spans="1:7" x14ac:dyDescent="0.25">
      <c r="A602" t="str">
        <f t="shared" si="9"/>
        <v>07 TRIPHENYLP 0.4 + TESTO</v>
      </c>
      <c r="B60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t="s">
        <v>1447</v>
      </c>
      <c r="D602" t="s">
        <v>1448</v>
      </c>
      <c r="E602" t="s">
        <v>1449</v>
      </c>
      <c r="F602" t="s">
        <v>112</v>
      </c>
      <c r="G602">
        <v>6288048</v>
      </c>
    </row>
    <row r="603" spans="1:7" x14ac:dyDescent="0.25">
      <c r="A603" t="str">
        <f t="shared" si="9"/>
        <v>07 TRIPHENYLP 0.4 + TESTO</v>
      </c>
      <c r="B60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t="s">
        <v>1450</v>
      </c>
      <c r="D603" t="s">
        <v>1451</v>
      </c>
      <c r="E603" t="s">
        <v>1452</v>
      </c>
      <c r="F603" t="s">
        <v>112</v>
      </c>
      <c r="G603">
        <v>4289662</v>
      </c>
    </row>
    <row r="604" spans="1:7" x14ac:dyDescent="0.25">
      <c r="A604" t="str">
        <f t="shared" si="9"/>
        <v>07 TRIPHENYLP 0.4 + TESTO</v>
      </c>
      <c r="B60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t="s">
        <v>1453</v>
      </c>
      <c r="D604" t="s">
        <v>1454</v>
      </c>
      <c r="E604" t="s">
        <v>1455</v>
      </c>
      <c r="F604" t="s">
        <v>112</v>
      </c>
      <c r="G604">
        <v>4898349</v>
      </c>
    </row>
    <row r="605" spans="1:7" x14ac:dyDescent="0.25">
      <c r="A605" t="str">
        <f t="shared" si="9"/>
        <v>07 TRIPHENYLP 0.4 + TESTO</v>
      </c>
      <c r="B60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t="s">
        <v>1456</v>
      </c>
      <c r="D605" t="s">
        <v>1349</v>
      </c>
      <c r="E605" t="s">
        <v>1457</v>
      </c>
      <c r="F605" t="s">
        <v>112</v>
      </c>
      <c r="G605">
        <v>3284002</v>
      </c>
    </row>
    <row r="606" spans="1:7" x14ac:dyDescent="0.25">
      <c r="A606" t="str">
        <f t="shared" si="9"/>
        <v>07 TRIPHENYLP 0.4 + TESTO</v>
      </c>
      <c r="B60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t="s">
        <v>1458</v>
      </c>
    </row>
    <row r="607" spans="1:7" x14ac:dyDescent="0.25">
      <c r="A607" t="str">
        <f t="shared" si="9"/>
        <v>07 TRIPHENYLP 0.4 + TESTO</v>
      </c>
      <c r="B60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t="s">
        <v>1459</v>
      </c>
      <c r="D607" t="s">
        <v>1460</v>
      </c>
      <c r="E607" t="s">
        <v>1461</v>
      </c>
      <c r="F607" t="s">
        <v>112</v>
      </c>
      <c r="G607">
        <v>4303981</v>
      </c>
    </row>
    <row r="608" spans="1:7" x14ac:dyDescent="0.25">
      <c r="A608" t="str">
        <f t="shared" si="9"/>
        <v>07 TRIPHENYLP 0.4 + TESTO</v>
      </c>
      <c r="B60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t="s">
        <v>1462</v>
      </c>
      <c r="D608" t="s">
        <v>1463</v>
      </c>
      <c r="E608" t="s">
        <v>1464</v>
      </c>
      <c r="F608" t="s">
        <v>112</v>
      </c>
      <c r="G608">
        <v>4557159</v>
      </c>
    </row>
    <row r="609" spans="1:10" x14ac:dyDescent="0.25">
      <c r="A609" t="str">
        <f t="shared" si="9"/>
        <v>07 TRIPHENYLP 0.4 + TESTO</v>
      </c>
      <c r="B60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t="s">
        <v>1465</v>
      </c>
      <c r="D609" t="s">
        <v>606</v>
      </c>
      <c r="E609" t="s">
        <v>1466</v>
      </c>
      <c r="F609" t="s">
        <v>112</v>
      </c>
      <c r="G609">
        <v>4812716</v>
      </c>
    </row>
    <row r="610" spans="1:10" x14ac:dyDescent="0.25">
      <c r="A610" t="str">
        <f t="shared" si="9"/>
        <v>07 TRIPHENYLP 0.4 + TESTO</v>
      </c>
      <c r="B61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t="s">
        <v>1467</v>
      </c>
      <c r="D610" t="s">
        <v>1468</v>
      </c>
      <c r="E610" t="s">
        <v>1469</v>
      </c>
      <c r="F610" t="s">
        <v>112</v>
      </c>
      <c r="G610">
        <v>4466011</v>
      </c>
    </row>
    <row r="611" spans="1:10" x14ac:dyDescent="0.25">
      <c r="A611" t="str">
        <f t="shared" si="9"/>
        <v>07 TRIPHENYLP 0.4 + TESTO</v>
      </c>
      <c r="B61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t="s">
        <v>1470</v>
      </c>
      <c r="D611" t="s">
        <v>1471</v>
      </c>
      <c r="E611" t="s">
        <v>1472</v>
      </c>
      <c r="F611" t="s">
        <v>112</v>
      </c>
      <c r="G611">
        <v>3821894</v>
      </c>
    </row>
    <row r="612" spans="1:10" x14ac:dyDescent="0.25">
      <c r="A612" t="str">
        <f t="shared" si="9"/>
        <v>07 TRIPHENYLP 0.4 + TESTO</v>
      </c>
      <c r="B61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t="s">
        <v>1473</v>
      </c>
      <c r="D612" t="s">
        <v>1474</v>
      </c>
      <c r="E612" t="s">
        <v>1475</v>
      </c>
      <c r="F612" t="s">
        <v>112</v>
      </c>
      <c r="G612">
        <v>4209329</v>
      </c>
    </row>
    <row r="613" spans="1:10" x14ac:dyDescent="0.25">
      <c r="A613" t="str">
        <f t="shared" si="9"/>
        <v>07 TRIPHENYLP 0.4 + TESTO</v>
      </c>
      <c r="B61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t="s">
        <v>1476</v>
      </c>
      <c r="D613" t="s">
        <v>1477</v>
      </c>
      <c r="E613" t="s">
        <v>1478</v>
      </c>
      <c r="F613" t="s">
        <v>112</v>
      </c>
      <c r="G613">
        <v>3866473</v>
      </c>
    </row>
    <row r="614" spans="1:10" x14ac:dyDescent="0.25">
      <c r="A614" t="str">
        <f t="shared" si="9"/>
        <v>07 TRIPHENYLP 0.4 + TESTO</v>
      </c>
      <c r="B61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t="s">
        <v>1479</v>
      </c>
      <c r="D614" t="s">
        <v>1480</v>
      </c>
      <c r="E614" t="s">
        <v>1481</v>
      </c>
      <c r="F614" t="s">
        <v>112</v>
      </c>
      <c r="G614">
        <v>4995446</v>
      </c>
    </row>
    <row r="615" spans="1:10" x14ac:dyDescent="0.25">
      <c r="A615" t="str">
        <f t="shared" si="9"/>
        <v>07 TRIPHENYLP 0.4 + TESTO</v>
      </c>
      <c r="B61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t="s">
        <v>1482</v>
      </c>
      <c r="D615" t="s">
        <v>1483</v>
      </c>
      <c r="E615" t="s">
        <v>1484</v>
      </c>
      <c r="F615" t="s">
        <v>112</v>
      </c>
      <c r="G615">
        <v>5446667</v>
      </c>
    </row>
    <row r="616" spans="1:10" x14ac:dyDescent="0.25">
      <c r="A616" t="str">
        <f t="shared" si="9"/>
        <v>07 TRIPHENYLP 0.4 + TESTO</v>
      </c>
      <c r="B61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t="s">
        <v>1485</v>
      </c>
      <c r="D616" t="s">
        <v>1486</v>
      </c>
      <c r="E616" t="s">
        <v>1487</v>
      </c>
      <c r="F616" t="s">
        <v>112</v>
      </c>
      <c r="G616">
        <v>5568141</v>
      </c>
    </row>
    <row r="617" spans="1:10" x14ac:dyDescent="0.25">
      <c r="A617" t="str">
        <f t="shared" si="9"/>
        <v>07 TRIPHENYLP 0.4 + TESTO</v>
      </c>
      <c r="B61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t="s">
        <v>1488</v>
      </c>
      <c r="D617" t="s">
        <v>1489</v>
      </c>
      <c r="E617" t="s">
        <v>1490</v>
      </c>
      <c r="F617" t="s">
        <v>112</v>
      </c>
      <c r="G617">
        <v>4043471</v>
      </c>
    </row>
    <row r="618" spans="1:10" x14ac:dyDescent="0.25">
      <c r="A618" t="str">
        <f t="shared" si="9"/>
        <v>07 TRIPHENYLP 0.4 + TESTO</v>
      </c>
      <c r="B61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t="s">
        <v>1491</v>
      </c>
      <c r="D618" t="s">
        <v>1492</v>
      </c>
      <c r="E618" t="s">
        <v>1493</v>
      </c>
      <c r="F618" t="s">
        <v>112</v>
      </c>
      <c r="G618">
        <v>4088850</v>
      </c>
    </row>
    <row r="619" spans="1:10" x14ac:dyDescent="0.25">
      <c r="A619" t="str">
        <f t="shared" si="9"/>
        <v>07 TRIPHENYLP 0.4 + TESTO</v>
      </c>
      <c r="B61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t="s">
        <v>1494</v>
      </c>
      <c r="D619" t="s">
        <v>1495</v>
      </c>
      <c r="E619" t="s">
        <v>1496</v>
      </c>
      <c r="F619" t="s">
        <v>112</v>
      </c>
      <c r="G619">
        <v>4020284</v>
      </c>
    </row>
    <row r="620" spans="1:10" x14ac:dyDescent="0.25">
      <c r="A620" t="str">
        <f t="shared" si="9"/>
        <v/>
      </c>
      <c r="B6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t="s">
        <v>112</v>
      </c>
    </row>
    <row r="621" spans="1:10" x14ac:dyDescent="0.25">
      <c r="A621" t="str">
        <f t="shared" si="9"/>
        <v/>
      </c>
      <c r="B6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t="s">
        <v>234</v>
      </c>
      <c r="D621" t="s">
        <v>112</v>
      </c>
      <c r="E621" t="s">
        <v>235</v>
      </c>
      <c r="F621" t="s">
        <v>236</v>
      </c>
      <c r="G621" t="s">
        <v>237</v>
      </c>
      <c r="H621" t="s">
        <v>238</v>
      </c>
      <c r="I621" t="s">
        <v>239</v>
      </c>
      <c r="J621" t="s">
        <v>240</v>
      </c>
    </row>
    <row r="622" spans="1:10" x14ac:dyDescent="0.25">
      <c r="A622" t="str">
        <f t="shared" si="9"/>
        <v>07 TRIPHENYLP 0.4 + TESTO</v>
      </c>
      <c r="B62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t="s">
        <v>1497</v>
      </c>
      <c r="D622" t="s">
        <v>112</v>
      </c>
      <c r="E622" t="s">
        <v>1498</v>
      </c>
      <c r="F622" t="s">
        <v>1499</v>
      </c>
      <c r="G622" t="s">
        <v>1500</v>
      </c>
      <c r="H622" t="s">
        <v>1501</v>
      </c>
      <c r="I622">
        <v>24</v>
      </c>
      <c r="J622">
        <v>24</v>
      </c>
    </row>
    <row r="623" spans="1:10" x14ac:dyDescent="0.25">
      <c r="A623" t="str">
        <f t="shared" si="9"/>
        <v/>
      </c>
      <c r="B6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t="s">
        <v>112</v>
      </c>
    </row>
    <row r="624" spans="1:10" x14ac:dyDescent="0.25">
      <c r="A624" t="str">
        <f t="shared" si="9"/>
        <v/>
      </c>
      <c r="B6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t="s">
        <v>112</v>
      </c>
    </row>
    <row r="625" spans="1:7" x14ac:dyDescent="0.25">
      <c r="A625" t="str">
        <f t="shared" si="9"/>
        <v/>
      </c>
      <c r="B6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t="s">
        <v>112</v>
      </c>
    </row>
    <row r="626" spans="1:7" x14ac:dyDescent="0.25">
      <c r="A626" t="str">
        <f t="shared" si="9"/>
        <v/>
      </c>
      <c r="B6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t="s">
        <v>112</v>
      </c>
    </row>
    <row r="627" spans="1:7" x14ac:dyDescent="0.25">
      <c r="A627" t="str">
        <f t="shared" si="9"/>
        <v/>
      </c>
      <c r="B6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t="s">
        <v>112</v>
      </c>
    </row>
    <row r="628" spans="1:7" x14ac:dyDescent="0.25">
      <c r="A628" t="str">
        <f t="shared" si="9"/>
        <v/>
      </c>
      <c r="B6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t="s">
        <v>246</v>
      </c>
      <c r="D628" t="s">
        <v>110</v>
      </c>
      <c r="E628" t="s">
        <v>111</v>
      </c>
      <c r="F628" t="s">
        <v>112</v>
      </c>
      <c r="G628" t="s">
        <v>113</v>
      </c>
    </row>
    <row r="629" spans="1:7" x14ac:dyDescent="0.25">
      <c r="A629" t="str">
        <f t="shared" si="9"/>
        <v>08 TRIPHENYLP 0.59 + TESTO</v>
      </c>
      <c r="B62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t="s">
        <v>1502</v>
      </c>
      <c r="D629" t="s">
        <v>1503</v>
      </c>
      <c r="E629" t="s">
        <v>1504</v>
      </c>
      <c r="F629" t="s">
        <v>112</v>
      </c>
      <c r="G629">
        <v>3678380</v>
      </c>
    </row>
    <row r="630" spans="1:7" x14ac:dyDescent="0.25">
      <c r="A630" t="str">
        <f t="shared" si="9"/>
        <v>08 TRIPHENYLP 0.59 + TESTO</v>
      </c>
      <c r="B63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t="s">
        <v>1505</v>
      </c>
      <c r="D630" t="s">
        <v>1506</v>
      </c>
      <c r="E630" t="s">
        <v>1507</v>
      </c>
      <c r="F630" t="s">
        <v>112</v>
      </c>
      <c r="G630">
        <v>3975791</v>
      </c>
    </row>
    <row r="631" spans="1:7" x14ac:dyDescent="0.25">
      <c r="A631" t="str">
        <f t="shared" si="9"/>
        <v>08 TRIPHENYLP 0.59 + TESTO</v>
      </c>
      <c r="B63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t="s">
        <v>1508</v>
      </c>
      <c r="D631" t="s">
        <v>1509</v>
      </c>
      <c r="E631" t="s">
        <v>1510</v>
      </c>
      <c r="F631" t="s">
        <v>112</v>
      </c>
      <c r="G631">
        <v>3782268</v>
      </c>
    </row>
    <row r="632" spans="1:7" x14ac:dyDescent="0.25">
      <c r="A632" t="str">
        <f t="shared" si="9"/>
        <v>08 TRIPHENYLP 0.59 + TESTO</v>
      </c>
      <c r="B63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t="s">
        <v>1511</v>
      </c>
      <c r="D632" t="s">
        <v>1512</v>
      </c>
      <c r="E632" t="s">
        <v>1513</v>
      </c>
      <c r="F632" t="s">
        <v>112</v>
      </c>
      <c r="G632">
        <v>6927861</v>
      </c>
    </row>
    <row r="633" spans="1:7" x14ac:dyDescent="0.25">
      <c r="A633" t="str">
        <f t="shared" si="9"/>
        <v>08 TRIPHENYLP 0.59 + TESTO</v>
      </c>
      <c r="B63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t="s">
        <v>1514</v>
      </c>
      <c r="D633" t="s">
        <v>1515</v>
      </c>
      <c r="E633" t="s">
        <v>1516</v>
      </c>
      <c r="F633" t="s">
        <v>112</v>
      </c>
      <c r="G633">
        <v>6836453</v>
      </c>
    </row>
    <row r="634" spans="1:7" x14ac:dyDescent="0.25">
      <c r="A634" t="str">
        <f t="shared" si="9"/>
        <v>08 TRIPHENYLP 0.59 + TESTO</v>
      </c>
      <c r="B63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t="s">
        <v>1517</v>
      </c>
      <c r="D634" t="s">
        <v>1518</v>
      </c>
      <c r="E634" t="s">
        <v>1519</v>
      </c>
      <c r="F634" t="s">
        <v>112</v>
      </c>
      <c r="G634">
        <v>5945842</v>
      </c>
    </row>
    <row r="635" spans="1:7" x14ac:dyDescent="0.25">
      <c r="A635" t="str">
        <f t="shared" si="9"/>
        <v>08 TRIPHENYLP 0.59 + TESTO</v>
      </c>
      <c r="B63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t="s">
        <v>1520</v>
      </c>
      <c r="D635" t="s">
        <v>1521</v>
      </c>
      <c r="E635" t="s">
        <v>1522</v>
      </c>
      <c r="F635" t="s">
        <v>112</v>
      </c>
      <c r="G635">
        <v>4459219</v>
      </c>
    </row>
    <row r="636" spans="1:7" x14ac:dyDescent="0.25">
      <c r="A636" t="str">
        <f t="shared" si="9"/>
        <v>08 TRIPHENYLP 0.59 + TESTO</v>
      </c>
      <c r="B63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t="s">
        <v>1523</v>
      </c>
      <c r="D636" t="s">
        <v>1524</v>
      </c>
      <c r="E636" t="s">
        <v>1525</v>
      </c>
      <c r="F636" t="s">
        <v>112</v>
      </c>
      <c r="G636">
        <v>4835904</v>
      </c>
    </row>
    <row r="637" spans="1:7" x14ac:dyDescent="0.25">
      <c r="A637" t="str">
        <f t="shared" si="9"/>
        <v>08 TRIPHENYLP 0.59 + TESTO</v>
      </c>
      <c r="B63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t="s">
        <v>1526</v>
      </c>
      <c r="D637" t="s">
        <v>1527</v>
      </c>
      <c r="E637" t="s">
        <v>1528</v>
      </c>
      <c r="F637" t="s">
        <v>112</v>
      </c>
      <c r="G637">
        <v>4500446</v>
      </c>
    </row>
    <row r="638" spans="1:7" x14ac:dyDescent="0.25">
      <c r="A638" t="str">
        <f t="shared" si="9"/>
        <v>08 TRIPHENYLP 0.59 + TESTO</v>
      </c>
      <c r="B63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t="s">
        <v>1529</v>
      </c>
      <c r="D638" t="s">
        <v>1530</v>
      </c>
      <c r="E638" t="s">
        <v>1531</v>
      </c>
      <c r="F638" t="s">
        <v>112</v>
      </c>
      <c r="G638">
        <v>3403529</v>
      </c>
    </row>
    <row r="639" spans="1:7" x14ac:dyDescent="0.25">
      <c r="A639" t="str">
        <f t="shared" si="9"/>
        <v>08 TRIPHENYLP 0.59 + TESTO</v>
      </c>
      <c r="B63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t="s">
        <v>1532</v>
      </c>
      <c r="D639" t="s">
        <v>1533</v>
      </c>
      <c r="E639" t="s">
        <v>1534</v>
      </c>
      <c r="F639" t="s">
        <v>112</v>
      </c>
      <c r="G639">
        <v>3610332</v>
      </c>
    </row>
    <row r="640" spans="1:7" x14ac:dyDescent="0.25">
      <c r="A640" t="str">
        <f t="shared" si="9"/>
        <v>08 TRIPHENYLP 0.59 + TESTO</v>
      </c>
      <c r="B64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t="s">
        <v>1535</v>
      </c>
      <c r="D640" t="s">
        <v>1536</v>
      </c>
      <c r="E640" t="s">
        <v>1537</v>
      </c>
      <c r="F640" t="s">
        <v>112</v>
      </c>
      <c r="G640">
        <v>3586215</v>
      </c>
    </row>
    <row r="641" spans="1:10" x14ac:dyDescent="0.25">
      <c r="A641" t="str">
        <f t="shared" si="9"/>
        <v>08 TRIPHENYLP 0.59 + TESTO</v>
      </c>
      <c r="B64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t="s">
        <v>1538</v>
      </c>
      <c r="D641" t="s">
        <v>1539</v>
      </c>
      <c r="E641" t="s">
        <v>1540</v>
      </c>
      <c r="F641" t="s">
        <v>112</v>
      </c>
      <c r="G641">
        <v>3323044</v>
      </c>
    </row>
    <row r="642" spans="1:10" x14ac:dyDescent="0.25">
      <c r="A642" t="str">
        <f t="shared" ref="A642:A705" si="10">IFERROR(LEFT(RIGHT(C642,LEN(C642)-SEARCH("@",C642)),SEARCH("/",RIGHT(C642,LEN(C642)-SEARCH("@",C642)-1))),"")</f>
        <v>08 TRIPHENYLP 0.59 + TESTO</v>
      </c>
      <c r="B64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t="s">
        <v>1541</v>
      </c>
      <c r="D642" t="s">
        <v>1542</v>
      </c>
      <c r="E642" t="s">
        <v>1543</v>
      </c>
      <c r="F642" t="s">
        <v>112</v>
      </c>
      <c r="G642">
        <v>4316202</v>
      </c>
    </row>
    <row r="643" spans="1:10" x14ac:dyDescent="0.25">
      <c r="A643" t="str">
        <f t="shared" si="10"/>
        <v>08 TRIPHENYLP 0.59 + TESTO</v>
      </c>
      <c r="B64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t="s">
        <v>1544</v>
      </c>
      <c r="D643" t="s">
        <v>1545</v>
      </c>
      <c r="E643" t="s">
        <v>1546</v>
      </c>
      <c r="F643" t="s">
        <v>112</v>
      </c>
      <c r="G643">
        <v>3926367</v>
      </c>
    </row>
    <row r="644" spans="1:10" x14ac:dyDescent="0.25">
      <c r="A644" t="str">
        <f t="shared" si="10"/>
        <v>08 TRIPHENYLP 0.59 + TESTO</v>
      </c>
      <c r="B64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t="s">
        <v>1547</v>
      </c>
      <c r="D644" t="s">
        <v>1548</v>
      </c>
      <c r="E644" t="s">
        <v>1549</v>
      </c>
      <c r="F644" t="s">
        <v>112</v>
      </c>
      <c r="G644">
        <v>2421640</v>
      </c>
    </row>
    <row r="645" spans="1:10" x14ac:dyDescent="0.25">
      <c r="A645" t="str">
        <f t="shared" si="10"/>
        <v>08 TRIPHENYLP 0.59 + TESTO</v>
      </c>
      <c r="B64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t="s">
        <v>1550</v>
      </c>
      <c r="D645" t="s">
        <v>1551</v>
      </c>
      <c r="E645" t="s">
        <v>1552</v>
      </c>
      <c r="F645" t="s">
        <v>112</v>
      </c>
      <c r="G645">
        <v>2770768</v>
      </c>
    </row>
    <row r="646" spans="1:10" x14ac:dyDescent="0.25">
      <c r="A646" t="str">
        <f t="shared" si="10"/>
        <v>08 TRIPHENYLP 0.59 + TESTO</v>
      </c>
      <c r="B64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t="s">
        <v>1553</v>
      </c>
      <c r="D646" t="s">
        <v>1554</v>
      </c>
      <c r="E646" t="s">
        <v>1555</v>
      </c>
      <c r="F646" t="s">
        <v>112</v>
      </c>
      <c r="G646">
        <v>3186841</v>
      </c>
    </row>
    <row r="647" spans="1:10" x14ac:dyDescent="0.25">
      <c r="A647" t="str">
        <f t="shared" si="10"/>
        <v>08 TRIPHENYLP 0.59 + TESTO</v>
      </c>
      <c r="B64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t="s">
        <v>1556</v>
      </c>
      <c r="D647" t="s">
        <v>1557</v>
      </c>
      <c r="E647" t="s">
        <v>1558</v>
      </c>
      <c r="F647" t="s">
        <v>112</v>
      </c>
      <c r="G647">
        <v>4948985</v>
      </c>
    </row>
    <row r="648" spans="1:10" x14ac:dyDescent="0.25">
      <c r="A648" t="str">
        <f t="shared" si="10"/>
        <v>08 TRIPHENYLP 0.59 + TESTO</v>
      </c>
      <c r="B64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t="s">
        <v>1559</v>
      </c>
    </row>
    <row r="649" spans="1:10" x14ac:dyDescent="0.25">
      <c r="A649" t="str">
        <f t="shared" si="10"/>
        <v>08 TRIPHENYLP 0.59 + TESTO</v>
      </c>
      <c r="B64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t="s">
        <v>1560</v>
      </c>
    </row>
    <row r="650" spans="1:10" x14ac:dyDescent="0.25">
      <c r="A650" t="str">
        <f t="shared" si="10"/>
        <v>08 TRIPHENYLP 0.59 + TESTO</v>
      </c>
      <c r="B65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t="s">
        <v>1561</v>
      </c>
      <c r="D650" t="s">
        <v>1562</v>
      </c>
      <c r="E650" t="s">
        <v>1563</v>
      </c>
      <c r="F650" t="s">
        <v>112</v>
      </c>
      <c r="G650">
        <v>5332353</v>
      </c>
    </row>
    <row r="651" spans="1:10" x14ac:dyDescent="0.25">
      <c r="A651" t="str">
        <f t="shared" si="10"/>
        <v>08 TRIPHENYLP 0.59 + TESTO</v>
      </c>
      <c r="B65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t="s">
        <v>1564</v>
      </c>
      <c r="D651" t="s">
        <v>1565</v>
      </c>
      <c r="E651" t="s">
        <v>1566</v>
      </c>
      <c r="F651" t="s">
        <v>112</v>
      </c>
      <c r="G651">
        <v>4922315</v>
      </c>
    </row>
    <row r="652" spans="1:10" x14ac:dyDescent="0.25">
      <c r="A652" t="str">
        <f t="shared" si="10"/>
        <v>08 TRIPHENYLP 0.59 + TESTO</v>
      </c>
      <c r="B65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t="s">
        <v>1567</v>
      </c>
      <c r="D652" t="s">
        <v>1568</v>
      </c>
      <c r="E652" t="s">
        <v>1569</v>
      </c>
      <c r="F652" t="s">
        <v>112</v>
      </c>
      <c r="G652">
        <v>5563101</v>
      </c>
    </row>
    <row r="653" spans="1:10" x14ac:dyDescent="0.25">
      <c r="A653" t="str">
        <f t="shared" si="10"/>
        <v/>
      </c>
      <c r="B6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t="s">
        <v>112</v>
      </c>
    </row>
    <row r="654" spans="1:10" x14ac:dyDescent="0.25">
      <c r="A654" t="str">
        <f t="shared" si="10"/>
        <v/>
      </c>
      <c r="B6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t="s">
        <v>234</v>
      </c>
      <c r="D654" t="s">
        <v>112</v>
      </c>
      <c r="E654" t="s">
        <v>235</v>
      </c>
      <c r="F654" t="s">
        <v>236</v>
      </c>
      <c r="G654" t="s">
        <v>237</v>
      </c>
      <c r="H654" t="s">
        <v>238</v>
      </c>
      <c r="I654" t="s">
        <v>239</v>
      </c>
      <c r="J654" t="s">
        <v>240</v>
      </c>
    </row>
    <row r="655" spans="1:10" x14ac:dyDescent="0.25">
      <c r="A655" t="str">
        <f t="shared" si="10"/>
        <v>08 TRIPHENYLP 0.59 + TESTO</v>
      </c>
      <c r="B65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t="s">
        <v>1570</v>
      </c>
      <c r="D655" t="s">
        <v>112</v>
      </c>
      <c r="E655" t="s">
        <v>1571</v>
      </c>
      <c r="F655" t="s">
        <v>1572</v>
      </c>
      <c r="G655" t="s">
        <v>1573</v>
      </c>
      <c r="H655" t="s">
        <v>1574</v>
      </c>
      <c r="I655">
        <v>24</v>
      </c>
      <c r="J655">
        <v>24</v>
      </c>
    </row>
    <row r="656" spans="1:10" x14ac:dyDescent="0.25">
      <c r="A656" t="str">
        <f t="shared" si="10"/>
        <v/>
      </c>
      <c r="B6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t="s">
        <v>112</v>
      </c>
    </row>
    <row r="657" spans="1:7" x14ac:dyDescent="0.25">
      <c r="A657" t="str">
        <f t="shared" si="10"/>
        <v/>
      </c>
      <c r="B6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t="s">
        <v>112</v>
      </c>
    </row>
    <row r="658" spans="1:7" x14ac:dyDescent="0.25">
      <c r="A658" t="str">
        <f t="shared" si="10"/>
        <v/>
      </c>
      <c r="B6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t="s">
        <v>112</v>
      </c>
    </row>
    <row r="659" spans="1:7" x14ac:dyDescent="0.25">
      <c r="A659" t="str">
        <f t="shared" si="10"/>
        <v/>
      </c>
      <c r="B6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t="s">
        <v>112</v>
      </c>
    </row>
    <row r="660" spans="1:7" x14ac:dyDescent="0.25">
      <c r="A660" t="str">
        <f t="shared" si="10"/>
        <v/>
      </c>
      <c r="B6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t="s">
        <v>112</v>
      </c>
    </row>
    <row r="661" spans="1:7" x14ac:dyDescent="0.25">
      <c r="A661" t="str">
        <f t="shared" si="10"/>
        <v/>
      </c>
      <c r="B6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t="s">
        <v>246</v>
      </c>
      <c r="D661" t="s">
        <v>110</v>
      </c>
      <c r="E661" t="s">
        <v>111</v>
      </c>
      <c r="F661" t="s">
        <v>112</v>
      </c>
      <c r="G661" t="s">
        <v>113</v>
      </c>
    </row>
    <row r="662" spans="1:7" x14ac:dyDescent="0.25">
      <c r="A662" t="str">
        <f t="shared" si="10"/>
        <v>09 TRIPHENYLP 0.89 + TESTO</v>
      </c>
      <c r="B66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t="s">
        <v>1575</v>
      </c>
    </row>
    <row r="663" spans="1:7" x14ac:dyDescent="0.25">
      <c r="A663" t="str">
        <f t="shared" si="10"/>
        <v>09 TRIPHENYLP 0.89 + TESTO</v>
      </c>
      <c r="B66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t="s">
        <v>1576</v>
      </c>
      <c r="D663" t="s">
        <v>1577</v>
      </c>
      <c r="E663" t="s">
        <v>1578</v>
      </c>
      <c r="F663" t="s">
        <v>112</v>
      </c>
      <c r="G663">
        <v>6304530</v>
      </c>
    </row>
    <row r="664" spans="1:7" x14ac:dyDescent="0.25">
      <c r="A664" t="str">
        <f t="shared" si="10"/>
        <v>09 TRIPHENYLP 0.89 + TESTO</v>
      </c>
      <c r="B66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t="s">
        <v>1579</v>
      </c>
      <c r="D664" t="s">
        <v>1580</v>
      </c>
      <c r="E664" t="s">
        <v>1581</v>
      </c>
      <c r="F664" t="s">
        <v>112</v>
      </c>
      <c r="G664">
        <v>5380350</v>
      </c>
    </row>
    <row r="665" spans="1:7" x14ac:dyDescent="0.25">
      <c r="A665" t="str">
        <f t="shared" si="10"/>
        <v>09 TRIPHENYLP 0.89 + TESTO</v>
      </c>
      <c r="B66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t="s">
        <v>1582</v>
      </c>
    </row>
    <row r="666" spans="1:7" x14ac:dyDescent="0.25">
      <c r="A666" t="str">
        <f t="shared" si="10"/>
        <v>09 TRIPHENYLP 0.89 + TESTO</v>
      </c>
      <c r="B66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t="s">
        <v>1583</v>
      </c>
    </row>
    <row r="667" spans="1:7" x14ac:dyDescent="0.25">
      <c r="A667" t="str">
        <f t="shared" si="10"/>
        <v>09 TRIPHENYLP 0.89 + TESTO</v>
      </c>
      <c r="B66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t="s">
        <v>1584</v>
      </c>
      <c r="D667" t="s">
        <v>1585</v>
      </c>
      <c r="E667" t="s">
        <v>1586</v>
      </c>
      <c r="F667" t="s">
        <v>112</v>
      </c>
      <c r="G667">
        <v>3379541</v>
      </c>
    </row>
    <row r="668" spans="1:7" x14ac:dyDescent="0.25">
      <c r="A668" t="str">
        <f t="shared" si="10"/>
        <v>09 TRIPHENYLP 0.89 + TESTO</v>
      </c>
      <c r="B66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t="s">
        <v>1587</v>
      </c>
      <c r="D668" t="s">
        <v>1588</v>
      </c>
      <c r="E668" t="s">
        <v>1589</v>
      </c>
      <c r="F668" t="s">
        <v>112</v>
      </c>
      <c r="G668">
        <v>6599259</v>
      </c>
    </row>
    <row r="669" spans="1:7" x14ac:dyDescent="0.25">
      <c r="A669" t="str">
        <f t="shared" si="10"/>
        <v>09 TRIPHENYLP 0.89 + TESTO</v>
      </c>
      <c r="B66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t="s">
        <v>1590</v>
      </c>
      <c r="D669" t="s">
        <v>1591</v>
      </c>
      <c r="E669" t="s">
        <v>1592</v>
      </c>
      <c r="F669" t="s">
        <v>112</v>
      </c>
      <c r="G669">
        <v>7281834</v>
      </c>
    </row>
    <row r="670" spans="1:7" x14ac:dyDescent="0.25">
      <c r="A670" t="str">
        <f t="shared" si="10"/>
        <v>09 TRIPHENYLP 0.89 + TESTO</v>
      </c>
      <c r="B67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t="s">
        <v>1593</v>
      </c>
      <c r="D670" t="s">
        <v>1594</v>
      </c>
      <c r="E670" t="s">
        <v>1595</v>
      </c>
      <c r="F670" t="s">
        <v>112</v>
      </c>
      <c r="G670">
        <v>6459054</v>
      </c>
    </row>
    <row r="671" spans="1:7" x14ac:dyDescent="0.25">
      <c r="A671" t="str">
        <f t="shared" si="10"/>
        <v>09 TRIPHENYLP 0.89 + TESTO</v>
      </c>
      <c r="B67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t="s">
        <v>1596</v>
      </c>
      <c r="D671" t="s">
        <v>1597</v>
      </c>
      <c r="E671" t="s">
        <v>1598</v>
      </c>
      <c r="F671" t="s">
        <v>112</v>
      </c>
      <c r="G671">
        <v>6210354</v>
      </c>
    </row>
    <row r="672" spans="1:7" x14ac:dyDescent="0.25">
      <c r="A672" t="str">
        <f t="shared" si="10"/>
        <v>09 TRIPHENYLP 0.89 + TESTO</v>
      </c>
      <c r="B67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t="s">
        <v>1599</v>
      </c>
    </row>
    <row r="673" spans="1:10" x14ac:dyDescent="0.25">
      <c r="A673" t="str">
        <f t="shared" si="10"/>
        <v>09 TRIPHENYLP 0.89 + TESTO</v>
      </c>
      <c r="B67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t="s">
        <v>1600</v>
      </c>
      <c r="D673" t="s">
        <v>1601</v>
      </c>
      <c r="E673" t="s">
        <v>1602</v>
      </c>
      <c r="F673" t="s">
        <v>112</v>
      </c>
      <c r="G673">
        <v>6576764</v>
      </c>
    </row>
    <row r="674" spans="1:10" x14ac:dyDescent="0.25">
      <c r="A674" t="str">
        <f t="shared" si="10"/>
        <v>09 TRIPHENYLP 0.89 + TESTO</v>
      </c>
      <c r="B67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t="s">
        <v>1603</v>
      </c>
      <c r="D674" t="s">
        <v>1604</v>
      </c>
      <c r="E674" t="s">
        <v>1605</v>
      </c>
      <c r="F674" t="s">
        <v>112</v>
      </c>
      <c r="G674">
        <v>3364617</v>
      </c>
    </row>
    <row r="675" spans="1:10" x14ac:dyDescent="0.25">
      <c r="A675" t="str">
        <f t="shared" si="10"/>
        <v>09 TRIPHENYLP 0.89 + TESTO</v>
      </c>
      <c r="B67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t="s">
        <v>1606</v>
      </c>
      <c r="D675" t="s">
        <v>1607</v>
      </c>
      <c r="E675" t="s">
        <v>1608</v>
      </c>
      <c r="F675" t="s">
        <v>112</v>
      </c>
      <c r="G675">
        <v>3754906</v>
      </c>
    </row>
    <row r="676" spans="1:10" x14ac:dyDescent="0.25">
      <c r="A676" t="str">
        <f t="shared" si="10"/>
        <v>09 TRIPHENYLP 0.89 + TESTO</v>
      </c>
      <c r="B676"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t="s">
        <v>1609</v>
      </c>
      <c r="D676" t="s">
        <v>1610</v>
      </c>
      <c r="E676" t="s">
        <v>1611</v>
      </c>
      <c r="F676" t="s">
        <v>112</v>
      </c>
      <c r="G676">
        <v>3308054</v>
      </c>
    </row>
    <row r="677" spans="1:10" x14ac:dyDescent="0.25">
      <c r="A677" t="str">
        <f t="shared" si="10"/>
        <v>09 TRIPHENYLP 0.89 + TESTO</v>
      </c>
      <c r="B677"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t="s">
        <v>1612</v>
      </c>
      <c r="D677" t="s">
        <v>1613</v>
      </c>
      <c r="E677" t="s">
        <v>1614</v>
      </c>
      <c r="F677" t="s">
        <v>112</v>
      </c>
      <c r="G677">
        <v>4861038</v>
      </c>
    </row>
    <row r="678" spans="1:10" x14ac:dyDescent="0.25">
      <c r="A678" t="str">
        <f t="shared" si="10"/>
        <v>09 TRIPHENYLP 0.89 + TESTO</v>
      </c>
      <c r="B67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t="s">
        <v>1615</v>
      </c>
      <c r="D678" t="s">
        <v>1616</v>
      </c>
      <c r="E678" t="s">
        <v>1617</v>
      </c>
      <c r="F678" t="s">
        <v>112</v>
      </c>
      <c r="G678">
        <v>6323067</v>
      </c>
    </row>
    <row r="679" spans="1:10" x14ac:dyDescent="0.25">
      <c r="A679" t="str">
        <f t="shared" si="10"/>
        <v>09 TRIPHENYLP 0.89 + TESTO</v>
      </c>
      <c r="B679"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t="s">
        <v>1618</v>
      </c>
      <c r="D679" t="s">
        <v>1619</v>
      </c>
      <c r="E679" t="s">
        <v>1620</v>
      </c>
      <c r="F679" t="s">
        <v>112</v>
      </c>
      <c r="G679">
        <v>5488780</v>
      </c>
    </row>
    <row r="680" spans="1:10" x14ac:dyDescent="0.25">
      <c r="A680" t="str">
        <f t="shared" si="10"/>
        <v>09 TRIPHENYLP 0.89 + TESTO</v>
      </c>
      <c r="B680"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t="s">
        <v>1621</v>
      </c>
      <c r="D680" t="s">
        <v>1622</v>
      </c>
      <c r="E680" t="s">
        <v>1623</v>
      </c>
      <c r="F680" t="s">
        <v>112</v>
      </c>
      <c r="G680">
        <v>4951515</v>
      </c>
    </row>
    <row r="681" spans="1:10" x14ac:dyDescent="0.25">
      <c r="A681" t="str">
        <f t="shared" si="10"/>
        <v>09 TRIPHENYLP 0.89 + TESTO</v>
      </c>
      <c r="B68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t="s">
        <v>1624</v>
      </c>
      <c r="D681" t="s">
        <v>1625</v>
      </c>
      <c r="E681" t="s">
        <v>1626</v>
      </c>
      <c r="F681" t="s">
        <v>112</v>
      </c>
      <c r="G681">
        <v>4520475</v>
      </c>
    </row>
    <row r="682" spans="1:10" x14ac:dyDescent="0.25">
      <c r="A682" t="str">
        <f t="shared" si="10"/>
        <v>09 TRIPHENYLP 0.89 + TESTO</v>
      </c>
      <c r="B682"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t="s">
        <v>1627</v>
      </c>
      <c r="D682" t="s">
        <v>1628</v>
      </c>
      <c r="E682" t="s">
        <v>1629</v>
      </c>
      <c r="F682" t="s">
        <v>112</v>
      </c>
      <c r="G682">
        <v>4718713</v>
      </c>
    </row>
    <row r="683" spans="1:10" x14ac:dyDescent="0.25">
      <c r="A683" t="str">
        <f t="shared" si="10"/>
        <v>09 TRIPHENYLP 0.89 + TESTO</v>
      </c>
      <c r="B68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t="s">
        <v>1630</v>
      </c>
    </row>
    <row r="684" spans="1:10" x14ac:dyDescent="0.25">
      <c r="A684" t="str">
        <f t="shared" si="10"/>
        <v>09 TRIPHENYLP 0.89 + TESTO</v>
      </c>
      <c r="B684"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t="s">
        <v>1631</v>
      </c>
      <c r="D684" t="s">
        <v>1632</v>
      </c>
      <c r="E684" t="s">
        <v>1633</v>
      </c>
      <c r="F684" t="s">
        <v>112</v>
      </c>
      <c r="G684">
        <v>4809775</v>
      </c>
    </row>
    <row r="685" spans="1:10" x14ac:dyDescent="0.25">
      <c r="A685" t="str">
        <f t="shared" si="10"/>
        <v>09 TRIPHENYLP 0.89 + TESTO</v>
      </c>
      <c r="B685"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t="s">
        <v>1634</v>
      </c>
      <c r="D685" t="s">
        <v>1635</v>
      </c>
      <c r="E685" t="s">
        <v>1636</v>
      </c>
      <c r="F685" t="s">
        <v>112</v>
      </c>
      <c r="G685">
        <v>4538925</v>
      </c>
    </row>
    <row r="686" spans="1:10" x14ac:dyDescent="0.25">
      <c r="A686" t="str">
        <f t="shared" si="10"/>
        <v/>
      </c>
      <c r="B6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t="s">
        <v>112</v>
      </c>
    </row>
    <row r="687" spans="1:10" x14ac:dyDescent="0.25">
      <c r="A687" t="str">
        <f t="shared" si="10"/>
        <v/>
      </c>
      <c r="B6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t="s">
        <v>234</v>
      </c>
      <c r="D687" t="s">
        <v>112</v>
      </c>
      <c r="E687" t="s">
        <v>235</v>
      </c>
      <c r="F687" t="s">
        <v>236</v>
      </c>
      <c r="G687" t="s">
        <v>237</v>
      </c>
      <c r="H687" t="s">
        <v>238</v>
      </c>
      <c r="I687" t="s">
        <v>239</v>
      </c>
      <c r="J687" t="s">
        <v>240</v>
      </c>
    </row>
    <row r="688" spans="1:10" x14ac:dyDescent="0.25">
      <c r="A688" t="str">
        <f t="shared" si="10"/>
        <v>09 TRIPHENYLP 0.89 + TESTO</v>
      </c>
      <c r="B688"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t="s">
        <v>1637</v>
      </c>
      <c r="D688" t="s">
        <v>112</v>
      </c>
      <c r="E688" t="s">
        <v>1638</v>
      </c>
      <c r="F688" t="s">
        <v>1639</v>
      </c>
      <c r="G688" t="s">
        <v>1640</v>
      </c>
      <c r="H688" t="s">
        <v>1641</v>
      </c>
      <c r="I688">
        <v>24</v>
      </c>
      <c r="J688">
        <v>24</v>
      </c>
    </row>
    <row r="689" spans="1:3" x14ac:dyDescent="0.25">
      <c r="A689" t="str">
        <f t="shared" si="10"/>
        <v/>
      </c>
      <c r="B6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t="s">
        <v>112</v>
      </c>
    </row>
    <row r="690" spans="1:3" x14ac:dyDescent="0.25">
      <c r="A690" t="str">
        <f t="shared" si="10"/>
        <v/>
      </c>
      <c r="B6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t="s">
        <v>112</v>
      </c>
    </row>
    <row r="691" spans="1:3" x14ac:dyDescent="0.25">
      <c r="A691" t="str">
        <f t="shared" si="10"/>
        <v/>
      </c>
      <c r="B6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t="s">
        <v>112</v>
      </c>
    </row>
    <row r="692" spans="1:3" x14ac:dyDescent="0.25">
      <c r="A692" t="str">
        <f t="shared" si="10"/>
        <v/>
      </c>
      <c r="B6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t="str">
        <f t="shared" si="10"/>
        <v/>
      </c>
      <c r="B6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t="str">
        <f t="shared" si="10"/>
        <v/>
      </c>
      <c r="B6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t="str">
        <f t="shared" si="10"/>
        <v/>
      </c>
      <c r="B6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t="str">
        <f t="shared" si="10"/>
        <v/>
      </c>
      <c r="B6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t="str">
        <f t="shared" si="10"/>
        <v/>
      </c>
      <c r="B6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t="str">
        <f t="shared" si="10"/>
        <v/>
      </c>
      <c r="B6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t="str">
        <f t="shared" si="10"/>
        <v/>
      </c>
      <c r="B6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t="str">
        <f t="shared" si="10"/>
        <v/>
      </c>
      <c r="B7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t="str">
        <f t="shared" si="10"/>
        <v/>
      </c>
      <c r="B7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t="str">
        <f t="shared" si="10"/>
        <v/>
      </c>
      <c r="B7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t="str">
        <f t="shared" si="10"/>
        <v/>
      </c>
      <c r="B7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t="str">
        <f t="shared" si="10"/>
        <v/>
      </c>
      <c r="B7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t="str">
        <f t="shared" si="10"/>
        <v/>
      </c>
      <c r="B7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t="str">
        <f t="shared" ref="A706:A769" si="11">IFERROR(LEFT(RIGHT(C706,LEN(C706)-SEARCH("@",C706)),SEARCH("/",RIGHT(C706,LEN(C706)-SEARCH("@",C706)-1))),"")</f>
        <v/>
      </c>
      <c r="B7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t="str">
        <f t="shared" si="11"/>
        <v/>
      </c>
      <c r="B7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t="str">
        <f t="shared" si="11"/>
        <v/>
      </c>
      <c r="B7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t="str">
        <f t="shared" si="11"/>
        <v/>
      </c>
      <c r="B7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t="str">
        <f t="shared" si="11"/>
        <v/>
      </c>
      <c r="B7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t="str">
        <f t="shared" si="11"/>
        <v/>
      </c>
      <c r="B7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t="str">
        <f t="shared" si="11"/>
        <v/>
      </c>
      <c r="B7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t="str">
        <f t="shared" si="11"/>
        <v/>
      </c>
      <c r="B7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t="str">
        <f t="shared" si="11"/>
        <v/>
      </c>
      <c r="B7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t="str">
        <f t="shared" si="11"/>
        <v/>
      </c>
      <c r="B7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t="str">
        <f t="shared" si="11"/>
        <v/>
      </c>
      <c r="B7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t="str">
        <f t="shared" si="11"/>
        <v/>
      </c>
      <c r="B7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t="str">
        <f t="shared" si="11"/>
        <v/>
      </c>
      <c r="B7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t="str">
        <f t="shared" si="11"/>
        <v/>
      </c>
      <c r="B7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t="str">
        <f t="shared" si="11"/>
        <v/>
      </c>
      <c r="B7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t="str">
        <f t="shared" si="11"/>
        <v/>
      </c>
      <c r="B7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t="str">
        <f t="shared" si="11"/>
        <v/>
      </c>
      <c r="B7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t="str">
        <f t="shared" si="11"/>
        <v/>
      </c>
      <c r="B7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t="str">
        <f t="shared" si="11"/>
        <v/>
      </c>
      <c r="B7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t="str">
        <f t="shared" si="11"/>
        <v/>
      </c>
      <c r="B7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t="str">
        <f t="shared" si="11"/>
        <v/>
      </c>
      <c r="B7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t="str">
        <f t="shared" si="11"/>
        <v/>
      </c>
      <c r="B7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t="str">
        <f t="shared" si="11"/>
        <v/>
      </c>
      <c r="B7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t="str">
        <f t="shared" si="11"/>
        <v/>
      </c>
      <c r="B7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t="str">
        <f t="shared" si="11"/>
        <v/>
      </c>
      <c r="B7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t="str">
        <f t="shared" si="11"/>
        <v/>
      </c>
      <c r="B7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t="str">
        <f t="shared" si="11"/>
        <v/>
      </c>
      <c r="B7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t="str">
        <f t="shared" si="11"/>
        <v/>
      </c>
      <c r="B7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t="str">
        <f t="shared" si="11"/>
        <v/>
      </c>
      <c r="B7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t="str">
        <f t="shared" si="11"/>
        <v/>
      </c>
      <c r="B7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t="str">
        <f t="shared" si="11"/>
        <v/>
      </c>
      <c r="B7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t="str">
        <f t="shared" si="11"/>
        <v/>
      </c>
      <c r="B7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t="str">
        <f t="shared" si="11"/>
        <v/>
      </c>
      <c r="B7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t="str">
        <f t="shared" si="11"/>
        <v/>
      </c>
      <c r="B7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t="str">
        <f t="shared" si="11"/>
        <v/>
      </c>
      <c r="B7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t="str">
        <f t="shared" si="11"/>
        <v/>
      </c>
      <c r="B7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t="str">
        <f t="shared" si="11"/>
        <v/>
      </c>
      <c r="B7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t="str">
        <f t="shared" si="11"/>
        <v/>
      </c>
      <c r="B7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t="str">
        <f t="shared" si="11"/>
        <v/>
      </c>
      <c r="B7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t="str">
        <f t="shared" si="11"/>
        <v/>
      </c>
      <c r="B7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t="str">
        <f t="shared" si="11"/>
        <v/>
      </c>
      <c r="B7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t="str">
        <f t="shared" si="11"/>
        <v/>
      </c>
      <c r="B7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t="str">
        <f t="shared" si="11"/>
        <v/>
      </c>
      <c r="B7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t="str">
        <f t="shared" si="11"/>
        <v/>
      </c>
      <c r="B7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t="str">
        <f t="shared" si="11"/>
        <v/>
      </c>
      <c r="B7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t="str">
        <f t="shared" si="11"/>
        <v/>
      </c>
      <c r="B7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t="str">
        <f t="shared" si="11"/>
        <v/>
      </c>
      <c r="B7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t="str">
        <f t="shared" si="11"/>
        <v/>
      </c>
      <c r="B7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t="str">
        <f t="shared" si="11"/>
        <v/>
      </c>
      <c r="B7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t="str">
        <f t="shared" si="11"/>
        <v/>
      </c>
      <c r="B7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t="str">
        <f t="shared" si="11"/>
        <v/>
      </c>
      <c r="B7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t="str">
        <f t="shared" si="11"/>
        <v/>
      </c>
      <c r="B7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t="str">
        <f t="shared" si="11"/>
        <v/>
      </c>
      <c r="B7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t="str">
        <f t="shared" si="11"/>
        <v/>
      </c>
      <c r="B7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t="str">
        <f t="shared" si="11"/>
        <v/>
      </c>
      <c r="B7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t="str">
        <f t="shared" si="11"/>
        <v/>
      </c>
      <c r="B7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t="str">
        <f t="shared" si="11"/>
        <v/>
      </c>
      <c r="B7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t="str">
        <f t="shared" si="11"/>
        <v/>
      </c>
      <c r="B7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t="str">
        <f t="shared" si="11"/>
        <v/>
      </c>
      <c r="B7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t="str">
        <f t="shared" si="11"/>
        <v/>
      </c>
      <c r="B7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t="str">
        <f t="shared" si="11"/>
        <v/>
      </c>
      <c r="B7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t="str">
        <f t="shared" si="11"/>
        <v/>
      </c>
      <c r="B7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t="str">
        <f t="shared" si="11"/>
        <v/>
      </c>
      <c r="B7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t="str">
        <f t="shared" si="11"/>
        <v/>
      </c>
      <c r="B7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t="str">
        <f t="shared" ref="A770:A833" si="12">IFERROR(LEFT(RIGHT(C770,LEN(C770)-SEARCH("@",C770)),SEARCH("/",RIGHT(C770,LEN(C770)-SEARCH("@",C770)-1))),"")</f>
        <v/>
      </c>
      <c r="B7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t="str">
        <f t="shared" si="12"/>
        <v/>
      </c>
      <c r="B7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t="str">
        <f t="shared" si="12"/>
        <v/>
      </c>
      <c r="B7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t="str">
        <f t="shared" si="12"/>
        <v/>
      </c>
      <c r="B7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t="str">
        <f t="shared" si="12"/>
        <v/>
      </c>
      <c r="B7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t="str">
        <f t="shared" si="12"/>
        <v/>
      </c>
      <c r="B7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t="str">
        <f t="shared" si="12"/>
        <v/>
      </c>
      <c r="B7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t="str">
        <f t="shared" si="12"/>
        <v/>
      </c>
      <c r="B7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t="str">
        <f t="shared" si="12"/>
        <v/>
      </c>
      <c r="B7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t="str">
        <f t="shared" si="12"/>
        <v/>
      </c>
      <c r="B7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t="str">
        <f t="shared" si="12"/>
        <v/>
      </c>
      <c r="B7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t="str">
        <f t="shared" si="12"/>
        <v/>
      </c>
      <c r="B7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t="str">
        <f t="shared" si="12"/>
        <v/>
      </c>
      <c r="B7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t="str">
        <f t="shared" si="12"/>
        <v/>
      </c>
      <c r="B7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t="str">
        <f t="shared" si="12"/>
        <v/>
      </c>
      <c r="B7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t="str">
        <f t="shared" si="12"/>
        <v/>
      </c>
      <c r="B7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t="str">
        <f t="shared" si="12"/>
        <v/>
      </c>
      <c r="B7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t="str">
        <f t="shared" si="12"/>
        <v/>
      </c>
      <c r="B7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t="str">
        <f t="shared" si="12"/>
        <v/>
      </c>
      <c r="B7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t="str">
        <f t="shared" si="12"/>
        <v/>
      </c>
      <c r="B7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t="str">
        <f t="shared" si="12"/>
        <v/>
      </c>
      <c r="B7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t="str">
        <f t="shared" si="12"/>
        <v/>
      </c>
      <c r="B7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t="str">
        <f t="shared" si="12"/>
        <v/>
      </c>
      <c r="B7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t="str">
        <f t="shared" si="12"/>
        <v/>
      </c>
      <c r="B7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t="str">
        <f t="shared" si="12"/>
        <v/>
      </c>
      <c r="B7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t="str">
        <f t="shared" si="12"/>
        <v/>
      </c>
      <c r="B7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t="str">
        <f t="shared" si="12"/>
        <v/>
      </c>
      <c r="B7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t="str">
        <f t="shared" si="12"/>
        <v/>
      </c>
      <c r="B7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t="str">
        <f t="shared" si="12"/>
        <v/>
      </c>
      <c r="B7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t="str">
        <f t="shared" si="12"/>
        <v/>
      </c>
      <c r="B7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t="str">
        <f t="shared" si="12"/>
        <v/>
      </c>
      <c r="B8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t="str">
        <f t="shared" si="12"/>
        <v/>
      </c>
      <c r="B8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t="str">
        <f t="shared" si="12"/>
        <v/>
      </c>
      <c r="B8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t="str">
        <f t="shared" si="12"/>
        <v/>
      </c>
      <c r="B8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t="str">
        <f t="shared" si="12"/>
        <v/>
      </c>
      <c r="B8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t="str">
        <f t="shared" si="12"/>
        <v/>
      </c>
      <c r="B8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t="str">
        <f t="shared" si="12"/>
        <v/>
      </c>
      <c r="B8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t="str">
        <f t="shared" si="12"/>
        <v/>
      </c>
      <c r="B8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t="str">
        <f t="shared" si="12"/>
        <v/>
      </c>
      <c r="B8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t="str">
        <f t="shared" si="12"/>
        <v/>
      </c>
      <c r="B8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t="str">
        <f t="shared" si="12"/>
        <v/>
      </c>
      <c r="B8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t="str">
        <f t="shared" si="12"/>
        <v/>
      </c>
      <c r="B8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t="str">
        <f t="shared" si="12"/>
        <v/>
      </c>
      <c r="B8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t="str">
        <f t="shared" si="12"/>
        <v/>
      </c>
      <c r="B8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t="str">
        <f t="shared" si="12"/>
        <v/>
      </c>
      <c r="B8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t="str">
        <f t="shared" si="12"/>
        <v/>
      </c>
      <c r="B8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t="str">
        <f t="shared" si="12"/>
        <v/>
      </c>
      <c r="B8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t="str">
        <f t="shared" si="12"/>
        <v/>
      </c>
      <c r="B8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t="str">
        <f t="shared" si="12"/>
        <v/>
      </c>
      <c r="B8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t="str">
        <f t="shared" si="12"/>
        <v/>
      </c>
      <c r="B8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t="str">
        <f t="shared" si="12"/>
        <v/>
      </c>
      <c r="B8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t="str">
        <f t="shared" si="12"/>
        <v/>
      </c>
      <c r="B8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t="str">
        <f t="shared" si="12"/>
        <v/>
      </c>
      <c r="B8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t="str">
        <f t="shared" si="12"/>
        <v/>
      </c>
      <c r="B8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t="str">
        <f t="shared" si="12"/>
        <v/>
      </c>
      <c r="B8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t="str">
        <f t="shared" si="12"/>
        <v/>
      </c>
      <c r="B8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t="str">
        <f t="shared" si="12"/>
        <v/>
      </c>
      <c r="B8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t="str">
        <f t="shared" si="12"/>
        <v/>
      </c>
      <c r="B8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t="str">
        <f t="shared" si="12"/>
        <v/>
      </c>
      <c r="B8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t="str">
        <f t="shared" si="12"/>
        <v/>
      </c>
      <c r="B8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t="str">
        <f t="shared" si="12"/>
        <v/>
      </c>
      <c r="B8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t="str">
        <f t="shared" si="12"/>
        <v/>
      </c>
      <c r="B8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t="str">
        <f t="shared" si="12"/>
        <v/>
      </c>
      <c r="B8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t="str">
        <f t="shared" si="12"/>
        <v/>
      </c>
      <c r="B8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t="str">
        <f t="shared" ref="A834:A897" si="13">IFERROR(LEFT(RIGHT(C834,LEN(C834)-SEARCH("@",C834)),SEARCH("/",RIGHT(C834,LEN(C834)-SEARCH("@",C834)-1))),"")</f>
        <v/>
      </c>
      <c r="B8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t="str">
        <f t="shared" si="13"/>
        <v/>
      </c>
      <c r="B8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t="str">
        <f t="shared" si="13"/>
        <v/>
      </c>
      <c r="B8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t="str">
        <f t="shared" si="13"/>
        <v/>
      </c>
      <c r="B8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t="str">
        <f t="shared" si="13"/>
        <v/>
      </c>
      <c r="B8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t="str">
        <f t="shared" si="13"/>
        <v/>
      </c>
      <c r="B8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t="str">
        <f t="shared" si="13"/>
        <v/>
      </c>
      <c r="B8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t="str">
        <f t="shared" si="13"/>
        <v/>
      </c>
      <c r="B8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t="str">
        <f t="shared" si="13"/>
        <v/>
      </c>
      <c r="B8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t="str">
        <f t="shared" si="13"/>
        <v/>
      </c>
      <c r="B8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t="str">
        <f t="shared" si="13"/>
        <v/>
      </c>
      <c r="B8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t="str">
        <f t="shared" si="13"/>
        <v/>
      </c>
      <c r="B8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t="str">
        <f t="shared" si="13"/>
        <v/>
      </c>
      <c r="B8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t="str">
        <f t="shared" si="13"/>
        <v/>
      </c>
      <c r="B8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t="str">
        <f t="shared" si="13"/>
        <v/>
      </c>
      <c r="B8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t="str">
        <f t="shared" si="13"/>
        <v/>
      </c>
      <c r="B8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t="str">
        <f t="shared" si="13"/>
        <v/>
      </c>
      <c r="B8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t="str">
        <f t="shared" si="13"/>
        <v/>
      </c>
      <c r="B8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t="str">
        <f t="shared" si="13"/>
        <v/>
      </c>
      <c r="B8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t="str">
        <f t="shared" si="13"/>
        <v/>
      </c>
      <c r="B8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t="str">
        <f t="shared" si="13"/>
        <v/>
      </c>
      <c r="B8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t="str">
        <f t="shared" si="13"/>
        <v/>
      </c>
      <c r="B8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t="str">
        <f t="shared" si="13"/>
        <v/>
      </c>
      <c r="B8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t="str">
        <f t="shared" si="13"/>
        <v/>
      </c>
      <c r="B8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t="str">
        <f t="shared" si="13"/>
        <v/>
      </c>
      <c r="B8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t="str">
        <f t="shared" si="13"/>
        <v/>
      </c>
      <c r="B8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t="str">
        <f t="shared" si="13"/>
        <v/>
      </c>
      <c r="B8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t="str">
        <f t="shared" si="13"/>
        <v/>
      </c>
      <c r="B8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t="str">
        <f t="shared" si="13"/>
        <v/>
      </c>
      <c r="B8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t="str">
        <f t="shared" si="13"/>
        <v/>
      </c>
      <c r="B8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t="str">
        <f t="shared" si="13"/>
        <v/>
      </c>
      <c r="B8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t="str">
        <f t="shared" si="13"/>
        <v/>
      </c>
      <c r="B8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t="str">
        <f t="shared" si="13"/>
        <v/>
      </c>
      <c r="B8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t="str">
        <f t="shared" si="13"/>
        <v/>
      </c>
      <c r="B8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t="str">
        <f t="shared" si="13"/>
        <v/>
      </c>
      <c r="B8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t="str">
        <f t="shared" si="13"/>
        <v/>
      </c>
      <c r="B8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t="str">
        <f t="shared" si="13"/>
        <v/>
      </c>
      <c r="B8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t="str">
        <f t="shared" si="13"/>
        <v/>
      </c>
      <c r="B8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t="str">
        <f t="shared" si="13"/>
        <v/>
      </c>
      <c r="B8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t="str">
        <f t="shared" si="13"/>
        <v/>
      </c>
      <c r="B8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t="str">
        <f t="shared" si="13"/>
        <v/>
      </c>
      <c r="B8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t="str">
        <f t="shared" si="13"/>
        <v/>
      </c>
      <c r="B8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t="str">
        <f t="shared" si="13"/>
        <v/>
      </c>
      <c r="B8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t="str">
        <f t="shared" si="13"/>
        <v/>
      </c>
      <c r="B8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t="str">
        <f t="shared" si="13"/>
        <v/>
      </c>
      <c r="B8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t="str">
        <f t="shared" si="13"/>
        <v/>
      </c>
      <c r="B8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t="str">
        <f t="shared" si="13"/>
        <v/>
      </c>
      <c r="B8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t="str">
        <f t="shared" si="13"/>
        <v/>
      </c>
      <c r="B8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t="str">
        <f t="shared" si="13"/>
        <v/>
      </c>
      <c r="B8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t="str">
        <f t="shared" si="13"/>
        <v/>
      </c>
      <c r="B8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t="str">
        <f t="shared" si="13"/>
        <v/>
      </c>
      <c r="B8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t="str">
        <f t="shared" si="13"/>
        <v/>
      </c>
      <c r="B8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t="str">
        <f t="shared" si="13"/>
        <v/>
      </c>
      <c r="B8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t="str">
        <f t="shared" si="13"/>
        <v/>
      </c>
      <c r="B8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t="str">
        <f t="shared" si="13"/>
        <v/>
      </c>
      <c r="B8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t="str">
        <f t="shared" si="13"/>
        <v/>
      </c>
      <c r="B8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t="str">
        <f t="shared" si="13"/>
        <v/>
      </c>
      <c r="B8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t="str">
        <f t="shared" si="13"/>
        <v/>
      </c>
      <c r="B8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t="str">
        <f t="shared" si="13"/>
        <v/>
      </c>
      <c r="B8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t="str">
        <f t="shared" si="13"/>
        <v/>
      </c>
      <c r="B8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t="str">
        <f t="shared" si="13"/>
        <v/>
      </c>
      <c r="B8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t="str">
        <f t="shared" si="13"/>
        <v/>
      </c>
      <c r="B8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t="str">
        <f t="shared" si="13"/>
        <v/>
      </c>
      <c r="B8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t="str">
        <f t="shared" si="13"/>
        <v/>
      </c>
      <c r="B8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t="str">
        <f t="shared" ref="A898:A961" si="14">IFERROR(LEFT(RIGHT(C898,LEN(C898)-SEARCH("@",C898)),SEARCH("/",RIGHT(C898,LEN(C898)-SEARCH("@",C898)-1))),"")</f>
        <v/>
      </c>
      <c r="B8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t="str">
        <f t="shared" si="14"/>
        <v/>
      </c>
      <c r="B8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t="str">
        <f t="shared" si="14"/>
        <v/>
      </c>
      <c r="B9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t="str">
        <f t="shared" si="14"/>
        <v/>
      </c>
      <c r="B9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t="str">
        <f t="shared" si="14"/>
        <v/>
      </c>
      <c r="B9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t="str">
        <f t="shared" si="14"/>
        <v/>
      </c>
      <c r="B9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t="str">
        <f t="shared" si="14"/>
        <v/>
      </c>
      <c r="B9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t="str">
        <f t="shared" si="14"/>
        <v/>
      </c>
      <c r="B9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t="str">
        <f t="shared" si="14"/>
        <v/>
      </c>
      <c r="B9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t="str">
        <f t="shared" si="14"/>
        <v/>
      </c>
      <c r="B9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t="str">
        <f t="shared" si="14"/>
        <v/>
      </c>
      <c r="B9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t="str">
        <f t="shared" si="14"/>
        <v/>
      </c>
      <c r="B9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t="str">
        <f t="shared" si="14"/>
        <v/>
      </c>
      <c r="B9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t="str">
        <f t="shared" si="14"/>
        <v/>
      </c>
      <c r="B9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t="str">
        <f t="shared" si="14"/>
        <v/>
      </c>
      <c r="B9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t="str">
        <f t="shared" si="14"/>
        <v/>
      </c>
      <c r="B9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t="str">
        <f t="shared" si="14"/>
        <v/>
      </c>
      <c r="B9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t="str">
        <f t="shared" si="14"/>
        <v/>
      </c>
      <c r="B9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t="str">
        <f t="shared" si="14"/>
        <v/>
      </c>
      <c r="B9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t="str">
        <f t="shared" si="14"/>
        <v/>
      </c>
      <c r="B9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t="str">
        <f t="shared" si="14"/>
        <v/>
      </c>
      <c r="B9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t="str">
        <f t="shared" si="14"/>
        <v/>
      </c>
      <c r="B9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t="str">
        <f t="shared" si="14"/>
        <v/>
      </c>
      <c r="B9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t="str">
        <f t="shared" si="14"/>
        <v/>
      </c>
      <c r="B9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t="str">
        <f t="shared" si="14"/>
        <v/>
      </c>
      <c r="B9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t="str">
        <f t="shared" si="14"/>
        <v/>
      </c>
      <c r="B9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t="str">
        <f t="shared" si="14"/>
        <v/>
      </c>
      <c r="B9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t="str">
        <f t="shared" si="14"/>
        <v/>
      </c>
      <c r="B9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t="str">
        <f t="shared" si="14"/>
        <v/>
      </c>
      <c r="B9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t="str">
        <f t="shared" si="14"/>
        <v/>
      </c>
      <c r="B9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t="str">
        <f t="shared" si="14"/>
        <v/>
      </c>
      <c r="B9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t="str">
        <f t="shared" si="14"/>
        <v/>
      </c>
      <c r="B9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t="str">
        <f t="shared" si="14"/>
        <v/>
      </c>
      <c r="B9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t="str">
        <f t="shared" si="14"/>
        <v/>
      </c>
      <c r="B9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t="str">
        <f t="shared" si="14"/>
        <v/>
      </c>
      <c r="B9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t="str">
        <f t="shared" si="14"/>
        <v/>
      </c>
      <c r="B9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t="str">
        <f t="shared" si="14"/>
        <v/>
      </c>
      <c r="B9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t="str">
        <f t="shared" si="14"/>
        <v/>
      </c>
      <c r="B9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t="str">
        <f t="shared" si="14"/>
        <v/>
      </c>
      <c r="B9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t="str">
        <f t="shared" si="14"/>
        <v/>
      </c>
      <c r="B9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t="str">
        <f t="shared" si="14"/>
        <v/>
      </c>
      <c r="B9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t="str">
        <f t="shared" si="14"/>
        <v/>
      </c>
      <c r="B9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t="str">
        <f t="shared" si="14"/>
        <v/>
      </c>
      <c r="B9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t="str">
        <f t="shared" si="14"/>
        <v/>
      </c>
      <c r="B9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t="str">
        <f t="shared" si="14"/>
        <v/>
      </c>
      <c r="B9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t="str">
        <f t="shared" si="14"/>
        <v/>
      </c>
      <c r="B9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t="str">
        <f t="shared" si="14"/>
        <v/>
      </c>
      <c r="B9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t="str">
        <f t="shared" si="14"/>
        <v/>
      </c>
      <c r="B9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t="str">
        <f t="shared" si="14"/>
        <v/>
      </c>
      <c r="B9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t="str">
        <f t="shared" si="14"/>
        <v/>
      </c>
      <c r="B9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t="str">
        <f t="shared" si="14"/>
        <v/>
      </c>
      <c r="B9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t="str">
        <f t="shared" si="14"/>
        <v/>
      </c>
      <c r="B9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t="str">
        <f t="shared" si="14"/>
        <v/>
      </c>
      <c r="B9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t="str">
        <f t="shared" si="14"/>
        <v/>
      </c>
      <c r="B9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t="str">
        <f t="shared" si="14"/>
        <v/>
      </c>
      <c r="B9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t="str">
        <f t="shared" si="14"/>
        <v/>
      </c>
      <c r="B9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t="str">
        <f t="shared" si="14"/>
        <v/>
      </c>
      <c r="B9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t="str">
        <f t="shared" si="14"/>
        <v/>
      </c>
      <c r="B9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t="str">
        <f t="shared" si="14"/>
        <v/>
      </c>
      <c r="B9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t="str">
        <f t="shared" si="14"/>
        <v/>
      </c>
      <c r="B9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t="str">
        <f t="shared" si="14"/>
        <v/>
      </c>
      <c r="B9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t="str">
        <f t="shared" si="14"/>
        <v/>
      </c>
      <c r="B9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t="str">
        <f t="shared" si="14"/>
        <v/>
      </c>
      <c r="B9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t="str">
        <f t="shared" si="14"/>
        <v/>
      </c>
      <c r="B9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t="str">
        <f t="shared" ref="A962:A1025" si="15">IFERROR(LEFT(RIGHT(C962,LEN(C962)-SEARCH("@",C962)),SEARCH("/",RIGHT(C962,LEN(C962)-SEARCH("@",C962)-1))),"")</f>
        <v/>
      </c>
      <c r="B9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t="str">
        <f t="shared" si="15"/>
        <v/>
      </c>
      <c r="B9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t="str">
        <f t="shared" si="15"/>
        <v/>
      </c>
      <c r="B9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t="str">
        <f t="shared" si="15"/>
        <v/>
      </c>
      <c r="B9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t="str">
        <f t="shared" si="15"/>
        <v/>
      </c>
      <c r="B9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t="str">
        <f t="shared" si="15"/>
        <v/>
      </c>
      <c r="B9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t="str">
        <f t="shared" si="15"/>
        <v/>
      </c>
      <c r="B9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t="str">
        <f t="shared" si="15"/>
        <v/>
      </c>
      <c r="B9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t="str">
        <f t="shared" si="15"/>
        <v/>
      </c>
      <c r="B9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t="str">
        <f t="shared" si="15"/>
        <v/>
      </c>
      <c r="B9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t="str">
        <f t="shared" si="15"/>
        <v/>
      </c>
      <c r="B9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t="str">
        <f t="shared" si="15"/>
        <v/>
      </c>
      <c r="B9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t="str">
        <f t="shared" si="15"/>
        <v/>
      </c>
      <c r="B9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t="str">
        <f t="shared" si="15"/>
        <v/>
      </c>
      <c r="B9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t="str">
        <f t="shared" si="15"/>
        <v/>
      </c>
      <c r="B9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t="str">
        <f t="shared" si="15"/>
        <v/>
      </c>
      <c r="B9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t="str">
        <f t="shared" si="15"/>
        <v/>
      </c>
      <c r="B9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t="str">
        <f t="shared" si="15"/>
        <v/>
      </c>
      <c r="B9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t="str">
        <f t="shared" si="15"/>
        <v/>
      </c>
      <c r="B9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t="str">
        <f t="shared" si="15"/>
        <v/>
      </c>
      <c r="B9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t="str">
        <f t="shared" si="15"/>
        <v/>
      </c>
      <c r="B9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t="str">
        <f t="shared" si="15"/>
        <v/>
      </c>
      <c r="B9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t="str">
        <f t="shared" si="15"/>
        <v/>
      </c>
      <c r="B9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t="str">
        <f t="shared" si="15"/>
        <v/>
      </c>
      <c r="B9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t="str">
        <f t="shared" si="15"/>
        <v/>
      </c>
      <c r="B9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t="str">
        <f t="shared" si="15"/>
        <v/>
      </c>
      <c r="B9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t="str">
        <f t="shared" si="15"/>
        <v/>
      </c>
      <c r="B9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t="str">
        <f t="shared" si="15"/>
        <v/>
      </c>
      <c r="B9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t="str">
        <f t="shared" si="15"/>
        <v/>
      </c>
      <c r="B9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t="str">
        <f t="shared" si="15"/>
        <v/>
      </c>
      <c r="B9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t="str">
        <f t="shared" si="15"/>
        <v/>
      </c>
      <c r="B9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t="str">
        <f t="shared" si="15"/>
        <v/>
      </c>
      <c r="B9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t="str">
        <f t="shared" si="15"/>
        <v/>
      </c>
      <c r="B9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t="str">
        <f t="shared" si="15"/>
        <v/>
      </c>
      <c r="B9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t="str">
        <f t="shared" si="15"/>
        <v/>
      </c>
      <c r="B9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t="str">
        <f t="shared" si="15"/>
        <v/>
      </c>
      <c r="B9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t="str">
        <f t="shared" si="15"/>
        <v/>
      </c>
      <c r="B9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t="str">
        <f t="shared" si="15"/>
        <v/>
      </c>
      <c r="B9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t="str">
        <f t="shared" si="15"/>
        <v/>
      </c>
      <c r="B10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t="str">
        <f t="shared" si="15"/>
        <v/>
      </c>
      <c r="B10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t="str">
        <f t="shared" si="15"/>
        <v/>
      </c>
      <c r="B10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t="str">
        <f t="shared" si="15"/>
        <v/>
      </c>
      <c r="B10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t="str">
        <f t="shared" si="15"/>
        <v/>
      </c>
      <c r="B10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t="str">
        <f t="shared" si="15"/>
        <v/>
      </c>
      <c r="B10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t="str">
        <f t="shared" si="15"/>
        <v/>
      </c>
      <c r="B10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t="str">
        <f t="shared" si="15"/>
        <v/>
      </c>
      <c r="B10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t="str">
        <f t="shared" si="15"/>
        <v/>
      </c>
      <c r="B10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t="str">
        <f t="shared" si="15"/>
        <v/>
      </c>
      <c r="B10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t="str">
        <f t="shared" si="15"/>
        <v/>
      </c>
      <c r="B10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t="str">
        <f t="shared" si="15"/>
        <v/>
      </c>
      <c r="B10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t="str">
        <f t="shared" si="15"/>
        <v/>
      </c>
      <c r="B10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t="str">
        <f t="shared" si="15"/>
        <v/>
      </c>
      <c r="B10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t="str">
        <f t="shared" si="15"/>
        <v/>
      </c>
      <c r="B10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t="str">
        <f t="shared" si="15"/>
        <v/>
      </c>
      <c r="B10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t="str">
        <f t="shared" si="15"/>
        <v/>
      </c>
      <c r="B10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t="str">
        <f t="shared" si="15"/>
        <v/>
      </c>
      <c r="B10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t="str">
        <f t="shared" si="15"/>
        <v/>
      </c>
      <c r="B10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t="str">
        <f t="shared" si="15"/>
        <v/>
      </c>
      <c r="B10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t="str">
        <f t="shared" si="15"/>
        <v/>
      </c>
      <c r="B10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t="str">
        <f t="shared" si="15"/>
        <v/>
      </c>
      <c r="B10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t="str">
        <f t="shared" si="15"/>
        <v/>
      </c>
      <c r="B10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t="str">
        <f t="shared" si="15"/>
        <v/>
      </c>
      <c r="B10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t="str">
        <f t="shared" si="15"/>
        <v/>
      </c>
      <c r="B10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t="str">
        <f t="shared" si="15"/>
        <v/>
      </c>
      <c r="B10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t="str">
        <f t="shared" ref="A1026:A1089" si="16">IFERROR(LEFT(RIGHT(C1026,LEN(C1026)-SEARCH("@",C1026)),SEARCH("/",RIGHT(C1026,LEN(C1026)-SEARCH("@",C1026)-1))),"")</f>
        <v/>
      </c>
      <c r="B10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t="str">
        <f t="shared" si="16"/>
        <v/>
      </c>
      <c r="B10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t="str">
        <f t="shared" si="16"/>
        <v/>
      </c>
      <c r="B10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t="str">
        <f t="shared" si="16"/>
        <v/>
      </c>
      <c r="B10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t="str">
        <f t="shared" si="16"/>
        <v/>
      </c>
      <c r="B10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t="str">
        <f t="shared" si="16"/>
        <v/>
      </c>
      <c r="B10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t="str">
        <f t="shared" si="16"/>
        <v/>
      </c>
      <c r="B10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t="str">
        <f t="shared" si="16"/>
        <v/>
      </c>
      <c r="B10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t="str">
        <f t="shared" si="16"/>
        <v/>
      </c>
      <c r="B10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t="str">
        <f t="shared" si="16"/>
        <v/>
      </c>
      <c r="B10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t="str">
        <f t="shared" si="16"/>
        <v/>
      </c>
      <c r="B10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t="str">
        <f t="shared" si="16"/>
        <v/>
      </c>
      <c r="B10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t="str">
        <f t="shared" si="16"/>
        <v/>
      </c>
      <c r="B10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t="str">
        <f t="shared" si="16"/>
        <v/>
      </c>
      <c r="B10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t="str">
        <f t="shared" si="16"/>
        <v/>
      </c>
      <c r="B10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t="str">
        <f t="shared" si="16"/>
        <v/>
      </c>
      <c r="B10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t="str">
        <f t="shared" si="16"/>
        <v/>
      </c>
      <c r="B10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t="str">
        <f t="shared" si="16"/>
        <v/>
      </c>
      <c r="B10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t="str">
        <f t="shared" si="16"/>
        <v/>
      </c>
      <c r="B10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t="str">
        <f t="shared" si="16"/>
        <v/>
      </c>
      <c r="B10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t="str">
        <f t="shared" si="16"/>
        <v/>
      </c>
      <c r="B10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t="str">
        <f t="shared" si="16"/>
        <v/>
      </c>
      <c r="B10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t="str">
        <f t="shared" si="16"/>
        <v/>
      </c>
      <c r="B10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t="str">
        <f t="shared" si="16"/>
        <v/>
      </c>
      <c r="B10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t="str">
        <f t="shared" si="16"/>
        <v/>
      </c>
      <c r="B10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t="str">
        <f t="shared" si="16"/>
        <v/>
      </c>
      <c r="B10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t="str">
        <f t="shared" si="16"/>
        <v/>
      </c>
      <c r="B10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t="str">
        <f t="shared" si="16"/>
        <v/>
      </c>
      <c r="B10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t="str">
        <f t="shared" si="16"/>
        <v/>
      </c>
      <c r="B10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t="str">
        <f t="shared" si="16"/>
        <v/>
      </c>
      <c r="B10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t="str">
        <f t="shared" si="16"/>
        <v/>
      </c>
      <c r="B10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t="str">
        <f t="shared" si="16"/>
        <v/>
      </c>
      <c r="B10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t="str">
        <f t="shared" si="16"/>
        <v/>
      </c>
      <c r="B10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t="str">
        <f t="shared" si="16"/>
        <v/>
      </c>
      <c r="B10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t="str">
        <f t="shared" si="16"/>
        <v/>
      </c>
      <c r="B10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t="str">
        <f t="shared" si="16"/>
        <v/>
      </c>
      <c r="B10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t="str">
        <f t="shared" si="16"/>
        <v/>
      </c>
      <c r="B10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t="str">
        <f t="shared" si="16"/>
        <v/>
      </c>
      <c r="B10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t="str">
        <f t="shared" si="16"/>
        <v/>
      </c>
      <c r="B10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t="str">
        <f t="shared" si="16"/>
        <v/>
      </c>
      <c r="B10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t="str">
        <f t="shared" si="16"/>
        <v/>
      </c>
      <c r="B10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t="str">
        <f t="shared" si="16"/>
        <v/>
      </c>
      <c r="B10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t="str">
        <f t="shared" si="16"/>
        <v/>
      </c>
      <c r="B10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t="str">
        <f t="shared" si="16"/>
        <v/>
      </c>
      <c r="B10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t="str">
        <f t="shared" si="16"/>
        <v/>
      </c>
      <c r="B10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t="str">
        <f t="shared" si="16"/>
        <v/>
      </c>
      <c r="B10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t="str">
        <f t="shared" si="16"/>
        <v/>
      </c>
      <c r="B10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t="str">
        <f t="shared" si="16"/>
        <v/>
      </c>
      <c r="B10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t="str">
        <f t="shared" si="16"/>
        <v/>
      </c>
      <c r="B10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t="str">
        <f t="shared" si="16"/>
        <v/>
      </c>
      <c r="B10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t="str">
        <f t="shared" si="16"/>
        <v/>
      </c>
      <c r="B10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t="str">
        <f t="shared" si="16"/>
        <v/>
      </c>
      <c r="B10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t="str">
        <f t="shared" si="16"/>
        <v/>
      </c>
      <c r="B10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t="str">
        <f t="shared" si="16"/>
        <v/>
      </c>
      <c r="B10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t="str">
        <f t="shared" si="16"/>
        <v/>
      </c>
      <c r="B10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t="str">
        <f t="shared" si="16"/>
        <v/>
      </c>
      <c r="B10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t="str">
        <f t="shared" si="16"/>
        <v/>
      </c>
      <c r="B10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t="str">
        <f t="shared" si="16"/>
        <v/>
      </c>
      <c r="B10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t="str">
        <f t="shared" si="16"/>
        <v/>
      </c>
      <c r="B10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t="str">
        <f t="shared" si="16"/>
        <v/>
      </c>
      <c r="B10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t="str">
        <f t="shared" si="16"/>
        <v/>
      </c>
      <c r="B10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t="str">
        <f t="shared" si="16"/>
        <v/>
      </c>
      <c r="B10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t="str">
        <f t="shared" si="16"/>
        <v/>
      </c>
      <c r="B10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t="str">
        <f t="shared" si="16"/>
        <v/>
      </c>
      <c r="B10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t="str">
        <f t="shared" ref="A1090:A1153" si="17">IFERROR(LEFT(RIGHT(C1090,LEN(C1090)-SEARCH("@",C1090)),SEARCH("/",RIGHT(C1090,LEN(C1090)-SEARCH("@",C1090)-1))),"")</f>
        <v/>
      </c>
      <c r="B10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t="str">
        <f t="shared" si="17"/>
        <v/>
      </c>
      <c r="B10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t="str">
        <f t="shared" si="17"/>
        <v/>
      </c>
      <c r="B10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t="str">
        <f t="shared" si="17"/>
        <v/>
      </c>
      <c r="B10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t="str">
        <f t="shared" si="17"/>
        <v/>
      </c>
      <c r="B10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t="str">
        <f t="shared" si="17"/>
        <v/>
      </c>
      <c r="B10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t="str">
        <f t="shared" si="17"/>
        <v/>
      </c>
      <c r="B10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t="str">
        <f t="shared" si="17"/>
        <v/>
      </c>
      <c r="B10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t="str">
        <f t="shared" si="17"/>
        <v/>
      </c>
      <c r="B10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t="str">
        <f t="shared" si="17"/>
        <v/>
      </c>
      <c r="B10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t="str">
        <f t="shared" si="17"/>
        <v/>
      </c>
      <c r="B11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t="str">
        <f t="shared" si="17"/>
        <v/>
      </c>
      <c r="B11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t="str">
        <f t="shared" si="17"/>
        <v/>
      </c>
      <c r="B11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t="str">
        <f t="shared" si="17"/>
        <v/>
      </c>
      <c r="B11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t="str">
        <f t="shared" si="17"/>
        <v/>
      </c>
      <c r="B11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t="str">
        <f t="shared" si="17"/>
        <v/>
      </c>
      <c r="B11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t="str">
        <f t="shared" si="17"/>
        <v/>
      </c>
      <c r="B11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t="str">
        <f t="shared" si="17"/>
        <v/>
      </c>
      <c r="B11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t="str">
        <f t="shared" si="17"/>
        <v/>
      </c>
      <c r="B11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t="str">
        <f t="shared" si="17"/>
        <v/>
      </c>
      <c r="B11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t="str">
        <f t="shared" si="17"/>
        <v/>
      </c>
      <c r="B11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t="str">
        <f t="shared" si="17"/>
        <v/>
      </c>
      <c r="B11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t="str">
        <f t="shared" si="17"/>
        <v/>
      </c>
      <c r="B11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t="str">
        <f t="shared" si="17"/>
        <v/>
      </c>
      <c r="B11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t="str">
        <f t="shared" si="17"/>
        <v/>
      </c>
      <c r="B11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t="str">
        <f t="shared" si="17"/>
        <v/>
      </c>
      <c r="B11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t="str">
        <f t="shared" si="17"/>
        <v/>
      </c>
      <c r="B11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t="str">
        <f t="shared" si="17"/>
        <v/>
      </c>
      <c r="B11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t="str">
        <f t="shared" si="17"/>
        <v/>
      </c>
      <c r="B11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t="str">
        <f t="shared" si="17"/>
        <v/>
      </c>
      <c r="B11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t="str">
        <f t="shared" si="17"/>
        <v/>
      </c>
      <c r="B11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t="str">
        <f t="shared" si="17"/>
        <v/>
      </c>
      <c r="B11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t="str">
        <f t="shared" si="17"/>
        <v/>
      </c>
      <c r="B11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t="str">
        <f t="shared" si="17"/>
        <v/>
      </c>
      <c r="B11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t="str">
        <f t="shared" si="17"/>
        <v/>
      </c>
      <c r="B11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t="str">
        <f t="shared" si="17"/>
        <v/>
      </c>
      <c r="B11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t="str">
        <f t="shared" si="17"/>
        <v/>
      </c>
      <c r="B11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t="str">
        <f t="shared" si="17"/>
        <v/>
      </c>
      <c r="B11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t="str">
        <f t="shared" si="17"/>
        <v/>
      </c>
      <c r="B11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t="str">
        <f t="shared" si="17"/>
        <v/>
      </c>
      <c r="B11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t="str">
        <f t="shared" si="17"/>
        <v/>
      </c>
      <c r="B11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t="str">
        <f t="shared" si="17"/>
        <v/>
      </c>
      <c r="B11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t="str">
        <f t="shared" si="17"/>
        <v/>
      </c>
      <c r="B11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t="str">
        <f t="shared" si="17"/>
        <v/>
      </c>
      <c r="B11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t="str">
        <f t="shared" si="17"/>
        <v/>
      </c>
      <c r="B11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t="str">
        <f t="shared" si="17"/>
        <v/>
      </c>
      <c r="B11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t="str">
        <f t="shared" si="17"/>
        <v/>
      </c>
      <c r="B11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t="str">
        <f t="shared" si="17"/>
        <v/>
      </c>
      <c r="B11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t="str">
        <f t="shared" si="17"/>
        <v/>
      </c>
      <c r="B11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t="str">
        <f t="shared" si="17"/>
        <v/>
      </c>
      <c r="B11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t="str">
        <f t="shared" si="17"/>
        <v/>
      </c>
      <c r="B11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t="str">
        <f t="shared" si="17"/>
        <v/>
      </c>
      <c r="B11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t="str">
        <f t="shared" si="17"/>
        <v/>
      </c>
      <c r="B11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t="str">
        <f t="shared" si="17"/>
        <v/>
      </c>
      <c r="B11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t="str">
        <f t="shared" si="17"/>
        <v/>
      </c>
      <c r="B11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t="str">
        <f t="shared" si="17"/>
        <v/>
      </c>
      <c r="B11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t="str">
        <f t="shared" si="17"/>
        <v/>
      </c>
      <c r="B11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t="str">
        <f t="shared" si="17"/>
        <v/>
      </c>
      <c r="B11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t="str">
        <f t="shared" si="17"/>
        <v/>
      </c>
      <c r="B11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t="str">
        <f t="shared" si="17"/>
        <v/>
      </c>
      <c r="B11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t="str">
        <f t="shared" si="17"/>
        <v/>
      </c>
      <c r="B11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t="str">
        <f t="shared" si="17"/>
        <v/>
      </c>
      <c r="B11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t="str">
        <f t="shared" si="17"/>
        <v/>
      </c>
      <c r="B11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t="str">
        <f t="shared" si="17"/>
        <v/>
      </c>
      <c r="B11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t="str">
        <f t="shared" ref="A1154:A1217" si="18">IFERROR(LEFT(RIGHT(C1154,LEN(C1154)-SEARCH("@",C1154)),SEARCH("/",RIGHT(C1154,LEN(C1154)-SEARCH("@",C1154)-1))),"")</f>
        <v/>
      </c>
      <c r="B11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t="str">
        <f t="shared" si="18"/>
        <v/>
      </c>
      <c r="B11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t="str">
        <f t="shared" si="18"/>
        <v/>
      </c>
      <c r="B11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t="str">
        <f t="shared" si="18"/>
        <v/>
      </c>
      <c r="B11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t="str">
        <f t="shared" si="18"/>
        <v/>
      </c>
      <c r="B11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t="str">
        <f t="shared" si="18"/>
        <v/>
      </c>
      <c r="B11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t="str">
        <f t="shared" si="18"/>
        <v/>
      </c>
      <c r="B11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t="str">
        <f t="shared" si="18"/>
        <v/>
      </c>
      <c r="B11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t="str">
        <f t="shared" si="18"/>
        <v/>
      </c>
      <c r="B11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t="str">
        <f t="shared" si="18"/>
        <v/>
      </c>
      <c r="B11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t="str">
        <f t="shared" si="18"/>
        <v/>
      </c>
      <c r="B11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t="str">
        <f t="shared" si="18"/>
        <v/>
      </c>
      <c r="B11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t="str">
        <f t="shared" si="18"/>
        <v/>
      </c>
      <c r="B11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t="str">
        <f t="shared" si="18"/>
        <v/>
      </c>
      <c r="B11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t="str">
        <f t="shared" si="18"/>
        <v/>
      </c>
      <c r="B11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t="str">
        <f t="shared" si="18"/>
        <v/>
      </c>
      <c r="B11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t="str">
        <f t="shared" si="18"/>
        <v/>
      </c>
      <c r="B11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t="str">
        <f t="shared" si="18"/>
        <v/>
      </c>
      <c r="B11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t="str">
        <f t="shared" si="18"/>
        <v/>
      </c>
      <c r="B11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t="str">
        <f t="shared" si="18"/>
        <v/>
      </c>
      <c r="B11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t="str">
        <f t="shared" si="18"/>
        <v/>
      </c>
      <c r="B11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t="str">
        <f t="shared" si="18"/>
        <v/>
      </c>
      <c r="B11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t="str">
        <f t="shared" si="18"/>
        <v/>
      </c>
      <c r="B11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t="str">
        <f t="shared" si="18"/>
        <v/>
      </c>
      <c r="B11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t="str">
        <f t="shared" si="18"/>
        <v/>
      </c>
      <c r="B11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t="str">
        <f t="shared" si="18"/>
        <v/>
      </c>
      <c r="B11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t="str">
        <f t="shared" si="18"/>
        <v/>
      </c>
      <c r="B11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t="str">
        <f t="shared" si="18"/>
        <v/>
      </c>
      <c r="B11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t="str">
        <f t="shared" si="18"/>
        <v/>
      </c>
      <c r="B11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t="str">
        <f t="shared" si="18"/>
        <v/>
      </c>
      <c r="B11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t="str">
        <f t="shared" si="18"/>
        <v/>
      </c>
      <c r="B11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t="str">
        <f t="shared" si="18"/>
        <v/>
      </c>
      <c r="B11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t="str">
        <f t="shared" si="18"/>
        <v/>
      </c>
      <c r="B11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t="str">
        <f t="shared" si="18"/>
        <v/>
      </c>
      <c r="B11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t="str">
        <f t="shared" si="18"/>
        <v/>
      </c>
      <c r="B11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t="str">
        <f t="shared" si="18"/>
        <v/>
      </c>
      <c r="B11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t="str">
        <f t="shared" si="18"/>
        <v/>
      </c>
      <c r="B11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t="str">
        <f t="shared" si="18"/>
        <v/>
      </c>
      <c r="B11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t="str">
        <f t="shared" si="18"/>
        <v/>
      </c>
      <c r="B11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t="str">
        <f t="shared" si="18"/>
        <v/>
      </c>
      <c r="B11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t="str">
        <f t="shared" si="18"/>
        <v/>
      </c>
      <c r="B11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t="str">
        <f t="shared" si="18"/>
        <v/>
      </c>
      <c r="B11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t="str">
        <f t="shared" si="18"/>
        <v/>
      </c>
      <c r="B11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t="str">
        <f t="shared" si="18"/>
        <v/>
      </c>
      <c r="B11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t="str">
        <f t="shared" si="18"/>
        <v/>
      </c>
      <c r="B11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t="str">
        <f t="shared" si="18"/>
        <v/>
      </c>
      <c r="B11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t="str">
        <f t="shared" si="18"/>
        <v/>
      </c>
      <c r="B12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t="str">
        <f t="shared" si="18"/>
        <v/>
      </c>
      <c r="B12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t="str">
        <f t="shared" si="18"/>
        <v/>
      </c>
      <c r="B12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t="str">
        <f t="shared" si="18"/>
        <v/>
      </c>
      <c r="B12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t="str">
        <f t="shared" si="18"/>
        <v/>
      </c>
      <c r="B12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t="str">
        <f t="shared" si="18"/>
        <v/>
      </c>
      <c r="B12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t="str">
        <f t="shared" si="18"/>
        <v/>
      </c>
      <c r="B12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t="str">
        <f t="shared" si="18"/>
        <v/>
      </c>
      <c r="B12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t="str">
        <f t="shared" si="18"/>
        <v/>
      </c>
      <c r="B12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t="str">
        <f t="shared" si="18"/>
        <v/>
      </c>
      <c r="B12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t="str">
        <f t="shared" si="18"/>
        <v/>
      </c>
      <c r="B12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t="str">
        <f t="shared" si="18"/>
        <v/>
      </c>
      <c r="B12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t="str">
        <f t="shared" si="18"/>
        <v/>
      </c>
      <c r="B12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t="str">
        <f t="shared" si="18"/>
        <v/>
      </c>
      <c r="B12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t="str">
        <f t="shared" si="18"/>
        <v/>
      </c>
      <c r="B12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t="str">
        <f t="shared" si="18"/>
        <v/>
      </c>
      <c r="B12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t="str">
        <f t="shared" si="18"/>
        <v/>
      </c>
      <c r="B12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t="str">
        <f t="shared" si="18"/>
        <v/>
      </c>
      <c r="B12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t="str">
        <f t="shared" ref="A1218:A1281" si="19">IFERROR(LEFT(RIGHT(C1218,LEN(C1218)-SEARCH("@",C1218)),SEARCH("/",RIGHT(C1218,LEN(C1218)-SEARCH("@",C1218)-1))),"")</f>
        <v/>
      </c>
      <c r="B12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t="str">
        <f t="shared" si="19"/>
        <v/>
      </c>
      <c r="B12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t="str">
        <f t="shared" si="19"/>
        <v/>
      </c>
      <c r="B12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t="str">
        <f t="shared" si="19"/>
        <v/>
      </c>
      <c r="B12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t="str">
        <f t="shared" si="19"/>
        <v/>
      </c>
      <c r="B12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t="str">
        <f t="shared" si="19"/>
        <v/>
      </c>
      <c r="B12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t="str">
        <f t="shared" si="19"/>
        <v/>
      </c>
      <c r="B12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t="str">
        <f t="shared" si="19"/>
        <v/>
      </c>
      <c r="B12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t="str">
        <f t="shared" si="19"/>
        <v/>
      </c>
      <c r="B12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t="str">
        <f t="shared" si="19"/>
        <v/>
      </c>
      <c r="B12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t="str">
        <f t="shared" si="19"/>
        <v/>
      </c>
      <c r="B12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t="str">
        <f t="shared" si="19"/>
        <v/>
      </c>
      <c r="B12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t="str">
        <f t="shared" si="19"/>
        <v/>
      </c>
      <c r="B12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t="str">
        <f t="shared" si="19"/>
        <v/>
      </c>
      <c r="B12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t="str">
        <f t="shared" si="19"/>
        <v/>
      </c>
      <c r="B12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t="str">
        <f t="shared" si="19"/>
        <v/>
      </c>
      <c r="B12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t="str">
        <f t="shared" si="19"/>
        <v/>
      </c>
      <c r="B12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t="str">
        <f t="shared" si="19"/>
        <v/>
      </c>
      <c r="B12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t="str">
        <f t="shared" si="19"/>
        <v/>
      </c>
      <c r="B12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t="str">
        <f t="shared" si="19"/>
        <v/>
      </c>
      <c r="B12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t="str">
        <f t="shared" si="19"/>
        <v/>
      </c>
      <c r="B12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t="str">
        <f t="shared" si="19"/>
        <v/>
      </c>
      <c r="B12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t="str">
        <f t="shared" si="19"/>
        <v/>
      </c>
      <c r="B12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t="str">
        <f t="shared" si="19"/>
        <v/>
      </c>
      <c r="B12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t="str">
        <f t="shared" si="19"/>
        <v/>
      </c>
      <c r="B12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t="str">
        <f t="shared" si="19"/>
        <v/>
      </c>
      <c r="B12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t="str">
        <f t="shared" si="19"/>
        <v/>
      </c>
      <c r="B12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t="str">
        <f t="shared" si="19"/>
        <v/>
      </c>
      <c r="B12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t="str">
        <f t="shared" si="19"/>
        <v/>
      </c>
      <c r="B12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t="str">
        <f t="shared" si="19"/>
        <v/>
      </c>
      <c r="B12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t="str">
        <f t="shared" si="19"/>
        <v/>
      </c>
      <c r="B12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t="str">
        <f t="shared" si="19"/>
        <v/>
      </c>
      <c r="B12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t="str">
        <f t="shared" si="19"/>
        <v/>
      </c>
      <c r="B12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t="str">
        <f t="shared" si="19"/>
        <v/>
      </c>
      <c r="B12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t="str">
        <f t="shared" si="19"/>
        <v/>
      </c>
      <c r="B12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t="str">
        <f t="shared" si="19"/>
        <v/>
      </c>
      <c r="B12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t="str">
        <f t="shared" si="19"/>
        <v/>
      </c>
      <c r="B12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t="str">
        <f t="shared" si="19"/>
        <v/>
      </c>
      <c r="B12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t="str">
        <f t="shared" si="19"/>
        <v/>
      </c>
      <c r="B12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t="str">
        <f t="shared" si="19"/>
        <v/>
      </c>
      <c r="B12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t="str">
        <f t="shared" si="19"/>
        <v/>
      </c>
      <c r="B12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t="str">
        <f t="shared" si="19"/>
        <v/>
      </c>
      <c r="B12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t="str">
        <f t="shared" si="19"/>
        <v/>
      </c>
      <c r="B12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t="str">
        <f t="shared" si="19"/>
        <v/>
      </c>
      <c r="B12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t="str">
        <f t="shared" si="19"/>
        <v/>
      </c>
      <c r="B12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t="str">
        <f t="shared" si="19"/>
        <v/>
      </c>
      <c r="B12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t="str">
        <f t="shared" si="19"/>
        <v/>
      </c>
      <c r="B12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t="str">
        <f t="shared" si="19"/>
        <v/>
      </c>
      <c r="B12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t="str">
        <f t="shared" si="19"/>
        <v/>
      </c>
      <c r="B12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t="str">
        <f t="shared" si="19"/>
        <v/>
      </c>
      <c r="B12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t="str">
        <f t="shared" si="19"/>
        <v/>
      </c>
      <c r="B12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t="str">
        <f t="shared" si="19"/>
        <v/>
      </c>
      <c r="B12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t="str">
        <f t="shared" si="19"/>
        <v/>
      </c>
      <c r="B12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t="str">
        <f t="shared" si="19"/>
        <v/>
      </c>
      <c r="B12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t="str">
        <f t="shared" si="19"/>
        <v/>
      </c>
      <c r="B12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t="str">
        <f t="shared" si="19"/>
        <v/>
      </c>
      <c r="B12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t="str">
        <f t="shared" si="19"/>
        <v/>
      </c>
      <c r="B12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t="str">
        <f t="shared" si="19"/>
        <v/>
      </c>
      <c r="B12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t="str">
        <f t="shared" si="19"/>
        <v/>
      </c>
      <c r="B12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t="str">
        <f t="shared" si="19"/>
        <v/>
      </c>
      <c r="B12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t="str">
        <f t="shared" si="19"/>
        <v/>
      </c>
      <c r="B12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t="str">
        <f t="shared" si="19"/>
        <v/>
      </c>
      <c r="B12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t="str">
        <f t="shared" si="19"/>
        <v/>
      </c>
      <c r="B12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t="str">
        <f t="shared" si="19"/>
        <v/>
      </c>
      <c r="B12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t="str">
        <f t="shared" ref="A1282:A1345" si="20">IFERROR(LEFT(RIGHT(C1282,LEN(C1282)-SEARCH("@",C1282)),SEARCH("/",RIGHT(C1282,LEN(C1282)-SEARCH("@",C1282)-1))),"")</f>
        <v/>
      </c>
      <c r="B12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t="str">
        <f t="shared" si="20"/>
        <v/>
      </c>
      <c r="B12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t="str">
        <f t="shared" si="20"/>
        <v/>
      </c>
      <c r="B12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t="str">
        <f t="shared" si="20"/>
        <v/>
      </c>
      <c r="B12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t="str">
        <f t="shared" si="20"/>
        <v/>
      </c>
      <c r="B12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t="str">
        <f t="shared" si="20"/>
        <v/>
      </c>
      <c r="B12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t="str">
        <f t="shared" si="20"/>
        <v/>
      </c>
      <c r="B12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t="str">
        <f t="shared" si="20"/>
        <v/>
      </c>
      <c r="B12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t="str">
        <f t="shared" si="20"/>
        <v/>
      </c>
      <c r="B12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t="str">
        <f t="shared" si="20"/>
        <v/>
      </c>
      <c r="B12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t="str">
        <f t="shared" si="20"/>
        <v/>
      </c>
      <c r="B12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t="str">
        <f t="shared" si="20"/>
        <v/>
      </c>
      <c r="B12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t="str">
        <f t="shared" si="20"/>
        <v/>
      </c>
      <c r="B12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t="str">
        <f t="shared" si="20"/>
        <v/>
      </c>
      <c r="B12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t="str">
        <f t="shared" si="20"/>
        <v/>
      </c>
      <c r="B12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t="str">
        <f t="shared" si="20"/>
        <v/>
      </c>
      <c r="B12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t="str">
        <f t="shared" si="20"/>
        <v/>
      </c>
      <c r="B12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t="str">
        <f t="shared" si="20"/>
        <v/>
      </c>
      <c r="B12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t="str">
        <f t="shared" si="20"/>
        <v/>
      </c>
      <c r="B13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t="str">
        <f t="shared" si="20"/>
        <v/>
      </c>
      <c r="B13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t="str">
        <f t="shared" si="20"/>
        <v/>
      </c>
      <c r="B13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t="str">
        <f t="shared" si="20"/>
        <v/>
      </c>
      <c r="B13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t="str">
        <f t="shared" si="20"/>
        <v/>
      </c>
      <c r="B13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t="str">
        <f t="shared" si="20"/>
        <v/>
      </c>
      <c r="B13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t="str">
        <f t="shared" si="20"/>
        <v/>
      </c>
      <c r="B13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t="str">
        <f t="shared" si="20"/>
        <v/>
      </c>
      <c r="B13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t="str">
        <f t="shared" si="20"/>
        <v/>
      </c>
      <c r="B13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t="str">
        <f t="shared" si="20"/>
        <v/>
      </c>
      <c r="B13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t="str">
        <f t="shared" si="20"/>
        <v/>
      </c>
      <c r="B13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t="str">
        <f t="shared" si="20"/>
        <v/>
      </c>
      <c r="B13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t="str">
        <f t="shared" si="20"/>
        <v/>
      </c>
      <c r="B13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t="str">
        <f t="shared" si="20"/>
        <v/>
      </c>
      <c r="B13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t="str">
        <f t="shared" si="20"/>
        <v/>
      </c>
      <c r="B13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t="str">
        <f t="shared" si="20"/>
        <v/>
      </c>
      <c r="B13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t="str">
        <f t="shared" si="20"/>
        <v/>
      </c>
      <c r="B13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t="str">
        <f t="shared" si="20"/>
        <v/>
      </c>
      <c r="B13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t="str">
        <f t="shared" si="20"/>
        <v/>
      </c>
      <c r="B13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t="str">
        <f t="shared" si="20"/>
        <v/>
      </c>
      <c r="B13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t="str">
        <f t="shared" si="20"/>
        <v/>
      </c>
      <c r="B13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t="str">
        <f t="shared" si="20"/>
        <v/>
      </c>
      <c r="B13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t="str">
        <f t="shared" si="20"/>
        <v/>
      </c>
      <c r="B13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t="str">
        <f t="shared" si="20"/>
        <v/>
      </c>
      <c r="B13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t="str">
        <f t="shared" si="20"/>
        <v/>
      </c>
      <c r="B13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t="str">
        <f t="shared" si="20"/>
        <v/>
      </c>
      <c r="B13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t="str">
        <f t="shared" si="20"/>
        <v/>
      </c>
      <c r="B13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t="str">
        <f t="shared" si="20"/>
        <v/>
      </c>
      <c r="B13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t="str">
        <f t="shared" si="20"/>
        <v/>
      </c>
      <c r="B13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t="str">
        <f t="shared" si="20"/>
        <v/>
      </c>
      <c r="B13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t="str">
        <f t="shared" si="20"/>
        <v/>
      </c>
      <c r="B13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t="str">
        <f t="shared" si="20"/>
        <v/>
      </c>
      <c r="B13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t="str">
        <f t="shared" si="20"/>
        <v/>
      </c>
      <c r="B13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t="str">
        <f t="shared" si="20"/>
        <v/>
      </c>
      <c r="B13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t="str">
        <f t="shared" si="20"/>
        <v/>
      </c>
      <c r="B13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t="str">
        <f t="shared" si="20"/>
        <v/>
      </c>
      <c r="B13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t="str">
        <f t="shared" si="20"/>
        <v/>
      </c>
      <c r="B13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t="str">
        <f t="shared" si="20"/>
        <v/>
      </c>
      <c r="B13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t="str">
        <f t="shared" si="20"/>
        <v/>
      </c>
      <c r="B13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t="str">
        <f t="shared" si="20"/>
        <v/>
      </c>
      <c r="B13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t="str">
        <f t="shared" si="20"/>
        <v/>
      </c>
      <c r="B13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t="str">
        <f t="shared" si="20"/>
        <v/>
      </c>
      <c r="B13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t="str">
        <f t="shared" si="20"/>
        <v/>
      </c>
      <c r="B13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t="str">
        <f t="shared" si="20"/>
        <v/>
      </c>
      <c r="B13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t="str">
        <f t="shared" si="20"/>
        <v/>
      </c>
      <c r="B13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t="str">
        <f t="shared" si="20"/>
        <v/>
      </c>
      <c r="B13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t="str">
        <f t="shared" ref="A1346:A1409" si="21">IFERROR(LEFT(RIGHT(C1346,LEN(C1346)-SEARCH("@",C1346)),SEARCH("/",RIGHT(C1346,LEN(C1346)-SEARCH("@",C1346)-1))),"")</f>
        <v/>
      </c>
      <c r="B13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t="str">
        <f t="shared" si="21"/>
        <v/>
      </c>
      <c r="B13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t="str">
        <f t="shared" si="21"/>
        <v/>
      </c>
      <c r="B13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t="str">
        <f t="shared" si="21"/>
        <v/>
      </c>
      <c r="B13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t="str">
        <f t="shared" si="21"/>
        <v/>
      </c>
      <c r="B13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t="str">
        <f t="shared" si="21"/>
        <v/>
      </c>
      <c r="B13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t="str">
        <f t="shared" si="21"/>
        <v/>
      </c>
      <c r="B13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t="str">
        <f t="shared" si="21"/>
        <v/>
      </c>
      <c r="B13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t="str">
        <f t="shared" si="21"/>
        <v/>
      </c>
      <c r="B13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t="str">
        <f t="shared" si="21"/>
        <v/>
      </c>
      <c r="B13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t="str">
        <f t="shared" si="21"/>
        <v/>
      </c>
      <c r="B13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t="str">
        <f t="shared" si="21"/>
        <v/>
      </c>
      <c r="B13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t="str">
        <f t="shared" si="21"/>
        <v/>
      </c>
      <c r="B13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t="str">
        <f t="shared" si="21"/>
        <v/>
      </c>
      <c r="B13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t="str">
        <f t="shared" si="21"/>
        <v/>
      </c>
      <c r="B13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t="str">
        <f t="shared" si="21"/>
        <v/>
      </c>
      <c r="B13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t="str">
        <f t="shared" si="21"/>
        <v/>
      </c>
      <c r="B13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t="str">
        <f t="shared" si="21"/>
        <v/>
      </c>
      <c r="B13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t="str">
        <f t="shared" si="21"/>
        <v/>
      </c>
      <c r="B13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t="str">
        <f t="shared" si="21"/>
        <v/>
      </c>
      <c r="B13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t="str">
        <f t="shared" si="21"/>
        <v/>
      </c>
      <c r="B13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t="str">
        <f t="shared" si="21"/>
        <v/>
      </c>
      <c r="B13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t="str">
        <f t="shared" si="21"/>
        <v/>
      </c>
      <c r="B13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t="str">
        <f t="shared" si="21"/>
        <v/>
      </c>
      <c r="B13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t="str">
        <f t="shared" si="21"/>
        <v/>
      </c>
      <c r="B13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t="str">
        <f t="shared" si="21"/>
        <v/>
      </c>
      <c r="B13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t="str">
        <f t="shared" si="21"/>
        <v/>
      </c>
      <c r="B13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t="str">
        <f t="shared" si="21"/>
        <v/>
      </c>
      <c r="B13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t="str">
        <f t="shared" si="21"/>
        <v/>
      </c>
      <c r="B13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t="str">
        <f t="shared" si="21"/>
        <v/>
      </c>
      <c r="B13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t="str">
        <f t="shared" si="21"/>
        <v/>
      </c>
      <c r="B13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t="str">
        <f t="shared" si="21"/>
        <v/>
      </c>
      <c r="B13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t="str">
        <f t="shared" si="21"/>
        <v/>
      </c>
      <c r="B13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t="str">
        <f t="shared" si="21"/>
        <v/>
      </c>
      <c r="B13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t="str">
        <f t="shared" si="21"/>
        <v/>
      </c>
      <c r="B13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t="str">
        <f t="shared" si="21"/>
        <v/>
      </c>
      <c r="B13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t="str">
        <f t="shared" si="21"/>
        <v/>
      </c>
      <c r="B13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t="str">
        <f t="shared" si="21"/>
        <v/>
      </c>
      <c r="B13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t="str">
        <f t="shared" si="21"/>
        <v/>
      </c>
      <c r="B13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t="str">
        <f t="shared" si="21"/>
        <v/>
      </c>
      <c r="B13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t="str">
        <f t="shared" si="21"/>
        <v/>
      </c>
      <c r="B13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t="str">
        <f t="shared" si="21"/>
        <v/>
      </c>
      <c r="B13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t="str">
        <f t="shared" si="21"/>
        <v/>
      </c>
      <c r="B13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t="str">
        <f t="shared" si="21"/>
        <v/>
      </c>
      <c r="B13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t="str">
        <f t="shared" si="21"/>
        <v/>
      </c>
      <c r="B13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t="str">
        <f t="shared" si="21"/>
        <v/>
      </c>
      <c r="B13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t="str">
        <f t="shared" si="21"/>
        <v/>
      </c>
      <c r="B13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t="str">
        <f t="shared" si="21"/>
        <v/>
      </c>
      <c r="B13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t="str">
        <f t="shared" si="21"/>
        <v/>
      </c>
      <c r="B13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t="str">
        <f t="shared" si="21"/>
        <v/>
      </c>
      <c r="B13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t="str">
        <f t="shared" si="21"/>
        <v/>
      </c>
      <c r="B13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t="str">
        <f t="shared" si="21"/>
        <v/>
      </c>
      <c r="B13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t="str">
        <f t="shared" si="21"/>
        <v/>
      </c>
      <c r="B13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t="str">
        <f t="shared" si="21"/>
        <v/>
      </c>
      <c r="B13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t="str">
        <f t="shared" si="21"/>
        <v/>
      </c>
      <c r="B14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t="str">
        <f t="shared" si="21"/>
        <v/>
      </c>
      <c r="B14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t="str">
        <f t="shared" si="21"/>
        <v/>
      </c>
      <c r="B14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t="str">
        <f t="shared" si="21"/>
        <v/>
      </c>
      <c r="B14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t="str">
        <f t="shared" si="21"/>
        <v/>
      </c>
      <c r="B14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t="str">
        <f t="shared" si="21"/>
        <v/>
      </c>
      <c r="B14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t="str">
        <f t="shared" si="21"/>
        <v/>
      </c>
      <c r="B14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t="str">
        <f t="shared" si="21"/>
        <v/>
      </c>
      <c r="B14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t="str">
        <f t="shared" si="21"/>
        <v/>
      </c>
      <c r="B14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t="str">
        <f t="shared" si="21"/>
        <v/>
      </c>
      <c r="B14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t="str">
        <f t="shared" ref="A1410:A1473" si="22">IFERROR(LEFT(RIGHT(C1410,LEN(C1410)-SEARCH("@",C1410)),SEARCH("/",RIGHT(C1410,LEN(C1410)-SEARCH("@",C1410)-1))),"")</f>
        <v/>
      </c>
      <c r="B14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t="str">
        <f t="shared" si="22"/>
        <v/>
      </c>
      <c r="B14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t="str">
        <f t="shared" si="22"/>
        <v/>
      </c>
      <c r="B14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t="str">
        <f t="shared" si="22"/>
        <v/>
      </c>
      <c r="B14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t="str">
        <f t="shared" si="22"/>
        <v/>
      </c>
      <c r="B14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t="str">
        <f t="shared" si="22"/>
        <v/>
      </c>
      <c r="B14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t="str">
        <f t="shared" si="22"/>
        <v/>
      </c>
      <c r="B14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t="str">
        <f t="shared" si="22"/>
        <v/>
      </c>
      <c r="B14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t="str">
        <f t="shared" si="22"/>
        <v/>
      </c>
      <c r="B14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t="str">
        <f t="shared" si="22"/>
        <v/>
      </c>
      <c r="B14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t="str">
        <f t="shared" si="22"/>
        <v/>
      </c>
      <c r="B14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t="str">
        <f t="shared" si="22"/>
        <v/>
      </c>
      <c r="B14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t="str">
        <f t="shared" si="22"/>
        <v/>
      </c>
      <c r="B14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t="str">
        <f t="shared" si="22"/>
        <v/>
      </c>
      <c r="B14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t="str">
        <f t="shared" si="22"/>
        <v/>
      </c>
      <c r="B14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t="str">
        <f t="shared" si="22"/>
        <v/>
      </c>
      <c r="B14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t="str">
        <f t="shared" si="22"/>
        <v/>
      </c>
      <c r="B14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t="str">
        <f t="shared" si="22"/>
        <v/>
      </c>
      <c r="B14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t="str">
        <f t="shared" si="22"/>
        <v/>
      </c>
      <c r="B14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t="str">
        <f t="shared" si="22"/>
        <v/>
      </c>
      <c r="B14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t="str">
        <f t="shared" si="22"/>
        <v/>
      </c>
      <c r="B14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t="str">
        <f t="shared" si="22"/>
        <v/>
      </c>
      <c r="B14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t="str">
        <f t="shared" si="22"/>
        <v/>
      </c>
      <c r="B14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t="str">
        <f t="shared" si="22"/>
        <v/>
      </c>
      <c r="B14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t="str">
        <f t="shared" si="22"/>
        <v/>
      </c>
      <c r="B14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t="str">
        <f t="shared" si="22"/>
        <v/>
      </c>
      <c r="B14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t="str">
        <f t="shared" si="22"/>
        <v/>
      </c>
      <c r="B14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t="str">
        <f t="shared" si="22"/>
        <v/>
      </c>
      <c r="B14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t="str">
        <f t="shared" si="22"/>
        <v/>
      </c>
      <c r="B14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t="str">
        <f t="shared" si="22"/>
        <v/>
      </c>
      <c r="B14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t="str">
        <f t="shared" si="22"/>
        <v/>
      </c>
      <c r="B14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t="str">
        <f t="shared" si="22"/>
        <v/>
      </c>
      <c r="B14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t="str">
        <f t="shared" si="22"/>
        <v/>
      </c>
      <c r="B14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t="str">
        <f t="shared" si="22"/>
        <v/>
      </c>
      <c r="B14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t="str">
        <f t="shared" si="22"/>
        <v/>
      </c>
      <c r="B14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t="str">
        <f t="shared" si="22"/>
        <v/>
      </c>
      <c r="B14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t="str">
        <f t="shared" si="22"/>
        <v/>
      </c>
      <c r="B14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t="str">
        <f t="shared" si="22"/>
        <v/>
      </c>
      <c r="B14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t="str">
        <f t="shared" si="22"/>
        <v/>
      </c>
      <c r="B14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t="str">
        <f t="shared" si="22"/>
        <v/>
      </c>
      <c r="B14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t="str">
        <f t="shared" si="22"/>
        <v/>
      </c>
      <c r="B14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t="str">
        <f t="shared" si="22"/>
        <v/>
      </c>
      <c r="B14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t="str">
        <f t="shared" si="22"/>
        <v/>
      </c>
      <c r="B14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t="str">
        <f t="shared" si="22"/>
        <v/>
      </c>
      <c r="B14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t="str">
        <f t="shared" si="22"/>
        <v/>
      </c>
      <c r="B14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t="str">
        <f t="shared" si="22"/>
        <v/>
      </c>
      <c r="B14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t="str">
        <f t="shared" si="22"/>
        <v/>
      </c>
      <c r="B14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t="str">
        <f t="shared" si="22"/>
        <v/>
      </c>
      <c r="B14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t="str">
        <f t="shared" si="22"/>
        <v/>
      </c>
      <c r="B145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t="str">
        <f t="shared" si="22"/>
        <v/>
      </c>
      <c r="B145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t="str">
        <f t="shared" si="22"/>
        <v/>
      </c>
      <c r="B146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t="str">
        <f t="shared" si="22"/>
        <v/>
      </c>
      <c r="B146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t="str">
        <f t="shared" si="22"/>
        <v/>
      </c>
      <c r="B146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t="str">
        <f t="shared" si="22"/>
        <v/>
      </c>
      <c r="B146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t="str">
        <f t="shared" si="22"/>
        <v/>
      </c>
      <c r="B146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t="str">
        <f t="shared" si="22"/>
        <v/>
      </c>
      <c r="B146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t="str">
        <f t="shared" si="22"/>
        <v/>
      </c>
      <c r="B146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t="str">
        <f t="shared" si="22"/>
        <v/>
      </c>
      <c r="B146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t="str">
        <f t="shared" si="22"/>
        <v/>
      </c>
      <c r="B146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t="str">
        <f t="shared" si="22"/>
        <v/>
      </c>
      <c r="B146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t="str">
        <f t="shared" si="22"/>
        <v/>
      </c>
      <c r="B147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t="str">
        <f t="shared" si="22"/>
        <v/>
      </c>
      <c r="B147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t="str">
        <f t="shared" si="22"/>
        <v/>
      </c>
      <c r="B147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t="str">
        <f t="shared" si="22"/>
        <v/>
      </c>
      <c r="B147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t="str">
        <f t="shared" ref="A1474:A1537" si="23">IFERROR(LEFT(RIGHT(C1474,LEN(C1474)-SEARCH("@",C1474)),SEARCH("/",RIGHT(C1474,LEN(C1474)-SEARCH("@",C1474)-1))),"")</f>
        <v/>
      </c>
      <c r="B147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t="str">
        <f t="shared" si="23"/>
        <v/>
      </c>
      <c r="B147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t="str">
        <f t="shared" si="23"/>
        <v/>
      </c>
      <c r="B147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t="str">
        <f t="shared" si="23"/>
        <v/>
      </c>
      <c r="B147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t="str">
        <f t="shared" si="23"/>
        <v/>
      </c>
      <c r="B147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t="str">
        <f t="shared" si="23"/>
        <v/>
      </c>
      <c r="B147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t="str">
        <f t="shared" si="23"/>
        <v/>
      </c>
      <c r="B148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t="str">
        <f t="shared" si="23"/>
        <v/>
      </c>
      <c r="B148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t="str">
        <f t="shared" si="23"/>
        <v/>
      </c>
      <c r="B148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t="str">
        <f t="shared" si="23"/>
        <v/>
      </c>
      <c r="B148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t="str">
        <f t="shared" si="23"/>
        <v/>
      </c>
      <c r="B148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t="str">
        <f t="shared" si="23"/>
        <v/>
      </c>
      <c r="B148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t="str">
        <f t="shared" si="23"/>
        <v/>
      </c>
      <c r="B148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t="str">
        <f t="shared" si="23"/>
        <v/>
      </c>
      <c r="B148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t="str">
        <f t="shared" si="23"/>
        <v/>
      </c>
      <c r="B148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t="str">
        <f t="shared" si="23"/>
        <v/>
      </c>
      <c r="B148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t="str">
        <f t="shared" si="23"/>
        <v/>
      </c>
      <c r="B149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t="str">
        <f t="shared" si="23"/>
        <v/>
      </c>
      <c r="B149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t="str">
        <f t="shared" si="23"/>
        <v/>
      </c>
      <c r="B149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t="str">
        <f t="shared" si="23"/>
        <v/>
      </c>
      <c r="B149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t="str">
        <f t="shared" si="23"/>
        <v/>
      </c>
      <c r="B149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t="str">
        <f t="shared" si="23"/>
        <v/>
      </c>
      <c r="B149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t="str">
        <f t="shared" si="23"/>
        <v/>
      </c>
      <c r="B149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t="str">
        <f t="shared" si="23"/>
        <v/>
      </c>
      <c r="B149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t="str">
        <f t="shared" si="23"/>
        <v/>
      </c>
      <c r="B149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t="str">
        <f t="shared" si="23"/>
        <v/>
      </c>
      <c r="B149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t="str">
        <f t="shared" si="23"/>
        <v/>
      </c>
      <c r="B150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t="str">
        <f t="shared" si="23"/>
        <v/>
      </c>
      <c r="B150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t="str">
        <f t="shared" si="23"/>
        <v/>
      </c>
      <c r="B150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t="str">
        <f t="shared" si="23"/>
        <v/>
      </c>
      <c r="B150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t="str">
        <f t="shared" si="23"/>
        <v/>
      </c>
      <c r="B150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t="str">
        <f t="shared" si="23"/>
        <v/>
      </c>
      <c r="B150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t="str">
        <f t="shared" si="23"/>
        <v/>
      </c>
      <c r="B150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t="str">
        <f t="shared" si="23"/>
        <v/>
      </c>
      <c r="B150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t="str">
        <f t="shared" si="23"/>
        <v/>
      </c>
      <c r="B150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t="str">
        <f t="shared" si="23"/>
        <v/>
      </c>
      <c r="B150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t="str">
        <f t="shared" si="23"/>
        <v/>
      </c>
      <c r="B151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t="str">
        <f t="shared" si="23"/>
        <v/>
      </c>
      <c r="B151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t="str">
        <f t="shared" si="23"/>
        <v/>
      </c>
      <c r="B151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t="str">
        <f t="shared" si="23"/>
        <v/>
      </c>
      <c r="B151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t="str">
        <f t="shared" si="23"/>
        <v/>
      </c>
      <c r="B151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t="str">
        <f t="shared" si="23"/>
        <v/>
      </c>
      <c r="B151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t="str">
        <f t="shared" si="23"/>
        <v/>
      </c>
      <c r="B151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t="str">
        <f t="shared" si="23"/>
        <v/>
      </c>
      <c r="B151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t="str">
        <f t="shared" si="23"/>
        <v/>
      </c>
      <c r="B151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t="str">
        <f t="shared" si="23"/>
        <v/>
      </c>
      <c r="B151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t="str">
        <f t="shared" si="23"/>
        <v/>
      </c>
      <c r="B152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t="str">
        <f t="shared" si="23"/>
        <v/>
      </c>
      <c r="B152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t="str">
        <f t="shared" si="23"/>
        <v/>
      </c>
      <c r="B152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t="str">
        <f t="shared" si="23"/>
        <v/>
      </c>
      <c r="B152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t="str">
        <f t="shared" si="23"/>
        <v/>
      </c>
      <c r="B152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t="str">
        <f t="shared" si="23"/>
        <v/>
      </c>
      <c r="B152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t="str">
        <f t="shared" si="23"/>
        <v/>
      </c>
      <c r="B152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t="str">
        <f t="shared" si="23"/>
        <v/>
      </c>
      <c r="B152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t="str">
        <f t="shared" si="23"/>
        <v/>
      </c>
      <c r="B152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t="str">
        <f t="shared" si="23"/>
        <v/>
      </c>
      <c r="B152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t="str">
        <f t="shared" si="23"/>
        <v/>
      </c>
      <c r="B153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t="str">
        <f t="shared" si="23"/>
        <v/>
      </c>
      <c r="B153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t="str">
        <f t="shared" si="23"/>
        <v/>
      </c>
      <c r="B153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t="str">
        <f t="shared" si="23"/>
        <v/>
      </c>
      <c r="B153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t="str">
        <f t="shared" si="23"/>
        <v/>
      </c>
      <c r="B153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t="str">
        <f t="shared" si="23"/>
        <v/>
      </c>
      <c r="B153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t="str">
        <f t="shared" si="23"/>
        <v/>
      </c>
      <c r="B153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t="str">
        <f t="shared" si="23"/>
        <v/>
      </c>
      <c r="B153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t="str">
        <f t="shared" ref="A1538:A1557" si="24">IFERROR(LEFT(RIGHT(C1538,LEN(C1538)-SEARCH("@",C1538)),SEARCH("/",RIGHT(C1538,LEN(C1538)-SEARCH("@",C1538)-1))),"")</f>
        <v/>
      </c>
      <c r="B153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t="str">
        <f t="shared" si="24"/>
        <v/>
      </c>
      <c r="B153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t="str">
        <f t="shared" si="24"/>
        <v/>
      </c>
      <c r="B154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t="str">
        <f t="shared" si="24"/>
        <v/>
      </c>
      <c r="B154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t="str">
        <f t="shared" si="24"/>
        <v/>
      </c>
      <c r="B154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t="str">
        <f t="shared" si="24"/>
        <v/>
      </c>
      <c r="B154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t="str">
        <f t="shared" si="24"/>
        <v/>
      </c>
      <c r="B154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t="str">
        <f t="shared" si="24"/>
        <v/>
      </c>
      <c r="B154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t="str">
        <f t="shared" si="24"/>
        <v/>
      </c>
      <c r="B154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t="str">
        <f t="shared" si="24"/>
        <v/>
      </c>
      <c r="B154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t="str">
        <f t="shared" si="24"/>
        <v/>
      </c>
      <c r="B1548"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t="str">
        <f t="shared" si="24"/>
        <v/>
      </c>
      <c r="B1549"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t="str">
        <f t="shared" si="24"/>
        <v/>
      </c>
      <c r="B1550"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t="str">
        <f t="shared" si="24"/>
        <v/>
      </c>
      <c r="B155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t="str">
        <f t="shared" si="24"/>
        <v/>
      </c>
      <c r="B1552"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t="str">
        <f t="shared" si="24"/>
        <v/>
      </c>
      <c r="B1553"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t="str">
        <f t="shared" si="24"/>
        <v/>
      </c>
      <c r="B1554"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t="str">
        <f t="shared" si="24"/>
        <v/>
      </c>
      <c r="B1555"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t="str">
        <f t="shared" si="24"/>
        <v/>
      </c>
      <c r="B1556"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t="str">
        <f t="shared" si="24"/>
        <v/>
      </c>
      <c r="B1557"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K1:L4 EO1:XFD10 C3:J10 A3:B1557 K5 C11:K13 AH11:XFD14 C14:J18 M15:XFD17 AI18:XFD38 C19:K38 C39:XFD1557 A1558:XFD1048576">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74"/>
  <sheetViews>
    <sheetView showGridLines="0" zoomScale="85" zoomScaleNormal="85" zoomScaleSheetLayoutView="40" zoomScalePageLayoutView="30" workbookViewId="0">
      <pane xSplit="1" topLeftCell="Q1" activePane="topRight" state="frozen"/>
      <selection pane="topRight" activeCell="Y14" sqref="Y14"/>
    </sheetView>
  </sheetViews>
  <sheetFormatPr defaultColWidth="9.140625" defaultRowHeight="15" x14ac:dyDescent="0.25"/>
  <cols>
    <col min="1" max="1" width="29.5703125" customWidth="1"/>
    <col min="2" max="2" width="14.85546875" customWidth="1"/>
    <col min="3" max="5" width="25.85546875" bestFit="1" customWidth="1"/>
    <col min="6" max="8" width="26.42578125" bestFit="1" customWidth="1"/>
    <col min="9" max="9" width="26.42578125" customWidth="1"/>
    <col min="10" max="10" width="25.85546875" bestFit="1" customWidth="1"/>
    <col min="11" max="11" width="26.42578125" bestFit="1" customWidth="1"/>
    <col min="12" max="28" width="26.42578125" customWidth="1"/>
    <col min="29" max="29" width="26.42578125" bestFit="1" customWidth="1"/>
    <col min="30" max="30" width="18.28515625" bestFit="1" customWidth="1"/>
    <col min="31" max="31" width="14.85546875" customWidth="1"/>
    <col min="32" max="32" width="17.7109375" customWidth="1"/>
    <col min="33" max="34" width="25.85546875" bestFit="1" customWidth="1"/>
    <col min="35" max="52" width="25.85546875" customWidth="1"/>
    <col min="53" max="53" width="25.85546875" bestFit="1" customWidth="1"/>
  </cols>
  <sheetData>
    <row r="1" spans="1:53" ht="27" thickBot="1" x14ac:dyDescent="0.45">
      <c r="A1" s="185" t="s">
        <v>40</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6"/>
      <c r="AQ1" s="186"/>
      <c r="AR1" s="186"/>
      <c r="AS1" s="186"/>
      <c r="AT1" s="186"/>
      <c r="AU1" s="186"/>
      <c r="AV1" s="186"/>
      <c r="AW1" s="186"/>
      <c r="AX1" s="186"/>
      <c r="AY1" s="186"/>
      <c r="AZ1" s="186"/>
      <c r="BA1" s="187"/>
    </row>
    <row r="2" spans="1:53" ht="15.75" thickBot="1" x14ac:dyDescent="0.3"/>
    <row r="3" spans="1:53" ht="15.75" thickBot="1" x14ac:dyDescent="0.3">
      <c r="A3" s="35" t="s">
        <v>17</v>
      </c>
      <c r="B3" s="195" t="s">
        <v>6</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7"/>
      <c r="AE3" s="195" t="s">
        <v>3</v>
      </c>
      <c r="AF3" s="196"/>
      <c r="AG3" s="196"/>
      <c r="AH3" s="196"/>
      <c r="AI3" s="196"/>
      <c r="AJ3" s="196"/>
      <c r="AK3" s="196"/>
      <c r="AL3" s="196"/>
      <c r="AM3" s="196"/>
      <c r="AN3" s="196"/>
      <c r="AO3" s="196"/>
      <c r="AP3" s="196"/>
      <c r="AQ3" s="196"/>
      <c r="AR3" s="196"/>
      <c r="AS3" s="196"/>
      <c r="AT3" s="196"/>
      <c r="AU3" s="196"/>
      <c r="AV3" s="196"/>
      <c r="AW3" s="196"/>
      <c r="AX3" s="196"/>
      <c r="AY3" s="196"/>
      <c r="AZ3" s="196"/>
      <c r="BA3" s="197"/>
    </row>
    <row r="4" spans="1:53" x14ac:dyDescent="0.25">
      <c r="A4" s="18" t="s">
        <v>41</v>
      </c>
      <c r="B4" s="19" t="str">
        <f>'Page de garde'!A7</f>
        <v>Témoin solvant</v>
      </c>
      <c r="C4" s="19" t="str">
        <f>'Page de garde'!A9</f>
        <v>EE2-33,8ng/L</v>
      </c>
      <c r="D4" s="19" t="str">
        <f>'Page de garde'!A10</f>
        <v>EE2-50,6ng/L</v>
      </c>
      <c r="E4" s="19" t="str">
        <f>'Page de garde'!A11</f>
        <v>EE2-76ng/L</v>
      </c>
      <c r="F4" s="19" t="str">
        <f>'Page de garde'!A12</f>
        <v>EE2-114ng/L</v>
      </c>
      <c r="G4" s="19" t="str">
        <f>'Page de garde'!A13</f>
        <v>EE2-170,9ng/L</v>
      </c>
      <c r="H4" s="19" t="str">
        <f>'Page de garde'!A14</f>
        <v>EE2-488ng/L</v>
      </c>
      <c r="I4" s="19" t="str">
        <f>'Page de garde'!A15</f>
        <v>Triphénylphosphate-0,18mg/L</v>
      </c>
      <c r="J4" s="19" t="str">
        <f>'Page de garde'!A16</f>
        <v>Triphénylphosphate-0,26mg/L</v>
      </c>
      <c r="K4" s="19" t="str">
        <f>'Page de garde'!A17</f>
        <v>Triphénylphosphate-0,4mg/L</v>
      </c>
      <c r="L4" s="19" t="str">
        <f>'Page de garde'!A18</f>
        <v>Triphénylphosphate-0,59mg/L</v>
      </c>
      <c r="M4" s="19" t="str">
        <f>'Page de garde'!A19</f>
        <v>Triphénylphosphate-0,89mg/L</v>
      </c>
      <c r="N4" s="19" t="str">
        <f>'Page de garde'!A20</f>
        <v xml:space="preserve"> </v>
      </c>
      <c r="O4" s="20" t="str">
        <f>'Page de garde'!A36</f>
        <v>Testo -30µg/L</v>
      </c>
      <c r="P4" s="20" t="str">
        <f>'Page de garde'!A37</f>
        <v>Testo 30µg/L + EE2 -64ng/L</v>
      </c>
      <c r="Q4" s="20" t="str">
        <f>'Page de garde'!A38</f>
        <v>Testo 30µg/L + FAD-10mg/L</v>
      </c>
      <c r="R4" s="20" t="str">
        <f>'Page de garde'!A39</f>
        <v>Triphénylphosphate-0,18mg/L + Testostérone</v>
      </c>
      <c r="S4" s="20" t="str">
        <f>'Page de garde'!A40</f>
        <v>Triphénylphosphate-0,26mg/L + Testostérone</v>
      </c>
      <c r="T4" s="20" t="str">
        <f>'Page de garde'!A41</f>
        <v>Triphénylphosphate-0,4mg/L + Testostérone</v>
      </c>
      <c r="U4" s="20" t="str">
        <f>'Page de garde'!A42</f>
        <v>Triphénylphosphate-0,59mg/L + Testostérone</v>
      </c>
      <c r="V4" s="20" t="str">
        <f>'Page de garde'!A43</f>
        <v>Triphénylphosphate-0,89mg/L + Testostérone</v>
      </c>
      <c r="W4" s="20" t="str">
        <f>'Page de garde'!A44</f>
        <v>0-00 + Testostérone</v>
      </c>
      <c r="X4" s="20" t="str">
        <f>'Page de garde'!A45</f>
        <v>0-00 + Testostérone</v>
      </c>
      <c r="Y4" s="20" t="str">
        <f>'Page de garde'!A46</f>
        <v>0-00 + Testostérone</v>
      </c>
      <c r="Z4" s="20" t="str">
        <f>'Page de garde'!A47</f>
        <v>0-00 + Testostérone</v>
      </c>
      <c r="AA4" s="20" t="str">
        <f>'Page de garde'!A48</f>
        <v>0-00 + Testostérone</v>
      </c>
      <c r="AB4" s="20" t="str">
        <f>'Page de garde'!A49</f>
        <v>0-00 + Testostérone</v>
      </c>
      <c r="AC4" s="20" t="str">
        <f>'Page de garde'!A50</f>
        <v>0-00 + Testostérone</v>
      </c>
      <c r="AD4" s="20" t="str">
        <f>'Page de garde'!A51</f>
        <v>0-00 + Testostérone</v>
      </c>
      <c r="AE4" s="20" t="str">
        <f>'Page de garde'!A52</f>
        <v>0-00 + Testostérone</v>
      </c>
      <c r="AF4" s="20" t="str">
        <f>'Page de garde'!A53</f>
        <v>0-00 + Testostérone</v>
      </c>
      <c r="AG4" s="20" t="str">
        <f>'Page de garde'!A54</f>
        <v>0-00 + Testostérone</v>
      </c>
      <c r="AH4" s="20" t="str">
        <f>'Page de garde'!A55</f>
        <v>0-00 + Testostérone</v>
      </c>
      <c r="AI4" s="20" t="str">
        <f>'Page de garde'!A56</f>
        <v>0-00 + Testostérone</v>
      </c>
      <c r="AJ4" s="20" t="str">
        <f>'Page de garde'!A57</f>
        <v>0-00 + Testostérone</v>
      </c>
      <c r="AK4" s="20" t="str">
        <f>'Page de garde'!A58</f>
        <v>0-00 + Testostérone</v>
      </c>
    </row>
    <row r="5" spans="1:53" x14ac:dyDescent="0.25">
      <c r="A5" s="191" t="s">
        <v>33</v>
      </c>
      <c r="B5">
        <v>729219.5</v>
      </c>
      <c r="C5">
        <v>413015.66666666669</v>
      </c>
      <c r="D5">
        <v>908635.66666666663</v>
      </c>
      <c r="E5">
        <v>475216</v>
      </c>
      <c r="F5">
        <v>1070932</v>
      </c>
      <c r="G5">
        <v>2366973.6666666665</v>
      </c>
      <c r="H5">
        <v>8194968.666666667</v>
      </c>
      <c r="I5">
        <v>292068.33333333331</v>
      </c>
      <c r="J5">
        <v>896321</v>
      </c>
      <c r="K5">
        <v>593315.33333333337</v>
      </c>
      <c r="L5">
        <v>420326.33333333331</v>
      </c>
      <c r="M5">
        <v>5132716.333333333</v>
      </c>
      <c r="N5" s="11"/>
      <c r="O5">
        <v>5700422</v>
      </c>
      <c r="P5">
        <v>4565198.666666667</v>
      </c>
      <c r="Q5">
        <v>316575</v>
      </c>
      <c r="R5">
        <v>3953894</v>
      </c>
      <c r="S5">
        <v>3514468.6666666665</v>
      </c>
      <c r="T5">
        <v>5397495</v>
      </c>
      <c r="U5">
        <v>3812146.3333333335</v>
      </c>
      <c r="V5">
        <v>5842440</v>
      </c>
      <c r="W5" s="3"/>
      <c r="X5" s="3"/>
      <c r="Y5" s="3"/>
      <c r="Z5" s="3"/>
      <c r="AA5" s="3"/>
      <c r="AB5" s="3"/>
      <c r="AC5" s="3"/>
      <c r="AD5" s="3"/>
      <c r="AE5" s="3"/>
      <c r="AF5" s="3"/>
      <c r="AG5" s="3"/>
      <c r="AH5" s="3"/>
      <c r="AI5" s="3"/>
      <c r="AJ5" s="3"/>
      <c r="AK5" s="3"/>
    </row>
    <row r="6" spans="1:53" x14ac:dyDescent="0.25">
      <c r="A6" s="192"/>
      <c r="B6">
        <v>282713.5</v>
      </c>
      <c r="C6">
        <v>660285</v>
      </c>
      <c r="D6">
        <v>567244.33333333337</v>
      </c>
      <c r="E6">
        <v>450507.33333333331</v>
      </c>
      <c r="F6">
        <v>3767459</v>
      </c>
      <c r="G6">
        <v>2932336</v>
      </c>
      <c r="H6">
        <v>5952994</v>
      </c>
      <c r="I6">
        <v>639646.33333333337</v>
      </c>
      <c r="J6">
        <v>185555.66666666666</v>
      </c>
      <c r="K6">
        <v>231331.66666666666</v>
      </c>
      <c r="L6">
        <v>1426614.3333333333</v>
      </c>
      <c r="N6" s="11"/>
      <c r="O6">
        <v>3054033</v>
      </c>
      <c r="P6">
        <v>5159292.333333333</v>
      </c>
      <c r="Q6">
        <v>35084</v>
      </c>
      <c r="R6">
        <v>5074611.333333333</v>
      </c>
      <c r="S6">
        <v>5260779.666666667</v>
      </c>
      <c r="T6">
        <v>6270838</v>
      </c>
      <c r="U6">
        <v>6570052</v>
      </c>
      <c r="V6">
        <v>3379541</v>
      </c>
      <c r="W6" s="3"/>
      <c r="X6" s="3"/>
      <c r="Y6" s="3"/>
      <c r="Z6" s="3"/>
      <c r="AA6" s="3"/>
      <c r="AB6" s="3"/>
      <c r="AC6" s="3"/>
      <c r="AD6" s="3"/>
      <c r="AE6" s="3"/>
      <c r="AF6" s="3"/>
      <c r="AG6" s="3"/>
      <c r="AH6" s="3"/>
      <c r="AI6" s="3"/>
      <c r="AJ6" s="3"/>
      <c r="AK6" s="3"/>
    </row>
    <row r="7" spans="1:53" x14ac:dyDescent="0.25">
      <c r="A7" s="192"/>
      <c r="B7">
        <v>184106.66666666666</v>
      </c>
      <c r="C7">
        <v>234886.33333333334</v>
      </c>
      <c r="D7">
        <v>458954</v>
      </c>
      <c r="E7">
        <v>859478.33333333337</v>
      </c>
      <c r="F7">
        <v>673187.33333333337</v>
      </c>
      <c r="G7">
        <v>3818195.6666666665</v>
      </c>
      <c r="H7">
        <v>6442889.666666667</v>
      </c>
      <c r="I7">
        <v>35159.5</v>
      </c>
      <c r="J7">
        <v>171164.66666666666</v>
      </c>
      <c r="K7">
        <v>555290</v>
      </c>
      <c r="L7">
        <v>793572</v>
      </c>
      <c r="M7">
        <v>3019079</v>
      </c>
      <c r="N7" s="11"/>
      <c r="O7">
        <v>2811014</v>
      </c>
      <c r="P7">
        <v>4033622.3333333335</v>
      </c>
      <c r="Q7">
        <v>450990.66666666669</v>
      </c>
      <c r="R7">
        <v>5036405.333333333</v>
      </c>
      <c r="S7">
        <v>5678474.333333333</v>
      </c>
      <c r="T7">
        <v>5158686.333333333</v>
      </c>
      <c r="U7">
        <v>4598523</v>
      </c>
      <c r="V7">
        <v>6780049</v>
      </c>
      <c r="W7" s="3"/>
      <c r="X7" s="3"/>
      <c r="Y7" s="3"/>
      <c r="Z7" s="3"/>
      <c r="AA7" s="3"/>
      <c r="AB7" s="3"/>
      <c r="AC7" s="3"/>
      <c r="AD7" s="3"/>
      <c r="AE7" s="3"/>
      <c r="AF7" s="3"/>
      <c r="AG7" s="3"/>
      <c r="AH7" s="3"/>
      <c r="AI7" s="3"/>
      <c r="AJ7" s="3"/>
      <c r="AK7" s="3"/>
    </row>
    <row r="8" spans="1:53" x14ac:dyDescent="0.25">
      <c r="A8" s="192"/>
      <c r="B8">
        <v>537741</v>
      </c>
      <c r="C8">
        <v>378660</v>
      </c>
      <c r="D8">
        <v>947093.66666666663</v>
      </c>
      <c r="E8">
        <v>855534.33333333337</v>
      </c>
      <c r="F8">
        <v>1056014.6666666667</v>
      </c>
      <c r="G8">
        <v>4073961.6666666665</v>
      </c>
      <c r="H8">
        <v>6987249</v>
      </c>
      <c r="I8">
        <v>680671</v>
      </c>
      <c r="J8">
        <v>75048.333333333328</v>
      </c>
      <c r="K8">
        <v>835880</v>
      </c>
      <c r="L8">
        <v>3350946.5</v>
      </c>
      <c r="M8">
        <v>1340390</v>
      </c>
      <c r="N8" s="11"/>
      <c r="O8">
        <v>2858974.3333333335</v>
      </c>
      <c r="P8">
        <v>3484035.3333333335</v>
      </c>
      <c r="Q8">
        <v>423376.33333333331</v>
      </c>
      <c r="R8">
        <v>3682720.3333333335</v>
      </c>
      <c r="S8">
        <v>3979028</v>
      </c>
      <c r="T8">
        <v>3793991.5</v>
      </c>
      <c r="U8">
        <v>3533358.6666666665</v>
      </c>
      <c r="V8">
        <v>6393559</v>
      </c>
      <c r="W8" s="3"/>
      <c r="X8" s="3"/>
      <c r="Y8" s="3"/>
      <c r="Z8" s="3"/>
      <c r="AA8" s="3"/>
      <c r="AB8" s="3"/>
      <c r="AC8" s="3"/>
      <c r="AD8" s="3"/>
      <c r="AE8" s="3"/>
      <c r="AF8" s="3"/>
      <c r="AG8" s="3"/>
      <c r="AH8" s="3"/>
      <c r="AI8" s="3"/>
      <c r="AJ8" s="3"/>
      <c r="AK8" s="3"/>
    </row>
    <row r="9" spans="1:53" x14ac:dyDescent="0.25">
      <c r="A9" s="192"/>
      <c r="B9">
        <v>342650</v>
      </c>
      <c r="C9">
        <v>103830.33333333333</v>
      </c>
      <c r="D9">
        <v>505836.66666666669</v>
      </c>
      <c r="E9">
        <v>219406.33333333334</v>
      </c>
      <c r="F9">
        <v>2359100.6666666665</v>
      </c>
      <c r="G9">
        <v>1528620.3333333333</v>
      </c>
      <c r="H9">
        <v>4390977</v>
      </c>
      <c r="I9">
        <v>310281</v>
      </c>
      <c r="J9">
        <v>672437.33333333337</v>
      </c>
      <c r="K9">
        <v>783420</v>
      </c>
      <c r="L9">
        <v>2390881.6666666665</v>
      </c>
      <c r="M9">
        <v>4075836.3333333335</v>
      </c>
      <c r="N9" s="11"/>
      <c r="O9">
        <v>3195449</v>
      </c>
      <c r="P9">
        <v>2478576.6666666665</v>
      </c>
      <c r="Q9">
        <v>181958</v>
      </c>
      <c r="R9">
        <v>4368892.666666667</v>
      </c>
      <c r="S9">
        <v>5344628</v>
      </c>
      <c r="T9">
        <v>4611962</v>
      </c>
      <c r="U9">
        <v>3855204.3333333335</v>
      </c>
      <c r="V9">
        <v>3475859</v>
      </c>
      <c r="W9" s="3"/>
      <c r="X9" s="3"/>
      <c r="Y9" s="3"/>
      <c r="Z9" s="3"/>
      <c r="AA9" s="3"/>
      <c r="AB9" s="3"/>
      <c r="AC9" s="3"/>
      <c r="AD9" s="3"/>
      <c r="AE9" s="3"/>
      <c r="AF9" s="3"/>
      <c r="AG9" s="3"/>
      <c r="AH9" s="3"/>
      <c r="AI9" s="3"/>
      <c r="AJ9" s="3"/>
      <c r="AK9" s="3"/>
    </row>
    <row r="10" spans="1:53" x14ac:dyDescent="0.25">
      <c r="A10" s="192"/>
      <c r="B10">
        <v>893282</v>
      </c>
      <c r="D10">
        <v>682279</v>
      </c>
      <c r="F10">
        <v>252074.66666666666</v>
      </c>
      <c r="G10">
        <v>2462916.6666666665</v>
      </c>
      <c r="H10">
        <v>4346931</v>
      </c>
      <c r="I10">
        <v>333417.33333333331</v>
      </c>
      <c r="J10">
        <v>1192686.6666666667</v>
      </c>
      <c r="K10">
        <v>556616.66666666663</v>
      </c>
      <c r="L10">
        <v>721277.66666666663</v>
      </c>
      <c r="M10">
        <v>3379455</v>
      </c>
      <c r="N10" s="11"/>
      <c r="O10">
        <v>3910728</v>
      </c>
      <c r="P10">
        <v>3579639.3333333335</v>
      </c>
      <c r="Q10">
        <v>105539.66666666667</v>
      </c>
      <c r="R10">
        <v>4825305</v>
      </c>
      <c r="S10">
        <v>32802</v>
      </c>
      <c r="T10">
        <v>3965898.6666666665</v>
      </c>
      <c r="U10">
        <v>2793083</v>
      </c>
      <c r="V10">
        <v>5557628.333333333</v>
      </c>
      <c r="W10" s="3"/>
      <c r="X10" s="3"/>
      <c r="Y10" s="3"/>
      <c r="Z10" s="3"/>
      <c r="AA10" s="3"/>
      <c r="AB10" s="3"/>
      <c r="AC10" s="3"/>
      <c r="AD10" s="3"/>
      <c r="AE10" s="3"/>
      <c r="AF10" s="3"/>
      <c r="AG10" s="3"/>
      <c r="AH10" s="3"/>
      <c r="AI10" s="3"/>
      <c r="AJ10" s="3"/>
      <c r="AK10" s="3"/>
    </row>
    <row r="11" spans="1:53" x14ac:dyDescent="0.25">
      <c r="A11" s="192"/>
      <c r="B11">
        <v>308961</v>
      </c>
      <c r="C11">
        <v>412864.33333333331</v>
      </c>
      <c r="F11">
        <v>2308053.6666666665</v>
      </c>
      <c r="G11">
        <v>713058.33333333337</v>
      </c>
      <c r="H11">
        <v>5154685</v>
      </c>
      <c r="I11">
        <v>201122</v>
      </c>
      <c r="J11">
        <v>893758</v>
      </c>
      <c r="K11">
        <v>1711963</v>
      </c>
      <c r="L11">
        <v>909148</v>
      </c>
      <c r="N11" s="11"/>
      <c r="O11">
        <v>1448309</v>
      </c>
      <c r="P11">
        <v>3431546.6666666665</v>
      </c>
      <c r="Q11">
        <v>415878</v>
      </c>
      <c r="R11">
        <v>2937739.5</v>
      </c>
      <c r="S11">
        <v>5504902</v>
      </c>
      <c r="T11">
        <v>5336751.333333333</v>
      </c>
      <c r="U11">
        <v>4948985</v>
      </c>
      <c r="V11">
        <v>4730234.333333333</v>
      </c>
      <c r="W11" s="3"/>
      <c r="X11" s="3"/>
      <c r="Y11" s="3"/>
      <c r="Z11" s="3"/>
      <c r="AA11" s="3"/>
      <c r="AB11" s="3"/>
      <c r="AC11" s="3"/>
      <c r="AD11" s="3"/>
      <c r="AE11" s="3"/>
      <c r="AF11" s="3"/>
      <c r="AG11" s="3"/>
      <c r="AH11" s="3"/>
      <c r="AI11" s="3"/>
      <c r="AJ11" s="3"/>
      <c r="AK11" s="3"/>
    </row>
    <row r="12" spans="1:53" x14ac:dyDescent="0.25">
      <c r="A12" s="192"/>
      <c r="B12">
        <v>261159.33333333334</v>
      </c>
      <c r="C12">
        <v>864258.66666666663</v>
      </c>
      <c r="D12">
        <v>270784.66666666669</v>
      </c>
      <c r="E12">
        <v>229633.5</v>
      </c>
      <c r="F12">
        <v>1703195.3333333333</v>
      </c>
      <c r="G12">
        <v>3234138</v>
      </c>
      <c r="H12">
        <v>5845320.666666667</v>
      </c>
      <c r="I12">
        <v>176817.33333333334</v>
      </c>
      <c r="J12">
        <v>412648</v>
      </c>
      <c r="L12">
        <v>1172282.6666666667</v>
      </c>
      <c r="N12" s="11"/>
      <c r="O12">
        <v>4555724.333333333</v>
      </c>
      <c r="P12">
        <v>4351188.5</v>
      </c>
      <c r="Q12">
        <v>90809.333333333328</v>
      </c>
      <c r="R12">
        <v>2767516.3333333335</v>
      </c>
      <c r="S12">
        <v>2103125</v>
      </c>
      <c r="T12">
        <v>4050868.3333333335</v>
      </c>
      <c r="U12">
        <v>5272589.666666667</v>
      </c>
      <c r="V12">
        <v>4674350</v>
      </c>
      <c r="W12" s="3"/>
      <c r="X12" s="3"/>
      <c r="Y12" s="3"/>
      <c r="Z12" s="3"/>
      <c r="AA12" s="3"/>
      <c r="AB12" s="3"/>
      <c r="AC12" s="3"/>
      <c r="AD12" s="3"/>
      <c r="AE12" s="3"/>
      <c r="AF12" s="3"/>
      <c r="AG12" s="3"/>
      <c r="AH12" s="3"/>
      <c r="AI12" s="3"/>
      <c r="AJ12" s="3"/>
      <c r="AK12" s="3"/>
    </row>
    <row r="13" spans="1:53" ht="16.5" x14ac:dyDescent="0.25">
      <c r="A13" s="192"/>
      <c r="B13" s="12"/>
      <c r="C13" s="11"/>
      <c r="D13" s="3"/>
      <c r="E13" s="3"/>
      <c r="F13" s="3"/>
      <c r="G13" s="3"/>
      <c r="H13" s="3"/>
      <c r="I13" s="3"/>
      <c r="J13" s="3"/>
      <c r="K13" s="11"/>
      <c r="L13" s="11"/>
      <c r="M13" s="11"/>
      <c r="N13" s="11"/>
      <c r="O13">
        <v>3447653.6666666665</v>
      </c>
      <c r="P13" s="11"/>
      <c r="Q13" s="11"/>
      <c r="R13" s="3"/>
      <c r="S13" s="3"/>
      <c r="T13" s="3"/>
      <c r="U13" s="3"/>
      <c r="V13" s="3"/>
      <c r="W13" s="3"/>
      <c r="X13" s="3"/>
      <c r="Y13" s="3"/>
      <c r="Z13" s="3"/>
      <c r="AA13" s="3"/>
      <c r="AB13" s="3"/>
      <c r="AC13" s="3"/>
      <c r="AD13" s="3"/>
      <c r="AE13" s="3"/>
      <c r="AF13" s="3"/>
      <c r="AG13" s="3"/>
      <c r="AH13" s="3"/>
      <c r="AI13" s="3"/>
      <c r="AJ13" s="3"/>
      <c r="AK13" s="3"/>
    </row>
    <row r="14" spans="1:53" ht="16.5" x14ac:dyDescent="0.25">
      <c r="A14" s="192"/>
      <c r="B14" s="12"/>
      <c r="C14" s="3"/>
      <c r="D14" s="3"/>
      <c r="E14" s="3"/>
      <c r="F14" s="3"/>
      <c r="G14" s="3"/>
      <c r="H14" s="3"/>
      <c r="I14" s="3"/>
      <c r="J14" s="3"/>
      <c r="K14" s="11"/>
      <c r="L14" s="11"/>
      <c r="M14" s="11"/>
      <c r="N14" s="11"/>
      <c r="O14">
        <v>2711970.3333333335</v>
      </c>
      <c r="P14" s="11"/>
      <c r="Q14" s="11"/>
      <c r="R14" s="3"/>
      <c r="S14" s="3"/>
      <c r="T14" s="3"/>
      <c r="U14" s="3"/>
      <c r="V14" s="3"/>
      <c r="W14" s="3"/>
      <c r="X14" s="3"/>
      <c r="Y14" s="3"/>
      <c r="Z14" s="3"/>
      <c r="AA14" s="3"/>
      <c r="AB14" s="3"/>
      <c r="AC14" s="3"/>
      <c r="AD14" s="3"/>
      <c r="AE14" s="3"/>
      <c r="AF14" s="3"/>
      <c r="AG14" s="3"/>
      <c r="AH14" s="3"/>
      <c r="AI14" s="3"/>
      <c r="AJ14" s="3"/>
      <c r="AK14" s="3"/>
    </row>
    <row r="15" spans="1:53" ht="16.5" x14ac:dyDescent="0.25">
      <c r="A15" s="192"/>
      <c r="B15" s="12"/>
      <c r="C15" s="3"/>
      <c r="D15" s="3"/>
      <c r="E15" s="3"/>
      <c r="F15" s="3"/>
      <c r="G15" s="3"/>
      <c r="H15" s="3"/>
      <c r="I15" s="3"/>
      <c r="J15" s="3"/>
      <c r="K15" s="11"/>
      <c r="L15" s="11"/>
      <c r="M15" s="11"/>
      <c r="N15" s="11"/>
      <c r="O15">
        <v>3509818.5</v>
      </c>
      <c r="P15" s="11"/>
      <c r="Q15" s="11"/>
      <c r="R15" s="3"/>
      <c r="S15" s="3"/>
      <c r="T15" s="3"/>
      <c r="U15" s="3"/>
      <c r="V15" s="3"/>
      <c r="W15" s="3"/>
      <c r="X15" s="3"/>
      <c r="Y15" s="3"/>
      <c r="Z15" s="3"/>
      <c r="AA15" s="3"/>
      <c r="AB15" s="3"/>
      <c r="AC15" s="3"/>
      <c r="AD15" s="3"/>
      <c r="AE15" s="3"/>
      <c r="AF15" s="3"/>
      <c r="AG15" s="3"/>
      <c r="AH15" s="3"/>
      <c r="AI15" s="3"/>
      <c r="AJ15" s="3"/>
      <c r="AK15" s="3"/>
    </row>
    <row r="16" spans="1:53" ht="16.5" x14ac:dyDescent="0.25">
      <c r="A16" s="192"/>
      <c r="B16" s="12"/>
      <c r="C16" s="3"/>
      <c r="D16" s="3"/>
      <c r="E16" s="3"/>
      <c r="F16" s="3"/>
      <c r="G16" s="3"/>
      <c r="H16" s="3"/>
      <c r="I16" s="3"/>
      <c r="J16" s="3"/>
      <c r="K16" s="11"/>
      <c r="L16" s="11"/>
      <c r="M16" s="11"/>
      <c r="N16" s="11"/>
      <c r="O16">
        <v>3232868.6666666665</v>
      </c>
      <c r="P16" s="11"/>
      <c r="Q16" s="11"/>
      <c r="R16" s="3"/>
      <c r="S16" s="3"/>
      <c r="T16" s="3"/>
      <c r="U16" s="3"/>
      <c r="V16" s="3"/>
      <c r="W16" s="3"/>
      <c r="X16" s="3"/>
      <c r="Y16" s="3"/>
      <c r="Z16" s="3"/>
      <c r="AA16" s="3"/>
      <c r="AB16" s="3"/>
      <c r="AC16" s="3"/>
      <c r="AD16" s="3"/>
      <c r="AE16" s="3"/>
      <c r="AF16" s="3"/>
      <c r="AG16" s="3"/>
      <c r="AH16" s="3"/>
      <c r="AI16" s="3"/>
      <c r="AJ16" s="3"/>
      <c r="AK16" s="3"/>
    </row>
    <row r="17" spans="1:53" ht="16.5" x14ac:dyDescent="0.25">
      <c r="A17" s="192"/>
      <c r="B17" s="12"/>
      <c r="C17" s="3"/>
      <c r="D17" s="3"/>
      <c r="E17" s="3"/>
      <c r="F17" s="3"/>
      <c r="G17" s="3"/>
      <c r="H17" s="3"/>
      <c r="I17" s="3"/>
      <c r="J17" s="3"/>
      <c r="K17" s="11"/>
      <c r="L17" s="11"/>
      <c r="M17" s="11"/>
      <c r="N17" s="11"/>
      <c r="O17">
        <v>4445570.333333333</v>
      </c>
      <c r="P17" s="11"/>
      <c r="Q17" s="11"/>
      <c r="R17" s="3"/>
      <c r="S17" s="3"/>
      <c r="T17" s="3"/>
      <c r="U17" s="3"/>
      <c r="V17" s="3"/>
      <c r="W17" s="3"/>
      <c r="X17" s="3"/>
      <c r="Y17" s="3"/>
      <c r="Z17" s="3"/>
      <c r="AA17" s="3"/>
      <c r="AB17" s="3"/>
      <c r="AC17" s="3"/>
      <c r="AD17" s="3"/>
      <c r="AE17" s="3"/>
      <c r="AF17" s="3"/>
      <c r="AG17" s="3"/>
      <c r="AH17" s="3"/>
      <c r="AI17" s="3"/>
      <c r="AJ17" s="3"/>
      <c r="AK17" s="3"/>
    </row>
    <row r="18" spans="1:53" ht="16.5" x14ac:dyDescent="0.25">
      <c r="A18" s="192"/>
      <c r="B18" s="12"/>
      <c r="C18" s="3"/>
      <c r="D18" s="3"/>
      <c r="E18" s="3"/>
      <c r="F18" s="3"/>
      <c r="G18" s="3"/>
      <c r="H18" s="3"/>
      <c r="I18" s="3"/>
      <c r="J18" s="3"/>
      <c r="K18" s="11"/>
      <c r="L18" s="11"/>
      <c r="M18" s="11"/>
      <c r="N18" s="11"/>
      <c r="O18">
        <v>3696188.6666666665</v>
      </c>
      <c r="P18" s="11"/>
      <c r="Q18" s="11"/>
      <c r="R18" s="3"/>
      <c r="S18" s="3"/>
      <c r="T18" s="3"/>
      <c r="U18" s="3"/>
      <c r="V18" s="3"/>
      <c r="W18" s="3"/>
      <c r="X18" s="3"/>
      <c r="Y18" s="3"/>
      <c r="Z18" s="3"/>
      <c r="AA18" s="3"/>
      <c r="AB18" s="3"/>
      <c r="AC18" s="3"/>
      <c r="AD18" s="3"/>
      <c r="AE18" s="3"/>
      <c r="AF18" s="3"/>
      <c r="AG18" s="3"/>
      <c r="AH18" s="3"/>
      <c r="AI18" s="3"/>
      <c r="AJ18" s="3"/>
      <c r="AK18" s="3"/>
    </row>
    <row r="19" spans="1:53" ht="16.5" x14ac:dyDescent="0.25">
      <c r="A19" s="192"/>
      <c r="B19" s="12"/>
      <c r="C19" s="3"/>
      <c r="D19" s="3"/>
      <c r="E19" s="3"/>
      <c r="F19" s="3"/>
      <c r="G19" s="3"/>
      <c r="H19" s="3"/>
      <c r="I19" s="3"/>
      <c r="J19" s="3"/>
      <c r="K19" s="11"/>
      <c r="L19" s="11"/>
      <c r="M19" s="11"/>
      <c r="N19" s="11"/>
      <c r="O19">
        <v>2895096.5</v>
      </c>
      <c r="P19" s="11"/>
      <c r="Q19" s="11"/>
      <c r="R19" s="3"/>
      <c r="S19" s="3"/>
      <c r="T19" s="3"/>
      <c r="U19" s="3"/>
      <c r="V19" s="3"/>
      <c r="W19" s="3"/>
      <c r="X19" s="3"/>
      <c r="Y19" s="3"/>
      <c r="Z19" s="3"/>
      <c r="AA19" s="3"/>
      <c r="AB19" s="3"/>
      <c r="AC19" s="3"/>
      <c r="AD19" s="3"/>
      <c r="AE19" s="3"/>
      <c r="AF19" s="3"/>
      <c r="AG19" s="3"/>
      <c r="AH19" s="3"/>
      <c r="AI19" s="3"/>
      <c r="AJ19" s="3"/>
      <c r="AK19" s="3"/>
    </row>
    <row r="20" spans="1:53" ht="16.5" x14ac:dyDescent="0.25">
      <c r="A20" s="192"/>
      <c r="B20" s="12"/>
      <c r="C20" s="3"/>
      <c r="D20" s="3"/>
      <c r="E20" s="3"/>
      <c r="F20" s="3"/>
      <c r="G20" s="3"/>
      <c r="H20" s="3"/>
      <c r="I20" s="3"/>
      <c r="J20" s="3"/>
      <c r="K20" s="11"/>
      <c r="L20" s="11"/>
      <c r="M20" s="11"/>
      <c r="N20" s="11"/>
      <c r="O20">
        <v>3916799</v>
      </c>
      <c r="P20" s="11"/>
      <c r="Q20" s="11"/>
      <c r="R20" s="3"/>
      <c r="S20" s="3"/>
      <c r="T20" s="3"/>
      <c r="U20" s="3"/>
      <c r="V20" s="3"/>
      <c r="W20" s="3"/>
      <c r="X20" s="3"/>
      <c r="Y20" s="3"/>
      <c r="Z20" s="3"/>
      <c r="AA20" s="3"/>
      <c r="AB20" s="3"/>
      <c r="AC20" s="3"/>
      <c r="AD20" s="3"/>
      <c r="AE20" s="3"/>
      <c r="AF20" s="3"/>
      <c r="AG20" s="3"/>
      <c r="AH20" s="3"/>
      <c r="AI20" s="3"/>
      <c r="AJ20" s="3"/>
      <c r="AK20" s="3"/>
    </row>
    <row r="21" spans="1:53" ht="16.5" x14ac:dyDescent="0.25">
      <c r="A21" s="50"/>
      <c r="B21" s="10"/>
      <c r="C21" s="2"/>
      <c r="D21" s="2"/>
      <c r="E21" s="2"/>
      <c r="F21" s="2"/>
      <c r="G21" s="2"/>
      <c r="H21" s="2"/>
      <c r="I21" s="2"/>
      <c r="J21" s="2"/>
      <c r="O21" s="2"/>
      <c r="R21" s="2"/>
      <c r="S21" s="2"/>
      <c r="T21" s="2"/>
      <c r="U21" s="2"/>
      <c r="V21" s="2"/>
      <c r="W21" s="2"/>
      <c r="X21" s="2"/>
      <c r="Y21" s="2"/>
      <c r="Z21" s="2"/>
      <c r="AA21" s="2"/>
      <c r="AB21" s="2"/>
      <c r="AC21" s="2"/>
      <c r="AD21" s="2"/>
      <c r="AE21" s="2"/>
      <c r="AF21" s="2"/>
      <c r="AG21" s="2"/>
      <c r="AH21" s="2"/>
      <c r="AI21" s="2"/>
      <c r="AJ21" s="2"/>
      <c r="AK21" s="2"/>
    </row>
    <row r="22" spans="1:53" s="52" customFormat="1" x14ac:dyDescent="0.25">
      <c r="A22" s="51" t="str">
        <f t="shared" ref="A22:N22" si="0">A4</f>
        <v>Noms des groupes</v>
      </c>
      <c r="B22" s="51" t="str">
        <f t="shared" si="0"/>
        <v>Témoin solvant</v>
      </c>
      <c r="C22" s="51" t="str">
        <f t="shared" si="0"/>
        <v>EE2-33,8ng/L</v>
      </c>
      <c r="D22" s="51" t="str">
        <f t="shared" si="0"/>
        <v>EE2-50,6ng/L</v>
      </c>
      <c r="E22" s="51" t="str">
        <f t="shared" si="0"/>
        <v>EE2-76ng/L</v>
      </c>
      <c r="F22" s="51" t="str">
        <f t="shared" si="0"/>
        <v>EE2-114ng/L</v>
      </c>
      <c r="G22" s="51" t="str">
        <f t="shared" si="0"/>
        <v>EE2-170,9ng/L</v>
      </c>
      <c r="H22" s="51" t="str">
        <f t="shared" si="0"/>
        <v>EE2-488ng/L</v>
      </c>
      <c r="I22" s="51" t="str">
        <f t="shared" si="0"/>
        <v>Triphénylphosphate-0,18mg/L</v>
      </c>
      <c r="J22" s="51" t="str">
        <f t="shared" si="0"/>
        <v>Triphénylphosphate-0,26mg/L</v>
      </c>
      <c r="K22" s="51" t="str">
        <f t="shared" si="0"/>
        <v>Triphénylphosphate-0,4mg/L</v>
      </c>
      <c r="L22" s="51" t="str">
        <f t="shared" si="0"/>
        <v>Triphénylphosphate-0,59mg/L</v>
      </c>
      <c r="M22" s="51" t="str">
        <f t="shared" si="0"/>
        <v>Triphénylphosphate-0,89mg/L</v>
      </c>
      <c r="N22" s="51" t="str">
        <f t="shared" si="0"/>
        <v xml:space="preserve"> </v>
      </c>
      <c r="O22" s="51" t="e">
        <f>#REF!</f>
        <v>#REF!</v>
      </c>
      <c r="P22" s="51" t="e">
        <f>#REF!</f>
        <v>#REF!</v>
      </c>
      <c r="Q22" s="51" t="e">
        <f>#REF!</f>
        <v>#REF!</v>
      </c>
      <c r="R22" s="51" t="e">
        <f>#REF!</f>
        <v>#REF!</v>
      </c>
      <c r="S22" s="51" t="e">
        <f>#REF!</f>
        <v>#REF!</v>
      </c>
      <c r="T22" s="51" t="e">
        <f>#REF!</f>
        <v>#REF!</v>
      </c>
      <c r="U22" s="51" t="e">
        <f>#REF!</f>
        <v>#REF!</v>
      </c>
      <c r="V22" s="51" t="e">
        <f>#REF!</f>
        <v>#REF!</v>
      </c>
      <c r="W22" s="51" t="e">
        <f>#REF!</f>
        <v>#REF!</v>
      </c>
      <c r="X22" s="51" t="e">
        <f>#REF!</f>
        <v>#REF!</v>
      </c>
      <c r="Y22" s="51" t="e">
        <f>#REF!</f>
        <v>#REF!</v>
      </c>
      <c r="Z22" s="51" t="e">
        <f>#REF!</f>
        <v>#REF!</v>
      </c>
      <c r="AA22" s="51" t="e">
        <f>#REF!</f>
        <v>#REF!</v>
      </c>
      <c r="AB22" s="51" t="e">
        <f>#REF!</f>
        <v>#REF!</v>
      </c>
      <c r="AC22" s="51" t="e">
        <f>#REF!</f>
        <v>#REF!</v>
      </c>
      <c r="AD22" s="51" t="s">
        <v>47</v>
      </c>
      <c r="AE22" s="51" t="str">
        <f>O4</f>
        <v>Testo -30µg/L</v>
      </c>
      <c r="AF22" s="51" t="str">
        <f>P4</f>
        <v>Testo 30µg/L + EE2 -64ng/L</v>
      </c>
      <c r="AG22" s="51" t="str">
        <f>Q4</f>
        <v>Testo 30µg/L + FAD-10mg/L</v>
      </c>
      <c r="AH22" s="51" t="str">
        <f>R4</f>
        <v>Triphénylphosphate-0,18mg/L + Testostérone</v>
      </c>
      <c r="AI22" s="51" t="str">
        <f>S4</f>
        <v>Triphénylphosphate-0,26mg/L + Testostérone</v>
      </c>
      <c r="AJ22" s="51" t="str">
        <f>T4</f>
        <v>Triphénylphosphate-0,4mg/L + Testostérone</v>
      </c>
      <c r="AK22" s="51" t="str">
        <f>U4</f>
        <v>Triphénylphosphate-0,59mg/L + Testostérone</v>
      </c>
      <c r="AL22" s="51" t="str">
        <f>V4</f>
        <v>Triphénylphosphate-0,89mg/L + Testostérone</v>
      </c>
      <c r="AM22" s="51" t="str">
        <f>W4</f>
        <v>0-00 + Testostérone</v>
      </c>
      <c r="AN22" s="51" t="str">
        <f>X4</f>
        <v>0-00 + Testostérone</v>
      </c>
      <c r="AO22" s="51" t="str">
        <f>Y4</f>
        <v>0-00 + Testostérone</v>
      </c>
      <c r="AP22" s="51" t="str">
        <f>Z4</f>
        <v>0-00 + Testostérone</v>
      </c>
      <c r="AQ22" s="51" t="str">
        <f>AA4</f>
        <v>0-00 + Testostérone</v>
      </c>
      <c r="AR22" s="51" t="str">
        <f>AB4</f>
        <v>0-00 + Testostérone</v>
      </c>
      <c r="AS22" s="51" t="str">
        <f>AC4</f>
        <v>0-00 + Testostérone</v>
      </c>
      <c r="AT22" s="51" t="str">
        <f>AD4</f>
        <v>0-00 + Testostérone</v>
      </c>
      <c r="AU22" s="51" t="str">
        <f>AE4</f>
        <v>0-00 + Testostérone</v>
      </c>
      <c r="AV22" s="51" t="str">
        <f>AF4</f>
        <v>0-00 + Testostérone</v>
      </c>
      <c r="AW22" s="51" t="str">
        <f>AG4</f>
        <v>0-00 + Testostérone</v>
      </c>
      <c r="AX22" s="51" t="str">
        <f>AH4</f>
        <v>0-00 + Testostérone</v>
      </c>
      <c r="AY22" s="51" t="str">
        <f>AI4</f>
        <v>0-00 + Testostérone</v>
      </c>
      <c r="AZ22" s="51" t="str">
        <f>AJ4</f>
        <v>0-00 + Testostérone</v>
      </c>
      <c r="BA22" s="51" t="str">
        <f>AK4</f>
        <v>0-00 + Testostérone</v>
      </c>
    </row>
    <row r="23" spans="1:53" x14ac:dyDescent="0.25">
      <c r="A23" s="4" t="s">
        <v>0</v>
      </c>
      <c r="B23" s="4">
        <f t="shared" ref="B23:N23" si="1">AVERAGE(B5:B20)</f>
        <v>442479.12500000006</v>
      </c>
      <c r="C23" s="4">
        <f t="shared" si="1"/>
        <v>438257.19047619042</v>
      </c>
      <c r="D23" s="4">
        <f t="shared" si="1"/>
        <v>620118.28571428568</v>
      </c>
      <c r="E23" s="4">
        <f t="shared" si="1"/>
        <v>514962.63888888893</v>
      </c>
      <c r="F23" s="4">
        <f t="shared" si="1"/>
        <v>1648752.1666666665</v>
      </c>
      <c r="G23" s="4">
        <f t="shared" si="1"/>
        <v>2641275.0416666665</v>
      </c>
      <c r="H23" s="4">
        <f t="shared" si="1"/>
        <v>5914501.875</v>
      </c>
      <c r="I23" s="4">
        <f t="shared" si="1"/>
        <v>333647.85416666669</v>
      </c>
      <c r="J23" s="4">
        <f t="shared" si="1"/>
        <v>562452.45833333337</v>
      </c>
      <c r="K23" s="4">
        <f t="shared" si="1"/>
        <v>752545.23809523799</v>
      </c>
      <c r="L23" s="4">
        <f t="shared" si="1"/>
        <v>1398131.145833333</v>
      </c>
      <c r="M23" s="4">
        <f t="shared" si="1"/>
        <v>3389495.333333333</v>
      </c>
      <c r="N23" s="4" t="e">
        <f t="shared" si="1"/>
        <v>#DIV/0!</v>
      </c>
      <c r="O23" s="4" t="e">
        <f>AVERAGE(#REF!)</f>
        <v>#REF!</v>
      </c>
      <c r="P23" s="4" t="e">
        <f>AVERAGE(#REF!)</f>
        <v>#REF!</v>
      </c>
      <c r="Q23" s="4" t="e">
        <f>AVERAGE(#REF!)</f>
        <v>#REF!</v>
      </c>
      <c r="R23" s="4" t="e">
        <f>AVERAGE(#REF!)</f>
        <v>#REF!</v>
      </c>
      <c r="S23" s="4" t="e">
        <f>AVERAGE(#REF!)</f>
        <v>#REF!</v>
      </c>
      <c r="T23" s="4" t="e">
        <f>AVERAGE(#REF!)</f>
        <v>#REF!</v>
      </c>
      <c r="U23" s="4" t="e">
        <f>AVERAGE(#REF!)</f>
        <v>#REF!</v>
      </c>
      <c r="V23" s="4" t="e">
        <f>AVERAGE(#REF!)</f>
        <v>#REF!</v>
      </c>
      <c r="W23" s="4" t="e">
        <f>AVERAGE(#REF!)</f>
        <v>#REF!</v>
      </c>
      <c r="X23" s="4" t="e">
        <f>AVERAGE(#REF!)</f>
        <v>#REF!</v>
      </c>
      <c r="Y23" s="4" t="e">
        <f>AVERAGE(#REF!)</f>
        <v>#REF!</v>
      </c>
      <c r="Z23" s="4" t="e">
        <f>AVERAGE(#REF!)</f>
        <v>#REF!</v>
      </c>
      <c r="AA23" s="4" t="e">
        <f>AVERAGE(#REF!)</f>
        <v>#REF!</v>
      </c>
      <c r="AB23" s="4" t="e">
        <f>AVERAGE(#REF!)</f>
        <v>#REF!</v>
      </c>
      <c r="AC23" s="4" t="e">
        <f>AVERAGE(#REF!)</f>
        <v>#REF!</v>
      </c>
      <c r="AD23" s="4" t="s">
        <v>0</v>
      </c>
      <c r="AE23" s="4">
        <f>AVERAGE(O5:O20)</f>
        <v>3461913.7083333335</v>
      </c>
      <c r="AF23" s="4">
        <f>AVERAGE(P5:P20)</f>
        <v>3885387.479166667</v>
      </c>
      <c r="AG23" s="4">
        <f>AVERAGE(Q5:Q20)</f>
        <v>252526.375</v>
      </c>
      <c r="AH23" s="4">
        <f>AVERAGE(R5:R20)</f>
        <v>4080885.5624999995</v>
      </c>
      <c r="AI23" s="4">
        <f>AVERAGE(S5:S20)</f>
        <v>3927275.9583333335</v>
      </c>
      <c r="AJ23" s="4">
        <f>AVERAGE(T5:T20)</f>
        <v>4823311.395833334</v>
      </c>
      <c r="AK23" s="4">
        <f>AVERAGE(U5:U20)</f>
        <v>4422992.75</v>
      </c>
      <c r="AL23" s="4">
        <f>AVERAGE(V5:V20)</f>
        <v>5104207.583333333</v>
      </c>
      <c r="AM23" s="4" t="e">
        <f>AVERAGE(W5:W20)</f>
        <v>#DIV/0!</v>
      </c>
      <c r="AN23" s="4" t="e">
        <f>AVERAGE(X5:X20)</f>
        <v>#DIV/0!</v>
      </c>
      <c r="AO23" s="4" t="e">
        <f>AVERAGE(Y5:Y20)</f>
        <v>#DIV/0!</v>
      </c>
      <c r="AP23" s="4" t="e">
        <f>AVERAGE(Z5:Z20)</f>
        <v>#DIV/0!</v>
      </c>
      <c r="AQ23" s="4" t="e">
        <f>AVERAGE(AA5:AA20)</f>
        <v>#DIV/0!</v>
      </c>
      <c r="AR23" s="4" t="e">
        <f>AVERAGE(AB5:AB20)</f>
        <v>#DIV/0!</v>
      </c>
      <c r="AS23" s="4" t="e">
        <f>AVERAGE(AC5:AC20)</f>
        <v>#DIV/0!</v>
      </c>
      <c r="AT23" s="4" t="e">
        <f>AVERAGE(AD5:AD20)</f>
        <v>#DIV/0!</v>
      </c>
      <c r="AU23" s="4" t="e">
        <f>AVERAGE(AE5:AE20)</f>
        <v>#DIV/0!</v>
      </c>
      <c r="AV23" s="4" t="e">
        <f>AVERAGE(AF5:AF20)</f>
        <v>#DIV/0!</v>
      </c>
      <c r="AW23" s="4" t="e">
        <f>AVERAGE(AG5:AG20)</f>
        <v>#DIV/0!</v>
      </c>
      <c r="AX23" s="4" t="e">
        <f>AVERAGE(AH5:AH20)</f>
        <v>#DIV/0!</v>
      </c>
      <c r="AY23" s="4" t="e">
        <f>AVERAGE(AI5:AI20)</f>
        <v>#DIV/0!</v>
      </c>
      <c r="AZ23" s="4" t="e">
        <f>AVERAGE(AJ5:AJ20)</f>
        <v>#DIV/0!</v>
      </c>
      <c r="BA23" s="4" t="e">
        <f>AVERAGE(AK5:AK20)</f>
        <v>#DIV/0!</v>
      </c>
    </row>
    <row r="24" spans="1:53" x14ac:dyDescent="0.25">
      <c r="A24" s="2" t="s">
        <v>1</v>
      </c>
      <c r="B24" s="2">
        <f t="shared" ref="B24:N24" si="2">STDEV(B5:B20)</f>
        <v>252832.32515432511</v>
      </c>
      <c r="C24" s="2">
        <f t="shared" si="2"/>
        <v>254561.18814626706</v>
      </c>
      <c r="D24" s="2">
        <f t="shared" si="2"/>
        <v>244227.68780392813</v>
      </c>
      <c r="E24" s="2">
        <f t="shared" si="2"/>
        <v>286070.15634114842</v>
      </c>
      <c r="F24" s="2">
        <f t="shared" si="2"/>
        <v>1135077.3941718969</v>
      </c>
      <c r="G24" s="2">
        <f t="shared" si="2"/>
        <v>1129918.405421108</v>
      </c>
      <c r="H24" s="2">
        <f t="shared" si="2"/>
        <v>1308898.3754163473</v>
      </c>
      <c r="I24" s="2">
        <f t="shared" si="2"/>
        <v>222835.38588678633</v>
      </c>
      <c r="J24" s="2">
        <f t="shared" si="2"/>
        <v>411562.33331321791</v>
      </c>
      <c r="K24" s="2">
        <f t="shared" si="2"/>
        <v>465957.03646591771</v>
      </c>
      <c r="L24" s="2">
        <f t="shared" si="2"/>
        <v>990648.37303108675</v>
      </c>
      <c r="M24" s="2">
        <f t="shared" si="2"/>
        <v>1400537.8572632987</v>
      </c>
      <c r="N24" s="2" t="e">
        <f t="shared" si="2"/>
        <v>#DIV/0!</v>
      </c>
      <c r="O24" s="2" t="e">
        <f>STDEV(#REF!)</f>
        <v>#REF!</v>
      </c>
      <c r="P24" s="2" t="e">
        <f>STDEV(#REF!)</f>
        <v>#REF!</v>
      </c>
      <c r="Q24" s="2" t="e">
        <f>STDEV(#REF!)</f>
        <v>#REF!</v>
      </c>
      <c r="R24" s="2" t="e">
        <f>STDEV(#REF!)</f>
        <v>#REF!</v>
      </c>
      <c r="S24" s="2" t="e">
        <f>STDEV(#REF!)</f>
        <v>#REF!</v>
      </c>
      <c r="T24" s="2" t="e">
        <f>STDEV(#REF!)</f>
        <v>#REF!</v>
      </c>
      <c r="U24" s="2" t="e">
        <f>STDEV(#REF!)</f>
        <v>#REF!</v>
      </c>
      <c r="V24" s="2" t="e">
        <f>STDEV(#REF!)</f>
        <v>#REF!</v>
      </c>
      <c r="W24" s="2" t="e">
        <f>STDEV(#REF!)</f>
        <v>#REF!</v>
      </c>
      <c r="X24" s="2" t="e">
        <f>STDEV(#REF!)</f>
        <v>#REF!</v>
      </c>
      <c r="Y24" s="2" t="e">
        <f>STDEV(#REF!)</f>
        <v>#REF!</v>
      </c>
      <c r="Z24" s="2" t="e">
        <f>STDEV(#REF!)</f>
        <v>#REF!</v>
      </c>
      <c r="AA24" s="2" t="e">
        <f>STDEV(#REF!)</f>
        <v>#REF!</v>
      </c>
      <c r="AB24" s="2" t="e">
        <f>STDEV(#REF!)</f>
        <v>#REF!</v>
      </c>
      <c r="AC24" s="2" t="e">
        <f>STDEV(#REF!)</f>
        <v>#REF!</v>
      </c>
      <c r="AD24" s="2" t="s">
        <v>1</v>
      </c>
      <c r="AE24" s="2">
        <f>STDEV(O5:O20)</f>
        <v>954148.76831720513</v>
      </c>
      <c r="AF24" s="2">
        <f>STDEV(P5:P20)</f>
        <v>824930.69925572956</v>
      </c>
      <c r="AG24" s="2">
        <f>STDEV(Q5:Q20)</f>
        <v>168769.63973401848</v>
      </c>
      <c r="AH24" s="2">
        <f>STDEV(R5:R20)</f>
        <v>905854.08711846871</v>
      </c>
      <c r="AI24" s="2">
        <f>STDEV(S5:S20)</f>
        <v>2000366.4268220481</v>
      </c>
      <c r="AJ24" s="2">
        <f>STDEV(T5:T20)</f>
        <v>864961.59181501018</v>
      </c>
      <c r="AK24" s="2">
        <f>STDEV(U5:U20)</f>
        <v>1182172.8593552962</v>
      </c>
      <c r="AL24" s="2">
        <f>STDEV(V5:V20)</f>
        <v>1263333.2595727432</v>
      </c>
      <c r="AM24" s="2" t="e">
        <f>STDEV(W5:W20)</f>
        <v>#DIV/0!</v>
      </c>
      <c r="AN24" s="2" t="e">
        <f>STDEV(X5:X20)</f>
        <v>#DIV/0!</v>
      </c>
      <c r="AO24" s="2" t="e">
        <f>STDEV(Y5:Y20)</f>
        <v>#DIV/0!</v>
      </c>
      <c r="AP24" s="2" t="e">
        <f>STDEV(Z5:Z20)</f>
        <v>#DIV/0!</v>
      </c>
      <c r="AQ24" s="2" t="e">
        <f>STDEV(AA5:AA20)</f>
        <v>#DIV/0!</v>
      </c>
      <c r="AR24" s="2" t="e">
        <f>STDEV(AB5:AB20)</f>
        <v>#DIV/0!</v>
      </c>
      <c r="AS24" s="2" t="e">
        <f>STDEV(AC5:AC20)</f>
        <v>#DIV/0!</v>
      </c>
      <c r="AT24" s="2" t="e">
        <f>STDEV(AD5:AD20)</f>
        <v>#DIV/0!</v>
      </c>
      <c r="AU24" s="2" t="e">
        <f>STDEV(AE5:AE20)</f>
        <v>#DIV/0!</v>
      </c>
      <c r="AV24" s="2" t="e">
        <f>STDEV(AF5:AF20)</f>
        <v>#DIV/0!</v>
      </c>
      <c r="AW24" s="2" t="e">
        <f>STDEV(AG5:AG20)</f>
        <v>#DIV/0!</v>
      </c>
      <c r="AX24" s="2" t="e">
        <f>STDEV(AH5:AH20)</f>
        <v>#DIV/0!</v>
      </c>
      <c r="AY24" s="2" t="e">
        <f>STDEV(AI5:AI20)</f>
        <v>#DIV/0!</v>
      </c>
      <c r="AZ24" s="2" t="e">
        <f>STDEV(AJ5:AJ20)</f>
        <v>#DIV/0!</v>
      </c>
      <c r="BA24" s="2" t="e">
        <f>STDEV(AK5:AK20)</f>
        <v>#DIV/0!</v>
      </c>
    </row>
    <row r="25" spans="1:53" ht="15.75" thickBot="1" x14ac:dyDescent="0.3"/>
    <row r="26" spans="1:53" ht="15.75" thickBot="1" x14ac:dyDescent="0.3">
      <c r="B26" s="195" t="s">
        <v>6</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7"/>
      <c r="AE26" s="195" t="s">
        <v>3</v>
      </c>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7"/>
    </row>
    <row r="27" spans="1:53" x14ac:dyDescent="0.25">
      <c r="A27" s="18" t="s">
        <v>41</v>
      </c>
      <c r="B27" s="19" t="str">
        <f t="shared" ref="B27:N27" si="3">B4</f>
        <v>Témoin solvant</v>
      </c>
      <c r="C27" s="19" t="str">
        <f t="shared" si="3"/>
        <v>EE2-33,8ng/L</v>
      </c>
      <c r="D27" s="19" t="str">
        <f t="shared" si="3"/>
        <v>EE2-50,6ng/L</v>
      </c>
      <c r="E27" s="19" t="str">
        <f t="shared" si="3"/>
        <v>EE2-76ng/L</v>
      </c>
      <c r="F27" s="19" t="str">
        <f t="shared" si="3"/>
        <v>EE2-114ng/L</v>
      </c>
      <c r="G27" s="19" t="str">
        <f t="shared" si="3"/>
        <v>EE2-170,9ng/L</v>
      </c>
      <c r="H27" s="19" t="str">
        <f t="shared" si="3"/>
        <v>EE2-488ng/L</v>
      </c>
      <c r="I27" s="19" t="str">
        <f t="shared" si="3"/>
        <v>Triphénylphosphate-0,18mg/L</v>
      </c>
      <c r="J27" s="19" t="str">
        <f t="shared" si="3"/>
        <v>Triphénylphosphate-0,26mg/L</v>
      </c>
      <c r="K27" s="19" t="str">
        <f t="shared" si="3"/>
        <v>Triphénylphosphate-0,4mg/L</v>
      </c>
      <c r="L27" s="19" t="str">
        <f t="shared" si="3"/>
        <v>Triphénylphosphate-0,59mg/L</v>
      </c>
      <c r="M27" s="19" t="str">
        <f t="shared" si="3"/>
        <v>Triphénylphosphate-0,89mg/L</v>
      </c>
      <c r="N27" s="19" t="str">
        <f t="shared" si="3"/>
        <v xml:space="preserve"> </v>
      </c>
      <c r="O27" s="2"/>
      <c r="P27" s="20" t="str">
        <f>O4</f>
        <v>Testo -30µg/L</v>
      </c>
      <c r="Q27" s="20" t="str">
        <f>P4</f>
        <v>Testo 30µg/L + EE2 -64ng/L</v>
      </c>
      <c r="R27" s="20" t="str">
        <f>Q4</f>
        <v>Testo 30µg/L + FAD-10mg/L</v>
      </c>
      <c r="S27" s="20" t="str">
        <f>R4</f>
        <v>Triphénylphosphate-0,18mg/L + Testostérone</v>
      </c>
      <c r="T27" s="20" t="str">
        <f>S4</f>
        <v>Triphénylphosphate-0,26mg/L + Testostérone</v>
      </c>
      <c r="U27" s="20" t="str">
        <f>T4</f>
        <v>Triphénylphosphate-0,4mg/L + Testostérone</v>
      </c>
      <c r="V27" s="20" t="str">
        <f>U4</f>
        <v>Triphénylphosphate-0,59mg/L + Testostérone</v>
      </c>
      <c r="W27" s="20" t="str">
        <f>V4</f>
        <v>Triphénylphosphate-0,89mg/L + Testostérone</v>
      </c>
      <c r="X27" s="20" t="str">
        <f>W4</f>
        <v>0-00 + Testostérone</v>
      </c>
      <c r="Y27" s="20" t="str">
        <f>X4</f>
        <v>0-00 + Testostérone</v>
      </c>
      <c r="Z27" s="20" t="str">
        <f>Y4</f>
        <v>0-00 + Testostérone</v>
      </c>
      <c r="AA27" s="20" t="str">
        <f>Z4</f>
        <v>0-00 + Testostérone</v>
      </c>
      <c r="AB27" s="20" t="str">
        <f>AA4</f>
        <v>0-00 + Testostérone</v>
      </c>
      <c r="AC27" s="20" t="str">
        <f>AB4</f>
        <v>0-00 + Testostérone</v>
      </c>
      <c r="AD27" s="20" t="str">
        <f>AC4</f>
        <v>0-00 + Testostérone</v>
      </c>
      <c r="AE27" s="20" t="str">
        <f>AD4</f>
        <v>0-00 + Testostérone</v>
      </c>
      <c r="AF27" s="20" t="str">
        <f>AE4</f>
        <v>0-00 + Testostérone</v>
      </c>
      <c r="AG27" s="20" t="str">
        <f>AF4</f>
        <v>0-00 + Testostérone</v>
      </c>
      <c r="AH27" s="20" t="str">
        <f>AG4</f>
        <v>0-00 + Testostérone</v>
      </c>
      <c r="AI27" s="20" t="str">
        <f>AH4</f>
        <v>0-00 + Testostérone</v>
      </c>
      <c r="AJ27" s="20" t="str">
        <f>AI4</f>
        <v>0-00 + Testostérone</v>
      </c>
      <c r="AK27" s="20" t="str">
        <f>AJ4</f>
        <v>0-00 + Testostérone</v>
      </c>
      <c r="AL27" s="20" t="str">
        <f>AK4</f>
        <v>0-00 + Testostérone</v>
      </c>
    </row>
    <row r="28" spans="1:53" x14ac:dyDescent="0.25">
      <c r="A28" s="193" t="s">
        <v>34</v>
      </c>
      <c r="B28" s="9">
        <f t="shared" ref="B28:N28" si="4">IF(B5="","",(B5/$AE$23))</f>
        <v>0.21064057669740924</v>
      </c>
      <c r="C28" s="9">
        <f t="shared" si="4"/>
        <v>0.11930270407158834</v>
      </c>
      <c r="D28" s="9">
        <f t="shared" si="4"/>
        <v>0.2624662955865848</v>
      </c>
      <c r="E28" s="9">
        <f t="shared" si="4"/>
        <v>0.13726974154673049</v>
      </c>
      <c r="F28" s="9">
        <f t="shared" si="4"/>
        <v>0.30934682092800575</v>
      </c>
      <c r="G28" s="9">
        <f t="shared" si="4"/>
        <v>0.68371827436628885</v>
      </c>
      <c r="H28" s="9">
        <f t="shared" si="4"/>
        <v>2.3671787794537389</v>
      </c>
      <c r="I28" s="9">
        <f t="shared" si="4"/>
        <v>8.4366150614985591E-2</v>
      </c>
      <c r="J28" s="9">
        <f t="shared" si="4"/>
        <v>0.25890911083151036</v>
      </c>
      <c r="K28" s="9">
        <f t="shared" si="4"/>
        <v>0.17138362862862133</v>
      </c>
      <c r="L28" s="9">
        <f t="shared" si="4"/>
        <v>0.12141444551940918</v>
      </c>
      <c r="M28" s="9">
        <f t="shared" si="4"/>
        <v>1.4826239952134372</v>
      </c>
      <c r="N28" s="9" t="str">
        <f t="shared" si="4"/>
        <v/>
      </c>
      <c r="O28" s="5"/>
      <c r="P28" s="9">
        <f>IF(O5="","",(O5/$AE$23))</f>
        <v>1.6466100776221686</v>
      </c>
      <c r="Q28" s="9">
        <f>IF(P5="","",(P5/$AE$23))</f>
        <v>1.3186922180288796</v>
      </c>
      <c r="R28" s="9">
        <f>IF(Q5="","",(Q5/$AE$23))</f>
        <v>9.1445086929219987E-2</v>
      </c>
      <c r="S28" s="9">
        <f>IF(R5="","",(R5/$AE$23))</f>
        <v>1.1421122341907015</v>
      </c>
      <c r="T28" s="9">
        <f>IF(S5="","",(S5/$AE$23))</f>
        <v>1.0151808978389107</v>
      </c>
      <c r="U28" s="9">
        <f>IF(T5="","",(T5/$AE$23))</f>
        <v>1.5591073188818769</v>
      </c>
      <c r="V28" s="9">
        <f>IF(U5="","",(U5/$AE$23))</f>
        <v>1.1011673468801197</v>
      </c>
      <c r="W28" s="9">
        <f>IF(V5="","",(V5/$AE$23))</f>
        <v>1.6876330527639642</v>
      </c>
      <c r="X28" s="9" t="str">
        <f>IF(W5="","",(W5/$AE$23))</f>
        <v/>
      </c>
      <c r="Y28" s="9" t="str">
        <f>IF(X5="","",(X5/$AE$23))</f>
        <v/>
      </c>
      <c r="Z28" s="9" t="str">
        <f>IF(Y5="","",(Y5/$AE$23))</f>
        <v/>
      </c>
      <c r="AA28" s="9" t="str">
        <f>IF(Z5="","",(Z5/$AE$23))</f>
        <v/>
      </c>
      <c r="AB28" s="9" t="str">
        <f>IF(AA5="","",(AA5/$AE$23))</f>
        <v/>
      </c>
      <c r="AC28" s="9" t="str">
        <f>IF(AB5="","",(AB5/$AE$23))</f>
        <v/>
      </c>
      <c r="AD28" s="9" t="str">
        <f>IF(AC5="","",(AC5/$AE$23))</f>
        <v/>
      </c>
      <c r="AE28" s="9" t="str">
        <f>IF(AD5="","",(AD5/$AE$23))</f>
        <v/>
      </c>
      <c r="AF28" s="9" t="str">
        <f>IF(AE5="","",(AE5/$AE$23))</f>
        <v/>
      </c>
      <c r="AG28" s="9" t="str">
        <f>IF(AF5="","",(AF5/$AE$23))</f>
        <v/>
      </c>
      <c r="AH28" s="9" t="str">
        <f>IF(AG5="","",(AG5/$AE$23))</f>
        <v/>
      </c>
      <c r="AI28" s="9" t="str">
        <f>IF(AH5="","",(AH5/$AE$23))</f>
        <v/>
      </c>
      <c r="AJ28" s="9" t="str">
        <f>IF(AI5="","",(AI5/$AE$23))</f>
        <v/>
      </c>
      <c r="AK28" s="9" t="str">
        <f>IF(AJ5="","",(AJ5/$AE$23))</f>
        <v/>
      </c>
      <c r="AL28" s="9" t="str">
        <f>IF(AK5="","",(AK5/$AE$23))</f>
        <v/>
      </c>
    </row>
    <row r="29" spans="1:53" x14ac:dyDescent="0.25">
      <c r="A29" s="194"/>
      <c r="B29" s="9">
        <f t="shared" ref="B29:N29" si="5">IF(B6="","",(B6/$AE$23))</f>
        <v>8.1663936140137519E-2</v>
      </c>
      <c r="C29" s="9">
        <f t="shared" si="5"/>
        <v>0.19072832416665883</v>
      </c>
      <c r="D29" s="9">
        <f t="shared" si="5"/>
        <v>0.16385282278061788</v>
      </c>
      <c r="E29" s="9">
        <f t="shared" si="5"/>
        <v>0.13013245600226722</v>
      </c>
      <c r="F29" s="9">
        <f t="shared" si="5"/>
        <v>1.0882590721227898</v>
      </c>
      <c r="G29" s="9">
        <f t="shared" si="5"/>
        <v>0.84702746719002198</v>
      </c>
      <c r="H29" s="9">
        <f t="shared" si="5"/>
        <v>1.719567413153676</v>
      </c>
      <c r="I29" s="9">
        <f t="shared" si="5"/>
        <v>0.18476668895403456</v>
      </c>
      <c r="J29" s="9">
        <f t="shared" si="5"/>
        <v>5.3599159973285002E-2</v>
      </c>
      <c r="K29" s="9">
        <f t="shared" si="5"/>
        <v>6.6821904344356545E-2</v>
      </c>
      <c r="L29" s="9">
        <f t="shared" si="5"/>
        <v>0.41208835734387705</v>
      </c>
      <c r="M29" s="9" t="str">
        <f t="shared" si="5"/>
        <v/>
      </c>
      <c r="N29" s="9" t="str">
        <f t="shared" si="5"/>
        <v/>
      </c>
      <c r="O29" s="5"/>
      <c r="P29" s="9">
        <f>IF(O6="","",(O6/$AE$23))</f>
        <v>0.88218056754230911</v>
      </c>
      <c r="Q29" s="9">
        <f>IF(P6="","",(P6/$AE$23))</f>
        <v>1.4903006741370128</v>
      </c>
      <c r="R29" s="9">
        <f>IF(Q6="","",(Q6/$AE$23))</f>
        <v>1.0134279174997249E-2</v>
      </c>
      <c r="S29" s="9">
        <f>IF(R6="","",(R6/$AE$23))</f>
        <v>1.4658399257953774</v>
      </c>
      <c r="T29" s="9">
        <f>IF(S6="","",(S6/$AE$23))</f>
        <v>1.5196160591765184</v>
      </c>
      <c r="U29" s="9">
        <f>IF(T6="","",(T6/$AE$23))</f>
        <v>1.8113790603460664</v>
      </c>
      <c r="V29" s="9">
        <f>IF(U6="","",(U6/$AE$23))</f>
        <v>1.8978092909089335</v>
      </c>
      <c r="W29" s="9">
        <f>IF(V6="","",(V6/$AE$23))</f>
        <v>0.97620601919249161</v>
      </c>
      <c r="X29" s="9" t="str">
        <f>IF(W6="","",(W6/$AE$23))</f>
        <v/>
      </c>
      <c r="Y29" s="9" t="str">
        <f>IF(X6="","",(X6/$AE$23))</f>
        <v/>
      </c>
      <c r="Z29" s="9" t="str">
        <f>IF(Y6="","",(Y6/$AE$23))</f>
        <v/>
      </c>
      <c r="AA29" s="9" t="str">
        <f>IF(Z6="","",(Z6/$AE$23))</f>
        <v/>
      </c>
      <c r="AB29" s="9" t="str">
        <f>IF(AA6="","",(AA6/$AE$23))</f>
        <v/>
      </c>
      <c r="AC29" s="9" t="str">
        <f>IF(AB6="","",(AB6/$AE$23))</f>
        <v/>
      </c>
      <c r="AD29" s="9" t="str">
        <f>IF(AC6="","",(AC6/$AE$23))</f>
        <v/>
      </c>
      <c r="AE29" s="9" t="str">
        <f>IF(AD6="","",(AD6/$AE$23))</f>
        <v/>
      </c>
      <c r="AF29" s="9" t="str">
        <f>IF(AE6="","",(AE6/$AE$23))</f>
        <v/>
      </c>
      <c r="AG29" s="9" t="str">
        <f>IF(AF6="","",(AF6/$AE$23))</f>
        <v/>
      </c>
      <c r="AH29" s="9" t="str">
        <f>IF(AG6="","",(AG6/$AE$23))</f>
        <v/>
      </c>
      <c r="AI29" s="9" t="str">
        <f>IF(AH6="","",(AH6/$AE$23))</f>
        <v/>
      </c>
      <c r="AJ29" s="9" t="str">
        <f>IF(AI6="","",(AI6/$AE$23))</f>
        <v/>
      </c>
      <c r="AK29" s="9" t="str">
        <f>IF(AJ6="","",(AJ6/$AE$23))</f>
        <v/>
      </c>
      <c r="AL29" s="9" t="str">
        <f>IF(AK6="","",(AK6/$AE$23))</f>
        <v/>
      </c>
    </row>
    <row r="30" spans="1:53" x14ac:dyDescent="0.25">
      <c r="A30" s="194"/>
      <c r="B30" s="9">
        <f t="shared" ref="B30:N30" si="6">IF(B7="","",(B7/$AE$23))</f>
        <v>5.3180605346544292E-2</v>
      </c>
      <c r="C30" s="9">
        <f t="shared" si="6"/>
        <v>6.7848696739011005E-2</v>
      </c>
      <c r="D30" s="9">
        <f t="shared" si="6"/>
        <v>0.13257233965573159</v>
      </c>
      <c r="E30" s="9">
        <f t="shared" si="6"/>
        <v>0.24826682746725984</v>
      </c>
      <c r="F30" s="9">
        <f t="shared" si="6"/>
        <v>0.1944552608902044</v>
      </c>
      <c r="G30" s="9">
        <f t="shared" si="6"/>
        <v>1.1029147426395147</v>
      </c>
      <c r="H30" s="9">
        <f t="shared" si="6"/>
        <v>1.8610774876212794</v>
      </c>
      <c r="I30" s="9">
        <f t="shared" si="6"/>
        <v>1.0156087921939224E-2</v>
      </c>
      <c r="J30" s="9">
        <f t="shared" si="6"/>
        <v>4.9442210605841572E-2</v>
      </c>
      <c r="K30" s="9">
        <f t="shared" si="6"/>
        <v>0.16039972303854241</v>
      </c>
      <c r="L30" s="9">
        <f t="shared" si="6"/>
        <v>0.22922928381772079</v>
      </c>
      <c r="M30" s="9">
        <f t="shared" si="6"/>
        <v>0.87208383985211257</v>
      </c>
      <c r="N30" s="9" t="str">
        <f t="shared" si="6"/>
        <v/>
      </c>
      <c r="O30" s="5"/>
      <c r="P30" s="9">
        <f>IF(O7="","",(O7/$AE$23))</f>
        <v>0.81198268842850629</v>
      </c>
      <c r="Q30" s="9">
        <f>IF(P7="","",(P7/$AE$23))</f>
        <v>1.1651423672472869</v>
      </c>
      <c r="R30" s="9">
        <f>IF(Q7="","",(Q7/$AE$23))</f>
        <v>0.13027207049703929</v>
      </c>
      <c r="S30" s="9">
        <f>IF(R7="","",(R7/$AE$23))</f>
        <v>1.4548038332700113</v>
      </c>
      <c r="T30" s="9">
        <f>IF(S7="","",(S7/$AE$23))</f>
        <v>1.6402703278433584</v>
      </c>
      <c r="U30" s="9">
        <f>IF(T7="","",(T7/$AE$23))</f>
        <v>1.4901256264463263</v>
      </c>
      <c r="V30" s="9">
        <f>IF(U7="","",(U7/$AE$23))</f>
        <v>1.328318204157048</v>
      </c>
      <c r="W30" s="9">
        <f>IF(V7="","",(V7/$AE$23))</f>
        <v>1.958468515168194</v>
      </c>
      <c r="X30" s="9" t="str">
        <f>IF(W7="","",(W7/$AE$23))</f>
        <v/>
      </c>
      <c r="Y30" s="9" t="str">
        <f>IF(X7="","",(X7/$AE$23))</f>
        <v/>
      </c>
      <c r="Z30" s="9" t="str">
        <f>IF(Y7="","",(Y7/$AE$23))</f>
        <v/>
      </c>
      <c r="AA30" s="9" t="str">
        <f>IF(Z7="","",(Z7/$AE$23))</f>
        <v/>
      </c>
      <c r="AB30" s="9" t="str">
        <f>IF(AA7="","",(AA7/$AE$23))</f>
        <v/>
      </c>
      <c r="AC30" s="9" t="str">
        <f>IF(AB7="","",(AB7/$AE$23))</f>
        <v/>
      </c>
      <c r="AD30" s="9" t="str">
        <f>IF(AC7="","",(AC7/$AE$23))</f>
        <v/>
      </c>
      <c r="AE30" s="9" t="str">
        <f>IF(AD7="","",(AD7/$AE$23))</f>
        <v/>
      </c>
      <c r="AF30" s="9" t="str">
        <f>IF(AE7="","",(AE7/$AE$23))</f>
        <v/>
      </c>
      <c r="AG30" s="9" t="str">
        <f>IF(AF7="","",(AF7/$AE$23))</f>
        <v/>
      </c>
      <c r="AH30" s="9" t="str">
        <f>IF(AG7="","",(AG7/$AE$23))</f>
        <v/>
      </c>
      <c r="AI30" s="9" t="str">
        <f>IF(AH7="","",(AH7/$AE$23))</f>
        <v/>
      </c>
      <c r="AJ30" s="9" t="str">
        <f>IF(AI7="","",(AI7/$AE$23))</f>
        <v/>
      </c>
      <c r="AK30" s="9" t="str">
        <f>IF(AJ7="","",(AJ7/$AE$23))</f>
        <v/>
      </c>
      <c r="AL30" s="9" t="str">
        <f>IF(AK7="","",(AK7/$AE$23))</f>
        <v/>
      </c>
    </row>
    <row r="31" spans="1:53" x14ac:dyDescent="0.25">
      <c r="A31" s="194"/>
      <c r="B31" s="9">
        <f t="shared" ref="B31:N31" si="7">IF(B8="","",(B8/$AE$23))</f>
        <v>0.15533056144801605</v>
      </c>
      <c r="C31" s="9">
        <f t="shared" si="7"/>
        <v>0.10937880949733378</v>
      </c>
      <c r="D31" s="9">
        <f t="shared" si="7"/>
        <v>0.27357518022094929</v>
      </c>
      <c r="E31" s="9">
        <f t="shared" si="7"/>
        <v>0.24712757318992004</v>
      </c>
      <c r="F31" s="9">
        <f t="shared" si="7"/>
        <v>0.30503783619004848</v>
      </c>
      <c r="G31" s="9">
        <f t="shared" si="7"/>
        <v>1.1767946892668191</v>
      </c>
      <c r="H31" s="9">
        <f t="shared" si="7"/>
        <v>2.0183198047890878</v>
      </c>
      <c r="I31" s="9">
        <f t="shared" si="7"/>
        <v>0.19661697469856779</v>
      </c>
      <c r="J31" s="9">
        <f t="shared" si="7"/>
        <v>2.1678279603758174E-2</v>
      </c>
      <c r="K31" s="9">
        <f t="shared" si="7"/>
        <v>0.24145027011733838</v>
      </c>
      <c r="L31" s="9">
        <f t="shared" si="7"/>
        <v>0.96794628125299043</v>
      </c>
      <c r="M31" s="9">
        <f t="shared" si="7"/>
        <v>0.38718180547755565</v>
      </c>
      <c r="N31" s="9" t="str">
        <f t="shared" si="7"/>
        <v/>
      </c>
      <c r="O31" s="5"/>
      <c r="P31" s="9">
        <f>IF(O8="","",(O8/$AE$23))</f>
        <v>0.82583639403008902</v>
      </c>
      <c r="Q31" s="9">
        <f>IF(P8="","",(P8/$AE$23))</f>
        <v>1.006389998961196</v>
      </c>
      <c r="R31" s="9">
        <f>IF(Q8="","",(Q8/$AE$23))</f>
        <v>0.12229546112434994</v>
      </c>
      <c r="S31" s="9">
        <f>IF(R8="","",(R8/$AE$23))</f>
        <v>1.06378166632764</v>
      </c>
      <c r="T31" s="9">
        <f>IF(S8="","",(S8/$AE$23))</f>
        <v>1.1493723804905642</v>
      </c>
      <c r="U31" s="9">
        <f>IF(T8="","",(T8/$AE$23))</f>
        <v>1.0959231857418359</v>
      </c>
      <c r="V31" s="9">
        <f>IF(U8="","",(U8/$AE$23))</f>
        <v>1.0206374174380357</v>
      </c>
      <c r="W31" s="9">
        <f>IF(V8="","",(V8/$AE$23))</f>
        <v>1.8468279508555534</v>
      </c>
      <c r="X31" s="9" t="str">
        <f>IF(W8="","",(W8/$AE$23))</f>
        <v/>
      </c>
      <c r="Y31" s="9" t="str">
        <f>IF(X8="","",(X8/$AE$23))</f>
        <v/>
      </c>
      <c r="Z31" s="9" t="str">
        <f>IF(Y8="","",(Y8/$AE$23))</f>
        <v/>
      </c>
      <c r="AA31" s="9" t="str">
        <f>IF(Z8="","",(Z8/$AE$23))</f>
        <v/>
      </c>
      <c r="AB31" s="9" t="str">
        <f>IF(AA8="","",(AA8/$AE$23))</f>
        <v/>
      </c>
      <c r="AC31" s="9" t="str">
        <f>IF(AB8="","",(AB8/$AE$23))</f>
        <v/>
      </c>
      <c r="AD31" s="9" t="str">
        <f>IF(AC8="","",(AC8/$AE$23))</f>
        <v/>
      </c>
      <c r="AE31" s="9" t="str">
        <f>IF(AD8="","",(AD8/$AE$23))</f>
        <v/>
      </c>
      <c r="AF31" s="9" t="str">
        <f>IF(AE8="","",(AE8/$AE$23))</f>
        <v/>
      </c>
      <c r="AG31" s="9" t="str">
        <f>IF(AF8="","",(AF8/$AE$23))</f>
        <v/>
      </c>
      <c r="AH31" s="9" t="str">
        <f>IF(AG8="","",(AG8/$AE$23))</f>
        <v/>
      </c>
      <c r="AI31" s="9" t="str">
        <f>IF(AH8="","",(AH8/$AE$23))</f>
        <v/>
      </c>
      <c r="AJ31" s="9" t="str">
        <f>IF(AI8="","",(AI8/$AE$23))</f>
        <v/>
      </c>
      <c r="AK31" s="9" t="str">
        <f>IF(AJ8="","",(AJ8/$AE$23))</f>
        <v/>
      </c>
      <c r="AL31" s="9" t="str">
        <f>IF(AK8="","",(AK8/$AE$23))</f>
        <v/>
      </c>
    </row>
    <row r="32" spans="1:53" x14ac:dyDescent="0.25">
      <c r="A32" s="194"/>
      <c r="B32" s="9">
        <f t="shared" ref="B32:N32" si="8">IF(B9="","",(B9/$AE$23))</f>
        <v>9.8977048207525009E-2</v>
      </c>
      <c r="C32" s="9">
        <f t="shared" si="8"/>
        <v>2.999217833864504E-2</v>
      </c>
      <c r="D32" s="9">
        <f t="shared" si="8"/>
        <v>0.14611475307690186</v>
      </c>
      <c r="E32" s="9">
        <f t="shared" si="8"/>
        <v>6.3377181471967414E-2</v>
      </c>
      <c r="F32" s="9">
        <f t="shared" si="8"/>
        <v>0.68144409867524014</v>
      </c>
      <c r="G32" s="9">
        <f t="shared" si="8"/>
        <v>0.44155356317915151</v>
      </c>
      <c r="H32" s="9">
        <f t="shared" si="8"/>
        <v>1.2683669698150692</v>
      </c>
      <c r="I32" s="9">
        <f t="shared" si="8"/>
        <v>8.962701734971272E-2</v>
      </c>
      <c r="J32" s="9">
        <f t="shared" si="8"/>
        <v>0.1942386177086616</v>
      </c>
      <c r="K32" s="9">
        <f t="shared" si="8"/>
        <v>0.22629680171235733</v>
      </c>
      <c r="L32" s="9">
        <f t="shared" si="8"/>
        <v>0.69062428127872277</v>
      </c>
      <c r="M32" s="9">
        <f t="shared" si="8"/>
        <v>1.1773362009348178</v>
      </c>
      <c r="N32" s="9" t="str">
        <f t="shared" si="8"/>
        <v/>
      </c>
      <c r="O32" s="5"/>
      <c r="P32" s="9">
        <f>IF(O9="","",(O9/$AE$23))</f>
        <v>0.92302965042371976</v>
      </c>
      <c r="Q32" s="9">
        <f>IF(P9="","",(P9/$AE$23))</f>
        <v>0.71595564635258513</v>
      </c>
      <c r="R32" s="9">
        <f>IF(Q9="","",(Q9/$AE$23))</f>
        <v>5.2559946702888764E-2</v>
      </c>
      <c r="S32" s="9">
        <f>IF(R9="","",(R9/$AE$23))</f>
        <v>1.2619877428342892</v>
      </c>
      <c r="T32" s="9">
        <f>IF(S9="","",(S9/$AE$23))</f>
        <v>1.543836285443712</v>
      </c>
      <c r="U32" s="9">
        <f>IF(T9="","",(T9/$AE$23))</f>
        <v>1.3322001611127197</v>
      </c>
      <c r="V32" s="9">
        <f>IF(U9="","",(U9/$AE$23))</f>
        <v>1.1136049763612801</v>
      </c>
      <c r="W32" s="9">
        <f>IF(V9="","",(V9/$AE$23))</f>
        <v>1.0040282031389454</v>
      </c>
      <c r="X32" s="9" t="str">
        <f>IF(W9="","",(W9/$AE$23))</f>
        <v/>
      </c>
      <c r="Y32" s="9" t="str">
        <f>IF(X9="","",(X9/$AE$23))</f>
        <v/>
      </c>
      <c r="Z32" s="9" t="str">
        <f>IF(Y9="","",(Y9/$AE$23))</f>
        <v/>
      </c>
      <c r="AA32" s="9" t="str">
        <f>IF(Z9="","",(Z9/$AE$23))</f>
        <v/>
      </c>
      <c r="AB32" s="9" t="str">
        <f>IF(AA9="","",(AA9/$AE$23))</f>
        <v/>
      </c>
      <c r="AC32" s="9" t="str">
        <f>IF(AB9="","",(AB9/$AE$23))</f>
        <v/>
      </c>
      <c r="AD32" s="9" t="str">
        <f>IF(AC9="","",(AC9/$AE$23))</f>
        <v/>
      </c>
      <c r="AE32" s="9" t="str">
        <f>IF(AD9="","",(AD9/$AE$23))</f>
        <v/>
      </c>
      <c r="AF32" s="9" t="str">
        <f>IF(AE9="","",(AE9/$AE$23))</f>
        <v/>
      </c>
      <c r="AG32" s="9" t="str">
        <f>IF(AF9="","",(AF9/$AE$23))</f>
        <v/>
      </c>
      <c r="AH32" s="9" t="str">
        <f>IF(AG9="","",(AG9/$AE$23))</f>
        <v/>
      </c>
      <c r="AI32" s="9" t="str">
        <f>IF(AH9="","",(AH9/$AE$23))</f>
        <v/>
      </c>
      <c r="AJ32" s="9" t="str">
        <f>IF(AI9="","",(AI9/$AE$23))</f>
        <v/>
      </c>
      <c r="AK32" s="9" t="str">
        <f>IF(AJ9="","",(AJ9/$AE$23))</f>
        <v/>
      </c>
      <c r="AL32" s="9" t="str">
        <f>IF(AK9="","",(AK9/$AE$23))</f>
        <v/>
      </c>
    </row>
    <row r="33" spans="1:38" x14ac:dyDescent="0.25">
      <c r="A33" s="194"/>
      <c r="B33" s="9">
        <f t="shared" ref="B33:N33" si="9">IF(B10="","",(B10/$AE$23))</f>
        <v>0.25803127265989889</v>
      </c>
      <c r="C33" s="9" t="str">
        <f t="shared" si="9"/>
        <v/>
      </c>
      <c r="D33" s="9">
        <f t="shared" si="9"/>
        <v>0.19708145767979557</v>
      </c>
      <c r="E33" s="9" t="str">
        <f t="shared" si="9"/>
        <v/>
      </c>
      <c r="F33" s="9">
        <f t="shared" si="9"/>
        <v>7.2813677030679883E-2</v>
      </c>
      <c r="G33" s="9">
        <f t="shared" si="9"/>
        <v>0.71143213672197125</v>
      </c>
      <c r="H33" s="9">
        <f t="shared" si="9"/>
        <v>1.2556439490494231</v>
      </c>
      <c r="I33" s="9">
        <f t="shared" si="9"/>
        <v>9.631012249980378E-2</v>
      </c>
      <c r="J33" s="9">
        <f t="shared" si="9"/>
        <v>0.34451657873380703</v>
      </c>
      <c r="K33" s="9">
        <f t="shared" si="9"/>
        <v>0.16078294075522701</v>
      </c>
      <c r="L33" s="9">
        <f t="shared" si="9"/>
        <v>0.20834651797658782</v>
      </c>
      <c r="M33" s="9">
        <f t="shared" si="9"/>
        <v>0.97618117744100807</v>
      </c>
      <c r="N33" s="9" t="str">
        <f t="shared" si="9"/>
        <v/>
      </c>
      <c r="O33" s="5"/>
      <c r="P33" s="9">
        <f>IF(O10="","",(O10/$AE$23))</f>
        <v>1.1296434080913988</v>
      </c>
      <c r="Q33" s="9">
        <f>IF(P10="","",(P10/$AE$23))</f>
        <v>1.034005938598821</v>
      </c>
      <c r="R33" s="9">
        <f>IF(Q10="","",(Q10/$AE$23))</f>
        <v>3.0485932220845724E-2</v>
      </c>
      <c r="S33" s="9">
        <f>IF(R10="","",(R10/$AE$23))</f>
        <v>1.3938259028192366</v>
      </c>
      <c r="T33" s="9">
        <f>IF(S10="","",(S10/$AE$23))</f>
        <v>9.4751061879563264E-3</v>
      </c>
      <c r="U33" s="9">
        <f>IF(T10="","",(T10/$AE$23))</f>
        <v>1.1455798730974049</v>
      </c>
      <c r="V33" s="9">
        <f>IF(U10="","",(U10/$AE$23))</f>
        <v>0.80680318324418077</v>
      </c>
      <c r="W33" s="9">
        <f>IF(V10="","",(V10/$AE$23))</f>
        <v>1.6053630452877283</v>
      </c>
      <c r="X33" s="9" t="str">
        <f>IF(W10="","",(W10/$AE$23))</f>
        <v/>
      </c>
      <c r="Y33" s="9" t="str">
        <f>IF(X10="","",(X10/$AE$23))</f>
        <v/>
      </c>
      <c r="Z33" s="9" t="str">
        <f>IF(Y10="","",(Y10/$AE$23))</f>
        <v/>
      </c>
      <c r="AA33" s="9" t="str">
        <f>IF(Z10="","",(Z10/$AE$23))</f>
        <v/>
      </c>
      <c r="AB33" s="9" t="str">
        <f>IF(AA10="","",(AA10/$AE$23))</f>
        <v/>
      </c>
      <c r="AC33" s="9" t="str">
        <f>IF(AB10="","",(AB10/$AE$23))</f>
        <v/>
      </c>
      <c r="AD33" s="9" t="str">
        <f>IF(AC10="","",(AC10/$AE$23))</f>
        <v/>
      </c>
      <c r="AE33" s="9" t="str">
        <f>IF(AD10="","",(AD10/$AE$23))</f>
        <v/>
      </c>
      <c r="AF33" s="9" t="str">
        <f>IF(AE10="","",(AE10/$AE$23))</f>
        <v/>
      </c>
      <c r="AG33" s="9" t="str">
        <f>IF(AF10="","",(AF10/$AE$23))</f>
        <v/>
      </c>
      <c r="AH33" s="9" t="str">
        <f>IF(AG10="","",(AG10/$AE$23))</f>
        <v/>
      </c>
      <c r="AI33" s="9" t="str">
        <f>IF(AH10="","",(AH10/$AE$23))</f>
        <v/>
      </c>
      <c r="AJ33" s="9" t="str">
        <f>IF(AI10="","",(AI10/$AE$23))</f>
        <v/>
      </c>
      <c r="AK33" s="9" t="str">
        <f>IF(AJ10="","",(AJ10/$AE$23))</f>
        <v/>
      </c>
      <c r="AL33" s="9" t="str">
        <f>IF(AK10="","",(AK10/$AE$23))</f>
        <v/>
      </c>
    </row>
    <row r="34" spans="1:38" x14ac:dyDescent="0.25">
      <c r="A34" s="194"/>
      <c r="B34" s="9">
        <f t="shared" ref="B34:N34" si="10">IF(B11="","",(B11/$AE$23))</f>
        <v>8.9245725350197383E-2</v>
      </c>
      <c r="C34" s="9">
        <f t="shared" si="10"/>
        <v>0.11925899029184592</v>
      </c>
      <c r="D34" s="9" t="str">
        <f t="shared" si="10"/>
        <v/>
      </c>
      <c r="E34" s="9" t="str">
        <f t="shared" si="10"/>
        <v/>
      </c>
      <c r="F34" s="9">
        <f t="shared" si="10"/>
        <v>0.66669878602428567</v>
      </c>
      <c r="G34" s="9">
        <f t="shared" si="10"/>
        <v>0.20597230127859556</v>
      </c>
      <c r="H34" s="9">
        <f t="shared" si="10"/>
        <v>1.488969811001331</v>
      </c>
      <c r="I34" s="9">
        <f t="shared" si="10"/>
        <v>5.8095613277670634E-2</v>
      </c>
      <c r="J34" s="9">
        <f t="shared" si="10"/>
        <v>0.25816876886578471</v>
      </c>
      <c r="K34" s="9">
        <f t="shared" si="10"/>
        <v>0.49451348133809753</v>
      </c>
      <c r="L34" s="9">
        <f t="shared" si="10"/>
        <v>0.26261428695104316</v>
      </c>
      <c r="M34" s="9" t="str">
        <f t="shared" si="10"/>
        <v/>
      </c>
      <c r="N34" s="9" t="str">
        <f t="shared" si="10"/>
        <v/>
      </c>
      <c r="O34" s="5"/>
      <c r="P34" s="9">
        <f>IF(O11="","",(O11/$AE$23))</f>
        <v>0.41835502615611359</v>
      </c>
      <c r="Q34" s="9">
        <f>IF(P11="","",(P11/$AE$23))</f>
        <v>0.9912282499723869</v>
      </c>
      <c r="R34" s="9">
        <f>IF(Q11="","",(Q11/$AE$23))</f>
        <v>0.12012951073821417</v>
      </c>
      <c r="S34" s="9">
        <f>IF(R11="","",(R11/$AE$23))</f>
        <v>0.84858830909864413</v>
      </c>
      <c r="T34" s="9">
        <f>IF(S11="","",(S11/$AE$23))</f>
        <v>1.5901326444818351</v>
      </c>
      <c r="U34" s="9">
        <f>IF(T11="","",(T11/$AE$23))</f>
        <v>1.5415610506082202</v>
      </c>
      <c r="V34" s="9">
        <f>IF(U11="","",(U11/$AE$23))</f>
        <v>1.429551807743523</v>
      </c>
      <c r="W34" s="9">
        <f>IF(V11="","",(V11/$AE$23))</f>
        <v>1.366364020555153</v>
      </c>
      <c r="X34" s="9" t="str">
        <f>IF(W11="","",(W11/$AE$23))</f>
        <v/>
      </c>
      <c r="Y34" s="9" t="str">
        <f>IF(X11="","",(X11/$AE$23))</f>
        <v/>
      </c>
      <c r="Z34" s="9" t="str">
        <f>IF(Y11="","",(Y11/$AE$23))</f>
        <v/>
      </c>
      <c r="AA34" s="9" t="str">
        <f>IF(Z11="","",(Z11/$AE$23))</f>
        <v/>
      </c>
      <c r="AB34" s="9" t="str">
        <f>IF(AA11="","",(AA11/$AE$23))</f>
        <v/>
      </c>
      <c r="AC34" s="9" t="str">
        <f>IF(AB11="","",(AB11/$AE$23))</f>
        <v/>
      </c>
      <c r="AD34" s="9" t="str">
        <f>IF(AC11="","",(AC11/$AE$23))</f>
        <v/>
      </c>
      <c r="AE34" s="9" t="str">
        <f>IF(AD11="","",(AD11/$AE$23))</f>
        <v/>
      </c>
      <c r="AF34" s="9" t="str">
        <f>IF(AE11="","",(AE11/$AE$23))</f>
        <v/>
      </c>
      <c r="AG34" s="9" t="str">
        <f>IF(AF11="","",(AF11/$AE$23))</f>
        <v/>
      </c>
      <c r="AH34" s="9" t="str">
        <f>IF(AG11="","",(AG11/$AE$23))</f>
        <v/>
      </c>
      <c r="AI34" s="9" t="str">
        <f>IF(AH11="","",(AH11/$AE$23))</f>
        <v/>
      </c>
      <c r="AJ34" s="9" t="str">
        <f>IF(AI11="","",(AI11/$AE$23))</f>
        <v/>
      </c>
      <c r="AK34" s="9" t="str">
        <f>IF(AJ11="","",(AJ11/$AE$23))</f>
        <v/>
      </c>
      <c r="AL34" s="9" t="str">
        <f>IF(AK11="","",(AK11/$AE$23))</f>
        <v/>
      </c>
    </row>
    <row r="35" spans="1:38" x14ac:dyDescent="0.25">
      <c r="A35" s="194"/>
      <c r="B35" s="9">
        <f t="shared" ref="B35:N35" si="11">IF(B12="","",(B12/$AE$23))</f>
        <v>7.5437851817243329E-2</v>
      </c>
      <c r="C35" s="9">
        <f t="shared" si="11"/>
        <v>0.24964766296348445</v>
      </c>
      <c r="D35" s="9">
        <f t="shared" si="11"/>
        <v>7.8218202266234521E-2</v>
      </c>
      <c r="E35" s="9">
        <f t="shared" si="11"/>
        <v>6.6331376038414394E-2</v>
      </c>
      <c r="F35" s="9">
        <f t="shared" si="11"/>
        <v>0.49198087440293287</v>
      </c>
      <c r="G35" s="9">
        <f t="shared" si="11"/>
        <v>0.9342052611579994</v>
      </c>
      <c r="H35" s="9">
        <f t="shared" si="11"/>
        <v>1.6884651551528058</v>
      </c>
      <c r="I35" s="9">
        <f t="shared" si="11"/>
        <v>5.1075026193665114E-2</v>
      </c>
      <c r="J35" s="9">
        <f t="shared" si="11"/>
        <v>0.11919650076970313</v>
      </c>
      <c r="K35" s="9" t="str">
        <f t="shared" si="11"/>
        <v/>
      </c>
      <c r="L35" s="9">
        <f t="shared" si="11"/>
        <v>0.33862272876554106</v>
      </c>
      <c r="M35" s="9" t="str">
        <f t="shared" si="11"/>
        <v/>
      </c>
      <c r="N35" s="9" t="str">
        <f t="shared" si="11"/>
        <v/>
      </c>
      <c r="O35" s="5"/>
      <c r="P35" s="9">
        <f>IF(O12="","",(O12/$AE$23))</f>
        <v>1.315955485073772</v>
      </c>
      <c r="Q35" s="9">
        <f>IF(P12="","",(P12/$AE$23))</f>
        <v>1.256873760176648</v>
      </c>
      <c r="R35" s="9">
        <f>IF(Q12="","",(Q12/$AE$23))</f>
        <v>2.6230963849486474E-2</v>
      </c>
      <c r="S35" s="9">
        <f>IF(R12="","",(R12/$AE$23))</f>
        <v>0.79941805790003262</v>
      </c>
      <c r="T35" s="9">
        <f>IF(S12="","",(S12/$AE$23))</f>
        <v>0.60750358824296224</v>
      </c>
      <c r="U35" s="9">
        <f>IF(T12="","",(T12/$AE$23))</f>
        <v>1.1701240049924699</v>
      </c>
      <c r="V35" s="9">
        <f>IF(U12="","",(U12/$AE$23))</f>
        <v>1.5230274671418791</v>
      </c>
      <c r="W35" s="9">
        <f>IF(V12="","",(V12/$AE$23))</f>
        <v>1.3502214075261769</v>
      </c>
      <c r="X35" s="9" t="str">
        <f>IF(W12="","",(W12/$AE$23))</f>
        <v/>
      </c>
      <c r="Y35" s="9" t="str">
        <f>IF(X12="","",(X12/$AE$23))</f>
        <v/>
      </c>
      <c r="Z35" s="9" t="str">
        <f>IF(Y12="","",(Y12/$AE$23))</f>
        <v/>
      </c>
      <c r="AA35" s="9" t="str">
        <f>IF(Z12="","",(Z12/$AE$23))</f>
        <v/>
      </c>
      <c r="AB35" s="9" t="str">
        <f>IF(AA12="","",(AA12/$AE$23))</f>
        <v/>
      </c>
      <c r="AC35" s="9" t="str">
        <f>IF(AB12="","",(AB12/$AE$23))</f>
        <v/>
      </c>
      <c r="AD35" s="9" t="str">
        <f>IF(AC12="","",(AC12/$AE$23))</f>
        <v/>
      </c>
      <c r="AE35" s="9" t="str">
        <f>IF(AD12="","",(AD12/$AE$23))</f>
        <v/>
      </c>
      <c r="AF35" s="9" t="str">
        <f>IF(AE12="","",(AE12/$AE$23))</f>
        <v/>
      </c>
      <c r="AG35" s="9" t="str">
        <f>IF(AF12="","",(AF12/$AE$23))</f>
        <v/>
      </c>
      <c r="AH35" s="9" t="str">
        <f>IF(AG12="","",(AG12/$AE$23))</f>
        <v/>
      </c>
      <c r="AI35" s="9" t="str">
        <f>IF(AH12="","",(AH12/$AE$23))</f>
        <v/>
      </c>
      <c r="AJ35" s="9" t="str">
        <f>IF(AI12="","",(AI12/$AE$23))</f>
        <v/>
      </c>
      <c r="AK35" s="9" t="str">
        <f>IF(AJ12="","",(AJ12/$AE$23))</f>
        <v/>
      </c>
      <c r="AL35" s="9" t="str">
        <f>IF(AK12="","",(AK12/$AE$23))</f>
        <v/>
      </c>
    </row>
    <row r="36" spans="1:38" x14ac:dyDescent="0.25">
      <c r="A36" s="194"/>
      <c r="B36" s="9" t="str">
        <f t="shared" ref="B36:N36" si="12">IF(B13="","",(B13/$AE$23))</f>
        <v/>
      </c>
      <c r="C36" s="9" t="str">
        <f t="shared" si="12"/>
        <v/>
      </c>
      <c r="D36" s="9" t="str">
        <f t="shared" si="12"/>
        <v/>
      </c>
      <c r="E36" s="9" t="str">
        <f t="shared" si="12"/>
        <v/>
      </c>
      <c r="F36" s="9" t="str">
        <f t="shared" si="12"/>
        <v/>
      </c>
      <c r="G36" s="9" t="str">
        <f t="shared" si="12"/>
        <v/>
      </c>
      <c r="H36" s="9" t="str">
        <f t="shared" si="12"/>
        <v/>
      </c>
      <c r="I36" s="9" t="str">
        <f t="shared" si="12"/>
        <v/>
      </c>
      <c r="J36" s="9" t="str">
        <f t="shared" si="12"/>
        <v/>
      </c>
      <c r="K36" s="9" t="str">
        <f t="shared" si="12"/>
        <v/>
      </c>
      <c r="L36" s="9" t="str">
        <f t="shared" si="12"/>
        <v/>
      </c>
      <c r="M36" s="9" t="str">
        <f t="shared" si="12"/>
        <v/>
      </c>
      <c r="N36" s="9" t="str">
        <f t="shared" si="12"/>
        <v/>
      </c>
      <c r="O36" s="5"/>
      <c r="P36" s="9">
        <f>IF(O13="","",(O13/$AE$23))</f>
        <v>0.9958808789392003</v>
      </c>
      <c r="Q36" s="9" t="str">
        <f>IF(P13="","",(P13/$AE$23))</f>
        <v/>
      </c>
      <c r="R36" s="9" t="str">
        <f>IF(Q13="","",(Q13/$AE$23))</f>
        <v/>
      </c>
      <c r="S36" s="9" t="str">
        <f>IF(R13="","",(R13/$AE$23))</f>
        <v/>
      </c>
      <c r="T36" s="9" t="str">
        <f>IF(S13="","",(S13/$AE$23))</f>
        <v/>
      </c>
      <c r="U36" s="9" t="str">
        <f>IF(T13="","",(T13/$AE$23))</f>
        <v/>
      </c>
      <c r="V36" s="9" t="str">
        <f>IF(U13="","",(U13/$AE$23))</f>
        <v/>
      </c>
      <c r="W36" s="9" t="str">
        <f>IF(V13="","",(V13/$AE$23))</f>
        <v/>
      </c>
      <c r="X36" s="9" t="str">
        <f>IF(W13="","",(W13/$AE$23))</f>
        <v/>
      </c>
      <c r="Y36" s="9" t="str">
        <f>IF(X13="","",(X13/$AE$23))</f>
        <v/>
      </c>
      <c r="Z36" s="9" t="str">
        <f>IF(Y13="","",(Y13/$AE$23))</f>
        <v/>
      </c>
      <c r="AA36" s="9" t="str">
        <f>IF(Z13="","",(Z13/$AE$23))</f>
        <v/>
      </c>
      <c r="AB36" s="9" t="str">
        <f>IF(AA13="","",(AA13/$AE$23))</f>
        <v/>
      </c>
      <c r="AC36" s="9" t="str">
        <f>IF(AB13="","",(AB13/$AE$23))</f>
        <v/>
      </c>
      <c r="AD36" s="9" t="str">
        <f>IF(AC13="","",(AC13/$AE$23))</f>
        <v/>
      </c>
      <c r="AE36" s="9" t="str">
        <f>IF(AD13="","",(AD13/$AE$23))</f>
        <v/>
      </c>
      <c r="AF36" s="9" t="str">
        <f>IF(AE13="","",(AE13/$AE$23))</f>
        <v/>
      </c>
      <c r="AG36" s="9" t="str">
        <f>IF(AF13="","",(AF13/$AE$23))</f>
        <v/>
      </c>
      <c r="AH36" s="9" t="str">
        <f>IF(AG13="","",(AG13/$AE$23))</f>
        <v/>
      </c>
      <c r="AI36" s="9" t="str">
        <f>IF(AH13="","",(AH13/$AE$23))</f>
        <v/>
      </c>
      <c r="AJ36" s="9" t="str">
        <f>IF(AI13="","",(AI13/$AE$23))</f>
        <v/>
      </c>
      <c r="AK36" s="9" t="str">
        <f>IF(AJ13="","",(AJ13/$AE$23))</f>
        <v/>
      </c>
      <c r="AL36" s="9" t="str">
        <f>IF(AK13="","",(AK13/$AE$23))</f>
        <v/>
      </c>
    </row>
    <row r="37" spans="1:38" x14ac:dyDescent="0.25">
      <c r="A37" s="194"/>
      <c r="B37" s="9" t="str">
        <f t="shared" ref="B37:N37" si="13">IF(B14="","",(B14/$AE$23))</f>
        <v/>
      </c>
      <c r="C37" s="9" t="str">
        <f t="shared" si="13"/>
        <v/>
      </c>
      <c r="D37" s="9" t="str">
        <f t="shared" si="13"/>
        <v/>
      </c>
      <c r="E37" s="9" t="str">
        <f t="shared" si="13"/>
        <v/>
      </c>
      <c r="F37" s="9" t="str">
        <f t="shared" si="13"/>
        <v/>
      </c>
      <c r="G37" s="9" t="str">
        <f t="shared" si="13"/>
        <v/>
      </c>
      <c r="H37" s="9" t="str">
        <f t="shared" si="13"/>
        <v/>
      </c>
      <c r="I37" s="9" t="str">
        <f t="shared" si="13"/>
        <v/>
      </c>
      <c r="J37" s="9" t="str">
        <f t="shared" si="13"/>
        <v/>
      </c>
      <c r="K37" s="9" t="str">
        <f t="shared" si="13"/>
        <v/>
      </c>
      <c r="L37" s="9" t="str">
        <f t="shared" si="13"/>
        <v/>
      </c>
      <c r="M37" s="9" t="str">
        <f t="shared" si="13"/>
        <v/>
      </c>
      <c r="N37" s="9" t="str">
        <f t="shared" si="13"/>
        <v/>
      </c>
      <c r="O37" s="5"/>
      <c r="P37" s="9">
        <f>IF(O14="","",(O14/$AE$23))</f>
        <v>0.78337317501739678</v>
      </c>
      <c r="Q37" s="9" t="str">
        <f>IF(P14="","",(P14/$AE$23))</f>
        <v/>
      </c>
      <c r="R37" s="9" t="str">
        <f>IF(Q14="","",(Q14/$AE$23))</f>
        <v/>
      </c>
      <c r="S37" s="9" t="str">
        <f>IF(R14="","",(R14/$AE$23))</f>
        <v/>
      </c>
      <c r="T37" s="9" t="str">
        <f>IF(S14="","",(S14/$AE$23))</f>
        <v/>
      </c>
      <c r="U37" s="9" t="str">
        <f>IF(T14="","",(T14/$AE$23))</f>
        <v/>
      </c>
      <c r="V37" s="9" t="str">
        <f>IF(U14="","",(U14/$AE$23))</f>
        <v/>
      </c>
      <c r="W37" s="9" t="str">
        <f>IF(V14="","",(V14/$AE$23))</f>
        <v/>
      </c>
      <c r="X37" s="9" t="str">
        <f>IF(W14="","",(W14/$AE$23))</f>
        <v/>
      </c>
      <c r="Y37" s="9" t="str">
        <f>IF(X14="","",(X14/$AE$23))</f>
        <v/>
      </c>
      <c r="Z37" s="9" t="str">
        <f>IF(Y14="","",(Y14/$AE$23))</f>
        <v/>
      </c>
      <c r="AA37" s="9" t="str">
        <f>IF(Z14="","",(Z14/$AE$23))</f>
        <v/>
      </c>
      <c r="AB37" s="9" t="str">
        <f>IF(AA14="","",(AA14/$AE$23))</f>
        <v/>
      </c>
      <c r="AC37" s="9" t="str">
        <f>IF(AB14="","",(AB14/$AE$23))</f>
        <v/>
      </c>
      <c r="AD37" s="9" t="str">
        <f>IF(AC14="","",(AC14/$AE$23))</f>
        <v/>
      </c>
      <c r="AE37" s="9" t="str">
        <f>IF(AD14="","",(AD14/$AE$23))</f>
        <v/>
      </c>
      <c r="AF37" s="9" t="str">
        <f>IF(AE14="","",(AE14/$AE$23))</f>
        <v/>
      </c>
      <c r="AG37" s="9" t="str">
        <f>IF(AF14="","",(AF14/$AE$23))</f>
        <v/>
      </c>
      <c r="AH37" s="9" t="str">
        <f>IF(AG14="","",(AG14/$AE$23))</f>
        <v/>
      </c>
      <c r="AI37" s="9" t="str">
        <f>IF(AH14="","",(AH14/$AE$23))</f>
        <v/>
      </c>
      <c r="AJ37" s="9" t="str">
        <f>IF(AI14="","",(AI14/$AE$23))</f>
        <v/>
      </c>
      <c r="AK37" s="9" t="str">
        <f>IF(AJ14="","",(AJ14/$AE$23))</f>
        <v/>
      </c>
      <c r="AL37" s="9" t="str">
        <f>IF(AK14="","",(AK14/$AE$23))</f>
        <v/>
      </c>
    </row>
    <row r="38" spans="1:38" x14ac:dyDescent="0.25">
      <c r="A38" s="194"/>
      <c r="B38" s="9" t="str">
        <f t="shared" ref="B38:N38" si="14">IF(B15="","",(B15/$AE$23))</f>
        <v/>
      </c>
      <c r="C38" s="9" t="str">
        <f t="shared" si="14"/>
        <v/>
      </c>
      <c r="D38" s="9" t="str">
        <f t="shared" si="14"/>
        <v/>
      </c>
      <c r="E38" s="9" t="str">
        <f t="shared" si="14"/>
        <v/>
      </c>
      <c r="F38" s="9" t="str">
        <f t="shared" si="14"/>
        <v/>
      </c>
      <c r="G38" s="9" t="str">
        <f t="shared" si="14"/>
        <v/>
      </c>
      <c r="H38" s="9" t="str">
        <f t="shared" si="14"/>
        <v/>
      </c>
      <c r="I38" s="9" t="str">
        <f t="shared" si="14"/>
        <v/>
      </c>
      <c r="J38" s="9" t="str">
        <f t="shared" si="14"/>
        <v/>
      </c>
      <c r="K38" s="9" t="str">
        <f t="shared" si="14"/>
        <v/>
      </c>
      <c r="L38" s="9" t="str">
        <f t="shared" si="14"/>
        <v/>
      </c>
      <c r="M38" s="9" t="str">
        <f t="shared" si="14"/>
        <v/>
      </c>
      <c r="N38" s="9" t="str">
        <f t="shared" si="14"/>
        <v/>
      </c>
      <c r="O38" s="5"/>
      <c r="P38" s="9">
        <f>IF(O15="","",(O15/$AE$23))</f>
        <v>1.0138376619704161</v>
      </c>
      <c r="Q38" s="9" t="str">
        <f>IF(P15="","",(P15/$AE$23))</f>
        <v/>
      </c>
      <c r="R38" s="9" t="str">
        <f>IF(Q15="","",(Q15/$AE$23))</f>
        <v/>
      </c>
      <c r="S38" s="9" t="str">
        <f>IF(R15="","",(R15/$AE$23))</f>
        <v/>
      </c>
      <c r="T38" s="9" t="str">
        <f>IF(S15="","",(S15/$AE$23))</f>
        <v/>
      </c>
      <c r="U38" s="9" t="str">
        <f>IF(T15="","",(T15/$AE$23))</f>
        <v/>
      </c>
      <c r="V38" s="9" t="str">
        <f>IF(U15="","",(U15/$AE$23))</f>
        <v/>
      </c>
      <c r="W38" s="9" t="str">
        <f>IF(V15="","",(V15/$AE$23))</f>
        <v/>
      </c>
      <c r="X38" s="9" t="str">
        <f>IF(W15="","",(W15/$AE$23))</f>
        <v/>
      </c>
      <c r="Y38" s="9" t="str">
        <f>IF(X15="","",(X15/$AE$23))</f>
        <v/>
      </c>
      <c r="Z38" s="9" t="str">
        <f>IF(Y15="","",(Y15/$AE$23))</f>
        <v/>
      </c>
      <c r="AA38" s="9" t="str">
        <f>IF(Z15="","",(Z15/$AE$23))</f>
        <v/>
      </c>
      <c r="AB38" s="9" t="str">
        <f>IF(AA15="","",(AA15/$AE$23))</f>
        <v/>
      </c>
      <c r="AC38" s="9" t="str">
        <f>IF(AB15="","",(AB15/$AE$23))</f>
        <v/>
      </c>
      <c r="AD38" s="9" t="str">
        <f>IF(AC15="","",(AC15/$AE$23))</f>
        <v/>
      </c>
      <c r="AE38" s="9" t="str">
        <f>IF(AD15="","",(AD15/$AE$23))</f>
        <v/>
      </c>
      <c r="AF38" s="9" t="str">
        <f>IF(AE15="","",(AE15/$AE$23))</f>
        <v/>
      </c>
      <c r="AG38" s="9" t="str">
        <f>IF(AF15="","",(AF15/$AE$23))</f>
        <v/>
      </c>
      <c r="AH38" s="9" t="str">
        <f>IF(AG15="","",(AG15/$AE$23))</f>
        <v/>
      </c>
      <c r="AI38" s="9" t="str">
        <f>IF(AH15="","",(AH15/$AE$23))</f>
        <v/>
      </c>
      <c r="AJ38" s="9" t="str">
        <f>IF(AI15="","",(AI15/$AE$23))</f>
        <v/>
      </c>
      <c r="AK38" s="9" t="str">
        <f>IF(AJ15="","",(AJ15/$AE$23))</f>
        <v/>
      </c>
      <c r="AL38" s="9" t="str">
        <f>IF(AK15="","",(AK15/$AE$23))</f>
        <v/>
      </c>
    </row>
    <row r="39" spans="1:38" x14ac:dyDescent="0.25">
      <c r="A39" s="194"/>
      <c r="B39" s="9" t="str">
        <f t="shared" ref="B39:N39" si="15">IF(B16="","",(B16/$AE$23))</f>
        <v/>
      </c>
      <c r="C39" s="9" t="str">
        <f t="shared" si="15"/>
        <v/>
      </c>
      <c r="D39" s="9" t="str">
        <f t="shared" si="15"/>
        <v/>
      </c>
      <c r="E39" s="9" t="str">
        <f t="shared" si="15"/>
        <v/>
      </c>
      <c r="F39" s="9" t="str">
        <f t="shared" si="15"/>
        <v/>
      </c>
      <c r="G39" s="9" t="str">
        <f t="shared" si="15"/>
        <v/>
      </c>
      <c r="H39" s="9" t="str">
        <f t="shared" si="15"/>
        <v/>
      </c>
      <c r="I39" s="9" t="str">
        <f t="shared" si="15"/>
        <v/>
      </c>
      <c r="J39" s="9" t="str">
        <f t="shared" si="15"/>
        <v/>
      </c>
      <c r="K39" s="9" t="str">
        <f t="shared" si="15"/>
        <v/>
      </c>
      <c r="L39" s="9" t="str">
        <f t="shared" si="15"/>
        <v/>
      </c>
      <c r="M39" s="9" t="str">
        <f t="shared" si="15"/>
        <v/>
      </c>
      <c r="N39" s="9" t="str">
        <f t="shared" si="15"/>
        <v/>
      </c>
      <c r="O39" s="5"/>
      <c r="P39" s="9">
        <f>IF(O16="","",(O16/$AE$23))</f>
        <v>0.9338386046089705</v>
      </c>
      <c r="Q39" s="9" t="str">
        <f>IF(P16="","",(P16/$AE$23))</f>
        <v/>
      </c>
      <c r="R39" s="9" t="str">
        <f>IF(Q16="","",(Q16/$AE$23))</f>
        <v/>
      </c>
      <c r="S39" s="9" t="str">
        <f>IF(R16="","",(R16/$AE$23))</f>
        <v/>
      </c>
      <c r="T39" s="9" t="str">
        <f>IF(S16="","",(S16/$AE$23))</f>
        <v/>
      </c>
      <c r="U39" s="9" t="str">
        <f>IF(T16="","",(T16/$AE$23))</f>
        <v/>
      </c>
      <c r="V39" s="9" t="str">
        <f>IF(U16="","",(U16/$AE$23))</f>
        <v/>
      </c>
      <c r="W39" s="9" t="str">
        <f>IF(V16="","",(V16/$AE$23))</f>
        <v/>
      </c>
      <c r="X39" s="9" t="str">
        <f>IF(W16="","",(W16/$AE$23))</f>
        <v/>
      </c>
      <c r="Y39" s="9" t="str">
        <f>IF(X16="","",(X16/$AE$23))</f>
        <v/>
      </c>
      <c r="Z39" s="9" t="str">
        <f>IF(Y16="","",(Y16/$AE$23))</f>
        <v/>
      </c>
      <c r="AA39" s="9" t="str">
        <f>IF(Z16="","",(Z16/$AE$23))</f>
        <v/>
      </c>
      <c r="AB39" s="9" t="str">
        <f>IF(AA16="","",(AA16/$AE$23))</f>
        <v/>
      </c>
      <c r="AC39" s="9" t="str">
        <f>IF(AB16="","",(AB16/$AE$23))</f>
        <v/>
      </c>
      <c r="AD39" s="9" t="str">
        <f>IF(AC16="","",(AC16/$AE$23))</f>
        <v/>
      </c>
      <c r="AE39" s="9" t="str">
        <f>IF(AD16="","",(AD16/$AE$23))</f>
        <v/>
      </c>
      <c r="AF39" s="9" t="str">
        <f>IF(AE16="","",(AE16/$AE$23))</f>
        <v/>
      </c>
      <c r="AG39" s="9" t="str">
        <f>IF(AF16="","",(AF16/$AE$23))</f>
        <v/>
      </c>
      <c r="AH39" s="9" t="str">
        <f>IF(AG16="","",(AG16/$AE$23))</f>
        <v/>
      </c>
      <c r="AI39" s="9" t="str">
        <f>IF(AH16="","",(AH16/$AE$23))</f>
        <v/>
      </c>
      <c r="AJ39" s="9" t="str">
        <f>IF(AI16="","",(AI16/$AE$23))</f>
        <v/>
      </c>
      <c r="AK39" s="9" t="str">
        <f>IF(AJ16="","",(AJ16/$AE$23))</f>
        <v/>
      </c>
      <c r="AL39" s="9" t="str">
        <f>IF(AK16="","",(AK16/$AE$23))</f>
        <v/>
      </c>
    </row>
    <row r="40" spans="1:38" x14ac:dyDescent="0.25">
      <c r="A40" s="194"/>
      <c r="B40" s="9" t="str">
        <f t="shared" ref="B40:N40" si="16">IF(B17="","",(B17/$AE$23))</f>
        <v/>
      </c>
      <c r="C40" s="9" t="str">
        <f t="shared" si="16"/>
        <v/>
      </c>
      <c r="D40" s="9" t="str">
        <f t="shared" si="16"/>
        <v/>
      </c>
      <c r="E40" s="9" t="str">
        <f t="shared" si="16"/>
        <v/>
      </c>
      <c r="F40" s="9" t="str">
        <f t="shared" si="16"/>
        <v/>
      </c>
      <c r="G40" s="9" t="str">
        <f t="shared" si="16"/>
        <v/>
      </c>
      <c r="H40" s="9" t="str">
        <f t="shared" si="16"/>
        <v/>
      </c>
      <c r="I40" s="9" t="str">
        <f t="shared" si="16"/>
        <v/>
      </c>
      <c r="J40" s="9" t="str">
        <f t="shared" si="16"/>
        <v/>
      </c>
      <c r="K40" s="9" t="str">
        <f t="shared" si="16"/>
        <v/>
      </c>
      <c r="L40" s="9" t="str">
        <f t="shared" si="16"/>
        <v/>
      </c>
      <c r="M40" s="9" t="str">
        <f t="shared" si="16"/>
        <v/>
      </c>
      <c r="N40" s="9" t="str">
        <f t="shared" si="16"/>
        <v/>
      </c>
      <c r="O40" s="5"/>
      <c r="P40" s="9">
        <f>IF(O17="","",(O17/$AE$23))</f>
        <v>1.2841366677142165</v>
      </c>
      <c r="Q40" s="9" t="str">
        <f>IF(P17="","",(P17/$AE$23))</f>
        <v/>
      </c>
      <c r="R40" s="9" t="str">
        <f>IF(Q17="","",(Q17/$AE$23))</f>
        <v/>
      </c>
      <c r="S40" s="9" t="str">
        <f>IF(R17="","",(R17/$AE$23))</f>
        <v/>
      </c>
      <c r="T40" s="9" t="str">
        <f>IF(S17="","",(S17/$AE$23))</f>
        <v/>
      </c>
      <c r="U40" s="9" t="str">
        <f>IF(T17="","",(T17/$AE$23))</f>
        <v/>
      </c>
      <c r="V40" s="9" t="str">
        <f>IF(U17="","",(U17/$AE$23))</f>
        <v/>
      </c>
      <c r="W40" s="9" t="str">
        <f>IF(V17="","",(V17/$AE$23))</f>
        <v/>
      </c>
      <c r="X40" s="9" t="str">
        <f>IF(W17="","",(W17/$AE$23))</f>
        <v/>
      </c>
      <c r="Y40" s="9" t="str">
        <f>IF(X17="","",(X17/$AE$23))</f>
        <v/>
      </c>
      <c r="Z40" s="9" t="str">
        <f>IF(Y17="","",(Y17/$AE$23))</f>
        <v/>
      </c>
      <c r="AA40" s="9" t="str">
        <f>IF(Z17="","",(Z17/$AE$23))</f>
        <v/>
      </c>
      <c r="AB40" s="9" t="str">
        <f>IF(AA17="","",(AA17/$AE$23))</f>
        <v/>
      </c>
      <c r="AC40" s="9" t="str">
        <f>IF(AB17="","",(AB17/$AE$23))</f>
        <v/>
      </c>
      <c r="AD40" s="9" t="str">
        <f>IF(AC17="","",(AC17/$AE$23))</f>
        <v/>
      </c>
      <c r="AE40" s="9" t="str">
        <f>IF(AD17="","",(AD17/$AE$23))</f>
        <v/>
      </c>
      <c r="AF40" s="9" t="str">
        <f>IF(AE17="","",(AE17/$AE$23))</f>
        <v/>
      </c>
      <c r="AG40" s="9" t="str">
        <f>IF(AF17="","",(AF17/$AE$23))</f>
        <v/>
      </c>
      <c r="AH40" s="9" t="str">
        <f>IF(AG17="","",(AG17/$AE$23))</f>
        <v/>
      </c>
      <c r="AI40" s="9" t="str">
        <f>IF(AH17="","",(AH17/$AE$23))</f>
        <v/>
      </c>
      <c r="AJ40" s="9" t="str">
        <f>IF(AI17="","",(AI17/$AE$23))</f>
        <v/>
      </c>
      <c r="AK40" s="9" t="str">
        <f>IF(AJ17="","",(AJ17/$AE$23))</f>
        <v/>
      </c>
      <c r="AL40" s="9" t="str">
        <f>IF(AK17="","",(AK17/$AE$23))</f>
        <v/>
      </c>
    </row>
    <row r="41" spans="1:38" x14ac:dyDescent="0.25">
      <c r="A41" s="194"/>
      <c r="B41" s="9" t="str">
        <f t="shared" ref="B41:N41" si="17">IF(B18="","",(B18/$AE$23))</f>
        <v/>
      </c>
      <c r="C41" s="9" t="str">
        <f t="shared" si="17"/>
        <v/>
      </c>
      <c r="D41" s="9" t="str">
        <f t="shared" si="17"/>
        <v/>
      </c>
      <c r="E41" s="9" t="str">
        <f t="shared" si="17"/>
        <v/>
      </c>
      <c r="F41" s="9" t="str">
        <f t="shared" si="17"/>
        <v/>
      </c>
      <c r="G41" s="9" t="str">
        <f t="shared" si="17"/>
        <v/>
      </c>
      <c r="H41" s="9" t="str">
        <f t="shared" si="17"/>
        <v/>
      </c>
      <c r="I41" s="9" t="str">
        <f t="shared" si="17"/>
        <v/>
      </c>
      <c r="J41" s="9" t="str">
        <f t="shared" si="17"/>
        <v/>
      </c>
      <c r="K41" s="9" t="str">
        <f t="shared" si="17"/>
        <v/>
      </c>
      <c r="L41" s="9" t="str">
        <f t="shared" si="17"/>
        <v/>
      </c>
      <c r="M41" s="9" t="str">
        <f t="shared" si="17"/>
        <v/>
      </c>
      <c r="N41" s="9" t="str">
        <f t="shared" si="17"/>
        <v/>
      </c>
      <c r="O41" s="5"/>
      <c r="P41" s="9">
        <f>IF(O18="","",(O18/$AE$23))</f>
        <v>1.0676720964388566</v>
      </c>
      <c r="Q41" s="9" t="str">
        <f>IF(P18="","",(P18/$AE$23))</f>
        <v/>
      </c>
      <c r="R41" s="9" t="str">
        <f>IF(Q18="","",(Q18/$AE$23))</f>
        <v/>
      </c>
      <c r="S41" s="9" t="str">
        <f>IF(R18="","",(R18/$AE$23))</f>
        <v/>
      </c>
      <c r="T41" s="9" t="str">
        <f>IF(S18="","",(S18/$AE$23))</f>
        <v/>
      </c>
      <c r="U41" s="9" t="str">
        <f>IF(T18="","",(T18/$AE$23))</f>
        <v/>
      </c>
      <c r="V41" s="9" t="str">
        <f>IF(U18="","",(U18/$AE$23))</f>
        <v/>
      </c>
      <c r="W41" s="9" t="str">
        <f>IF(V18="","",(V18/$AE$23))</f>
        <v/>
      </c>
      <c r="X41" s="9" t="str">
        <f>IF(W18="","",(W18/$AE$23))</f>
        <v/>
      </c>
      <c r="Y41" s="9" t="str">
        <f>IF(X18="","",(X18/$AE$23))</f>
        <v/>
      </c>
      <c r="Z41" s="9" t="str">
        <f>IF(Y18="","",(Y18/$AE$23))</f>
        <v/>
      </c>
      <c r="AA41" s="9" t="str">
        <f>IF(Z18="","",(Z18/$AE$23))</f>
        <v/>
      </c>
      <c r="AB41" s="9" t="str">
        <f>IF(AA18="","",(AA18/$AE$23))</f>
        <v/>
      </c>
      <c r="AC41" s="9" t="str">
        <f>IF(AB18="","",(AB18/$AE$23))</f>
        <v/>
      </c>
      <c r="AD41" s="9" t="str">
        <f>IF(AC18="","",(AC18/$AE$23))</f>
        <v/>
      </c>
      <c r="AE41" s="9" t="str">
        <f>IF(AD18="","",(AD18/$AE$23))</f>
        <v/>
      </c>
      <c r="AF41" s="9" t="str">
        <f>IF(AE18="","",(AE18/$AE$23))</f>
        <v/>
      </c>
      <c r="AG41" s="9" t="str">
        <f>IF(AF18="","",(AF18/$AE$23))</f>
        <v/>
      </c>
      <c r="AH41" s="9" t="str">
        <f>IF(AG18="","",(AG18/$AE$23))</f>
        <v/>
      </c>
      <c r="AI41" s="9" t="str">
        <f>IF(AH18="","",(AH18/$AE$23))</f>
        <v/>
      </c>
      <c r="AJ41" s="9" t="str">
        <f>IF(AI18="","",(AI18/$AE$23))</f>
        <v/>
      </c>
      <c r="AK41" s="9" t="str">
        <f>IF(AJ18="","",(AJ18/$AE$23))</f>
        <v/>
      </c>
      <c r="AL41" s="9" t="str">
        <f>IF(AK18="","",(AK18/$AE$23))</f>
        <v/>
      </c>
    </row>
    <row r="42" spans="1:38" x14ac:dyDescent="0.25">
      <c r="A42" s="194"/>
      <c r="B42" s="9" t="str">
        <f t="shared" ref="B42:N42" si="18">IF(B19="","",(B19/$AE$23))</f>
        <v/>
      </c>
      <c r="C42" s="9" t="str">
        <f t="shared" si="18"/>
        <v/>
      </c>
      <c r="D42" s="9" t="str">
        <f t="shared" si="18"/>
        <v/>
      </c>
      <c r="E42" s="9" t="str">
        <f t="shared" si="18"/>
        <v/>
      </c>
      <c r="F42" s="9" t="str">
        <f t="shared" si="18"/>
        <v/>
      </c>
      <c r="G42" s="9" t="str">
        <f t="shared" si="18"/>
        <v/>
      </c>
      <c r="H42" s="9" t="str">
        <f t="shared" si="18"/>
        <v/>
      </c>
      <c r="I42" s="9" t="str">
        <f t="shared" si="18"/>
        <v/>
      </c>
      <c r="J42" s="9" t="str">
        <f t="shared" si="18"/>
        <v/>
      </c>
      <c r="K42" s="9" t="str">
        <f t="shared" si="18"/>
        <v/>
      </c>
      <c r="L42" s="9" t="str">
        <f t="shared" si="18"/>
        <v/>
      </c>
      <c r="M42" s="9" t="str">
        <f t="shared" si="18"/>
        <v/>
      </c>
      <c r="N42" s="9" t="str">
        <f t="shared" si="18"/>
        <v/>
      </c>
      <c r="O42" s="5"/>
      <c r="P42" s="9">
        <f>IF(O19="","",(O19/$AE$23))</f>
        <v>0.83627055551127072</v>
      </c>
      <c r="Q42" s="9" t="str">
        <f>IF(P19="","",(P19/$AE$23))</f>
        <v/>
      </c>
      <c r="R42" s="9" t="str">
        <f>IF(Q19="","",(Q19/$AE$23))</f>
        <v/>
      </c>
      <c r="S42" s="9" t="str">
        <f>IF(R19="","",(R19/$AE$23))</f>
        <v/>
      </c>
      <c r="T42" s="9" t="str">
        <f>IF(S19="","",(S19/$AE$23))</f>
        <v/>
      </c>
      <c r="U42" s="9" t="str">
        <f>IF(T19="","",(T19/$AE$23))</f>
        <v/>
      </c>
      <c r="V42" s="9" t="str">
        <f>IF(U19="","",(U19/$AE$23))</f>
        <v/>
      </c>
      <c r="W42" s="9" t="str">
        <f>IF(V19="","",(V19/$AE$23))</f>
        <v/>
      </c>
      <c r="X42" s="9" t="str">
        <f>IF(W19="","",(W19/$AE$23))</f>
        <v/>
      </c>
      <c r="Y42" s="9" t="str">
        <f>IF(X19="","",(X19/$AE$23))</f>
        <v/>
      </c>
      <c r="Z42" s="9" t="str">
        <f>IF(Y19="","",(Y19/$AE$23))</f>
        <v/>
      </c>
      <c r="AA42" s="9" t="str">
        <f>IF(Z19="","",(Z19/$AE$23))</f>
        <v/>
      </c>
      <c r="AB42" s="9" t="str">
        <f>IF(AA19="","",(AA19/$AE$23))</f>
        <v/>
      </c>
      <c r="AC42" s="9" t="str">
        <f>IF(AB19="","",(AB19/$AE$23))</f>
        <v/>
      </c>
      <c r="AD42" s="9" t="str">
        <f>IF(AC19="","",(AC19/$AE$23))</f>
        <v/>
      </c>
      <c r="AE42" s="9" t="str">
        <f>IF(AD19="","",(AD19/$AE$23))</f>
        <v/>
      </c>
      <c r="AF42" s="9" t="str">
        <f>IF(AE19="","",(AE19/$AE$23))</f>
        <v/>
      </c>
      <c r="AG42" s="9" t="str">
        <f>IF(AF19="","",(AF19/$AE$23))</f>
        <v/>
      </c>
      <c r="AH42" s="9" t="str">
        <f>IF(AG19="","",(AG19/$AE$23))</f>
        <v/>
      </c>
      <c r="AI42" s="9" t="str">
        <f>IF(AH19="","",(AH19/$AE$23))</f>
        <v/>
      </c>
      <c r="AJ42" s="9" t="str">
        <f>IF(AI19="","",(AI19/$AE$23))</f>
        <v/>
      </c>
      <c r="AK42" s="9" t="str">
        <f>IF(AJ19="","",(AJ19/$AE$23))</f>
        <v/>
      </c>
      <c r="AL42" s="9" t="str">
        <f>IF(AK19="","",(AK19/$AE$23))</f>
        <v/>
      </c>
    </row>
    <row r="43" spans="1:38" x14ac:dyDescent="0.25">
      <c r="A43" s="194"/>
      <c r="B43" s="9" t="str">
        <f t="shared" ref="B43:N43" si="19">IF(B20="","",(B20/$AE$23))</f>
        <v/>
      </c>
      <c r="C43" s="9" t="str">
        <f t="shared" si="19"/>
        <v/>
      </c>
      <c r="D43" s="9" t="str">
        <f t="shared" si="19"/>
        <v/>
      </c>
      <c r="E43" s="9" t="str">
        <f t="shared" si="19"/>
        <v/>
      </c>
      <c r="F43" s="9" t="str">
        <f t="shared" si="19"/>
        <v/>
      </c>
      <c r="G43" s="9" t="str">
        <f t="shared" si="19"/>
        <v/>
      </c>
      <c r="H43" s="9" t="str">
        <f t="shared" si="19"/>
        <v/>
      </c>
      <c r="I43" s="9" t="str">
        <f t="shared" si="19"/>
        <v/>
      </c>
      <c r="J43" s="9" t="str">
        <f t="shared" si="19"/>
        <v/>
      </c>
      <c r="K43" s="9" t="str">
        <f t="shared" si="19"/>
        <v/>
      </c>
      <c r="L43" s="9" t="str">
        <f t="shared" si="19"/>
        <v/>
      </c>
      <c r="M43" s="9" t="str">
        <f t="shared" si="19"/>
        <v/>
      </c>
      <c r="N43" s="9" t="str">
        <f t="shared" si="19"/>
        <v/>
      </c>
      <c r="O43" s="5"/>
      <c r="P43" s="9">
        <f>IF(O20="","",(O20/$AE$23))</f>
        <v>1.1313970624315941</v>
      </c>
      <c r="Q43" s="9" t="str">
        <f>IF(P20="","",(P20/$AE$23))</f>
        <v/>
      </c>
      <c r="R43" s="9" t="str">
        <f>IF(Q20="","",(Q20/$AE$23))</f>
        <v/>
      </c>
      <c r="S43" s="9" t="str">
        <f>IF(R20="","",(R20/$AE$23))</f>
        <v/>
      </c>
      <c r="T43" s="9" t="str">
        <f>IF(S20="","",(S20/$AE$23))</f>
        <v/>
      </c>
      <c r="U43" s="9" t="str">
        <f>IF(T20="","",(T20/$AE$23))</f>
        <v/>
      </c>
      <c r="V43" s="9" t="str">
        <f>IF(U20="","",(U20/$AE$23))</f>
        <v/>
      </c>
      <c r="W43" s="9" t="str">
        <f>IF(V20="","",(V20/$AE$23))</f>
        <v/>
      </c>
      <c r="X43" s="9" t="str">
        <f>IF(W20="","",(W20/$AE$23))</f>
        <v/>
      </c>
      <c r="Y43" s="9" t="str">
        <f>IF(X20="","",(X20/$AE$23))</f>
        <v/>
      </c>
      <c r="Z43" s="9" t="str">
        <f>IF(Y20="","",(Y20/$AE$23))</f>
        <v/>
      </c>
      <c r="AA43" s="9" t="str">
        <f>IF(Z20="","",(Z20/$AE$23))</f>
        <v/>
      </c>
      <c r="AB43" s="9" t="str">
        <f>IF(AA20="","",(AA20/$AE$23))</f>
        <v/>
      </c>
      <c r="AC43" s="9" t="str">
        <f>IF(AB20="","",(AB20/$AE$23))</f>
        <v/>
      </c>
      <c r="AD43" s="9" t="str">
        <f>IF(AC20="","",(AC20/$AE$23))</f>
        <v/>
      </c>
      <c r="AE43" s="9" t="str">
        <f>IF(AD20="","",(AD20/$AE$23))</f>
        <v/>
      </c>
      <c r="AF43" s="9" t="str">
        <f>IF(AE20="","",(AE20/$AE$23))</f>
        <v/>
      </c>
      <c r="AG43" s="9" t="str">
        <f>IF(AF20="","",(AF20/$AE$23))</f>
        <v/>
      </c>
      <c r="AH43" s="9" t="str">
        <f>IF(AG20="","",(AG20/$AE$23))</f>
        <v/>
      </c>
      <c r="AI43" s="9" t="str">
        <f>IF(AH20="","",(AH20/$AE$23))</f>
        <v/>
      </c>
      <c r="AJ43" s="9" t="str">
        <f>IF(AI20="","",(AI20/$AE$23))</f>
        <v/>
      </c>
      <c r="AK43" s="9" t="str">
        <f>IF(AJ20="","",(AJ20/$AE$23))</f>
        <v/>
      </c>
      <c r="AL43" s="9" t="str">
        <f>IF(AK20="","",(AK20/$AE$23))</f>
        <v/>
      </c>
    </row>
    <row r="44" spans="1:38" x14ac:dyDescent="0.25">
      <c r="A44" s="2"/>
      <c r="B44" s="2"/>
      <c r="C44" s="2"/>
      <c r="D44" s="2"/>
      <c r="E44" s="2"/>
      <c r="F44" s="2"/>
      <c r="G44" s="2"/>
      <c r="H44" s="2"/>
      <c r="I44" s="2"/>
      <c r="J44" s="2"/>
      <c r="O44" s="2"/>
      <c r="P44" s="2"/>
      <c r="Q44" s="2"/>
      <c r="R44" s="2"/>
      <c r="S44" s="2"/>
      <c r="T44" s="2"/>
      <c r="U44" s="2"/>
      <c r="V44" s="2"/>
      <c r="W44" s="2"/>
      <c r="X44" s="2"/>
      <c r="Y44" s="2"/>
      <c r="Z44" s="2"/>
      <c r="AA44" s="2"/>
      <c r="AB44" s="2"/>
      <c r="AC44" s="2"/>
      <c r="AD44" s="2"/>
      <c r="AE44" s="2"/>
      <c r="AF44" s="2"/>
      <c r="AG44" s="2"/>
      <c r="AH44" s="2"/>
      <c r="AI44" s="2"/>
      <c r="AJ44" s="2"/>
      <c r="AK44" s="2"/>
      <c r="AL44" s="2"/>
    </row>
    <row r="45" spans="1:38" s="52" customFormat="1" x14ac:dyDescent="0.25">
      <c r="A45" s="51" t="str">
        <f t="shared" ref="A45:N45" si="20">A4</f>
        <v>Noms des groupes</v>
      </c>
      <c r="B45" s="51" t="str">
        <f t="shared" si="20"/>
        <v>Témoin solvant</v>
      </c>
      <c r="C45" s="51" t="str">
        <f t="shared" si="20"/>
        <v>EE2-33,8ng/L</v>
      </c>
      <c r="D45" s="51" t="str">
        <f t="shared" si="20"/>
        <v>EE2-50,6ng/L</v>
      </c>
      <c r="E45" s="51" t="str">
        <f t="shared" si="20"/>
        <v>EE2-76ng/L</v>
      </c>
      <c r="F45" s="51" t="str">
        <f t="shared" si="20"/>
        <v>EE2-114ng/L</v>
      </c>
      <c r="G45" s="51" t="str">
        <f t="shared" si="20"/>
        <v>EE2-170,9ng/L</v>
      </c>
      <c r="H45" s="51" t="str">
        <f t="shared" si="20"/>
        <v>EE2-488ng/L</v>
      </c>
      <c r="I45" s="51" t="str">
        <f t="shared" si="20"/>
        <v>Triphénylphosphate-0,18mg/L</v>
      </c>
      <c r="J45" s="51" t="str">
        <f t="shared" si="20"/>
        <v>Triphénylphosphate-0,26mg/L</v>
      </c>
      <c r="K45" s="51" t="str">
        <f t="shared" si="20"/>
        <v>Triphénylphosphate-0,4mg/L</v>
      </c>
      <c r="L45" s="51" t="str">
        <f t="shared" si="20"/>
        <v>Triphénylphosphate-0,59mg/L</v>
      </c>
      <c r="M45" s="51" t="str">
        <f t="shared" si="20"/>
        <v>Triphénylphosphate-0,89mg/L</v>
      </c>
      <c r="N45" s="51" t="str">
        <f t="shared" si="20"/>
        <v xml:space="preserve"> </v>
      </c>
      <c r="O45" s="51" t="str">
        <f>AD22</f>
        <v>Nom des groupes</v>
      </c>
      <c r="P45" s="51" t="str">
        <f>O4</f>
        <v>Testo -30µg/L</v>
      </c>
      <c r="Q45" s="51" t="str">
        <f>P4</f>
        <v>Testo 30µg/L + EE2 -64ng/L</v>
      </c>
      <c r="R45" s="51" t="str">
        <f>Q4</f>
        <v>Testo 30µg/L + FAD-10mg/L</v>
      </c>
      <c r="S45" s="51" t="str">
        <f>R4</f>
        <v>Triphénylphosphate-0,18mg/L + Testostérone</v>
      </c>
      <c r="T45" s="51" t="str">
        <f>S4</f>
        <v>Triphénylphosphate-0,26mg/L + Testostérone</v>
      </c>
      <c r="U45" s="51" t="str">
        <f>T4</f>
        <v>Triphénylphosphate-0,4mg/L + Testostérone</v>
      </c>
      <c r="V45" s="51" t="str">
        <f>U4</f>
        <v>Triphénylphosphate-0,59mg/L + Testostérone</v>
      </c>
      <c r="W45" s="51" t="str">
        <f>V4</f>
        <v>Triphénylphosphate-0,89mg/L + Testostérone</v>
      </c>
      <c r="X45" s="51" t="str">
        <f>W4</f>
        <v>0-00 + Testostérone</v>
      </c>
      <c r="Y45" s="51" t="str">
        <f>X4</f>
        <v>0-00 + Testostérone</v>
      </c>
      <c r="Z45" s="51" t="str">
        <f>Y4</f>
        <v>0-00 + Testostérone</v>
      </c>
      <c r="AA45" s="51" t="str">
        <f>Z4</f>
        <v>0-00 + Testostérone</v>
      </c>
      <c r="AB45" s="51" t="str">
        <f>AA4</f>
        <v>0-00 + Testostérone</v>
      </c>
      <c r="AC45" s="51" t="str">
        <f>AB4</f>
        <v>0-00 + Testostérone</v>
      </c>
      <c r="AD45" s="51" t="str">
        <f>AC4</f>
        <v>0-00 + Testostérone</v>
      </c>
      <c r="AE45" s="51" t="str">
        <f>AD4</f>
        <v>0-00 + Testostérone</v>
      </c>
      <c r="AF45" s="51" t="str">
        <f>AE4</f>
        <v>0-00 + Testostérone</v>
      </c>
      <c r="AG45" s="51" t="str">
        <f>AF4</f>
        <v>0-00 + Testostérone</v>
      </c>
      <c r="AH45" s="51" t="str">
        <f>AG4</f>
        <v>0-00 + Testostérone</v>
      </c>
      <c r="AI45" s="51" t="str">
        <f>AH4</f>
        <v>0-00 + Testostérone</v>
      </c>
      <c r="AJ45" s="51" t="str">
        <f>AI4</f>
        <v>0-00 + Testostérone</v>
      </c>
      <c r="AK45" s="51" t="str">
        <f>AJ4</f>
        <v>0-00 + Testostérone</v>
      </c>
      <c r="AL45" s="51" t="str">
        <f>AK4</f>
        <v>0-00 + Testostérone</v>
      </c>
    </row>
    <row r="46" spans="1:38" x14ac:dyDescent="0.25">
      <c r="A46" s="6" t="s">
        <v>0</v>
      </c>
      <c r="B46" s="8">
        <f t="shared" ref="B46:H46" si="21">AVERAGE(B28:B43)</f>
        <v>0.12781344720837146</v>
      </c>
      <c r="C46" s="8">
        <f t="shared" si="21"/>
        <v>0.12659390943836679</v>
      </c>
      <c r="D46" s="8">
        <f t="shared" si="21"/>
        <v>0.17912586446668793</v>
      </c>
      <c r="E46" s="8">
        <f t="shared" si="21"/>
        <v>0.14875085928609325</v>
      </c>
      <c r="F46" s="8">
        <f t="shared" si="21"/>
        <v>0.47625455328302335</v>
      </c>
      <c r="G46" s="8">
        <f t="shared" si="21"/>
        <v>0.76295230447504525</v>
      </c>
      <c r="H46" s="8">
        <f t="shared" si="21"/>
        <v>1.7084486712545512</v>
      </c>
      <c r="I46" s="8">
        <f>AVERAGE(I28:I43)</f>
        <v>9.6376710188797413E-2</v>
      </c>
      <c r="J46" s="7">
        <f>AVERAGE(J28:J43)</f>
        <v>0.16246865338654395</v>
      </c>
      <c r="K46" s="7">
        <f>AVERAGE(K28:K43)</f>
        <v>0.21737839284779151</v>
      </c>
      <c r="L46" s="7">
        <f t="shared" ref="L46:N46" si="22">AVERAGE(L28:L43)</f>
        <v>0.40386077286323657</v>
      </c>
      <c r="M46" s="7">
        <f t="shared" si="22"/>
        <v>0.97908140378378639</v>
      </c>
      <c r="N46" s="7" t="e">
        <f t="shared" si="22"/>
        <v>#DIV/0!</v>
      </c>
      <c r="O46" s="6" t="s">
        <v>0</v>
      </c>
      <c r="P46" s="8">
        <f>AVERAGE(P28:P43)</f>
        <v>1.0000000000000002</v>
      </c>
      <c r="Q46" s="8">
        <f>AVERAGE(Q28:Q43)</f>
        <v>1.122323606684352</v>
      </c>
      <c r="R46" s="8">
        <f>AVERAGE(R28:R43)</f>
        <v>7.29441564046302E-2</v>
      </c>
      <c r="S46" s="8">
        <f>AVERAGE(S28:S43)</f>
        <v>1.1787947090294915</v>
      </c>
      <c r="T46" s="8">
        <f t="shared" ref="T46:AE46" si="23">AVERAGE(T28:T43)</f>
        <v>1.134423411213227</v>
      </c>
      <c r="U46" s="8">
        <f t="shared" si="23"/>
        <v>1.393250035153365</v>
      </c>
      <c r="V46" s="8">
        <f t="shared" si="23"/>
        <v>1.2776149617343753</v>
      </c>
      <c r="W46" s="8">
        <f t="shared" si="23"/>
        <v>1.474389026811026</v>
      </c>
      <c r="X46" s="8" t="e">
        <f t="shared" si="23"/>
        <v>#DIV/0!</v>
      </c>
      <c r="Y46" s="8" t="e">
        <f t="shared" si="23"/>
        <v>#DIV/0!</v>
      </c>
      <c r="Z46" s="8" t="e">
        <f t="shared" si="23"/>
        <v>#DIV/0!</v>
      </c>
      <c r="AA46" s="8" t="e">
        <f t="shared" si="23"/>
        <v>#DIV/0!</v>
      </c>
      <c r="AB46" s="8" t="e">
        <f t="shared" si="23"/>
        <v>#DIV/0!</v>
      </c>
      <c r="AC46" s="8" t="e">
        <f t="shared" si="23"/>
        <v>#DIV/0!</v>
      </c>
      <c r="AD46" s="8" t="e">
        <f t="shared" si="23"/>
        <v>#DIV/0!</v>
      </c>
      <c r="AE46" s="8" t="e">
        <f t="shared" si="23"/>
        <v>#DIV/0!</v>
      </c>
      <c r="AF46" s="8" t="e">
        <f t="shared" ref="AF46:AL46" si="24">AVERAGE(AF28:AF43)</f>
        <v>#DIV/0!</v>
      </c>
      <c r="AG46" s="8" t="e">
        <f t="shared" si="24"/>
        <v>#DIV/0!</v>
      </c>
      <c r="AH46" s="8" t="e">
        <f t="shared" si="24"/>
        <v>#DIV/0!</v>
      </c>
      <c r="AI46" s="8" t="e">
        <f t="shared" si="24"/>
        <v>#DIV/0!</v>
      </c>
      <c r="AJ46" s="8" t="e">
        <f t="shared" si="24"/>
        <v>#DIV/0!</v>
      </c>
      <c r="AK46" s="8" t="e">
        <f t="shared" si="24"/>
        <v>#DIV/0!</v>
      </c>
      <c r="AL46" s="8" t="e">
        <f t="shared" si="24"/>
        <v>#DIV/0!</v>
      </c>
    </row>
    <row r="47" spans="1:38" x14ac:dyDescent="0.25">
      <c r="A47" s="6" t="s">
        <v>1</v>
      </c>
      <c r="B47" s="6">
        <f t="shared" ref="B47:K47" si="25">STDEV(B28:B43)</f>
        <v>7.303253242439893E-2</v>
      </c>
      <c r="C47" s="6">
        <f t="shared" si="25"/>
        <v>7.3531927596433386E-2</v>
      </c>
      <c r="D47" s="6">
        <f t="shared" si="25"/>
        <v>7.0547017742249404E-2</v>
      </c>
      <c r="E47" s="6">
        <f t="shared" si="25"/>
        <v>8.2633531752260486E-2</v>
      </c>
      <c r="F47" s="6">
        <f t="shared" si="25"/>
        <v>0.32787570396096222</v>
      </c>
      <c r="G47" s="6">
        <f t="shared" si="25"/>
        <v>0.32638549097894293</v>
      </c>
      <c r="H47" s="6">
        <f t="shared" si="25"/>
        <v>0.37808521115521732</v>
      </c>
      <c r="I47" s="6">
        <f>STDEV(I28:I43)</f>
        <v>6.436768927844419E-2</v>
      </c>
      <c r="J47" s="6">
        <f t="shared" si="25"/>
        <v>0.11888289772287712</v>
      </c>
      <c r="K47" s="6">
        <f t="shared" si="25"/>
        <v>0.1345952197896472</v>
      </c>
      <c r="L47" s="6">
        <f t="shared" ref="L47:N47" si="26">STDEV(L28:L43)</f>
        <v>0.28615628709821694</v>
      </c>
      <c r="M47" s="6">
        <f t="shared" si="26"/>
        <v>0.4045559696915601</v>
      </c>
      <c r="N47" s="6" t="e">
        <f t="shared" si="26"/>
        <v>#DIV/0!</v>
      </c>
      <c r="O47" s="6" t="s">
        <v>1</v>
      </c>
      <c r="P47" s="6">
        <f>STDEV(P28:P43)</f>
        <v>0.2756130997778552</v>
      </c>
      <c r="Q47" s="6">
        <f>STDEV(Q28:Q43)</f>
        <v>0.23828748165212882</v>
      </c>
      <c r="R47" s="6">
        <f>STDEV(R28:R43)</f>
        <v>4.8750388933082082E-2</v>
      </c>
      <c r="S47" s="6">
        <f>STDEV(S28:S43)</f>
        <v>0.26166281526253632</v>
      </c>
      <c r="T47" s="6">
        <f t="shared" ref="T47:AE47" si="27">STDEV(T28:T43)</f>
        <v>0.57782099594420133</v>
      </c>
      <c r="U47" s="6">
        <f t="shared" si="27"/>
        <v>0.2498507082175162</v>
      </c>
      <c r="V47" s="6">
        <f t="shared" si="27"/>
        <v>0.34147958584572141</v>
      </c>
      <c r="W47" s="6">
        <f t="shared" si="27"/>
        <v>0.36492338227024868</v>
      </c>
      <c r="X47" s="6" t="e">
        <f t="shared" si="27"/>
        <v>#DIV/0!</v>
      </c>
      <c r="Y47" s="6" t="e">
        <f t="shared" si="27"/>
        <v>#DIV/0!</v>
      </c>
      <c r="Z47" s="6" t="e">
        <f t="shared" si="27"/>
        <v>#DIV/0!</v>
      </c>
      <c r="AA47" s="6" t="e">
        <f t="shared" si="27"/>
        <v>#DIV/0!</v>
      </c>
      <c r="AB47" s="6" t="e">
        <f t="shared" si="27"/>
        <v>#DIV/0!</v>
      </c>
      <c r="AC47" s="6" t="e">
        <f t="shared" si="27"/>
        <v>#DIV/0!</v>
      </c>
      <c r="AD47" s="6" t="e">
        <f t="shared" si="27"/>
        <v>#DIV/0!</v>
      </c>
      <c r="AE47" s="6" t="e">
        <f t="shared" si="27"/>
        <v>#DIV/0!</v>
      </c>
      <c r="AF47" s="6" t="e">
        <f t="shared" ref="AF47:AL47" si="28">STDEV(AF28:AF43)</f>
        <v>#DIV/0!</v>
      </c>
      <c r="AG47" s="6" t="e">
        <f t="shared" si="28"/>
        <v>#DIV/0!</v>
      </c>
      <c r="AH47" s="6" t="e">
        <f t="shared" si="28"/>
        <v>#DIV/0!</v>
      </c>
      <c r="AI47" s="6" t="e">
        <f t="shared" si="28"/>
        <v>#DIV/0!</v>
      </c>
      <c r="AJ47" s="6" t="e">
        <f t="shared" si="28"/>
        <v>#DIV/0!</v>
      </c>
      <c r="AK47" s="6" t="e">
        <f t="shared" si="28"/>
        <v>#DIV/0!</v>
      </c>
      <c r="AL47" s="6" t="e">
        <f t="shared" si="28"/>
        <v>#DIV/0!</v>
      </c>
    </row>
    <row r="48" spans="1:38" x14ac:dyDescent="0.25">
      <c r="A48" s="6" t="s">
        <v>2</v>
      </c>
      <c r="B48" s="6">
        <f t="shared" ref="B48:K48" si="29" xml:space="preserve"> B47/SQRT(COUNT(B28:B43))</f>
        <v>2.5820899462259444E-2</v>
      </c>
      <c r="C48" s="6">
        <f t="shared" si="29"/>
        <v>2.7792456263338594E-2</v>
      </c>
      <c r="D48" s="6">
        <f t="shared" si="29"/>
        <v>2.6664266383321897E-2</v>
      </c>
      <c r="E48" s="6">
        <f t="shared" si="29"/>
        <v>3.3734998072851692E-2</v>
      </c>
      <c r="F48" s="6">
        <f t="shared" si="29"/>
        <v>0.11592156682855466</v>
      </c>
      <c r="G48" s="6">
        <f t="shared" si="29"/>
        <v>0.11539469697605563</v>
      </c>
      <c r="H48" s="6">
        <f t="shared" si="29"/>
        <v>0.13367330833710092</v>
      </c>
      <c r="I48" s="6">
        <f xml:space="preserve"> I47/SQRT(COUNT(I28:I43))</f>
        <v>2.2757414789048257E-2</v>
      </c>
      <c r="J48" s="6">
        <f t="shared" si="29"/>
        <v>4.203145157347659E-2</v>
      </c>
      <c r="K48" s="6">
        <f t="shared" si="29"/>
        <v>5.0872211317355115E-2</v>
      </c>
      <c r="L48" s="6">
        <f t="shared" ref="L48:N48" si="30" xml:space="preserve"> L47/SQRT(COUNT(L28:L43))</f>
        <v>0.10117152554315688</v>
      </c>
      <c r="M48" s="6">
        <f t="shared" si="30"/>
        <v>0.1809229297867346</v>
      </c>
      <c r="N48" s="6" t="e">
        <f t="shared" si="30"/>
        <v>#DIV/0!</v>
      </c>
      <c r="O48" s="6" t="s">
        <v>2</v>
      </c>
      <c r="P48" s="6">
        <f xml:space="preserve"> P47/SQRT(COUNT(P28:P43))</f>
        <v>6.8903274944463799E-2</v>
      </c>
      <c r="Q48" s="6">
        <f xml:space="preserve"> Q47/SQRT(COUNT(Q28:Q43))</f>
        <v>8.4247347074042647E-2</v>
      </c>
      <c r="R48" s="6">
        <f xml:space="preserve"> R47/SQRT(COUNT(R28:R43))</f>
        <v>1.7235865300031978E-2</v>
      </c>
      <c r="S48" s="6">
        <f xml:space="preserve"> S47/SQRT(COUNT(S28:S43))</f>
        <v>9.2511775528251128E-2</v>
      </c>
      <c r="T48" s="6">
        <f t="shared" ref="T48:AE48" si="31" xml:space="preserve"> T47/SQRT(COUNT(T28:T43))</f>
        <v>0.20429057227205466</v>
      </c>
      <c r="U48" s="6">
        <f t="shared" si="31"/>
        <v>8.8335565032433574E-2</v>
      </c>
      <c r="V48" s="6">
        <f t="shared" si="31"/>
        <v>0.1207312653941417</v>
      </c>
      <c r="W48" s="6">
        <f t="shared" si="31"/>
        <v>0.12901989910841177</v>
      </c>
      <c r="X48" s="6" t="e">
        <f t="shared" si="31"/>
        <v>#DIV/0!</v>
      </c>
      <c r="Y48" s="6" t="e">
        <f t="shared" si="31"/>
        <v>#DIV/0!</v>
      </c>
      <c r="Z48" s="6" t="e">
        <f t="shared" si="31"/>
        <v>#DIV/0!</v>
      </c>
      <c r="AA48" s="6" t="e">
        <f t="shared" si="31"/>
        <v>#DIV/0!</v>
      </c>
      <c r="AB48" s="6" t="e">
        <f t="shared" si="31"/>
        <v>#DIV/0!</v>
      </c>
      <c r="AC48" s="6" t="e">
        <f t="shared" si="31"/>
        <v>#DIV/0!</v>
      </c>
      <c r="AD48" s="6" t="e">
        <f t="shared" si="31"/>
        <v>#DIV/0!</v>
      </c>
      <c r="AE48" s="6" t="e">
        <f t="shared" si="31"/>
        <v>#DIV/0!</v>
      </c>
      <c r="AF48" s="6" t="e">
        <f t="shared" ref="AF48:AL48" si="32" xml:space="preserve"> AF47/SQRT(COUNT(AF28:AF43))</f>
        <v>#DIV/0!</v>
      </c>
      <c r="AG48" s="6" t="e">
        <f t="shared" si="32"/>
        <v>#DIV/0!</v>
      </c>
      <c r="AH48" s="6" t="e">
        <f t="shared" si="32"/>
        <v>#DIV/0!</v>
      </c>
      <c r="AI48" s="6" t="e">
        <f t="shared" si="32"/>
        <v>#DIV/0!</v>
      </c>
      <c r="AJ48" s="6" t="e">
        <f t="shared" si="32"/>
        <v>#DIV/0!</v>
      </c>
      <c r="AK48" s="6" t="e">
        <f t="shared" si="32"/>
        <v>#DIV/0!</v>
      </c>
      <c r="AL48" s="6" t="e">
        <f t="shared" si="32"/>
        <v>#DIV/0!</v>
      </c>
    </row>
    <row r="49" spans="1:53" ht="15.75" thickBo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row>
    <row r="50" spans="1:53" ht="27" thickBot="1" x14ac:dyDescent="0.45">
      <c r="A50" s="188" t="s">
        <v>38</v>
      </c>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90"/>
    </row>
    <row r="51" spans="1:53" ht="15.75" thickBot="1" x14ac:dyDescent="0.3"/>
    <row r="52" spans="1:53" x14ac:dyDescent="0.25">
      <c r="A52" s="27" t="str">
        <f t="shared" ref="A52" si="33">A27</f>
        <v>Noms des groupes</v>
      </c>
      <c r="B52" s="28" t="str">
        <f t="shared" ref="B52:H52" si="34">B27</f>
        <v>Témoin solvant</v>
      </c>
      <c r="C52" s="28" t="str">
        <f t="shared" si="34"/>
        <v>EE2-33,8ng/L</v>
      </c>
      <c r="D52" s="28" t="str">
        <f t="shared" si="34"/>
        <v>EE2-50,6ng/L</v>
      </c>
      <c r="E52" s="28" t="str">
        <f t="shared" si="34"/>
        <v>EE2-76ng/L</v>
      </c>
      <c r="F52" s="28" t="str">
        <f t="shared" si="34"/>
        <v>EE2-114ng/L</v>
      </c>
      <c r="G52" s="28" t="str">
        <f t="shared" si="34"/>
        <v>EE2-170,9ng/L</v>
      </c>
      <c r="H52" s="28" t="str">
        <f t="shared" si="34"/>
        <v>EE2-488ng/L</v>
      </c>
      <c r="I52" s="28" t="str">
        <f>I4</f>
        <v>Triphénylphosphate-0,18mg/L</v>
      </c>
      <c r="J52" s="28" t="str">
        <f>J4</f>
        <v>Triphénylphosphate-0,26mg/L</v>
      </c>
      <c r="K52" s="28" t="str">
        <f t="shared" ref="K52:N52" si="35">K27</f>
        <v>Triphénylphosphate-0,4mg/L</v>
      </c>
      <c r="L52" s="28" t="str">
        <f t="shared" si="35"/>
        <v>Triphénylphosphate-0,59mg/L</v>
      </c>
      <c r="M52" s="28" t="str">
        <f t="shared" si="35"/>
        <v>Triphénylphosphate-0,89mg/L</v>
      </c>
      <c r="N52" s="28" t="str">
        <f t="shared" si="35"/>
        <v xml:space="preserve"> </v>
      </c>
      <c r="O52" s="28" t="e">
        <f>#REF!</f>
        <v>#REF!</v>
      </c>
      <c r="P52" s="28" t="e">
        <f>#REF!</f>
        <v>#REF!</v>
      </c>
      <c r="Q52" s="28" t="e">
        <f>#REF!</f>
        <v>#REF!</v>
      </c>
      <c r="R52" s="28" t="e">
        <f>#REF!</f>
        <v>#REF!</v>
      </c>
      <c r="S52" s="28" t="e">
        <f>#REF!</f>
        <v>#REF!</v>
      </c>
      <c r="T52" s="28" t="e">
        <f>#REF!</f>
        <v>#REF!</v>
      </c>
      <c r="U52" s="28" t="e">
        <f>#REF!</f>
        <v>#REF!</v>
      </c>
      <c r="V52" s="28" t="e">
        <f>#REF!</f>
        <v>#REF!</v>
      </c>
      <c r="W52" s="28" t="e">
        <f>#REF!</f>
        <v>#REF!</v>
      </c>
      <c r="X52" s="28" t="e">
        <f>#REF!</f>
        <v>#REF!</v>
      </c>
      <c r="Y52" s="28" t="e">
        <f>#REF!</f>
        <v>#REF!</v>
      </c>
      <c r="Z52" s="28" t="e">
        <f>#REF!</f>
        <v>#REF!</v>
      </c>
      <c r="AA52" s="28" t="e">
        <f>#REF!</f>
        <v>#REF!</v>
      </c>
      <c r="AB52" s="28" t="e">
        <f>#REF!</f>
        <v>#REF!</v>
      </c>
      <c r="AC52" s="28" t="e">
        <f>#REF!</f>
        <v>#REF!</v>
      </c>
      <c r="AD52" s="29"/>
      <c r="AE52" s="28" t="str">
        <f>P27</f>
        <v>Testo -30µg/L</v>
      </c>
      <c r="AF52" s="28" t="str">
        <f>Q27</f>
        <v>Testo 30µg/L + EE2 -64ng/L</v>
      </c>
      <c r="AG52" s="28" t="str">
        <f>R27</f>
        <v>Testo 30µg/L + FAD-10mg/L</v>
      </c>
      <c r="AH52" s="28" t="str">
        <f>S27</f>
        <v>Triphénylphosphate-0,18mg/L + Testostérone</v>
      </c>
      <c r="AI52" s="28" t="str">
        <f>T27</f>
        <v>Triphénylphosphate-0,26mg/L + Testostérone</v>
      </c>
      <c r="AJ52" s="28" t="str">
        <f>U27</f>
        <v>Triphénylphosphate-0,4mg/L + Testostérone</v>
      </c>
      <c r="AK52" s="28" t="str">
        <f>V27</f>
        <v>Triphénylphosphate-0,59mg/L + Testostérone</v>
      </c>
      <c r="AL52" s="28" t="str">
        <f>W27</f>
        <v>Triphénylphosphate-0,89mg/L + Testostérone</v>
      </c>
      <c r="AM52" s="28" t="str">
        <f>X27</f>
        <v>0-00 + Testostérone</v>
      </c>
      <c r="AN52" s="28" t="str">
        <f>Y27</f>
        <v>0-00 + Testostérone</v>
      </c>
      <c r="AO52" s="28" t="str">
        <f>Z27</f>
        <v>0-00 + Testostérone</v>
      </c>
      <c r="AP52" s="28" t="str">
        <f>AA27</f>
        <v>0-00 + Testostérone</v>
      </c>
      <c r="AQ52" s="28" t="str">
        <f>AB27</f>
        <v>0-00 + Testostérone</v>
      </c>
      <c r="AR52" s="28" t="str">
        <f>AC27</f>
        <v>0-00 + Testostérone</v>
      </c>
      <c r="AS52" s="28" t="str">
        <f>AD27</f>
        <v>0-00 + Testostérone</v>
      </c>
      <c r="AT52" s="28" t="str">
        <f>AE27</f>
        <v>0-00 + Testostérone</v>
      </c>
      <c r="AU52" s="28" t="str">
        <f>AF27</f>
        <v>0-00 + Testostérone</v>
      </c>
      <c r="AV52" s="28" t="str">
        <f>AG27</f>
        <v>0-00 + Testostérone</v>
      </c>
      <c r="AW52" s="28" t="str">
        <f>AH27</f>
        <v>0-00 + Testostérone</v>
      </c>
      <c r="AX52" s="28" t="str">
        <f>AI27</f>
        <v>0-00 + Testostérone</v>
      </c>
      <c r="AY52" s="28" t="str">
        <f>AJ27</f>
        <v>0-00 + Testostérone</v>
      </c>
      <c r="AZ52" s="28" t="str">
        <f>AK27</f>
        <v>0-00 + Testostérone</v>
      </c>
      <c r="BA52" s="30" t="str">
        <f>AL27</f>
        <v>0-00 + Testostérone</v>
      </c>
    </row>
    <row r="53" spans="1:53" s="2" customFormat="1" x14ac:dyDescent="0.25">
      <c r="A53" s="45" t="s">
        <v>32</v>
      </c>
      <c r="B53" s="117">
        <f t="shared" ref="B53:N53" si="36">B46</f>
        <v>0.12781344720837146</v>
      </c>
      <c r="C53" s="117">
        <f t="shared" si="36"/>
        <v>0.12659390943836679</v>
      </c>
      <c r="D53" s="117">
        <f t="shared" si="36"/>
        <v>0.17912586446668793</v>
      </c>
      <c r="E53" s="117">
        <f t="shared" si="36"/>
        <v>0.14875085928609325</v>
      </c>
      <c r="F53" s="117">
        <f t="shared" si="36"/>
        <v>0.47625455328302335</v>
      </c>
      <c r="G53" s="117">
        <f t="shared" si="36"/>
        <v>0.76295230447504525</v>
      </c>
      <c r="H53" s="117">
        <f t="shared" si="36"/>
        <v>1.7084486712545512</v>
      </c>
      <c r="I53" s="117">
        <f t="shared" si="36"/>
        <v>9.6376710188797413E-2</v>
      </c>
      <c r="J53" s="117">
        <f t="shared" si="36"/>
        <v>0.16246865338654395</v>
      </c>
      <c r="K53" s="117">
        <f t="shared" si="36"/>
        <v>0.21737839284779151</v>
      </c>
      <c r="L53" s="117">
        <f t="shared" si="36"/>
        <v>0.40386077286323657</v>
      </c>
      <c r="M53" s="117">
        <f t="shared" si="36"/>
        <v>0.97908140378378639</v>
      </c>
      <c r="N53" s="117" t="e">
        <f t="shared" si="36"/>
        <v>#DIV/0!</v>
      </c>
      <c r="O53" s="117" t="e">
        <f>#REF!</f>
        <v>#REF!</v>
      </c>
      <c r="P53" s="117" t="e">
        <f>#REF!</f>
        <v>#REF!</v>
      </c>
      <c r="Q53" s="117" t="e">
        <f>#REF!</f>
        <v>#REF!</v>
      </c>
      <c r="R53" s="117" t="e">
        <f>#REF!</f>
        <v>#REF!</v>
      </c>
      <c r="S53" s="117" t="e">
        <f>#REF!</f>
        <v>#REF!</v>
      </c>
      <c r="T53" s="117" t="e">
        <f>#REF!</f>
        <v>#REF!</v>
      </c>
      <c r="U53" s="117" t="e">
        <f>#REF!</f>
        <v>#REF!</v>
      </c>
      <c r="V53" s="117" t="e">
        <f>#REF!</f>
        <v>#REF!</v>
      </c>
      <c r="W53" s="117" t="e">
        <f>#REF!</f>
        <v>#REF!</v>
      </c>
      <c r="X53" s="117" t="e">
        <f>#REF!</f>
        <v>#REF!</v>
      </c>
      <c r="Y53" s="117" t="e">
        <f>#REF!</f>
        <v>#REF!</v>
      </c>
      <c r="Z53" s="117" t="e">
        <f>#REF!</f>
        <v>#REF!</v>
      </c>
      <c r="AA53" s="117" t="e">
        <f>#REF!</f>
        <v>#REF!</v>
      </c>
      <c r="AB53" s="117" t="e">
        <f>#REF!</f>
        <v>#REF!</v>
      </c>
      <c r="AC53" s="117" t="e">
        <f>#REF!</f>
        <v>#REF!</v>
      </c>
      <c r="AD53" s="117"/>
      <c r="AE53" s="117">
        <f>P46</f>
        <v>1.0000000000000002</v>
      </c>
      <c r="AF53" s="117">
        <f>Q46</f>
        <v>1.122323606684352</v>
      </c>
      <c r="AG53" s="117">
        <f>R46</f>
        <v>7.29441564046302E-2</v>
      </c>
      <c r="AH53" s="117">
        <f>S46</f>
        <v>1.1787947090294915</v>
      </c>
      <c r="AI53" s="117">
        <f>T46</f>
        <v>1.134423411213227</v>
      </c>
      <c r="AJ53" s="117">
        <f>U46</f>
        <v>1.393250035153365</v>
      </c>
      <c r="AK53" s="117">
        <f>V46</f>
        <v>1.2776149617343753</v>
      </c>
      <c r="AL53" s="117">
        <f>W46</f>
        <v>1.474389026811026</v>
      </c>
      <c r="AM53" s="117" t="e">
        <f>X46</f>
        <v>#DIV/0!</v>
      </c>
      <c r="AN53" s="117" t="e">
        <f>Y46</f>
        <v>#DIV/0!</v>
      </c>
      <c r="AO53" s="117" t="e">
        <f>Z46</f>
        <v>#DIV/0!</v>
      </c>
      <c r="AP53" s="117" t="e">
        <f>AA46</f>
        <v>#DIV/0!</v>
      </c>
      <c r="AQ53" s="117" t="e">
        <f>AB46</f>
        <v>#DIV/0!</v>
      </c>
      <c r="AR53" s="117" t="e">
        <f>AC46</f>
        <v>#DIV/0!</v>
      </c>
      <c r="AS53" s="117" t="e">
        <f>AD46</f>
        <v>#DIV/0!</v>
      </c>
      <c r="AT53" s="117" t="e">
        <f>AE46</f>
        <v>#DIV/0!</v>
      </c>
      <c r="AU53" s="117" t="e">
        <f>AF46</f>
        <v>#DIV/0!</v>
      </c>
      <c r="AV53" s="117" t="e">
        <f>AG46</f>
        <v>#DIV/0!</v>
      </c>
      <c r="AW53" s="117" t="e">
        <f>AH46</f>
        <v>#DIV/0!</v>
      </c>
      <c r="AX53" s="117" t="e">
        <f>AI46</f>
        <v>#DIV/0!</v>
      </c>
      <c r="AY53" s="117" t="e">
        <f>AJ46</f>
        <v>#DIV/0!</v>
      </c>
      <c r="AZ53" s="117" t="e">
        <f>AK46</f>
        <v>#DIV/0!</v>
      </c>
      <c r="BA53" s="117" t="e">
        <f>AL46</f>
        <v>#DIV/0!</v>
      </c>
    </row>
    <row r="54" spans="1:53" s="2" customFormat="1" x14ac:dyDescent="0.25">
      <c r="A54" s="45" t="s">
        <v>2</v>
      </c>
      <c r="B54" s="117">
        <f t="shared" ref="B54:N54" si="37">B48</f>
        <v>2.5820899462259444E-2</v>
      </c>
      <c r="C54" s="117">
        <f t="shared" si="37"/>
        <v>2.7792456263338594E-2</v>
      </c>
      <c r="D54" s="117">
        <f t="shared" si="37"/>
        <v>2.6664266383321897E-2</v>
      </c>
      <c r="E54" s="117">
        <f t="shared" si="37"/>
        <v>3.3734998072851692E-2</v>
      </c>
      <c r="F54" s="117">
        <f t="shared" si="37"/>
        <v>0.11592156682855466</v>
      </c>
      <c r="G54" s="117">
        <f t="shared" si="37"/>
        <v>0.11539469697605563</v>
      </c>
      <c r="H54" s="117">
        <f t="shared" si="37"/>
        <v>0.13367330833710092</v>
      </c>
      <c r="I54" s="117">
        <f t="shared" si="37"/>
        <v>2.2757414789048257E-2</v>
      </c>
      <c r="J54" s="117">
        <f t="shared" si="37"/>
        <v>4.203145157347659E-2</v>
      </c>
      <c r="K54" s="117">
        <f t="shared" si="37"/>
        <v>5.0872211317355115E-2</v>
      </c>
      <c r="L54" s="117">
        <f t="shared" si="37"/>
        <v>0.10117152554315688</v>
      </c>
      <c r="M54" s="117">
        <f t="shared" si="37"/>
        <v>0.1809229297867346</v>
      </c>
      <c r="N54" s="117" t="e">
        <f t="shared" si="37"/>
        <v>#DIV/0!</v>
      </c>
      <c r="O54" s="117" t="e">
        <f>#REF!</f>
        <v>#REF!</v>
      </c>
      <c r="P54" s="117" t="e">
        <f>#REF!</f>
        <v>#REF!</v>
      </c>
      <c r="Q54" s="117" t="e">
        <f>#REF!</f>
        <v>#REF!</v>
      </c>
      <c r="R54" s="117" t="e">
        <f>#REF!</f>
        <v>#REF!</v>
      </c>
      <c r="S54" s="117" t="e">
        <f>#REF!</f>
        <v>#REF!</v>
      </c>
      <c r="T54" s="117" t="e">
        <f>#REF!</f>
        <v>#REF!</v>
      </c>
      <c r="U54" s="117" t="e">
        <f>#REF!</f>
        <v>#REF!</v>
      </c>
      <c r="V54" s="117" t="e">
        <f>#REF!</f>
        <v>#REF!</v>
      </c>
      <c r="W54" s="117" t="e">
        <f>#REF!</f>
        <v>#REF!</v>
      </c>
      <c r="X54" s="117" t="e">
        <f>#REF!</f>
        <v>#REF!</v>
      </c>
      <c r="Y54" s="117" t="e">
        <f>#REF!</f>
        <v>#REF!</v>
      </c>
      <c r="Z54" s="117" t="e">
        <f>#REF!</f>
        <v>#REF!</v>
      </c>
      <c r="AA54" s="117" t="e">
        <f>#REF!</f>
        <v>#REF!</v>
      </c>
      <c r="AB54" s="117" t="e">
        <f>#REF!</f>
        <v>#REF!</v>
      </c>
      <c r="AC54" s="117" t="e">
        <f>#REF!</f>
        <v>#REF!</v>
      </c>
      <c r="AD54" s="117"/>
      <c r="AE54" s="117">
        <f>P48</f>
        <v>6.8903274944463799E-2</v>
      </c>
      <c r="AF54" s="117">
        <f>Q48</f>
        <v>8.4247347074042647E-2</v>
      </c>
      <c r="AG54" s="117">
        <f>R48</f>
        <v>1.7235865300031978E-2</v>
      </c>
      <c r="AH54" s="117">
        <f>S48</f>
        <v>9.2511775528251128E-2</v>
      </c>
      <c r="AI54" s="117">
        <f>T48</f>
        <v>0.20429057227205466</v>
      </c>
      <c r="AJ54" s="117">
        <f>U48</f>
        <v>8.8335565032433574E-2</v>
      </c>
      <c r="AK54" s="117">
        <f>V48</f>
        <v>0.1207312653941417</v>
      </c>
      <c r="AL54" s="117">
        <f>W48</f>
        <v>0.12901989910841177</v>
      </c>
      <c r="AM54" s="117" t="e">
        <f>X48</f>
        <v>#DIV/0!</v>
      </c>
      <c r="AN54" s="117" t="e">
        <f>Y48</f>
        <v>#DIV/0!</v>
      </c>
      <c r="AO54" s="117" t="e">
        <f>Z48</f>
        <v>#DIV/0!</v>
      </c>
      <c r="AP54" s="117" t="e">
        <f>AA48</f>
        <v>#DIV/0!</v>
      </c>
      <c r="AQ54" s="117" t="e">
        <f>AB48</f>
        <v>#DIV/0!</v>
      </c>
      <c r="AR54" s="117" t="e">
        <f>AC48</f>
        <v>#DIV/0!</v>
      </c>
      <c r="AS54" s="117" t="e">
        <f>AD48</f>
        <v>#DIV/0!</v>
      </c>
      <c r="AT54" s="117" t="e">
        <f>AE48</f>
        <v>#DIV/0!</v>
      </c>
      <c r="AU54" s="117" t="e">
        <f>AF48</f>
        <v>#DIV/0!</v>
      </c>
      <c r="AV54" s="117" t="e">
        <f>AG48</f>
        <v>#DIV/0!</v>
      </c>
      <c r="AW54" s="117" t="e">
        <f>AH48</f>
        <v>#DIV/0!</v>
      </c>
      <c r="AX54" s="117" t="e">
        <f>AI48</f>
        <v>#DIV/0!</v>
      </c>
      <c r="AY54" s="117" t="e">
        <f>AJ48</f>
        <v>#DIV/0!</v>
      </c>
      <c r="AZ54" s="117" t="e">
        <f>AK48</f>
        <v>#DIV/0!</v>
      </c>
      <c r="BA54" s="117" t="e">
        <f>AL48</f>
        <v>#DIV/0!</v>
      </c>
    </row>
    <row r="55" spans="1:53" s="2" customFormat="1" x14ac:dyDescent="0.25">
      <c r="A55" s="45" t="s">
        <v>79</v>
      </c>
      <c r="B55" s="117">
        <f t="shared" ref="B55:AC55" si="38">(B53*100/$B$53)-100</f>
        <v>0</v>
      </c>
      <c r="C55" s="117">
        <f t="shared" si="38"/>
        <v>-0.95415450927981738</v>
      </c>
      <c r="D55" s="117">
        <f t="shared" si="38"/>
        <v>40.146337008392379</v>
      </c>
      <c r="E55" s="117">
        <f t="shared" si="38"/>
        <v>16.38122790287315</v>
      </c>
      <c r="F55" s="117">
        <f t="shared" si="38"/>
        <v>272.61693795535928</v>
      </c>
      <c r="G55" s="117">
        <f t="shared" si="38"/>
        <v>496.92647459169211</v>
      </c>
      <c r="H55" s="117">
        <f t="shared" si="38"/>
        <v>1236.67365098862</v>
      </c>
      <c r="I55" s="117">
        <f t="shared" si="38"/>
        <v>-24.595797786694092</v>
      </c>
      <c r="J55" s="117">
        <f t="shared" si="38"/>
        <v>27.113896804359612</v>
      </c>
      <c r="K55" s="117">
        <f t="shared" si="38"/>
        <v>70.074743773559533</v>
      </c>
      <c r="L55" s="117">
        <f t="shared" si="38"/>
        <v>215.97674711396462</v>
      </c>
      <c r="M55" s="117">
        <f t="shared" si="38"/>
        <v>666.02378323120524</v>
      </c>
      <c r="N55" s="117" t="e">
        <f t="shared" si="38"/>
        <v>#DIV/0!</v>
      </c>
      <c r="O55" s="117" t="e">
        <f t="shared" si="38"/>
        <v>#REF!</v>
      </c>
      <c r="P55" s="117" t="e">
        <f t="shared" si="38"/>
        <v>#REF!</v>
      </c>
      <c r="Q55" s="117" t="e">
        <f t="shared" si="38"/>
        <v>#REF!</v>
      </c>
      <c r="R55" s="117" t="e">
        <f t="shared" si="38"/>
        <v>#REF!</v>
      </c>
      <c r="S55" s="117" t="e">
        <f t="shared" si="38"/>
        <v>#REF!</v>
      </c>
      <c r="T55" s="117" t="e">
        <f t="shared" si="38"/>
        <v>#REF!</v>
      </c>
      <c r="U55" s="117" t="e">
        <f t="shared" si="38"/>
        <v>#REF!</v>
      </c>
      <c r="V55" s="117" t="e">
        <f t="shared" si="38"/>
        <v>#REF!</v>
      </c>
      <c r="W55" s="117" t="e">
        <f t="shared" si="38"/>
        <v>#REF!</v>
      </c>
      <c r="X55" s="117" t="e">
        <f t="shared" si="38"/>
        <v>#REF!</v>
      </c>
      <c r="Y55" s="117" t="e">
        <f t="shared" si="38"/>
        <v>#REF!</v>
      </c>
      <c r="Z55" s="117" t="e">
        <f t="shared" si="38"/>
        <v>#REF!</v>
      </c>
      <c r="AA55" s="117" t="e">
        <f t="shared" si="38"/>
        <v>#REF!</v>
      </c>
      <c r="AB55" s="117" t="e">
        <f t="shared" si="38"/>
        <v>#REF!</v>
      </c>
      <c r="AC55" s="117" t="e">
        <f t="shared" si="38"/>
        <v>#REF!</v>
      </c>
      <c r="AD55" s="117"/>
      <c r="AE55" s="117">
        <f>(AE53*100/$AE$53)-100</f>
        <v>0</v>
      </c>
      <c r="AF55" s="117">
        <f t="shared" ref="AF55:BA55" si="39">(AF53*100/$AE$53)-100</f>
        <v>12.232360668435177</v>
      </c>
      <c r="AG55" s="117">
        <f t="shared" si="39"/>
        <v>-92.705584359536985</v>
      </c>
      <c r="AH55" s="117">
        <f t="shared" si="39"/>
        <v>17.879470902949123</v>
      </c>
      <c r="AI55" s="117">
        <f t="shared" si="39"/>
        <v>13.44234112132267</v>
      </c>
      <c r="AJ55" s="117">
        <f t="shared" si="39"/>
        <v>39.325003515336476</v>
      </c>
      <c r="AK55" s="117">
        <f t="shared" si="39"/>
        <v>27.761496173437493</v>
      </c>
      <c r="AL55" s="117">
        <f t="shared" si="39"/>
        <v>47.438902681102576</v>
      </c>
      <c r="AM55" s="117" t="e">
        <f t="shared" si="39"/>
        <v>#DIV/0!</v>
      </c>
      <c r="AN55" s="117" t="e">
        <f t="shared" si="39"/>
        <v>#DIV/0!</v>
      </c>
      <c r="AO55" s="117" t="e">
        <f t="shared" si="39"/>
        <v>#DIV/0!</v>
      </c>
      <c r="AP55" s="117" t="e">
        <f t="shared" si="39"/>
        <v>#DIV/0!</v>
      </c>
      <c r="AQ55" s="117" t="e">
        <f t="shared" si="39"/>
        <v>#DIV/0!</v>
      </c>
      <c r="AR55" s="117" t="e">
        <f t="shared" si="39"/>
        <v>#DIV/0!</v>
      </c>
      <c r="AS55" s="117" t="e">
        <f t="shared" si="39"/>
        <v>#DIV/0!</v>
      </c>
      <c r="AT55" s="117" t="e">
        <f t="shared" si="39"/>
        <v>#DIV/0!</v>
      </c>
      <c r="AU55" s="117" t="e">
        <f t="shared" si="39"/>
        <v>#DIV/0!</v>
      </c>
      <c r="AV55" s="117" t="e">
        <f t="shared" si="39"/>
        <v>#DIV/0!</v>
      </c>
      <c r="AW55" s="117" t="e">
        <f t="shared" si="39"/>
        <v>#DIV/0!</v>
      </c>
      <c r="AX55" s="117" t="e">
        <f t="shared" si="39"/>
        <v>#DIV/0!</v>
      </c>
      <c r="AY55" s="117" t="e">
        <f t="shared" si="39"/>
        <v>#DIV/0!</v>
      </c>
      <c r="AZ55" s="117" t="e">
        <f t="shared" si="39"/>
        <v>#DIV/0!</v>
      </c>
      <c r="BA55" s="117" t="e">
        <f t="shared" si="39"/>
        <v>#DIV/0!</v>
      </c>
    </row>
    <row r="56" spans="1:53" s="2" customFormat="1" x14ac:dyDescent="0.25">
      <c r="A56" s="45" t="s">
        <v>81</v>
      </c>
      <c r="B56" s="117" t="e">
        <f ca="1">[1]!SWTEST(B28:B43)</f>
        <v>#NAME?</v>
      </c>
      <c r="C56" s="117" t="e">
        <f ca="1">[1]!SWTEST(C28:C43)</f>
        <v>#NAME?</v>
      </c>
      <c r="D56" s="117" t="e">
        <f ca="1">[1]!SWTEST(D28:D43)</f>
        <v>#NAME?</v>
      </c>
      <c r="E56" s="117" t="e">
        <f ca="1">[1]!SWTEST(E28:E43)</f>
        <v>#NAME?</v>
      </c>
      <c r="F56" s="117" t="e">
        <f ca="1">[1]!SWTEST(F28:F43)</f>
        <v>#NAME?</v>
      </c>
      <c r="G56" s="117" t="e">
        <f ca="1">[1]!SWTEST(G28:G43)</f>
        <v>#NAME?</v>
      </c>
      <c r="H56" s="117" t="e">
        <f ca="1">[1]!SWTEST(H28:H43)</f>
        <v>#NAME?</v>
      </c>
      <c r="I56" s="117" t="e">
        <f ca="1">[1]!SWTEST(I28:I43)</f>
        <v>#NAME?</v>
      </c>
      <c r="J56" s="117" t="e">
        <f ca="1">[1]!SWTEST(J28:J43)</f>
        <v>#NAME?</v>
      </c>
      <c r="K56" s="117" t="e">
        <f ca="1">[1]!SWTEST(K28:K43)</f>
        <v>#NAME?</v>
      </c>
      <c r="L56" s="117" t="e">
        <f ca="1">[1]!SWTEST(L28:L43)</f>
        <v>#NAME?</v>
      </c>
      <c r="M56" s="117" t="e">
        <f ca="1">[1]!SWTEST(M28:M43)</f>
        <v>#NAME?</v>
      </c>
      <c r="N56" s="117" t="e">
        <f ca="1">[1]!SWTEST(N28:N43)</f>
        <v>#NAME?</v>
      </c>
      <c r="O56" s="117" t="e">
        <f ca="1">[1]!SWTEST(#REF!)</f>
        <v>#NAME?</v>
      </c>
      <c r="P56" s="117" t="e">
        <f ca="1">[1]!SWTEST(#REF!)</f>
        <v>#NAME?</v>
      </c>
      <c r="Q56" s="117" t="e">
        <f ca="1">[1]!SWTEST(#REF!)</f>
        <v>#NAME?</v>
      </c>
      <c r="R56" s="117" t="e">
        <f ca="1">[1]!SWTEST(#REF!)</f>
        <v>#NAME?</v>
      </c>
      <c r="S56" s="117" t="e">
        <f ca="1">[1]!SWTEST(#REF!)</f>
        <v>#NAME?</v>
      </c>
      <c r="T56" s="117" t="e">
        <f ca="1">[1]!SWTEST(#REF!)</f>
        <v>#NAME?</v>
      </c>
      <c r="U56" s="117" t="e">
        <f ca="1">[1]!SWTEST(#REF!)</f>
        <v>#NAME?</v>
      </c>
      <c r="V56" s="117" t="e">
        <f ca="1">[1]!SWTEST(#REF!)</f>
        <v>#NAME?</v>
      </c>
      <c r="W56" s="117" t="e">
        <f ca="1">[1]!SWTEST(#REF!)</f>
        <v>#NAME?</v>
      </c>
      <c r="X56" s="117" t="e">
        <f ca="1">[1]!SWTEST(#REF!)</f>
        <v>#NAME?</v>
      </c>
      <c r="Y56" s="117" t="e">
        <f ca="1">[1]!SWTEST(#REF!)</f>
        <v>#NAME?</v>
      </c>
      <c r="Z56" s="117" t="e">
        <f ca="1">[1]!SWTEST(#REF!)</f>
        <v>#NAME?</v>
      </c>
      <c r="AA56" s="117" t="e">
        <f ca="1">[1]!SWTEST(#REF!)</f>
        <v>#NAME?</v>
      </c>
      <c r="AB56" s="117" t="e">
        <f ca="1">[1]!SWTEST(#REF!)</f>
        <v>#NAME?</v>
      </c>
      <c r="AC56" s="117" t="e">
        <f ca="1">[1]!SWTEST(#REF!)</f>
        <v>#NAME?</v>
      </c>
      <c r="AD56" s="117"/>
      <c r="AE56" s="117" t="e">
        <f ca="1">[1]!SWTEST(P28:P43)</f>
        <v>#NAME?</v>
      </c>
      <c r="AF56" s="117" t="e">
        <f ca="1">[1]!SWTEST(Q28:Q43)</f>
        <v>#NAME?</v>
      </c>
      <c r="AG56" s="117" t="e">
        <f ca="1">[1]!SWTEST(R28:R43)</f>
        <v>#NAME?</v>
      </c>
      <c r="AH56" s="117" t="e">
        <f ca="1">[1]!SWTEST(S28:S43)</f>
        <v>#NAME?</v>
      </c>
      <c r="AI56" s="117" t="e">
        <f ca="1">[1]!SWTEST(T28:T43)</f>
        <v>#NAME?</v>
      </c>
      <c r="AJ56" s="117" t="e">
        <f ca="1">[1]!SWTEST(U28:U43)</f>
        <v>#NAME?</v>
      </c>
      <c r="AK56" s="117" t="e">
        <f ca="1">[1]!SWTEST(V28:V43)</f>
        <v>#NAME?</v>
      </c>
      <c r="AL56" s="117" t="e">
        <f ca="1">[1]!SWTEST(W28:W43)</f>
        <v>#NAME?</v>
      </c>
      <c r="AM56" s="117" t="e">
        <f ca="1">[1]!SWTEST(X28:X43)</f>
        <v>#NAME?</v>
      </c>
      <c r="AN56" s="117" t="e">
        <f ca="1">[1]!SWTEST(Y28:Y43)</f>
        <v>#NAME?</v>
      </c>
      <c r="AO56" s="117" t="e">
        <f ca="1">[1]!SWTEST(Z28:Z43)</f>
        <v>#NAME?</v>
      </c>
      <c r="AP56" s="117" t="e">
        <f ca="1">[1]!SWTEST(AA28:AA43)</f>
        <v>#NAME?</v>
      </c>
      <c r="AQ56" s="117" t="e">
        <f ca="1">[1]!SWTEST(AB28:AB43)</f>
        <v>#NAME?</v>
      </c>
      <c r="AR56" s="117" t="e">
        <f ca="1">[1]!SWTEST(AC28:AC43)</f>
        <v>#NAME?</v>
      </c>
      <c r="AS56" s="117" t="e">
        <f ca="1">[1]!SWTEST(AD28:AD43)</f>
        <v>#NAME?</v>
      </c>
      <c r="AT56" s="117" t="e">
        <f ca="1">[1]!SWTEST(AE28:AE43)</f>
        <v>#NAME?</v>
      </c>
      <c r="AU56" s="117" t="e">
        <f ca="1">[1]!SWTEST(AF28:AF43)</f>
        <v>#NAME?</v>
      </c>
      <c r="AV56" s="117" t="e">
        <f ca="1">[1]!SWTEST(AG28:AG43)</f>
        <v>#NAME?</v>
      </c>
      <c r="AW56" s="117" t="e">
        <f ca="1">[1]!SWTEST(AH28:AH43)</f>
        <v>#NAME?</v>
      </c>
      <c r="AX56" s="117" t="e">
        <f ca="1">[1]!SWTEST(AI28:AI43)</f>
        <v>#NAME?</v>
      </c>
      <c r="AY56" s="117" t="e">
        <f ca="1">[1]!SWTEST(AJ28:AJ43)</f>
        <v>#NAME?</v>
      </c>
      <c r="AZ56" s="117" t="e">
        <f ca="1">[1]!SWTEST(AK28:AK43)</f>
        <v>#NAME?</v>
      </c>
      <c r="BA56" s="117" t="e">
        <f ca="1">[1]!SWTEST(AL28:AL43)</f>
        <v>#NAME?</v>
      </c>
    </row>
    <row r="57" spans="1:53" s="2" customFormat="1" x14ac:dyDescent="0.25">
      <c r="A57" s="45" t="s">
        <v>85</v>
      </c>
      <c r="B57" s="117" t="e">
        <f t="shared" ref="B57:AC57" ca="1" si="40">IF(B56&gt;0.05,"Oui","Non")</f>
        <v>#NAME?</v>
      </c>
      <c r="C57" s="117" t="e">
        <f t="shared" ca="1" si="40"/>
        <v>#NAME?</v>
      </c>
      <c r="D57" s="117" t="e">
        <f t="shared" ca="1" si="40"/>
        <v>#NAME?</v>
      </c>
      <c r="E57" s="117" t="e">
        <f t="shared" ca="1" si="40"/>
        <v>#NAME?</v>
      </c>
      <c r="F57" s="117" t="e">
        <f t="shared" ca="1" si="40"/>
        <v>#NAME?</v>
      </c>
      <c r="G57" s="117" t="e">
        <f t="shared" ca="1" si="40"/>
        <v>#NAME?</v>
      </c>
      <c r="H57" s="117" t="e">
        <f t="shared" ca="1" si="40"/>
        <v>#NAME?</v>
      </c>
      <c r="I57" s="117" t="e">
        <f t="shared" ca="1" si="40"/>
        <v>#NAME?</v>
      </c>
      <c r="J57" s="117" t="e">
        <f t="shared" ca="1" si="40"/>
        <v>#NAME?</v>
      </c>
      <c r="K57" s="117" t="e">
        <f t="shared" ca="1" si="40"/>
        <v>#NAME?</v>
      </c>
      <c r="L57" s="117" t="e">
        <f t="shared" ca="1" si="40"/>
        <v>#NAME?</v>
      </c>
      <c r="M57" s="117" t="e">
        <f t="shared" ca="1" si="40"/>
        <v>#NAME?</v>
      </c>
      <c r="N57" s="117" t="e">
        <f t="shared" ca="1" si="40"/>
        <v>#NAME?</v>
      </c>
      <c r="O57" s="117" t="e">
        <f t="shared" ca="1" si="40"/>
        <v>#NAME?</v>
      </c>
      <c r="P57" s="117" t="e">
        <f t="shared" ca="1" si="40"/>
        <v>#NAME?</v>
      </c>
      <c r="Q57" s="117" t="e">
        <f t="shared" ca="1" si="40"/>
        <v>#NAME?</v>
      </c>
      <c r="R57" s="117" t="e">
        <f t="shared" ca="1" si="40"/>
        <v>#NAME?</v>
      </c>
      <c r="S57" s="117" t="e">
        <f t="shared" ca="1" si="40"/>
        <v>#NAME?</v>
      </c>
      <c r="T57" s="117" t="e">
        <f t="shared" ca="1" si="40"/>
        <v>#NAME?</v>
      </c>
      <c r="U57" s="117" t="e">
        <f t="shared" ca="1" si="40"/>
        <v>#NAME?</v>
      </c>
      <c r="V57" s="117" t="e">
        <f t="shared" ca="1" si="40"/>
        <v>#NAME?</v>
      </c>
      <c r="W57" s="117" t="e">
        <f t="shared" ca="1" si="40"/>
        <v>#NAME?</v>
      </c>
      <c r="X57" s="117" t="e">
        <f t="shared" ca="1" si="40"/>
        <v>#NAME?</v>
      </c>
      <c r="Y57" s="117" t="e">
        <f t="shared" ca="1" si="40"/>
        <v>#NAME?</v>
      </c>
      <c r="Z57" s="117" t="e">
        <f t="shared" ca="1" si="40"/>
        <v>#NAME?</v>
      </c>
      <c r="AA57" s="117" t="e">
        <f t="shared" ca="1" si="40"/>
        <v>#NAME?</v>
      </c>
      <c r="AB57" s="117" t="e">
        <f t="shared" ca="1" si="40"/>
        <v>#NAME?</v>
      </c>
      <c r="AC57" s="117" t="e">
        <f t="shared" ca="1" si="40"/>
        <v>#NAME?</v>
      </c>
      <c r="AD57" s="117"/>
      <c r="AE57" s="117" t="e">
        <f t="shared" ref="AE57:BA57" ca="1" si="41">IF(AE56&gt;0.05,"Oui","Non")</f>
        <v>#NAME?</v>
      </c>
      <c r="AF57" s="117" t="e">
        <f t="shared" ca="1" si="41"/>
        <v>#NAME?</v>
      </c>
      <c r="AG57" s="117" t="e">
        <f t="shared" ca="1" si="41"/>
        <v>#NAME?</v>
      </c>
      <c r="AH57" s="117" t="e">
        <f t="shared" ca="1" si="41"/>
        <v>#NAME?</v>
      </c>
      <c r="AI57" s="117" t="e">
        <f t="shared" ca="1" si="41"/>
        <v>#NAME?</v>
      </c>
      <c r="AJ57" s="117" t="e">
        <f t="shared" ca="1" si="41"/>
        <v>#NAME?</v>
      </c>
      <c r="AK57" s="117" t="e">
        <f t="shared" ca="1" si="41"/>
        <v>#NAME?</v>
      </c>
      <c r="AL57" s="117" t="e">
        <f t="shared" ca="1" si="41"/>
        <v>#NAME?</v>
      </c>
      <c r="AM57" s="117" t="e">
        <f t="shared" ca="1" si="41"/>
        <v>#NAME?</v>
      </c>
      <c r="AN57" s="117" t="e">
        <f t="shared" ca="1" si="41"/>
        <v>#NAME?</v>
      </c>
      <c r="AO57" s="117" t="e">
        <f t="shared" ca="1" si="41"/>
        <v>#NAME?</v>
      </c>
      <c r="AP57" s="117" t="e">
        <f t="shared" ca="1" si="41"/>
        <v>#NAME?</v>
      </c>
      <c r="AQ57" s="117" t="e">
        <f t="shared" ca="1" si="41"/>
        <v>#NAME?</v>
      </c>
      <c r="AR57" s="117" t="e">
        <f t="shared" ca="1" si="41"/>
        <v>#NAME?</v>
      </c>
      <c r="AS57" s="117" t="e">
        <f t="shared" ca="1" si="41"/>
        <v>#NAME?</v>
      </c>
      <c r="AT57" s="117" t="e">
        <f t="shared" ca="1" si="41"/>
        <v>#NAME?</v>
      </c>
      <c r="AU57" s="117" t="e">
        <f t="shared" ca="1" si="41"/>
        <v>#NAME?</v>
      </c>
      <c r="AV57" s="117" t="e">
        <f t="shared" ca="1" si="41"/>
        <v>#NAME?</v>
      </c>
      <c r="AW57" s="117" t="e">
        <f t="shared" ca="1" si="41"/>
        <v>#NAME?</v>
      </c>
      <c r="AX57" s="117" t="e">
        <f t="shared" ca="1" si="41"/>
        <v>#NAME?</v>
      </c>
      <c r="AY57" s="117" t="e">
        <f t="shared" ca="1" si="41"/>
        <v>#NAME?</v>
      </c>
      <c r="AZ57" s="117" t="e">
        <f t="shared" ca="1" si="41"/>
        <v>#NAME?</v>
      </c>
      <c r="BA57" s="117" t="e">
        <f t="shared" ca="1" si="41"/>
        <v>#NAME?</v>
      </c>
    </row>
    <row r="58" spans="1:53" s="2" customFormat="1" x14ac:dyDescent="0.25">
      <c r="A58" s="45"/>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24"/>
      <c r="AE58" s="125"/>
      <c r="AF58" s="117"/>
      <c r="AG58" s="117"/>
      <c r="AH58" s="117"/>
      <c r="AI58" s="117"/>
      <c r="AJ58" s="117"/>
      <c r="AK58" s="117"/>
      <c r="AL58" s="117"/>
      <c r="AM58" s="117"/>
      <c r="AN58" s="117"/>
      <c r="AO58" s="117"/>
      <c r="AP58" s="117"/>
      <c r="AQ58" s="117"/>
      <c r="AR58" s="117"/>
      <c r="AS58" s="117"/>
      <c r="AT58" s="117"/>
      <c r="AU58" s="126"/>
      <c r="AV58" s="126"/>
      <c r="AW58" s="126"/>
      <c r="AX58" s="126"/>
      <c r="AY58" s="126"/>
      <c r="AZ58" s="126"/>
      <c r="BA58" s="127"/>
    </row>
    <row r="59" spans="1:53" s="2" customFormat="1" x14ac:dyDescent="0.25">
      <c r="A59" s="45" t="s">
        <v>82</v>
      </c>
      <c r="B59" s="128"/>
      <c r="C59" s="128" t="e">
        <f t="shared" ref="C59:AC59" ca="1" si="42">IF($B57="Non",IF(C$57="Non","Mann Withney",IF(C$57="Oui","Mann Withney","")),IF($B$57="Oui",IF(C$57="Oui","T-Test Welch",IF(C$57="Non","Mann Withney",""))))</f>
        <v>#NAME?</v>
      </c>
      <c r="D59" s="128" t="e">
        <f t="shared" ca="1" si="42"/>
        <v>#NAME?</v>
      </c>
      <c r="E59" s="128" t="e">
        <f t="shared" ca="1" si="42"/>
        <v>#NAME?</v>
      </c>
      <c r="F59" s="128" t="e">
        <f t="shared" ca="1" si="42"/>
        <v>#NAME?</v>
      </c>
      <c r="G59" s="128" t="e">
        <f t="shared" ca="1" si="42"/>
        <v>#NAME?</v>
      </c>
      <c r="H59" s="128" t="e">
        <f t="shared" ca="1" si="42"/>
        <v>#NAME?</v>
      </c>
      <c r="I59" s="128" t="e">
        <f t="shared" ca="1" si="42"/>
        <v>#NAME?</v>
      </c>
      <c r="J59" s="128" t="e">
        <f t="shared" ca="1" si="42"/>
        <v>#NAME?</v>
      </c>
      <c r="K59" s="128" t="e">
        <f t="shared" ca="1" si="42"/>
        <v>#NAME?</v>
      </c>
      <c r="L59" s="128" t="e">
        <f t="shared" ca="1" si="42"/>
        <v>#NAME?</v>
      </c>
      <c r="M59" s="128" t="e">
        <f t="shared" ca="1" si="42"/>
        <v>#NAME?</v>
      </c>
      <c r="N59" s="128" t="e">
        <f t="shared" ca="1" si="42"/>
        <v>#NAME?</v>
      </c>
      <c r="O59" s="128" t="e">
        <f t="shared" ca="1" si="42"/>
        <v>#NAME?</v>
      </c>
      <c r="P59" s="128" t="e">
        <f t="shared" ca="1" si="42"/>
        <v>#NAME?</v>
      </c>
      <c r="Q59" s="128" t="e">
        <f t="shared" ca="1" si="42"/>
        <v>#NAME?</v>
      </c>
      <c r="R59" s="128" t="e">
        <f t="shared" ca="1" si="42"/>
        <v>#NAME?</v>
      </c>
      <c r="S59" s="128" t="e">
        <f t="shared" ca="1" si="42"/>
        <v>#NAME?</v>
      </c>
      <c r="T59" s="128" t="e">
        <f t="shared" ca="1" si="42"/>
        <v>#NAME?</v>
      </c>
      <c r="U59" s="128" t="e">
        <f t="shared" ca="1" si="42"/>
        <v>#NAME?</v>
      </c>
      <c r="V59" s="128" t="e">
        <f t="shared" ca="1" si="42"/>
        <v>#NAME?</v>
      </c>
      <c r="W59" s="128" t="e">
        <f t="shared" ca="1" si="42"/>
        <v>#NAME?</v>
      </c>
      <c r="X59" s="128" t="e">
        <f t="shared" ca="1" si="42"/>
        <v>#NAME?</v>
      </c>
      <c r="Y59" s="128" t="e">
        <f t="shared" ca="1" si="42"/>
        <v>#NAME?</v>
      </c>
      <c r="Z59" s="128" t="e">
        <f t="shared" ca="1" si="42"/>
        <v>#NAME?</v>
      </c>
      <c r="AA59" s="128" t="e">
        <f t="shared" ca="1" si="42"/>
        <v>#NAME?</v>
      </c>
      <c r="AB59" s="128" t="e">
        <f t="shared" ca="1" si="42"/>
        <v>#NAME?</v>
      </c>
      <c r="AC59" s="128" t="e">
        <f t="shared" ca="1" si="42"/>
        <v>#NAME?</v>
      </c>
      <c r="AD59" s="128"/>
      <c r="AE59" s="128" t="e">
        <f ca="1">IF($B57="Non",IF(AE$57="Non","Mann Withney",IF(AE$57="Oui","Mann Withney","")),IF($B$57="Oui",IF(AE$57="Oui","T-Test Welch",IF(AE$57="Non","Mann Withney",""))))</f>
        <v>#NAME?</v>
      </c>
      <c r="AF59" s="128" t="e">
        <f ca="1">IF($AE57="Non",IF(AF$57="Non","Mann Withney",IF(AF$57="Oui","Mann Withney","")),IF($AE$57="Oui",IF(AF$57="Oui","T-Test Welch",IF(AF$57="Non","Mann Withney",""))))</f>
        <v>#NAME?</v>
      </c>
      <c r="AG59" s="128" t="e">
        <f t="shared" ref="AG59:BA59" ca="1" si="43">IF($AE57="Non",IF(AG$57="Non","Mann Withney",IF(AG$57="Oui","Mann Withney","")),IF($AE$57="Oui",IF(AG$57="Oui","T-Test Welch",IF(AG$57="Non","Mann Withney",""))))</f>
        <v>#NAME?</v>
      </c>
      <c r="AH59" s="128" t="e">
        <f t="shared" ca="1" si="43"/>
        <v>#NAME?</v>
      </c>
      <c r="AI59" s="128" t="e">
        <f t="shared" ca="1" si="43"/>
        <v>#NAME?</v>
      </c>
      <c r="AJ59" s="128" t="e">
        <f t="shared" ca="1" si="43"/>
        <v>#NAME?</v>
      </c>
      <c r="AK59" s="128" t="e">
        <f t="shared" ca="1" si="43"/>
        <v>#NAME?</v>
      </c>
      <c r="AL59" s="128" t="e">
        <f t="shared" ca="1" si="43"/>
        <v>#NAME?</v>
      </c>
      <c r="AM59" s="128" t="e">
        <f t="shared" ca="1" si="43"/>
        <v>#NAME?</v>
      </c>
      <c r="AN59" s="128" t="e">
        <f t="shared" ca="1" si="43"/>
        <v>#NAME?</v>
      </c>
      <c r="AO59" s="128" t="e">
        <f t="shared" ca="1" si="43"/>
        <v>#NAME?</v>
      </c>
      <c r="AP59" s="128" t="e">
        <f t="shared" ca="1" si="43"/>
        <v>#NAME?</v>
      </c>
      <c r="AQ59" s="128" t="e">
        <f t="shared" ca="1" si="43"/>
        <v>#NAME?</v>
      </c>
      <c r="AR59" s="128" t="e">
        <f t="shared" ca="1" si="43"/>
        <v>#NAME?</v>
      </c>
      <c r="AS59" s="128" t="e">
        <f t="shared" ca="1" si="43"/>
        <v>#NAME?</v>
      </c>
      <c r="AT59" s="128" t="e">
        <f t="shared" ca="1" si="43"/>
        <v>#NAME?</v>
      </c>
      <c r="AU59" s="128" t="e">
        <f t="shared" ca="1" si="43"/>
        <v>#NAME?</v>
      </c>
      <c r="AV59" s="128" t="e">
        <f t="shared" ca="1" si="43"/>
        <v>#NAME?</v>
      </c>
      <c r="AW59" s="128" t="e">
        <f t="shared" ca="1" si="43"/>
        <v>#NAME?</v>
      </c>
      <c r="AX59" s="128" t="e">
        <f t="shared" ca="1" si="43"/>
        <v>#NAME?</v>
      </c>
      <c r="AY59" s="128" t="e">
        <f t="shared" ca="1" si="43"/>
        <v>#NAME?</v>
      </c>
      <c r="AZ59" s="128" t="e">
        <f t="shared" ca="1" si="43"/>
        <v>#NAME?</v>
      </c>
      <c r="BA59" s="128" t="e">
        <f t="shared" ca="1" si="43"/>
        <v>#NAME?</v>
      </c>
    </row>
    <row r="60" spans="1:53" s="2" customFormat="1" x14ac:dyDescent="0.25">
      <c r="A60" s="45" t="s">
        <v>83</v>
      </c>
      <c r="B60" s="129"/>
      <c r="C60" s="129" t="e">
        <f ca="1">IF(C59="Mann Withney",[1]!MTEST($B28:$B43,C28:C43,2), IF(C59="T-Test Welch",_xlfn.T.TEST($B28:$B43,C28:C43,2,3),""))</f>
        <v>#NAME?</v>
      </c>
      <c r="D60" s="129" t="e">
        <f ca="1">IF(D59="Mann Withney",[1]!MTEST($B28:$B43,D28:D43,2), IF(D59="T-Test Welch",_xlfn.T.TEST($B28:$B43,D28:D43,2,3),""))</f>
        <v>#NAME?</v>
      </c>
      <c r="E60" s="129" t="e">
        <f ca="1">IF(E59="Mann Withney",[1]!MTEST($B28:$B43,E28:E43,2), IF(E59="T-Test Welch",_xlfn.T.TEST($B28:$B43,E28:E43,2,3),""))</f>
        <v>#NAME?</v>
      </c>
      <c r="F60" s="129" t="e">
        <f ca="1">IF(F59="Mann Withney",[1]!MTEST($B28:$B43,F28:F43,2), IF(F59="T-Test Welch",_xlfn.T.TEST($B28:$B43,F28:F43,2,3),""))</f>
        <v>#NAME?</v>
      </c>
      <c r="G60" s="129" t="e">
        <f ca="1">IF(G59="Mann Withney",[1]!MTEST($B28:$B43,G28:G43,2), IF(G59="T-Test Welch",_xlfn.T.TEST($B28:$B43,G28:G43,2,3),""))</f>
        <v>#NAME?</v>
      </c>
      <c r="H60" s="129" t="e">
        <f ca="1">IF(H59="Mann Withney",[1]!MTEST($B28:$B43,H28:H43,2), IF(H59="T-Test Welch",_xlfn.T.TEST($B28:$B43,H28:H43,2,3),""))</f>
        <v>#NAME?</v>
      </c>
      <c r="I60" s="129" t="e">
        <f ca="1">IF(I59="Mann Withney",[1]!MTEST($B28:$B43,I28:I43,2), IF(I59="T-Test Welch",_xlfn.T.TEST($B28:$B43,I28:I43,2,3),""))</f>
        <v>#NAME?</v>
      </c>
      <c r="J60" s="129" t="e">
        <f ca="1">IF(J59="Mann Withney",[1]!MTEST($B28:$B43,J28:J43,2), IF(J59="T-Test Welch",_xlfn.T.TEST($B28:$B43,J28:J43,2,3),""))</f>
        <v>#NAME?</v>
      </c>
      <c r="K60" s="129" t="e">
        <f ca="1">IF(K59="Mann Withney",[1]!MTEST($B28:$B43,K28:K43,2), IF(K59="T-Test Welch",_xlfn.T.TEST($B28:$B43,K28:K43,2,3),""))</f>
        <v>#NAME?</v>
      </c>
      <c r="L60" s="129" t="e">
        <f ca="1">IF(L59="Mann Withney",[1]!MTEST($B28:$B43,L28:L43,2), IF(L59="T-Test Welch",_xlfn.T.TEST($B28:$B43,L28:L43,2,3),""))</f>
        <v>#NAME?</v>
      </c>
      <c r="M60" s="129" t="e">
        <f ca="1">IF(M59="Mann Withney",[1]!MTEST($B28:$B43,M28:M43,2), IF(M59="T-Test Welch",_xlfn.T.TEST($B28:$B43,M28:M43,2,3),""))</f>
        <v>#NAME?</v>
      </c>
      <c r="N60" s="129" t="e">
        <f ca="1">IF(N59="Mann Withney",[1]!MTEST($B28:$B43,N28:N43,2), IF(N59="T-Test Welch",_xlfn.T.TEST($B28:$B43,N28:N43,2,3),""))</f>
        <v>#NAME?</v>
      </c>
      <c r="O60" s="129" t="e">
        <f ca="1">IF(O59="Mann Withney",[1]!MTEST($B28:$B43,#REF!,2), IF(O59="T-Test Welch",_xlfn.T.TEST($B28:$B43,#REF!,2,3),""))</f>
        <v>#NAME?</v>
      </c>
      <c r="P60" s="129" t="e">
        <f ca="1">IF(P59="Mann Withney",[1]!MTEST($B28:$B43,#REF!,2), IF(P59="T-Test Welch",_xlfn.T.TEST($B28:$B43,#REF!,2,3),""))</f>
        <v>#NAME?</v>
      </c>
      <c r="Q60" s="129" t="e">
        <f ca="1">IF(Q59="Mann Withney",[1]!MTEST($B28:$B43,#REF!,2), IF(Q59="T-Test Welch",_xlfn.T.TEST($B28:$B43,#REF!,2,3),""))</f>
        <v>#NAME?</v>
      </c>
      <c r="R60" s="129" t="e">
        <f ca="1">IF(R59="Mann Withney",[1]!MTEST($B28:$B43,#REF!,2), IF(R59="T-Test Welch",_xlfn.T.TEST($B28:$B43,#REF!,2,3),""))</f>
        <v>#NAME?</v>
      </c>
      <c r="S60" s="129" t="e">
        <f ca="1">IF(S59="Mann Withney",[1]!MTEST($B28:$B43,#REF!,2), IF(S59="T-Test Welch",_xlfn.T.TEST($B28:$B43,#REF!,2,3),""))</f>
        <v>#NAME?</v>
      </c>
      <c r="T60" s="129" t="e">
        <f ca="1">IF(T59="Mann Withney",[1]!MTEST($B28:$B43,#REF!,2), IF(T59="T-Test Welch",_xlfn.T.TEST($B28:$B43,#REF!,2,3),""))</f>
        <v>#NAME?</v>
      </c>
      <c r="U60" s="129" t="e">
        <f ca="1">IF(U59="Mann Withney",[1]!MTEST($B28:$B43,#REF!,2), IF(U59="T-Test Welch",_xlfn.T.TEST($B28:$B43,#REF!,2,3),""))</f>
        <v>#NAME?</v>
      </c>
      <c r="V60" s="129" t="e">
        <f ca="1">IF(V59="Mann Withney",[1]!MTEST($B28:$B43,#REF!,2), IF(V59="T-Test Welch",_xlfn.T.TEST($B28:$B43,#REF!,2,3),""))</f>
        <v>#NAME?</v>
      </c>
      <c r="W60" s="129" t="e">
        <f ca="1">IF(W59="Mann Withney",[1]!MTEST($B28:$B43,#REF!,2), IF(W59="T-Test Welch",_xlfn.T.TEST($B28:$B43,#REF!,2,3),""))</f>
        <v>#NAME?</v>
      </c>
      <c r="X60" s="129" t="e">
        <f ca="1">IF(X59="Mann Withney",[1]!MTEST($B28:$B43,#REF!,2), IF(X59="T-Test Welch",_xlfn.T.TEST($B28:$B43,#REF!,2,3),""))</f>
        <v>#NAME?</v>
      </c>
      <c r="Y60" s="129" t="e">
        <f ca="1">IF(Y59="Mann Withney",[1]!MTEST($B28:$B43,#REF!,2), IF(Y59="T-Test Welch",_xlfn.T.TEST($B28:$B43,#REF!,2,3),""))</f>
        <v>#NAME?</v>
      </c>
      <c r="Z60" s="129" t="e">
        <f ca="1">IF(Z59="Mann Withney",[1]!MTEST($B28:$B43,#REF!,2), IF(Z59="T-Test Welch",_xlfn.T.TEST($B28:$B43,#REF!,2,3),""))</f>
        <v>#NAME?</v>
      </c>
      <c r="AA60" s="129" t="e">
        <f ca="1">IF(AA59="Mann Withney",[1]!MTEST($B28:$B43,#REF!,2), IF(AA59="T-Test Welch",_xlfn.T.TEST($B28:$B43,#REF!,2,3),""))</f>
        <v>#NAME?</v>
      </c>
      <c r="AB60" s="129" t="e">
        <f ca="1">IF(AB59="Mann Withney",[1]!MTEST($B28:$B43,#REF!,2), IF(AB59="T-Test Welch",_xlfn.T.TEST($B28:$B43,#REF!,2,3),""))</f>
        <v>#NAME?</v>
      </c>
      <c r="AC60" s="129" t="e">
        <f ca="1">IF(AC59="Mann Withney",[1]!MTEST($B28:$B43,#REF!,2), IF(AC59="T-Test Welch",_xlfn.T.TEST($B28:$B43,#REF!,2,3),""))</f>
        <v>#NAME?</v>
      </c>
      <c r="AD60" s="129"/>
      <c r="AE60" s="129" t="e">
        <f ca="1">IF(AE59="Mann Withney",[1]!MTEST($B28:$B43,P28:P43,2), IF(AE59="T-Test Welch",_xlfn.T.TEST($B28:$B43,P28:P43,2,3),""))</f>
        <v>#NAME?</v>
      </c>
      <c r="AF60" s="129" t="e">
        <f ca="1">IF(AF59="Mann Withney",[1]!MTEST($P28:$P43,Q28:Q43,2), IF(AF59="T-Test Welch",_xlfn.T.TEST($P28:$P43,Q28:Q43,2,3),""))</f>
        <v>#NAME?</v>
      </c>
      <c r="AG60" s="129" t="e">
        <f ca="1">IF(AG59="Mann Withney",[1]!MTEST($P28:$P43,R28:R43,2), IF(AG59="T-Test Welch",_xlfn.T.TEST($P28:$P43,R28:R43,2,3),""))</f>
        <v>#NAME?</v>
      </c>
      <c r="AH60" s="129" t="e">
        <f ca="1">IF(AH59="Mann Withney",[1]!MTEST($P28:$P43,S28:S43,2), IF(AH59="T-Test Welch",_xlfn.T.TEST($P28:$P43,S28:S43,2,3),""))</f>
        <v>#NAME?</v>
      </c>
      <c r="AI60" s="129" t="e">
        <f ca="1">IF(AI59="Mann Withney",[1]!MTEST($P28:$P43,T28:T43,2), IF(AI59="T-Test Welch",_xlfn.T.TEST($P28:$P43,T28:T43,2,3),""))</f>
        <v>#NAME?</v>
      </c>
      <c r="AJ60" s="129" t="e">
        <f ca="1">IF(AJ59="Mann Withney",[1]!MTEST($P28:$P43,U28:U43,2), IF(AJ59="T-Test Welch",_xlfn.T.TEST($P28:$P43,U28:U43,2,3),""))</f>
        <v>#NAME?</v>
      </c>
      <c r="AK60" s="129" t="e">
        <f ca="1">IF(AK59="Mann Withney",[1]!MTEST($P28:$P43,V28:V43,2), IF(AK59="T-Test Welch",_xlfn.T.TEST($P28:$P43,V28:V43,2,3),""))</f>
        <v>#NAME?</v>
      </c>
      <c r="AL60" s="129" t="e">
        <f ca="1">IF(AL59="Mann Withney",[1]!MTEST($P28:$P43,W28:W43,2), IF(AL59="T-Test Welch",_xlfn.T.TEST($P28:$P43,W28:W43,2,3),""))</f>
        <v>#NAME?</v>
      </c>
      <c r="AM60" s="129" t="e">
        <f ca="1">IF(AM59="Mann Withney",[1]!MTEST($P28:$P43,X28:X43,2), IF(AM59="T-Test Welch",_xlfn.T.TEST($P28:$P43,X28:X43,2,3),""))</f>
        <v>#NAME?</v>
      </c>
      <c r="AN60" s="129" t="e">
        <f ca="1">IF(AN59="Mann Withney",[1]!MTEST($P28:$P43,Y28:Y43,2), IF(AN59="T-Test Welch",_xlfn.T.TEST($P28:$P43,Y28:Y43,2,3),""))</f>
        <v>#NAME?</v>
      </c>
      <c r="AO60" s="129" t="e">
        <f ca="1">IF(AO59="Mann Withney",[1]!MTEST($P28:$P43,Z28:Z43,2), IF(AO59="T-Test Welch",_xlfn.T.TEST($P28:$P43,Z28:Z43,2,3),""))</f>
        <v>#NAME?</v>
      </c>
      <c r="AP60" s="129" t="e">
        <f ca="1">IF(AP59="Mann Withney",[1]!MTEST($P28:$P43,AA28:AA43,2), IF(AP59="T-Test Welch",_xlfn.T.TEST($P28:$P43,AA28:AA43,2,3),""))</f>
        <v>#NAME?</v>
      </c>
      <c r="AQ60" s="129" t="e">
        <f ca="1">IF(AQ59="Mann Withney",[1]!MTEST($P28:$P43,AB28:AB43,2), IF(AQ59="T-Test Welch",_xlfn.T.TEST($P28:$P43,AB28:AB43,2,3),""))</f>
        <v>#NAME?</v>
      </c>
      <c r="AR60" s="129" t="e">
        <f ca="1">IF(AR59="Mann Withney",[1]!MTEST($P28:$P43,AC28:AC43,2), IF(AR59="T-Test Welch",_xlfn.T.TEST($P28:$P43,AC28:AC43,2,3),""))</f>
        <v>#NAME?</v>
      </c>
      <c r="AS60" s="129" t="e">
        <f ca="1">IF(AS59="Mann Withney",[1]!MTEST($P28:$P43,AD28:AD43,2), IF(AS59="T-Test Welch",_xlfn.T.TEST($P28:$P43,AD28:AD43,2,3),""))</f>
        <v>#NAME?</v>
      </c>
      <c r="AT60" s="129" t="e">
        <f ca="1">IF(AT59="Mann Withney",[1]!MTEST($P28:$P43,AE28:AE43,2), IF(AT59="T-Test Welch",_xlfn.T.TEST($P28:$P43,AE28:AE43,2,3),""))</f>
        <v>#NAME?</v>
      </c>
      <c r="AU60" s="129" t="e">
        <f ca="1">IF(AU59="Mann Withney",[1]!MTEST($P28:$P43,AF28:AF43,2), IF(AU59="T-Test Welch",_xlfn.T.TEST($P28:$P43,AF28:AF43,2,3),""))</f>
        <v>#NAME?</v>
      </c>
      <c r="AV60" s="129" t="e">
        <f ca="1">IF(AV59="Mann Withney",[1]!MTEST($P28:$P43,AG28:AG43,2), IF(AV59="T-Test Welch",_xlfn.T.TEST($P28:$P43,AG28:AG43,2,3),""))</f>
        <v>#NAME?</v>
      </c>
      <c r="AW60" s="129" t="e">
        <f ca="1">IF(AW59="Mann Withney",[1]!MTEST($P28:$P43,AH28:AH43,2), IF(AW59="T-Test Welch",_xlfn.T.TEST($P28:$P43,AH28:AH43,2,3),""))</f>
        <v>#NAME?</v>
      </c>
      <c r="AX60" s="129" t="e">
        <f ca="1">IF(AX59="Mann Withney",[1]!MTEST($P28:$P43,AI28:AI43,2), IF(AX59="T-Test Welch",_xlfn.T.TEST($P28:$P43,AI28:AI43,2,3),""))</f>
        <v>#NAME?</v>
      </c>
      <c r="AY60" s="129" t="e">
        <f ca="1">IF(AY59="Mann Withney",[1]!MTEST($P28:$P43,AJ28:AJ43,2), IF(AY59="T-Test Welch",_xlfn.T.TEST($P28:$P43,AJ28:AJ43,2,3),""))</f>
        <v>#NAME?</v>
      </c>
      <c r="AZ60" s="129" t="e">
        <f ca="1">IF(AZ59="Mann Withney",[1]!MTEST($P28:$P43,AK28:AK43,2), IF(AZ59="T-Test Welch",_xlfn.T.TEST($P28:$P43,AK28:AK43,2,3),""))</f>
        <v>#NAME?</v>
      </c>
      <c r="BA60" s="129" t="e">
        <f ca="1">IF(BA59="Mann Withney",[1]!MTEST($P28:$P43,AL28:AL43,2), IF(BA59="T-Test Welch",_xlfn.T.TEST($P28:$P43,AL28:AL43,2,3),""))</f>
        <v>#NAME?</v>
      </c>
    </row>
    <row r="61" spans="1:53" s="2" customFormat="1" ht="15.75" thickBot="1" x14ac:dyDescent="0.3">
      <c r="A61" s="46" t="s">
        <v>84</v>
      </c>
      <c r="B61" s="118"/>
      <c r="C61" s="118" t="e">
        <f t="shared" ref="C61:AC61" ca="1" si="44">IF(C60&gt;0.05,"NS",IF(C60&gt;0.01,"*",IF(C60&gt;0.001,"**","***")))</f>
        <v>#NAME?</v>
      </c>
      <c r="D61" s="118" t="e">
        <f t="shared" ca="1" si="44"/>
        <v>#NAME?</v>
      </c>
      <c r="E61" s="118" t="e">
        <f t="shared" ca="1" si="44"/>
        <v>#NAME?</v>
      </c>
      <c r="F61" s="118" t="e">
        <f t="shared" ca="1" si="44"/>
        <v>#NAME?</v>
      </c>
      <c r="G61" s="118" t="e">
        <f t="shared" ca="1" si="44"/>
        <v>#NAME?</v>
      </c>
      <c r="H61" s="118" t="e">
        <f t="shared" ca="1" si="44"/>
        <v>#NAME?</v>
      </c>
      <c r="I61" s="118" t="e">
        <f t="shared" ca="1" si="44"/>
        <v>#NAME?</v>
      </c>
      <c r="J61" s="118" t="e">
        <f t="shared" ca="1" si="44"/>
        <v>#NAME?</v>
      </c>
      <c r="K61" s="118" t="e">
        <f t="shared" ca="1" si="44"/>
        <v>#NAME?</v>
      </c>
      <c r="L61" s="118" t="e">
        <f t="shared" ca="1" si="44"/>
        <v>#NAME?</v>
      </c>
      <c r="M61" s="118" t="e">
        <f t="shared" ca="1" si="44"/>
        <v>#NAME?</v>
      </c>
      <c r="N61" s="118" t="e">
        <f t="shared" ca="1" si="44"/>
        <v>#NAME?</v>
      </c>
      <c r="O61" s="118" t="e">
        <f t="shared" ca="1" si="44"/>
        <v>#NAME?</v>
      </c>
      <c r="P61" s="118" t="e">
        <f t="shared" ca="1" si="44"/>
        <v>#NAME?</v>
      </c>
      <c r="Q61" s="118" t="e">
        <f t="shared" ca="1" si="44"/>
        <v>#NAME?</v>
      </c>
      <c r="R61" s="118" t="e">
        <f t="shared" ca="1" si="44"/>
        <v>#NAME?</v>
      </c>
      <c r="S61" s="118" t="e">
        <f t="shared" ca="1" si="44"/>
        <v>#NAME?</v>
      </c>
      <c r="T61" s="118" t="e">
        <f t="shared" ca="1" si="44"/>
        <v>#NAME?</v>
      </c>
      <c r="U61" s="118" t="e">
        <f t="shared" ca="1" si="44"/>
        <v>#NAME?</v>
      </c>
      <c r="V61" s="118" t="e">
        <f t="shared" ca="1" si="44"/>
        <v>#NAME?</v>
      </c>
      <c r="W61" s="118" t="e">
        <f t="shared" ca="1" si="44"/>
        <v>#NAME?</v>
      </c>
      <c r="X61" s="118" t="e">
        <f t="shared" ca="1" si="44"/>
        <v>#NAME?</v>
      </c>
      <c r="Y61" s="118" t="e">
        <f t="shared" ca="1" si="44"/>
        <v>#NAME?</v>
      </c>
      <c r="Z61" s="118" t="e">
        <f t="shared" ca="1" si="44"/>
        <v>#NAME?</v>
      </c>
      <c r="AA61" s="118" t="e">
        <f t="shared" ca="1" si="44"/>
        <v>#NAME?</v>
      </c>
      <c r="AB61" s="118" t="e">
        <f t="shared" ca="1" si="44"/>
        <v>#NAME?</v>
      </c>
      <c r="AC61" s="118" t="e">
        <f t="shared" ca="1" si="44"/>
        <v>#NAME?</v>
      </c>
      <c r="AD61" s="118"/>
      <c r="AE61" s="118" t="e">
        <f ca="1">IF(AE60&gt;0.05,"NS",IF(AE60&gt;0.01,"*",IF(AE60&gt;0.001,"**","***")))</f>
        <v>#NAME?</v>
      </c>
      <c r="AF61" s="118" t="e">
        <f ca="1">IF(AF60&gt;0.05,"NS",IF(AF60&gt;0.01,"*",IF(AF60&gt;0.001,"**","***")))</f>
        <v>#NAME?</v>
      </c>
      <c r="AG61" s="118" t="e">
        <f t="shared" ref="AG61" ca="1" si="45">IF(AG60&gt;0.05,"NS",IF(AG60&gt;0.01,"*",IF(AG60&gt;0.001,"**","***")))</f>
        <v>#NAME?</v>
      </c>
      <c r="AH61" s="118" t="e">
        <f t="shared" ref="AH61" ca="1" si="46">IF(AH60&gt;0.05,"NS",IF(AH60&gt;0.01,"*",IF(AH60&gt;0.001,"**","***")))</f>
        <v>#NAME?</v>
      </c>
      <c r="AI61" s="118" t="e">
        <f t="shared" ref="AI61" ca="1" si="47">IF(AI60&gt;0.05,"NS",IF(AI60&gt;0.01,"*",IF(AI60&gt;0.001,"**","***")))</f>
        <v>#NAME?</v>
      </c>
      <c r="AJ61" s="118" t="e">
        <f t="shared" ref="AJ61" ca="1" si="48">IF(AJ60&gt;0.05,"NS",IF(AJ60&gt;0.01,"*",IF(AJ60&gt;0.001,"**","***")))</f>
        <v>#NAME?</v>
      </c>
      <c r="AK61" s="118" t="e">
        <f t="shared" ref="AK61" ca="1" si="49">IF(AK60&gt;0.05,"NS",IF(AK60&gt;0.01,"*",IF(AK60&gt;0.001,"**","***")))</f>
        <v>#NAME?</v>
      </c>
      <c r="AL61" s="118" t="e">
        <f t="shared" ref="AL61" ca="1" si="50">IF(AL60&gt;0.05,"NS",IF(AL60&gt;0.01,"*",IF(AL60&gt;0.001,"**","***")))</f>
        <v>#NAME?</v>
      </c>
      <c r="AM61" s="118" t="e">
        <f t="shared" ref="AM61" ca="1" si="51">IF(AM60&gt;0.05,"NS",IF(AM60&gt;0.01,"*",IF(AM60&gt;0.001,"**","***")))</f>
        <v>#NAME?</v>
      </c>
      <c r="AN61" s="118" t="e">
        <f t="shared" ref="AN61" ca="1" si="52">IF(AN60&gt;0.05,"NS",IF(AN60&gt;0.01,"*",IF(AN60&gt;0.001,"**","***")))</f>
        <v>#NAME?</v>
      </c>
      <c r="AO61" s="118" t="e">
        <f t="shared" ref="AO61" ca="1" si="53">IF(AO60&gt;0.05,"NS",IF(AO60&gt;0.01,"*",IF(AO60&gt;0.001,"**","***")))</f>
        <v>#NAME?</v>
      </c>
      <c r="AP61" s="118" t="e">
        <f t="shared" ref="AP61" ca="1" si="54">IF(AP60&gt;0.05,"NS",IF(AP60&gt;0.01,"*",IF(AP60&gt;0.001,"**","***")))</f>
        <v>#NAME?</v>
      </c>
      <c r="AQ61" s="118" t="e">
        <f t="shared" ref="AQ61" ca="1" si="55">IF(AQ60&gt;0.05,"NS",IF(AQ60&gt;0.01,"*",IF(AQ60&gt;0.001,"**","***")))</f>
        <v>#NAME?</v>
      </c>
      <c r="AR61" s="118" t="e">
        <f t="shared" ref="AR61" ca="1" si="56">IF(AR60&gt;0.05,"NS",IF(AR60&gt;0.01,"*",IF(AR60&gt;0.001,"**","***")))</f>
        <v>#NAME?</v>
      </c>
      <c r="AS61" s="118" t="e">
        <f t="shared" ref="AS61" ca="1" si="57">IF(AS60&gt;0.05,"NS",IF(AS60&gt;0.01,"*",IF(AS60&gt;0.001,"**","***")))</f>
        <v>#NAME?</v>
      </c>
      <c r="AT61" s="118" t="e">
        <f t="shared" ref="AT61" ca="1" si="58">IF(AT60&gt;0.05,"NS",IF(AT60&gt;0.01,"*",IF(AT60&gt;0.001,"**","***")))</f>
        <v>#NAME?</v>
      </c>
      <c r="AU61" s="118" t="e">
        <f t="shared" ref="AU61" ca="1" si="59">IF(AU60&gt;0.05,"NS",IF(AU60&gt;0.01,"*",IF(AU60&gt;0.001,"**","***")))</f>
        <v>#NAME?</v>
      </c>
      <c r="AV61" s="118" t="e">
        <f t="shared" ref="AV61" ca="1" si="60">IF(AV60&gt;0.05,"NS",IF(AV60&gt;0.01,"*",IF(AV60&gt;0.001,"**","***")))</f>
        <v>#NAME?</v>
      </c>
      <c r="AW61" s="118" t="e">
        <f t="shared" ref="AW61" ca="1" si="61">IF(AW60&gt;0.05,"NS",IF(AW60&gt;0.01,"*",IF(AW60&gt;0.001,"**","***")))</f>
        <v>#NAME?</v>
      </c>
      <c r="AX61" s="118" t="e">
        <f t="shared" ref="AX61" ca="1" si="62">IF(AX60&gt;0.05,"NS",IF(AX60&gt;0.01,"*",IF(AX60&gt;0.001,"**","***")))</f>
        <v>#NAME?</v>
      </c>
      <c r="AY61" s="118" t="e">
        <f t="shared" ref="AY61" ca="1" si="63">IF(AY60&gt;0.05,"NS",IF(AY60&gt;0.01,"*",IF(AY60&gt;0.001,"**","***")))</f>
        <v>#NAME?</v>
      </c>
      <c r="AZ61" s="118" t="e">
        <f t="shared" ref="AZ61" ca="1" si="64">IF(AZ60&gt;0.05,"NS",IF(AZ60&gt;0.01,"*",IF(AZ60&gt;0.001,"**","***")))</f>
        <v>#NAME?</v>
      </c>
      <c r="BA61" s="118" t="e">
        <f t="shared" ref="BA61" ca="1" si="65">IF(BA60&gt;0.05,"NS",IF(BA60&gt;0.01,"*",IF(BA60&gt;0.001,"**","***")))</f>
        <v>#NAME?</v>
      </c>
    </row>
    <row r="63" spans="1:53" x14ac:dyDescent="0.25">
      <c r="A63" s="1" t="s">
        <v>39</v>
      </c>
    </row>
    <row r="64" spans="1:53" x14ac:dyDescent="0.25">
      <c r="A64" t="s">
        <v>23</v>
      </c>
      <c r="B64">
        <f>B46+(3*B47)</f>
        <v>0.34691104448156823</v>
      </c>
    </row>
    <row r="65" spans="1:53" x14ac:dyDescent="0.25">
      <c r="A65" t="s">
        <v>24</v>
      </c>
      <c r="B65">
        <f>B46+(10*B47)</f>
        <v>0.85813877145236073</v>
      </c>
    </row>
    <row r="66" spans="1:53" ht="15.75" thickBot="1" x14ac:dyDescent="0.3"/>
    <row r="67" spans="1:53" ht="27" thickBot="1" x14ac:dyDescent="0.45">
      <c r="A67" s="188" t="s">
        <v>52</v>
      </c>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90"/>
    </row>
    <row r="68" spans="1:53" ht="16.5" x14ac:dyDescent="0.25">
      <c r="A68" s="10"/>
      <c r="B68" s="10"/>
      <c r="C68" s="10"/>
      <c r="D68" s="10"/>
      <c r="E68" s="10"/>
      <c r="F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row>
    <row r="69" spans="1:53" ht="16.5" x14ac:dyDescent="0.25">
      <c r="A69" s="10"/>
      <c r="B69" s="10"/>
      <c r="C69" s="10"/>
      <c r="D69" s="10"/>
      <c r="E69" s="10"/>
      <c r="F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row>
    <row r="70" spans="1:53" ht="16.5" x14ac:dyDescent="0.25">
      <c r="A70" s="10"/>
      <c r="B70" s="10"/>
      <c r="C70" s="10"/>
      <c r="D70" s="10"/>
      <c r="E70" s="10"/>
      <c r="F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row>
    <row r="71" spans="1:53" ht="16.5" x14ac:dyDescent="0.25">
      <c r="A71" s="10"/>
      <c r="B71" s="10"/>
      <c r="C71" s="10"/>
      <c r="D71" s="10"/>
      <c r="E71" s="10"/>
      <c r="F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row>
    <row r="72" spans="1:53" ht="16.5" x14ac:dyDescent="0.25">
      <c r="A72" s="10"/>
      <c r="B72" s="10"/>
      <c r="C72" s="10"/>
      <c r="D72" s="10"/>
      <c r="E72" s="10"/>
      <c r="F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row>
    <row r="73" spans="1:53" ht="16.5" x14ac:dyDescent="0.25">
      <c r="A73" s="10"/>
      <c r="B73" s="10"/>
      <c r="C73" s="10"/>
      <c r="D73" s="10"/>
      <c r="E73" s="10"/>
      <c r="F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row>
    <row r="74" spans="1:53" ht="16.5" x14ac:dyDescent="0.25">
      <c r="A74" s="10"/>
      <c r="B74" s="10"/>
      <c r="C74" s="10"/>
      <c r="D74" s="10"/>
      <c r="E74" s="10"/>
      <c r="F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row>
  </sheetData>
  <protectedRanges>
    <protectedRange sqref="AE51:BA51" name="Plage2"/>
    <protectedRange sqref="R5:AK21" name="Plage1"/>
    <protectedRange sqref="B51:J51" name="Plage2_1"/>
    <protectedRange sqref="O5:O21 J5:J12 B13:J21" name="Plage1_1"/>
    <protectedRange sqref="B5:I12" name="Plage1_1_1"/>
  </protectedRanges>
  <mergeCells count="9">
    <mergeCell ref="A1:BA1"/>
    <mergeCell ref="A67:BA67"/>
    <mergeCell ref="A50:BA50"/>
    <mergeCell ref="A5:A20"/>
    <mergeCell ref="A28:A43"/>
    <mergeCell ref="B3:AC3"/>
    <mergeCell ref="B26:AC26"/>
    <mergeCell ref="AE26:BA26"/>
    <mergeCell ref="AE3:BA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3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531"/>
  <sheetViews>
    <sheetView showGridLines="0" topLeftCell="V1" zoomScale="80" zoomScaleNormal="80" workbookViewId="0">
      <selection activeCell="Z5" sqref="Z5:AF12"/>
    </sheetView>
  </sheetViews>
  <sheetFormatPr defaultColWidth="11.42578125" defaultRowHeight="15" x14ac:dyDescent="0.25"/>
  <cols>
    <col min="1" max="2" width="15" customWidth="1"/>
    <col min="3" max="3" width="25.42578125" customWidth="1"/>
    <col min="4" max="4" width="14" customWidth="1"/>
    <col min="5" max="5" width="21.140625" customWidth="1"/>
    <col min="7" max="7" width="21.42578125" customWidth="1"/>
    <col min="8" max="8" width="12.28515625" customWidth="1"/>
    <col min="9" max="9" width="17.140625" customWidth="1"/>
    <col min="11" max="11" width="37.42578125" bestFit="1" customWidth="1"/>
    <col min="12" max="12" width="38.42578125" bestFit="1" customWidth="1"/>
    <col min="13" max="14" width="12.85546875" customWidth="1"/>
    <col min="15" max="25" width="12.28515625" customWidth="1"/>
  </cols>
  <sheetData>
    <row r="1" spans="1:32" x14ac:dyDescent="0.25">
      <c r="A1" t="s">
        <v>107</v>
      </c>
      <c r="B1" t="s">
        <v>108</v>
      </c>
      <c r="C1" t="s">
        <v>109</v>
      </c>
      <c r="D1" t="s">
        <v>110</v>
      </c>
      <c r="E1" t="s">
        <v>111</v>
      </c>
      <c r="F1" t="s">
        <v>112</v>
      </c>
      <c r="G1" t="s">
        <v>113</v>
      </c>
      <c r="H1" t="s">
        <v>117</v>
      </c>
      <c r="I1" t="s">
        <v>118</v>
      </c>
      <c r="J1" t="s">
        <v>1642</v>
      </c>
      <c r="K1" s="96" t="s">
        <v>112</v>
      </c>
      <c r="L1" t="s">
        <v>119</v>
      </c>
    </row>
    <row r="2" spans="1:32" x14ac:dyDescent="0.25">
      <c r="A2" t="str">
        <f t="shared" ref="A2:A65" si="0">IFERROR(LEFT(RIGHT(C2,LEN(C2)-SEARCH("@",C2)),SEARCH("/",RIGHT(C2,LEN(C2)-SEARCH("@",C2)-1))),"")</f>
        <v>01 TS</v>
      </c>
      <c r="B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30" t="s">
        <v>1676</v>
      </c>
      <c r="K2" s="133" t="s">
        <v>120</v>
      </c>
      <c r="L2" s="133" t="s">
        <v>121</v>
      </c>
    </row>
    <row r="3" spans="1:32" x14ac:dyDescent="0.25">
      <c r="A3" t="str">
        <f t="shared" si="0"/>
        <v>01 TS</v>
      </c>
      <c r="B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t="s">
        <v>1677</v>
      </c>
      <c r="D3" t="s">
        <v>1678</v>
      </c>
      <c r="E3" t="s">
        <v>1679</v>
      </c>
      <c r="F3" t="s">
        <v>112</v>
      </c>
      <c r="G3">
        <v>33202</v>
      </c>
      <c r="K3" s="96" t="s">
        <v>154</v>
      </c>
      <c r="L3" s="96" t="s">
        <v>114</v>
      </c>
    </row>
    <row r="4" spans="1:32" x14ac:dyDescent="0.25">
      <c r="A4" t="str">
        <f t="shared" si="0"/>
        <v>01 TS</v>
      </c>
      <c r="B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t="s">
        <v>1680</v>
      </c>
      <c r="K4" s="96" t="s">
        <v>100</v>
      </c>
      <c r="L4" t="s">
        <v>1643</v>
      </c>
      <c r="M4" t="s">
        <v>1644</v>
      </c>
      <c r="N4" t="s">
        <v>1645</v>
      </c>
      <c r="O4" t="s">
        <v>1646</v>
      </c>
      <c r="P4" t="s">
        <v>1647</v>
      </c>
      <c r="Q4" t="s">
        <v>1648</v>
      </c>
      <c r="R4" t="s">
        <v>1649</v>
      </c>
      <c r="S4" t="s">
        <v>3058</v>
      </c>
      <c r="T4" t="s">
        <v>3059</v>
      </c>
      <c r="U4" t="s">
        <v>3060</v>
      </c>
      <c r="V4" t="s">
        <v>3061</v>
      </c>
      <c r="W4" t="s">
        <v>3062</v>
      </c>
      <c r="X4" t="s">
        <v>3063</v>
      </c>
      <c r="Y4" t="s">
        <v>3064</v>
      </c>
      <c r="Z4" t="s">
        <v>3065</v>
      </c>
      <c r="AA4" t="s">
        <v>3066</v>
      </c>
      <c r="AB4" t="s">
        <v>3067</v>
      </c>
      <c r="AC4" t="s">
        <v>3068</v>
      </c>
      <c r="AD4" t="s">
        <v>3069</v>
      </c>
      <c r="AE4" t="s">
        <v>3070</v>
      </c>
      <c r="AF4" t="s">
        <v>3071</v>
      </c>
    </row>
    <row r="5" spans="1:32" x14ac:dyDescent="0.25">
      <c r="A5" t="str">
        <f t="shared" si="0"/>
        <v>01 TS</v>
      </c>
      <c r="B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t="s">
        <v>1681</v>
      </c>
      <c r="D5" t="s">
        <v>1682</v>
      </c>
      <c r="E5" t="s">
        <v>1683</v>
      </c>
      <c r="F5" t="s">
        <v>112</v>
      </c>
      <c r="G5">
        <v>516738</v>
      </c>
      <c r="K5" s="121" t="s">
        <v>164</v>
      </c>
      <c r="L5">
        <v>33202</v>
      </c>
      <c r="M5">
        <v>170898</v>
      </c>
      <c r="N5">
        <v>504452.33333333331</v>
      </c>
      <c r="O5">
        <v>504722.5</v>
      </c>
      <c r="P5">
        <v>182066</v>
      </c>
      <c r="Q5">
        <v>3451965.3333333335</v>
      </c>
      <c r="R5">
        <v>6819697</v>
      </c>
      <c r="S5">
        <v>330374.66666666669</v>
      </c>
      <c r="U5">
        <v>137425.5</v>
      </c>
      <c r="V5">
        <v>392957.66666666669</v>
      </c>
      <c r="W5">
        <v>5273044</v>
      </c>
      <c r="X5">
        <v>3560879</v>
      </c>
      <c r="Y5">
        <v>3470809</v>
      </c>
      <c r="Z5">
        <v>2030340.3333333333</v>
      </c>
      <c r="AA5">
        <v>125669.5</v>
      </c>
      <c r="AB5">
        <v>1463349</v>
      </c>
      <c r="AC5">
        <v>3158873</v>
      </c>
      <c r="AD5">
        <v>4110318</v>
      </c>
      <c r="AE5">
        <v>3088727.3333333335</v>
      </c>
      <c r="AF5">
        <v>4311854.666666667</v>
      </c>
    </row>
    <row r="6" spans="1:32" x14ac:dyDescent="0.25">
      <c r="A6" t="str">
        <f t="shared" si="0"/>
        <v>01 TS</v>
      </c>
      <c r="B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t="s">
        <v>1684</v>
      </c>
      <c r="D6" t="s">
        <v>1685</v>
      </c>
      <c r="E6" t="s">
        <v>1686</v>
      </c>
      <c r="F6" t="s">
        <v>112</v>
      </c>
      <c r="G6">
        <v>380621</v>
      </c>
      <c r="K6" s="121" t="s">
        <v>1664</v>
      </c>
      <c r="L6">
        <v>425640</v>
      </c>
      <c r="M6">
        <v>271743.33333333331</v>
      </c>
      <c r="N6">
        <v>78062.5</v>
      </c>
      <c r="O6">
        <v>639682.5</v>
      </c>
      <c r="P6">
        <v>1364403</v>
      </c>
      <c r="R6">
        <v>5777871.333333333</v>
      </c>
      <c r="S6">
        <v>341190</v>
      </c>
      <c r="T6">
        <v>68206</v>
      </c>
      <c r="U6">
        <v>258116.66666666666</v>
      </c>
      <c r="V6">
        <v>375430</v>
      </c>
      <c r="W6">
        <v>964816</v>
      </c>
      <c r="X6">
        <v>1792159.6666666667</v>
      </c>
      <c r="Y6">
        <v>1625670.5</v>
      </c>
      <c r="Z6">
        <v>806016.5</v>
      </c>
      <c r="AA6">
        <v>394111</v>
      </c>
      <c r="AB6">
        <v>4770610.333333333</v>
      </c>
      <c r="AC6">
        <v>3327038.3333333335</v>
      </c>
      <c r="AD6">
        <v>2723823.6666666665</v>
      </c>
      <c r="AE6">
        <v>544727</v>
      </c>
      <c r="AF6">
        <v>2326151</v>
      </c>
    </row>
    <row r="7" spans="1:32" x14ac:dyDescent="0.25">
      <c r="A7" t="str">
        <f t="shared" si="0"/>
        <v>01 TS</v>
      </c>
      <c r="B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t="s">
        <v>1687</v>
      </c>
      <c r="D7" t="s">
        <v>264</v>
      </c>
      <c r="E7" t="s">
        <v>1688</v>
      </c>
      <c r="F7" t="s">
        <v>112</v>
      </c>
      <c r="G7">
        <v>379561</v>
      </c>
      <c r="K7" s="121" t="s">
        <v>1665</v>
      </c>
      <c r="L7">
        <v>285817.5</v>
      </c>
      <c r="M7">
        <v>933611.33333333337</v>
      </c>
      <c r="N7">
        <v>73210</v>
      </c>
      <c r="O7">
        <v>282875.5</v>
      </c>
      <c r="P7">
        <v>3719556</v>
      </c>
      <c r="Q7">
        <v>3349634.3333333335</v>
      </c>
      <c r="R7">
        <v>3553647.3333333335</v>
      </c>
      <c r="S7">
        <v>359034.66666666669</v>
      </c>
      <c r="T7">
        <v>776606.66666666663</v>
      </c>
      <c r="U7">
        <v>185411.66666666666</v>
      </c>
      <c r="V7">
        <v>327707</v>
      </c>
      <c r="W7">
        <v>3011645.6666666665</v>
      </c>
      <c r="X7">
        <v>2669641</v>
      </c>
      <c r="Y7">
        <v>4036080.6666666665</v>
      </c>
      <c r="Z7">
        <v>4208788</v>
      </c>
      <c r="AA7">
        <v>301650.66666666669</v>
      </c>
      <c r="AB7">
        <v>3993001.3333333335</v>
      </c>
      <c r="AC7">
        <v>6887903</v>
      </c>
      <c r="AD7">
        <v>412518.33333333331</v>
      </c>
      <c r="AE7">
        <v>4179912</v>
      </c>
      <c r="AF7">
        <v>4782773.333333333</v>
      </c>
    </row>
    <row r="8" spans="1:32" x14ac:dyDescent="0.25">
      <c r="A8" t="str">
        <f t="shared" si="0"/>
        <v>01 TS</v>
      </c>
      <c r="B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t="s">
        <v>1689</v>
      </c>
      <c r="D8" t="s">
        <v>885</v>
      </c>
      <c r="E8" t="s">
        <v>1690</v>
      </c>
      <c r="F8" t="s">
        <v>112</v>
      </c>
      <c r="G8">
        <v>311773</v>
      </c>
      <c r="K8" s="121" t="s">
        <v>1666</v>
      </c>
      <c r="L8">
        <v>479909.66666666669</v>
      </c>
      <c r="M8">
        <v>82626.333333333328</v>
      </c>
      <c r="N8">
        <v>306207</v>
      </c>
      <c r="O8">
        <v>718840.66666666663</v>
      </c>
      <c r="P8">
        <v>816875</v>
      </c>
      <c r="Q8">
        <v>3728013</v>
      </c>
      <c r="R8">
        <v>4466573.5</v>
      </c>
      <c r="S8">
        <v>486211.33333333331</v>
      </c>
      <c r="T8">
        <v>214492.5</v>
      </c>
      <c r="U8">
        <v>205671.33333333334</v>
      </c>
      <c r="V8">
        <v>1295587.5</v>
      </c>
      <c r="W8">
        <v>2638111.6666666665</v>
      </c>
      <c r="X8">
        <v>2762527</v>
      </c>
      <c r="Y8">
        <v>2514634</v>
      </c>
      <c r="Z8">
        <v>6301415.666666667</v>
      </c>
      <c r="AA8">
        <v>725091.66666666663</v>
      </c>
      <c r="AB8">
        <v>2839453.5</v>
      </c>
      <c r="AC8">
        <v>2523466.3333333335</v>
      </c>
      <c r="AD8">
        <v>6470183</v>
      </c>
      <c r="AE8">
        <v>3214144.6666666665</v>
      </c>
      <c r="AF8">
        <v>5715418.666666667</v>
      </c>
    </row>
    <row r="9" spans="1:32" x14ac:dyDescent="0.25">
      <c r="A9" t="str">
        <f t="shared" si="0"/>
        <v>01 TS</v>
      </c>
      <c r="B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t="s">
        <v>1691</v>
      </c>
      <c r="D9" t="s">
        <v>1692</v>
      </c>
      <c r="E9" t="s">
        <v>1693</v>
      </c>
      <c r="F9" t="s">
        <v>112</v>
      </c>
      <c r="G9">
        <v>259862</v>
      </c>
      <c r="K9" s="121" t="s">
        <v>1667</v>
      </c>
      <c r="L9">
        <v>169881.33333333334</v>
      </c>
      <c r="M9">
        <v>245996.66666666666</v>
      </c>
      <c r="N9">
        <v>58948.666666666664</v>
      </c>
      <c r="O9">
        <v>1490761.3333333333</v>
      </c>
      <c r="P9">
        <v>820184</v>
      </c>
      <c r="Q9">
        <v>4534152</v>
      </c>
      <c r="R9">
        <v>5336606.666666667</v>
      </c>
      <c r="S9">
        <v>279278</v>
      </c>
      <c r="T9">
        <v>79482.333333333328</v>
      </c>
      <c r="U9">
        <v>624959.66666666663</v>
      </c>
      <c r="V9">
        <v>690296.66666666663</v>
      </c>
      <c r="W9">
        <v>3029843.6666666665</v>
      </c>
      <c r="X9">
        <v>2908889</v>
      </c>
      <c r="Y9">
        <v>3077068.6666666665</v>
      </c>
      <c r="Z9">
        <v>5237924</v>
      </c>
      <c r="AA9">
        <v>579043</v>
      </c>
      <c r="AB9">
        <v>3794972.3333333335</v>
      </c>
      <c r="AC9">
        <v>5488557.333333333</v>
      </c>
      <c r="AD9">
        <v>5892113</v>
      </c>
      <c r="AE9">
        <v>6158301.5</v>
      </c>
      <c r="AF9">
        <v>4212083</v>
      </c>
    </row>
    <row r="10" spans="1:32" x14ac:dyDescent="0.25">
      <c r="A10" t="str">
        <f t="shared" si="0"/>
        <v>01 TS</v>
      </c>
      <c r="B1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t="s">
        <v>1694</v>
      </c>
      <c r="K10" s="121" t="s">
        <v>1668</v>
      </c>
      <c r="L10">
        <v>110024.33333333333</v>
      </c>
      <c r="M10">
        <v>135237.33333333334</v>
      </c>
      <c r="N10">
        <v>73022.666666666672</v>
      </c>
      <c r="O10">
        <v>486651</v>
      </c>
      <c r="P10">
        <v>2799925</v>
      </c>
      <c r="Q10">
        <v>3296450</v>
      </c>
      <c r="R10">
        <v>6855977.333333333</v>
      </c>
      <c r="S10">
        <v>547149.66666666663</v>
      </c>
      <c r="T10">
        <v>197070</v>
      </c>
      <c r="U10">
        <v>262154.33333333331</v>
      </c>
      <c r="V10">
        <v>59893.333333333336</v>
      </c>
      <c r="W10">
        <v>5411961.5</v>
      </c>
      <c r="X10">
        <v>2610021.6666666665</v>
      </c>
      <c r="Y10">
        <v>2922271</v>
      </c>
      <c r="Z10">
        <v>3647463.6666666665</v>
      </c>
      <c r="AA10">
        <v>58545</v>
      </c>
      <c r="AB10">
        <v>3765051</v>
      </c>
      <c r="AC10">
        <v>2834662.3333333335</v>
      </c>
      <c r="AD10">
        <v>4772672.333333333</v>
      </c>
      <c r="AE10">
        <v>3415749.6666666665</v>
      </c>
      <c r="AF10">
        <v>5391511</v>
      </c>
    </row>
    <row r="11" spans="1:32" x14ac:dyDescent="0.25">
      <c r="A11" t="str">
        <f t="shared" si="0"/>
        <v>01 TS</v>
      </c>
      <c r="B1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t="s">
        <v>1695</v>
      </c>
      <c r="D11" t="s">
        <v>1696</v>
      </c>
      <c r="E11" t="s">
        <v>1697</v>
      </c>
      <c r="F11" t="s">
        <v>112</v>
      </c>
      <c r="G11">
        <v>686165</v>
      </c>
      <c r="K11" s="121" t="s">
        <v>1669</v>
      </c>
      <c r="L11">
        <v>222708.66666666666</v>
      </c>
      <c r="M11">
        <v>67521.333333333328</v>
      </c>
      <c r="N11">
        <v>140378</v>
      </c>
      <c r="O11">
        <v>739872.33333333337</v>
      </c>
      <c r="P11">
        <v>1411794</v>
      </c>
      <c r="Q11">
        <v>4051899.3333333335</v>
      </c>
      <c r="R11">
        <v>5391359.333333333</v>
      </c>
      <c r="S11">
        <v>715877.33333333337</v>
      </c>
      <c r="T11">
        <v>409475.66666666669</v>
      </c>
      <c r="U11">
        <v>794523.66666666663</v>
      </c>
      <c r="V11">
        <v>639437.33333333337</v>
      </c>
      <c r="W11">
        <v>1185480.5</v>
      </c>
      <c r="X11">
        <v>3724055.3333333335</v>
      </c>
      <c r="Y11">
        <v>1929559.6666666667</v>
      </c>
      <c r="Z11">
        <v>5242661</v>
      </c>
      <c r="AA11">
        <v>122933.5</v>
      </c>
      <c r="AB11">
        <v>954938.5</v>
      </c>
      <c r="AC11">
        <v>5417755.333333333</v>
      </c>
      <c r="AD11">
        <v>3665668.6666666665</v>
      </c>
      <c r="AE11">
        <v>2918687.3333333335</v>
      </c>
      <c r="AF11">
        <v>2405525.5</v>
      </c>
    </row>
    <row r="12" spans="1:32" x14ac:dyDescent="0.25">
      <c r="A12" t="str">
        <f t="shared" si="0"/>
        <v>01 TS</v>
      </c>
      <c r="B1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t="s">
        <v>1698</v>
      </c>
      <c r="D12" t="s">
        <v>1699</v>
      </c>
      <c r="E12" t="s">
        <v>1700</v>
      </c>
      <c r="F12" t="s">
        <v>112</v>
      </c>
      <c r="G12">
        <v>289430</v>
      </c>
      <c r="K12" s="121" t="s">
        <v>1670</v>
      </c>
      <c r="L12">
        <v>425081.5</v>
      </c>
      <c r="M12">
        <v>66858</v>
      </c>
      <c r="O12">
        <v>1312963.3333333333</v>
      </c>
      <c r="P12">
        <v>3367212.3333333335</v>
      </c>
      <c r="Q12">
        <v>3848463</v>
      </c>
      <c r="R12">
        <v>5871024</v>
      </c>
      <c r="S12">
        <v>289502</v>
      </c>
      <c r="T12">
        <v>377669</v>
      </c>
      <c r="U12">
        <v>792714</v>
      </c>
      <c r="V12">
        <v>1739779</v>
      </c>
      <c r="W12">
        <v>1208188</v>
      </c>
      <c r="X12">
        <v>24788</v>
      </c>
      <c r="Y12">
        <v>1750694.6666666667</v>
      </c>
      <c r="Z12">
        <v>4066766.3333333335</v>
      </c>
      <c r="AA12">
        <v>60700.666666666664</v>
      </c>
      <c r="AB12">
        <v>3892876.3333333335</v>
      </c>
      <c r="AC12">
        <v>4693651.333333333</v>
      </c>
      <c r="AD12">
        <v>2565060.3333333335</v>
      </c>
      <c r="AE12">
        <v>5961660</v>
      </c>
      <c r="AF12">
        <v>4601507.666666667</v>
      </c>
    </row>
    <row r="13" spans="1:32" x14ac:dyDescent="0.25">
      <c r="A13" t="str">
        <f t="shared" si="0"/>
        <v>01 TS</v>
      </c>
      <c r="B1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t="s">
        <v>1701</v>
      </c>
      <c r="D13" t="s">
        <v>1702</v>
      </c>
      <c r="E13" t="s">
        <v>1703</v>
      </c>
      <c r="F13" t="s">
        <v>112</v>
      </c>
      <c r="G13">
        <v>464134</v>
      </c>
    </row>
    <row r="14" spans="1:32" x14ac:dyDescent="0.25">
      <c r="A14" t="str">
        <f t="shared" si="0"/>
        <v>01 TS</v>
      </c>
      <c r="B1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t="s">
        <v>1704</v>
      </c>
      <c r="D14" t="s">
        <v>1705</v>
      </c>
      <c r="E14" t="s">
        <v>1706</v>
      </c>
      <c r="F14" t="s">
        <v>112</v>
      </c>
      <c r="G14">
        <v>209356</v>
      </c>
    </row>
    <row r="15" spans="1:32" x14ac:dyDescent="0.25">
      <c r="A15" t="str">
        <f t="shared" si="0"/>
        <v>01 TS</v>
      </c>
      <c r="B1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t="s">
        <v>1707</v>
      </c>
      <c r="D15" t="s">
        <v>1708</v>
      </c>
      <c r="E15" t="s">
        <v>1709</v>
      </c>
      <c r="F15" t="s">
        <v>112</v>
      </c>
      <c r="G15">
        <v>174813</v>
      </c>
    </row>
    <row r="16" spans="1:32" x14ac:dyDescent="0.25">
      <c r="A16" t="str">
        <f t="shared" si="0"/>
        <v>01 TS</v>
      </c>
      <c r="B1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t="s">
        <v>1710</v>
      </c>
      <c r="D16" t="s">
        <v>1711</v>
      </c>
      <c r="E16" t="s">
        <v>1712</v>
      </c>
      <c r="F16" t="s">
        <v>112</v>
      </c>
      <c r="G16">
        <v>125475</v>
      </c>
    </row>
    <row r="17" spans="1:10" x14ac:dyDescent="0.25">
      <c r="A17" t="str">
        <f t="shared" si="0"/>
        <v>01 TS</v>
      </c>
      <c r="B1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t="s">
        <v>1713</v>
      </c>
      <c r="D17" t="s">
        <v>1714</v>
      </c>
      <c r="E17" t="s">
        <v>1715</v>
      </c>
      <c r="F17" t="s">
        <v>112</v>
      </c>
      <c r="G17">
        <v>87926</v>
      </c>
    </row>
    <row r="18" spans="1:10" x14ac:dyDescent="0.25">
      <c r="A18" t="str">
        <f t="shared" si="0"/>
        <v>01 TS</v>
      </c>
      <c r="B1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t="s">
        <v>1716</v>
      </c>
      <c r="D18" t="s">
        <v>1717</v>
      </c>
      <c r="E18" t="s">
        <v>1718</v>
      </c>
      <c r="F18" t="s">
        <v>112</v>
      </c>
      <c r="G18">
        <v>96145</v>
      </c>
    </row>
    <row r="19" spans="1:10" x14ac:dyDescent="0.25">
      <c r="A19" t="str">
        <f t="shared" si="0"/>
        <v>01 TS</v>
      </c>
      <c r="B1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t="s">
        <v>1719</v>
      </c>
      <c r="D19" t="s">
        <v>336</v>
      </c>
      <c r="E19" t="s">
        <v>1720</v>
      </c>
      <c r="F19" t="s">
        <v>112</v>
      </c>
      <c r="G19">
        <v>146002</v>
      </c>
    </row>
    <row r="20" spans="1:10" x14ac:dyDescent="0.25">
      <c r="A20" t="str">
        <f t="shared" si="0"/>
        <v>01 TS</v>
      </c>
      <c r="B2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t="s">
        <v>1721</v>
      </c>
      <c r="D20" t="s">
        <v>1722</v>
      </c>
      <c r="E20" t="s">
        <v>1723</v>
      </c>
      <c r="F20" t="s">
        <v>112</v>
      </c>
      <c r="G20">
        <v>415164</v>
      </c>
    </row>
    <row r="21" spans="1:10" x14ac:dyDescent="0.25">
      <c r="A21" t="str">
        <f t="shared" si="0"/>
        <v>01 TS</v>
      </c>
      <c r="B2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t="s">
        <v>1724</v>
      </c>
      <c r="D21" t="s">
        <v>1725</v>
      </c>
      <c r="E21" t="s">
        <v>1726</v>
      </c>
      <c r="F21" t="s">
        <v>112</v>
      </c>
      <c r="G21">
        <v>201937</v>
      </c>
    </row>
    <row r="22" spans="1:10" x14ac:dyDescent="0.25">
      <c r="A22" t="str">
        <f t="shared" si="0"/>
        <v>01 TS</v>
      </c>
      <c r="B2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t="s">
        <v>1727</v>
      </c>
      <c r="D22" t="s">
        <v>1728</v>
      </c>
      <c r="E22" t="s">
        <v>1729</v>
      </c>
      <c r="F22" t="s">
        <v>112</v>
      </c>
      <c r="G22">
        <v>51025</v>
      </c>
    </row>
    <row r="23" spans="1:10" x14ac:dyDescent="0.25">
      <c r="A23" t="str">
        <f t="shared" si="0"/>
        <v>01 TS</v>
      </c>
      <c r="B2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t="s">
        <v>1730</v>
      </c>
      <c r="D23" t="s">
        <v>1731</v>
      </c>
      <c r="E23" t="s">
        <v>1732</v>
      </c>
      <c r="F23" t="s">
        <v>112</v>
      </c>
      <c r="G23">
        <v>482714</v>
      </c>
    </row>
    <row r="24" spans="1:10" x14ac:dyDescent="0.25">
      <c r="A24" t="str">
        <f t="shared" si="0"/>
        <v>01 TS</v>
      </c>
      <c r="B2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t="s">
        <v>1733</v>
      </c>
    </row>
    <row r="25" spans="1:10" x14ac:dyDescent="0.25">
      <c r="A25" t="str">
        <f t="shared" si="0"/>
        <v>01 TS</v>
      </c>
      <c r="B2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t="s">
        <v>1734</v>
      </c>
      <c r="D25" t="s">
        <v>1722</v>
      </c>
      <c r="E25" t="s">
        <v>1735</v>
      </c>
      <c r="F25" t="s">
        <v>112</v>
      </c>
      <c r="G25">
        <v>367449</v>
      </c>
    </row>
    <row r="26" spans="1:10" x14ac:dyDescent="0.25">
      <c r="A26" t="str">
        <f t="shared" si="0"/>
        <v/>
      </c>
      <c r="B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t="s">
        <v>112</v>
      </c>
    </row>
    <row r="27" spans="1:10" x14ac:dyDescent="0.25">
      <c r="A27" t="str">
        <f t="shared" si="0"/>
        <v/>
      </c>
      <c r="B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t="s">
        <v>234</v>
      </c>
      <c r="D27" t="s">
        <v>112</v>
      </c>
      <c r="E27" t="s">
        <v>235</v>
      </c>
      <c r="F27" t="s">
        <v>236</v>
      </c>
      <c r="G27" t="s">
        <v>237</v>
      </c>
      <c r="H27" t="s">
        <v>238</v>
      </c>
      <c r="I27" t="s">
        <v>239</v>
      </c>
      <c r="J27" t="s">
        <v>240</v>
      </c>
    </row>
    <row r="28" spans="1:10" x14ac:dyDescent="0.25">
      <c r="A28" t="str">
        <f t="shared" si="0"/>
        <v>01 TS</v>
      </c>
      <c r="B2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t="s">
        <v>1736</v>
      </c>
      <c r="D28" t="s">
        <v>112</v>
      </c>
      <c r="E28" t="s">
        <v>1737</v>
      </c>
      <c r="F28" t="s">
        <v>1738</v>
      </c>
      <c r="G28" t="s">
        <v>1739</v>
      </c>
      <c r="H28" t="s">
        <v>1740</v>
      </c>
      <c r="I28">
        <v>24</v>
      </c>
      <c r="J28">
        <v>24</v>
      </c>
    </row>
    <row r="29" spans="1:10" x14ac:dyDescent="0.25">
      <c r="A29" t="str">
        <f t="shared" si="0"/>
        <v/>
      </c>
      <c r="B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t="s">
        <v>112</v>
      </c>
    </row>
    <row r="30" spans="1:10" x14ac:dyDescent="0.25">
      <c r="A30" t="str">
        <f t="shared" si="0"/>
        <v/>
      </c>
      <c r="B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t="s">
        <v>112</v>
      </c>
    </row>
    <row r="31" spans="1:10" x14ac:dyDescent="0.25">
      <c r="A31" t="str">
        <f t="shared" si="0"/>
        <v/>
      </c>
      <c r="B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t="s">
        <v>112</v>
      </c>
    </row>
    <row r="32" spans="1:10" x14ac:dyDescent="0.25">
      <c r="A32" t="str">
        <f t="shared" si="0"/>
        <v/>
      </c>
      <c r="B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t="s">
        <v>112</v>
      </c>
    </row>
    <row r="33" spans="1:7" x14ac:dyDescent="0.25">
      <c r="A33" t="str">
        <f t="shared" si="0"/>
        <v/>
      </c>
      <c r="B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t="s">
        <v>112</v>
      </c>
    </row>
    <row r="34" spans="1:7" x14ac:dyDescent="0.25">
      <c r="A34" t="str">
        <f t="shared" si="0"/>
        <v/>
      </c>
      <c r="B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t="s">
        <v>246</v>
      </c>
      <c r="D34" t="s">
        <v>110</v>
      </c>
      <c r="E34" t="s">
        <v>111</v>
      </c>
      <c r="F34" t="s">
        <v>112</v>
      </c>
      <c r="G34" t="s">
        <v>113</v>
      </c>
    </row>
    <row r="35" spans="1:7" x14ac:dyDescent="0.25">
      <c r="A35" t="str">
        <f t="shared" si="0"/>
        <v>02 EE2 34</v>
      </c>
      <c r="B3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t="s">
        <v>1741</v>
      </c>
      <c r="D35" t="s">
        <v>187</v>
      </c>
      <c r="E35" t="s">
        <v>1742</v>
      </c>
      <c r="F35" t="s">
        <v>112</v>
      </c>
      <c r="G35">
        <v>170898</v>
      </c>
    </row>
    <row r="36" spans="1:7" x14ac:dyDescent="0.25">
      <c r="A36" t="str">
        <f t="shared" si="0"/>
        <v>02 EE2 34</v>
      </c>
      <c r="B3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t="s">
        <v>1743</v>
      </c>
    </row>
    <row r="37" spans="1:7" x14ac:dyDescent="0.25">
      <c r="A37" t="str">
        <f t="shared" si="0"/>
        <v>02 EE2 34</v>
      </c>
      <c r="B3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t="s">
        <v>1744</v>
      </c>
    </row>
    <row r="38" spans="1:7" x14ac:dyDescent="0.25">
      <c r="A38" t="str">
        <f t="shared" si="0"/>
        <v>02 EE2 34</v>
      </c>
      <c r="B3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t="s">
        <v>1745</v>
      </c>
      <c r="D38" t="s">
        <v>229</v>
      </c>
      <c r="E38" t="s">
        <v>1746</v>
      </c>
      <c r="F38" t="s">
        <v>112</v>
      </c>
      <c r="G38">
        <v>123485</v>
      </c>
    </row>
    <row r="39" spans="1:7" x14ac:dyDescent="0.25">
      <c r="A39" t="str">
        <f t="shared" si="0"/>
        <v>02 EE2 34</v>
      </c>
      <c r="B3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t="s">
        <v>1747</v>
      </c>
      <c r="D39" t="s">
        <v>1748</v>
      </c>
      <c r="E39" t="s">
        <v>1749</v>
      </c>
      <c r="F39" t="s">
        <v>112</v>
      </c>
      <c r="G39">
        <v>487689</v>
      </c>
    </row>
    <row r="40" spans="1:7" x14ac:dyDescent="0.25">
      <c r="A40" t="str">
        <f t="shared" si="0"/>
        <v>02 EE2 34</v>
      </c>
      <c r="B4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t="s">
        <v>1750</v>
      </c>
      <c r="D40" t="s">
        <v>374</v>
      </c>
      <c r="E40" t="s">
        <v>1751</v>
      </c>
      <c r="F40" t="s">
        <v>112</v>
      </c>
      <c r="G40">
        <v>204056</v>
      </c>
    </row>
    <row r="41" spans="1:7" x14ac:dyDescent="0.25">
      <c r="A41" t="str">
        <f t="shared" si="0"/>
        <v>02 EE2 34</v>
      </c>
      <c r="B4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t="s">
        <v>1752</v>
      </c>
      <c r="D41" t="s">
        <v>1753</v>
      </c>
      <c r="E41" t="s">
        <v>1754</v>
      </c>
      <c r="F41" t="s">
        <v>112</v>
      </c>
      <c r="G41">
        <v>1022013</v>
      </c>
    </row>
    <row r="42" spans="1:7" x14ac:dyDescent="0.25">
      <c r="A42" t="str">
        <f t="shared" si="0"/>
        <v>02 EE2 34</v>
      </c>
      <c r="B4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t="s">
        <v>1755</v>
      </c>
      <c r="D42" t="s">
        <v>1756</v>
      </c>
      <c r="E42" t="s">
        <v>1757</v>
      </c>
      <c r="F42" t="s">
        <v>112</v>
      </c>
      <c r="G42">
        <v>1039295</v>
      </c>
    </row>
    <row r="43" spans="1:7" x14ac:dyDescent="0.25">
      <c r="A43" t="str">
        <f t="shared" si="0"/>
        <v>02 EE2 34</v>
      </c>
      <c r="B4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t="s">
        <v>1758</v>
      </c>
      <c r="D43" t="s">
        <v>1759</v>
      </c>
      <c r="E43" t="s">
        <v>1760</v>
      </c>
      <c r="F43" t="s">
        <v>112</v>
      </c>
      <c r="G43">
        <v>739526</v>
      </c>
    </row>
    <row r="44" spans="1:7" x14ac:dyDescent="0.25">
      <c r="A44" t="str">
        <f t="shared" si="0"/>
        <v>02 EE2 34</v>
      </c>
      <c r="B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t="s">
        <v>1761</v>
      </c>
      <c r="D44" t="s">
        <v>1762</v>
      </c>
      <c r="E44" t="s">
        <v>1763</v>
      </c>
      <c r="F44" t="s">
        <v>112</v>
      </c>
      <c r="G44">
        <v>82648</v>
      </c>
    </row>
    <row r="45" spans="1:7" x14ac:dyDescent="0.25">
      <c r="A45" t="str">
        <f t="shared" si="0"/>
        <v>02 EE2 34</v>
      </c>
      <c r="B4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t="s">
        <v>1764</v>
      </c>
      <c r="D45" t="s">
        <v>1765</v>
      </c>
      <c r="E45" t="s">
        <v>1766</v>
      </c>
      <c r="F45" t="s">
        <v>112</v>
      </c>
      <c r="G45">
        <v>80052</v>
      </c>
    </row>
    <row r="46" spans="1:7" x14ac:dyDescent="0.25">
      <c r="A46" t="str">
        <f t="shared" si="0"/>
        <v>02 EE2 34</v>
      </c>
      <c r="B4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t="s">
        <v>1767</v>
      </c>
      <c r="D46" t="s">
        <v>761</v>
      </c>
      <c r="E46" t="s">
        <v>1768</v>
      </c>
      <c r="F46" t="s">
        <v>112</v>
      </c>
      <c r="G46">
        <v>85179</v>
      </c>
    </row>
    <row r="47" spans="1:7" x14ac:dyDescent="0.25">
      <c r="A47" t="str">
        <f t="shared" si="0"/>
        <v>02 EE2 34</v>
      </c>
      <c r="B4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t="s">
        <v>1769</v>
      </c>
      <c r="D47" t="s">
        <v>1699</v>
      </c>
      <c r="E47" t="s">
        <v>1770</v>
      </c>
      <c r="F47" t="s">
        <v>112</v>
      </c>
      <c r="G47">
        <v>303662</v>
      </c>
    </row>
    <row r="48" spans="1:7" x14ac:dyDescent="0.25">
      <c r="A48" t="str">
        <f t="shared" si="0"/>
        <v>02 EE2 34</v>
      </c>
      <c r="B4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t="s">
        <v>1771</v>
      </c>
      <c r="D48" t="s">
        <v>1772</v>
      </c>
      <c r="E48" t="s">
        <v>1773</v>
      </c>
      <c r="F48" t="s">
        <v>112</v>
      </c>
      <c r="G48">
        <v>342747</v>
      </c>
    </row>
    <row r="49" spans="1:10" x14ac:dyDescent="0.25">
      <c r="A49" t="str">
        <f t="shared" si="0"/>
        <v>02 EE2 34</v>
      </c>
      <c r="B4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t="s">
        <v>1774</v>
      </c>
      <c r="D49" t="s">
        <v>1717</v>
      </c>
      <c r="E49" t="s">
        <v>1775</v>
      </c>
      <c r="F49" t="s">
        <v>112</v>
      </c>
      <c r="G49">
        <v>91581</v>
      </c>
    </row>
    <row r="50" spans="1:10" x14ac:dyDescent="0.25">
      <c r="A50" t="str">
        <f t="shared" si="0"/>
        <v>02 EE2 34</v>
      </c>
      <c r="B5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t="s">
        <v>1776</v>
      </c>
      <c r="D50" t="s">
        <v>725</v>
      </c>
      <c r="E50" t="s">
        <v>1777</v>
      </c>
      <c r="F50" t="s">
        <v>112</v>
      </c>
      <c r="G50">
        <v>106808</v>
      </c>
    </row>
    <row r="51" spans="1:10" x14ac:dyDescent="0.25">
      <c r="A51" t="str">
        <f t="shared" si="0"/>
        <v>02 EE2 34</v>
      </c>
      <c r="B5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t="s">
        <v>1778</v>
      </c>
      <c r="D51" t="s">
        <v>419</v>
      </c>
      <c r="E51" t="s">
        <v>1779</v>
      </c>
      <c r="F51" t="s">
        <v>112</v>
      </c>
      <c r="G51">
        <v>174532</v>
      </c>
    </row>
    <row r="52" spans="1:10" x14ac:dyDescent="0.25">
      <c r="A52" t="str">
        <f t="shared" si="0"/>
        <v>02 EE2 34</v>
      </c>
      <c r="B5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t="s">
        <v>1780</v>
      </c>
      <c r="D52" t="s">
        <v>827</v>
      </c>
      <c r="E52" t="s">
        <v>1781</v>
      </c>
      <c r="F52" t="s">
        <v>112</v>
      </c>
      <c r="G52">
        <v>124372</v>
      </c>
    </row>
    <row r="53" spans="1:10" x14ac:dyDescent="0.25">
      <c r="A53" t="str">
        <f t="shared" si="0"/>
        <v>02 EE2 34</v>
      </c>
      <c r="B5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t="s">
        <v>1782</v>
      </c>
      <c r="D53" t="s">
        <v>1783</v>
      </c>
      <c r="E53" t="s">
        <v>1784</v>
      </c>
      <c r="F53" t="s">
        <v>112</v>
      </c>
      <c r="G53">
        <v>52626</v>
      </c>
    </row>
    <row r="54" spans="1:10" x14ac:dyDescent="0.25">
      <c r="A54" t="str">
        <f t="shared" si="0"/>
        <v>02 EE2 34</v>
      </c>
      <c r="B5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t="s">
        <v>1785</v>
      </c>
      <c r="D54" t="s">
        <v>1786</v>
      </c>
      <c r="E54" t="s">
        <v>1787</v>
      </c>
      <c r="F54" t="s">
        <v>112</v>
      </c>
      <c r="G54">
        <v>82799</v>
      </c>
    </row>
    <row r="55" spans="1:10" x14ac:dyDescent="0.25">
      <c r="A55" t="str">
        <f t="shared" si="0"/>
        <v>02 EE2 34</v>
      </c>
      <c r="B5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t="s">
        <v>1788</v>
      </c>
      <c r="D55" t="s">
        <v>1789</v>
      </c>
      <c r="E55" t="s">
        <v>1790</v>
      </c>
      <c r="F55" t="s">
        <v>112</v>
      </c>
      <c r="G55">
        <v>67139</v>
      </c>
    </row>
    <row r="56" spans="1:10" x14ac:dyDescent="0.25">
      <c r="A56" t="str">
        <f t="shared" si="0"/>
        <v>02 EE2 34</v>
      </c>
      <c r="B5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t="s">
        <v>1791</v>
      </c>
      <c r="D56" t="s">
        <v>1792</v>
      </c>
      <c r="E56" t="s">
        <v>1793</v>
      </c>
      <c r="F56" t="s">
        <v>112</v>
      </c>
      <c r="G56">
        <v>109339</v>
      </c>
    </row>
    <row r="57" spans="1:10" x14ac:dyDescent="0.25">
      <c r="A57" t="str">
        <f t="shared" si="0"/>
        <v>02 EE2 34</v>
      </c>
      <c r="B5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t="s">
        <v>1794</v>
      </c>
      <c r="D57" t="s">
        <v>1795</v>
      </c>
      <c r="E57" t="s">
        <v>1796</v>
      </c>
      <c r="F57" t="s">
        <v>112</v>
      </c>
      <c r="G57">
        <v>68632</v>
      </c>
    </row>
    <row r="58" spans="1:10" x14ac:dyDescent="0.25">
      <c r="A58" t="str">
        <f t="shared" si="0"/>
        <v>02 EE2 34</v>
      </c>
      <c r="B5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t="s">
        <v>1797</v>
      </c>
      <c r="D58" t="s">
        <v>1798</v>
      </c>
      <c r="E58" t="s">
        <v>1799</v>
      </c>
      <c r="F58" t="s">
        <v>112</v>
      </c>
      <c r="G58">
        <v>22603</v>
      </c>
    </row>
    <row r="59" spans="1:10" x14ac:dyDescent="0.25">
      <c r="A59" t="str">
        <f t="shared" si="0"/>
        <v/>
      </c>
      <c r="B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t="s">
        <v>112</v>
      </c>
    </row>
    <row r="60" spans="1:10" x14ac:dyDescent="0.25">
      <c r="A60" t="str">
        <f t="shared" si="0"/>
        <v/>
      </c>
      <c r="B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t="s">
        <v>234</v>
      </c>
      <c r="D60" t="s">
        <v>112</v>
      </c>
      <c r="E60" t="s">
        <v>235</v>
      </c>
      <c r="F60" t="s">
        <v>236</v>
      </c>
      <c r="G60" t="s">
        <v>237</v>
      </c>
      <c r="H60" t="s">
        <v>238</v>
      </c>
      <c r="I60" t="s">
        <v>239</v>
      </c>
      <c r="J60" t="s">
        <v>240</v>
      </c>
    </row>
    <row r="61" spans="1:10" x14ac:dyDescent="0.25">
      <c r="A61" t="str">
        <f t="shared" si="0"/>
        <v>02 EE2 34</v>
      </c>
      <c r="B6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t="s">
        <v>1800</v>
      </c>
      <c r="D61" t="s">
        <v>112</v>
      </c>
      <c r="E61" t="s">
        <v>1801</v>
      </c>
      <c r="F61" t="s">
        <v>1802</v>
      </c>
      <c r="G61" t="s">
        <v>1803</v>
      </c>
      <c r="H61" t="s">
        <v>1804</v>
      </c>
      <c r="I61">
        <v>24</v>
      </c>
      <c r="J61">
        <v>24</v>
      </c>
    </row>
    <row r="62" spans="1:10" x14ac:dyDescent="0.25">
      <c r="A62" t="str">
        <f t="shared" si="0"/>
        <v/>
      </c>
      <c r="B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t="s">
        <v>112</v>
      </c>
    </row>
    <row r="63" spans="1:10" x14ac:dyDescent="0.25">
      <c r="A63" t="str">
        <f t="shared" si="0"/>
        <v/>
      </c>
      <c r="B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t="s">
        <v>112</v>
      </c>
    </row>
    <row r="64" spans="1:10" x14ac:dyDescent="0.25">
      <c r="A64" t="str">
        <f t="shared" si="0"/>
        <v/>
      </c>
      <c r="B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t="s">
        <v>112</v>
      </c>
    </row>
    <row r="65" spans="1:7" x14ac:dyDescent="0.25">
      <c r="A65" t="str">
        <f t="shared" si="0"/>
        <v/>
      </c>
      <c r="B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t="s">
        <v>112</v>
      </c>
    </row>
    <row r="66" spans="1:7" x14ac:dyDescent="0.25">
      <c r="A66" t="str">
        <f t="shared" ref="A66:A129" si="1">IFERROR(LEFT(RIGHT(C66,LEN(C66)-SEARCH("@",C66)),SEARCH("/",RIGHT(C66,LEN(C66)-SEARCH("@",C66)-1))),"")</f>
        <v/>
      </c>
      <c r="B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t="s">
        <v>112</v>
      </c>
    </row>
    <row r="67" spans="1:7" x14ac:dyDescent="0.25">
      <c r="A67" t="str">
        <f t="shared" si="1"/>
        <v/>
      </c>
      <c r="B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t="s">
        <v>246</v>
      </c>
      <c r="D67" t="s">
        <v>110</v>
      </c>
      <c r="E67" t="s">
        <v>111</v>
      </c>
      <c r="F67" t="s">
        <v>112</v>
      </c>
      <c r="G67" t="s">
        <v>113</v>
      </c>
    </row>
    <row r="68" spans="1:7" x14ac:dyDescent="0.25">
      <c r="A68" t="str">
        <f t="shared" si="1"/>
        <v>03 EE2 51</v>
      </c>
      <c r="B6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t="s">
        <v>1805</v>
      </c>
      <c r="D68" t="s">
        <v>1806</v>
      </c>
      <c r="E68" t="s">
        <v>1807</v>
      </c>
      <c r="F68" t="s">
        <v>112</v>
      </c>
      <c r="G68">
        <v>1154279</v>
      </c>
    </row>
    <row r="69" spans="1:7" x14ac:dyDescent="0.25">
      <c r="A69" t="str">
        <f t="shared" si="1"/>
        <v>03 EE2 51</v>
      </c>
      <c r="B6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t="s">
        <v>1808</v>
      </c>
      <c r="D69" t="s">
        <v>273</v>
      </c>
      <c r="E69" t="s">
        <v>1809</v>
      </c>
      <c r="F69" t="s">
        <v>112</v>
      </c>
      <c r="G69">
        <v>210156</v>
      </c>
    </row>
    <row r="70" spans="1:7" x14ac:dyDescent="0.25">
      <c r="A70" t="str">
        <f t="shared" si="1"/>
        <v>03 EE2 51</v>
      </c>
      <c r="B7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t="s">
        <v>1810</v>
      </c>
      <c r="D70" t="s">
        <v>1811</v>
      </c>
      <c r="E70" t="s">
        <v>1812</v>
      </c>
      <c r="F70" t="s">
        <v>112</v>
      </c>
      <c r="G70">
        <v>148922</v>
      </c>
    </row>
    <row r="71" spans="1:7" x14ac:dyDescent="0.25">
      <c r="A71" t="str">
        <f t="shared" si="1"/>
        <v>03 EE2 51</v>
      </c>
      <c r="B7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t="s">
        <v>1813</v>
      </c>
      <c r="D71" t="s">
        <v>1261</v>
      </c>
      <c r="E71" t="s">
        <v>1814</v>
      </c>
      <c r="F71" t="s">
        <v>112</v>
      </c>
      <c r="G71">
        <v>71033</v>
      </c>
    </row>
    <row r="72" spans="1:7" x14ac:dyDescent="0.25">
      <c r="A72" t="str">
        <f t="shared" si="1"/>
        <v>03 EE2 51</v>
      </c>
      <c r="B7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t="s">
        <v>1815</v>
      </c>
      <c r="D72" t="s">
        <v>761</v>
      </c>
      <c r="E72" t="s">
        <v>1816</v>
      </c>
      <c r="F72" t="s">
        <v>112</v>
      </c>
      <c r="G72">
        <v>85092</v>
      </c>
    </row>
    <row r="73" spans="1:7" x14ac:dyDescent="0.25">
      <c r="A73" t="str">
        <f t="shared" si="1"/>
        <v>03 EE2 51</v>
      </c>
      <c r="B7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t="s">
        <v>1817</v>
      </c>
    </row>
    <row r="74" spans="1:7" x14ac:dyDescent="0.25">
      <c r="A74" t="str">
        <f t="shared" si="1"/>
        <v>03 EE2 51</v>
      </c>
      <c r="B7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t="s">
        <v>1818</v>
      </c>
      <c r="D74" t="s">
        <v>1819</v>
      </c>
      <c r="E74" t="s">
        <v>1820</v>
      </c>
      <c r="F74" t="s">
        <v>112</v>
      </c>
      <c r="G74">
        <v>39107</v>
      </c>
    </row>
    <row r="75" spans="1:7" x14ac:dyDescent="0.25">
      <c r="A75" t="str">
        <f t="shared" si="1"/>
        <v>03 EE2 51</v>
      </c>
      <c r="B7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t="s">
        <v>1821</v>
      </c>
      <c r="D75" t="s">
        <v>728</v>
      </c>
      <c r="E75" t="s">
        <v>1822</v>
      </c>
      <c r="F75" t="s">
        <v>112</v>
      </c>
      <c r="G75">
        <v>121949</v>
      </c>
    </row>
    <row r="76" spans="1:7" x14ac:dyDescent="0.25">
      <c r="A76" t="str">
        <f t="shared" si="1"/>
        <v>03 EE2 51</v>
      </c>
      <c r="B7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t="s">
        <v>1823</v>
      </c>
      <c r="D76" t="s">
        <v>1277</v>
      </c>
      <c r="E76" t="s">
        <v>1824</v>
      </c>
      <c r="F76" t="s">
        <v>112</v>
      </c>
      <c r="G76">
        <v>58574</v>
      </c>
    </row>
    <row r="77" spans="1:7" x14ac:dyDescent="0.25">
      <c r="A77" t="str">
        <f t="shared" si="1"/>
        <v>03 EE2 51</v>
      </c>
      <c r="B7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t="s">
        <v>1825</v>
      </c>
      <c r="D77" t="s">
        <v>1826</v>
      </c>
      <c r="E77" t="s">
        <v>1827</v>
      </c>
      <c r="F77" t="s">
        <v>112</v>
      </c>
      <c r="G77">
        <v>262890</v>
      </c>
    </row>
    <row r="78" spans="1:7" x14ac:dyDescent="0.25">
      <c r="A78" t="str">
        <f t="shared" si="1"/>
        <v>03 EE2 51</v>
      </c>
      <c r="B7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t="s">
        <v>1828</v>
      </c>
      <c r="D78" t="s">
        <v>1829</v>
      </c>
      <c r="E78" t="s">
        <v>1830</v>
      </c>
      <c r="F78" t="s">
        <v>112</v>
      </c>
      <c r="G78">
        <v>387564</v>
      </c>
    </row>
    <row r="79" spans="1:7" x14ac:dyDescent="0.25">
      <c r="A79" t="str">
        <f t="shared" si="1"/>
        <v>03 EE2 51</v>
      </c>
      <c r="B7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t="s">
        <v>1831</v>
      </c>
      <c r="D79" t="s">
        <v>1832</v>
      </c>
      <c r="E79" t="s">
        <v>1833</v>
      </c>
      <c r="F79" t="s">
        <v>112</v>
      </c>
      <c r="G79">
        <v>268167</v>
      </c>
    </row>
    <row r="80" spans="1:7" x14ac:dyDescent="0.25">
      <c r="A80" t="str">
        <f t="shared" si="1"/>
        <v>03 EE2 51</v>
      </c>
      <c r="B8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t="s">
        <v>1834</v>
      </c>
      <c r="D80" t="s">
        <v>1835</v>
      </c>
      <c r="E80" t="s">
        <v>1836</v>
      </c>
      <c r="F80" t="s">
        <v>112</v>
      </c>
      <c r="G80">
        <v>66123</v>
      </c>
    </row>
    <row r="81" spans="1:10" x14ac:dyDescent="0.25">
      <c r="A81" t="str">
        <f t="shared" si="1"/>
        <v>03 EE2 51</v>
      </c>
      <c r="B8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t="s">
        <v>1837</v>
      </c>
      <c r="D81" t="s">
        <v>1401</v>
      </c>
      <c r="E81" t="s">
        <v>1838</v>
      </c>
      <c r="F81" t="s">
        <v>112</v>
      </c>
      <c r="G81">
        <v>50787</v>
      </c>
    </row>
    <row r="82" spans="1:10" x14ac:dyDescent="0.25">
      <c r="A82" t="str">
        <f t="shared" si="1"/>
        <v>03 EE2 51</v>
      </c>
      <c r="B8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t="s">
        <v>1839</v>
      </c>
      <c r="D82" t="s">
        <v>1840</v>
      </c>
      <c r="E82" t="s">
        <v>1841</v>
      </c>
      <c r="F82" t="s">
        <v>112</v>
      </c>
      <c r="G82">
        <v>59936</v>
      </c>
    </row>
    <row r="83" spans="1:10" x14ac:dyDescent="0.25">
      <c r="A83" t="str">
        <f t="shared" si="1"/>
        <v>03 EE2 51</v>
      </c>
      <c r="B8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t="s">
        <v>1842</v>
      </c>
      <c r="D83" t="s">
        <v>1711</v>
      </c>
      <c r="E83" t="s">
        <v>1843</v>
      </c>
      <c r="F83" t="s">
        <v>112</v>
      </c>
      <c r="G83">
        <v>123593</v>
      </c>
    </row>
    <row r="84" spans="1:10" x14ac:dyDescent="0.25">
      <c r="A84" t="str">
        <f t="shared" si="1"/>
        <v>03 EE2 51</v>
      </c>
      <c r="B8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t="s">
        <v>1844</v>
      </c>
      <c r="D84" t="s">
        <v>1845</v>
      </c>
      <c r="E84" t="s">
        <v>1846</v>
      </c>
      <c r="F84" t="s">
        <v>112</v>
      </c>
      <c r="G84">
        <v>35603</v>
      </c>
    </row>
    <row r="85" spans="1:10" x14ac:dyDescent="0.25">
      <c r="A85" t="str">
        <f t="shared" si="1"/>
        <v>03 EE2 51</v>
      </c>
      <c r="B8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t="s">
        <v>1847</v>
      </c>
      <c r="D85" t="s">
        <v>1848</v>
      </c>
      <c r="E85" t="s">
        <v>1849</v>
      </c>
      <c r="F85" t="s">
        <v>112</v>
      </c>
      <c r="G85">
        <v>59872</v>
      </c>
    </row>
    <row r="86" spans="1:10" x14ac:dyDescent="0.25">
      <c r="A86" t="str">
        <f t="shared" si="1"/>
        <v>03 EE2 51</v>
      </c>
      <c r="B8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t="s">
        <v>1850</v>
      </c>
      <c r="D86" t="s">
        <v>1851</v>
      </c>
      <c r="E86" t="s">
        <v>1852</v>
      </c>
      <c r="F86" t="s">
        <v>112</v>
      </c>
      <c r="G86">
        <v>124631</v>
      </c>
    </row>
    <row r="87" spans="1:10" x14ac:dyDescent="0.25">
      <c r="A87" t="str">
        <f t="shared" si="1"/>
        <v>03 EE2 51</v>
      </c>
      <c r="B8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t="s">
        <v>1853</v>
      </c>
      <c r="D87" t="s">
        <v>267</v>
      </c>
      <c r="E87" t="s">
        <v>1854</v>
      </c>
      <c r="F87" t="s">
        <v>112</v>
      </c>
      <c r="G87">
        <v>120760</v>
      </c>
    </row>
    <row r="88" spans="1:10" x14ac:dyDescent="0.25">
      <c r="A88" t="str">
        <f t="shared" si="1"/>
        <v>03 EE2 51</v>
      </c>
      <c r="B8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t="s">
        <v>1855</v>
      </c>
      <c r="D88" t="s">
        <v>1856</v>
      </c>
      <c r="E88" t="s">
        <v>1857</v>
      </c>
      <c r="F88" t="s">
        <v>112</v>
      </c>
      <c r="G88">
        <v>175743</v>
      </c>
    </row>
    <row r="89" spans="1:10" x14ac:dyDescent="0.25">
      <c r="A89" t="str">
        <f t="shared" si="1"/>
        <v>03 EE2 51</v>
      </c>
      <c r="B8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t="s">
        <v>1858</v>
      </c>
    </row>
    <row r="90" spans="1:10" x14ac:dyDescent="0.25">
      <c r="A90" t="str">
        <f t="shared" si="1"/>
        <v>03 EE2 51</v>
      </c>
      <c r="B9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t="s">
        <v>1859</v>
      </c>
    </row>
    <row r="91" spans="1:10" x14ac:dyDescent="0.25">
      <c r="A91" t="str">
        <f t="shared" si="1"/>
        <v>03 EE2 51</v>
      </c>
      <c r="B9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t="s">
        <v>1860</v>
      </c>
    </row>
    <row r="92" spans="1:10" x14ac:dyDescent="0.25">
      <c r="A92" t="str">
        <f t="shared" si="1"/>
        <v/>
      </c>
      <c r="B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t="s">
        <v>112</v>
      </c>
    </row>
    <row r="93" spans="1:10" x14ac:dyDescent="0.25">
      <c r="A93" t="str">
        <f t="shared" si="1"/>
        <v/>
      </c>
      <c r="B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t="s">
        <v>234</v>
      </c>
      <c r="D93" t="s">
        <v>112</v>
      </c>
      <c r="E93" t="s">
        <v>235</v>
      </c>
      <c r="F93" t="s">
        <v>236</v>
      </c>
      <c r="G93" t="s">
        <v>237</v>
      </c>
      <c r="H93" t="s">
        <v>238</v>
      </c>
      <c r="I93" t="s">
        <v>239</v>
      </c>
      <c r="J93" t="s">
        <v>240</v>
      </c>
    </row>
    <row r="94" spans="1:10" x14ac:dyDescent="0.25">
      <c r="A94" t="str">
        <f t="shared" si="1"/>
        <v>03 EE2 51</v>
      </c>
      <c r="B9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t="s">
        <v>1861</v>
      </c>
      <c r="D94" t="s">
        <v>112</v>
      </c>
      <c r="E94" t="s">
        <v>1862</v>
      </c>
      <c r="F94" t="s">
        <v>1863</v>
      </c>
      <c r="G94" t="s">
        <v>1864</v>
      </c>
      <c r="H94" t="s">
        <v>1865</v>
      </c>
      <c r="I94">
        <v>24</v>
      </c>
      <c r="J94">
        <v>24</v>
      </c>
    </row>
    <row r="95" spans="1:10" x14ac:dyDescent="0.25">
      <c r="A95" t="str">
        <f t="shared" si="1"/>
        <v/>
      </c>
      <c r="B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t="s">
        <v>112</v>
      </c>
    </row>
    <row r="96" spans="1:10" x14ac:dyDescent="0.25">
      <c r="A96" t="str">
        <f t="shared" si="1"/>
        <v/>
      </c>
      <c r="B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t="s">
        <v>112</v>
      </c>
    </row>
    <row r="97" spans="1:7" x14ac:dyDescent="0.25">
      <c r="A97" t="str">
        <f t="shared" si="1"/>
        <v/>
      </c>
      <c r="B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t="s">
        <v>112</v>
      </c>
    </row>
    <row r="98" spans="1:7" x14ac:dyDescent="0.25">
      <c r="A98" t="str">
        <f t="shared" si="1"/>
        <v/>
      </c>
      <c r="B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t="s">
        <v>112</v>
      </c>
    </row>
    <row r="99" spans="1:7" x14ac:dyDescent="0.25">
      <c r="A99" t="str">
        <f t="shared" si="1"/>
        <v/>
      </c>
      <c r="B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t="s">
        <v>112</v>
      </c>
    </row>
    <row r="100" spans="1:7" x14ac:dyDescent="0.25">
      <c r="A100" t="str">
        <f t="shared" si="1"/>
        <v/>
      </c>
      <c r="B1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t="s">
        <v>246</v>
      </c>
      <c r="D100" t="s">
        <v>110</v>
      </c>
      <c r="E100" t="s">
        <v>111</v>
      </c>
      <c r="F100" t="s">
        <v>112</v>
      </c>
      <c r="G100" t="s">
        <v>113</v>
      </c>
    </row>
    <row r="101" spans="1:7" x14ac:dyDescent="0.25">
      <c r="A101" t="str">
        <f t="shared" si="1"/>
        <v>04 EE2 76</v>
      </c>
      <c r="B10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t="s">
        <v>1866</v>
      </c>
    </row>
    <row r="102" spans="1:7" x14ac:dyDescent="0.25">
      <c r="A102" t="str">
        <f t="shared" si="1"/>
        <v>04 EE2 76</v>
      </c>
      <c r="B10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t="s">
        <v>1867</v>
      </c>
      <c r="D102" t="s">
        <v>323</v>
      </c>
      <c r="E102" t="s">
        <v>1868</v>
      </c>
      <c r="F102" t="s">
        <v>112</v>
      </c>
      <c r="G102">
        <v>742662</v>
      </c>
    </row>
    <row r="103" spans="1:7" x14ac:dyDescent="0.25">
      <c r="A103" t="str">
        <f t="shared" si="1"/>
        <v>04 EE2 76</v>
      </c>
      <c r="B10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t="s">
        <v>1869</v>
      </c>
      <c r="D103" t="s">
        <v>1870</v>
      </c>
      <c r="E103" t="s">
        <v>1871</v>
      </c>
      <c r="F103" t="s">
        <v>112</v>
      </c>
      <c r="G103">
        <v>266783</v>
      </c>
    </row>
    <row r="104" spans="1:7" x14ac:dyDescent="0.25">
      <c r="A104" t="str">
        <f t="shared" si="1"/>
        <v>04 EE2 76</v>
      </c>
      <c r="B10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t="s">
        <v>1872</v>
      </c>
    </row>
    <row r="105" spans="1:7" x14ac:dyDescent="0.25">
      <c r="A105" t="str">
        <f t="shared" si="1"/>
        <v>04 EE2 76</v>
      </c>
      <c r="B10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t="s">
        <v>1873</v>
      </c>
      <c r="D105" t="s">
        <v>1874</v>
      </c>
      <c r="E105" t="s">
        <v>1875</v>
      </c>
      <c r="F105" t="s">
        <v>112</v>
      </c>
      <c r="G105">
        <v>715236</v>
      </c>
    </row>
    <row r="106" spans="1:7" x14ac:dyDescent="0.25">
      <c r="A106" t="str">
        <f t="shared" si="1"/>
        <v>04 EE2 76</v>
      </c>
      <c r="B10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t="s">
        <v>1876</v>
      </c>
      <c r="D106" t="s">
        <v>388</v>
      </c>
      <c r="E106" t="s">
        <v>1877</v>
      </c>
      <c r="F106" t="s">
        <v>112</v>
      </c>
      <c r="G106">
        <v>564129</v>
      </c>
    </row>
    <row r="107" spans="1:7" x14ac:dyDescent="0.25">
      <c r="A107" t="str">
        <f t="shared" si="1"/>
        <v>04 EE2 76</v>
      </c>
      <c r="B10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t="s">
        <v>1878</v>
      </c>
    </row>
    <row r="108" spans="1:7" x14ac:dyDescent="0.25">
      <c r="A108" t="str">
        <f t="shared" si="1"/>
        <v>04 EE2 76</v>
      </c>
      <c r="B10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t="s">
        <v>1879</v>
      </c>
      <c r="D108" t="s">
        <v>1880</v>
      </c>
      <c r="E108" t="s">
        <v>1881</v>
      </c>
      <c r="F108" t="s">
        <v>112</v>
      </c>
      <c r="G108">
        <v>213595</v>
      </c>
    </row>
    <row r="109" spans="1:7" x14ac:dyDescent="0.25">
      <c r="A109" t="str">
        <f t="shared" si="1"/>
        <v>04 EE2 76</v>
      </c>
      <c r="B10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t="s">
        <v>1882</v>
      </c>
      <c r="D109" t="s">
        <v>329</v>
      </c>
      <c r="E109" t="s">
        <v>1883</v>
      </c>
      <c r="F109" t="s">
        <v>112</v>
      </c>
      <c r="G109">
        <v>352156</v>
      </c>
    </row>
    <row r="110" spans="1:7" x14ac:dyDescent="0.25">
      <c r="A110" t="str">
        <f t="shared" si="1"/>
        <v>04 EE2 76</v>
      </c>
      <c r="B11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t="s">
        <v>1884</v>
      </c>
      <c r="D110" t="s">
        <v>1885</v>
      </c>
      <c r="E110" t="s">
        <v>1886</v>
      </c>
      <c r="F110" t="s">
        <v>112</v>
      </c>
      <c r="G110">
        <v>935255</v>
      </c>
    </row>
    <row r="111" spans="1:7" x14ac:dyDescent="0.25">
      <c r="A111" t="str">
        <f t="shared" si="1"/>
        <v>04 EE2 76</v>
      </c>
      <c r="B11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t="s">
        <v>1887</v>
      </c>
      <c r="D111" t="s">
        <v>1888</v>
      </c>
      <c r="E111" t="s">
        <v>1889</v>
      </c>
      <c r="F111" t="s">
        <v>112</v>
      </c>
      <c r="G111">
        <v>613402</v>
      </c>
    </row>
    <row r="112" spans="1:7" x14ac:dyDescent="0.25">
      <c r="A112" t="str">
        <f t="shared" si="1"/>
        <v>04 EE2 76</v>
      </c>
      <c r="B11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t="s">
        <v>1890</v>
      </c>
      <c r="D112" t="s">
        <v>326</v>
      </c>
      <c r="E112" t="s">
        <v>1891</v>
      </c>
      <c r="F112" t="s">
        <v>112</v>
      </c>
      <c r="G112">
        <v>607865</v>
      </c>
    </row>
    <row r="113" spans="1:10" x14ac:dyDescent="0.25">
      <c r="A113" t="str">
        <f t="shared" si="1"/>
        <v>04 EE2 76</v>
      </c>
      <c r="B11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t="s">
        <v>1892</v>
      </c>
      <c r="D113" t="s">
        <v>1893</v>
      </c>
      <c r="E113" t="s">
        <v>1894</v>
      </c>
      <c r="F113" t="s">
        <v>112</v>
      </c>
      <c r="G113">
        <v>1482405</v>
      </c>
    </row>
    <row r="114" spans="1:10" x14ac:dyDescent="0.25">
      <c r="A114" t="str">
        <f t="shared" si="1"/>
        <v>04 EE2 76</v>
      </c>
      <c r="B11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t="s">
        <v>1895</v>
      </c>
      <c r="D114" t="s">
        <v>1896</v>
      </c>
      <c r="E114" t="s">
        <v>1897</v>
      </c>
      <c r="F114" t="s">
        <v>112</v>
      </c>
      <c r="G114">
        <v>1599228</v>
      </c>
    </row>
    <row r="115" spans="1:10" x14ac:dyDescent="0.25">
      <c r="A115" t="str">
        <f t="shared" si="1"/>
        <v>04 EE2 76</v>
      </c>
      <c r="B11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t="s">
        <v>1898</v>
      </c>
      <c r="D115" t="s">
        <v>1899</v>
      </c>
      <c r="E115" t="s">
        <v>897</v>
      </c>
      <c r="F115" t="s">
        <v>112</v>
      </c>
      <c r="G115">
        <v>1390651</v>
      </c>
    </row>
    <row r="116" spans="1:10" x14ac:dyDescent="0.25">
      <c r="A116" t="str">
        <f t="shared" si="1"/>
        <v>04 EE2 76</v>
      </c>
      <c r="B11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t="s">
        <v>1900</v>
      </c>
      <c r="D116" t="s">
        <v>698</v>
      </c>
      <c r="E116" t="s">
        <v>1901</v>
      </c>
      <c r="F116" t="s">
        <v>112</v>
      </c>
      <c r="G116">
        <v>619934</v>
      </c>
    </row>
    <row r="117" spans="1:10" x14ac:dyDescent="0.25">
      <c r="A117" t="str">
        <f t="shared" si="1"/>
        <v>04 EE2 76</v>
      </c>
      <c r="B11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t="s">
        <v>1902</v>
      </c>
      <c r="D117" t="s">
        <v>1903</v>
      </c>
      <c r="E117" t="s">
        <v>1904</v>
      </c>
      <c r="F117" t="s">
        <v>112</v>
      </c>
      <c r="G117">
        <v>353368</v>
      </c>
    </row>
    <row r="118" spans="1:10" x14ac:dyDescent="0.25">
      <c r="A118" t="str">
        <f t="shared" si="1"/>
        <v>04 EE2 76</v>
      </c>
      <c r="B11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t="s">
        <v>1905</v>
      </c>
    </row>
    <row r="119" spans="1:10" x14ac:dyDescent="0.25">
      <c r="A119" t="str">
        <f t="shared" si="1"/>
        <v>04 EE2 76</v>
      </c>
      <c r="B11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t="s">
        <v>1906</v>
      </c>
      <c r="D119" t="s">
        <v>775</v>
      </c>
      <c r="E119" t="s">
        <v>1907</v>
      </c>
      <c r="F119" t="s">
        <v>112</v>
      </c>
      <c r="G119">
        <v>731891</v>
      </c>
    </row>
    <row r="120" spans="1:10" x14ac:dyDescent="0.25">
      <c r="A120" t="str">
        <f t="shared" si="1"/>
        <v>04 EE2 76</v>
      </c>
      <c r="B12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t="s">
        <v>1908</v>
      </c>
      <c r="D120" t="s">
        <v>748</v>
      </c>
      <c r="E120" t="s">
        <v>1909</v>
      </c>
      <c r="F120" t="s">
        <v>112</v>
      </c>
      <c r="G120">
        <v>999280</v>
      </c>
    </row>
    <row r="121" spans="1:10" x14ac:dyDescent="0.25">
      <c r="A121" t="str">
        <f t="shared" si="1"/>
        <v>04 EE2 76</v>
      </c>
      <c r="B12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t="s">
        <v>1910</v>
      </c>
      <c r="D121" t="s">
        <v>1911</v>
      </c>
      <c r="E121" t="s">
        <v>1912</v>
      </c>
      <c r="F121" t="s">
        <v>112</v>
      </c>
      <c r="G121">
        <v>488446</v>
      </c>
    </row>
    <row r="122" spans="1:10" x14ac:dyDescent="0.25">
      <c r="A122" t="str">
        <f t="shared" si="1"/>
        <v>04 EE2 76</v>
      </c>
      <c r="B12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t="s">
        <v>1913</v>
      </c>
      <c r="D122" t="s">
        <v>162</v>
      </c>
      <c r="E122" t="s">
        <v>1914</v>
      </c>
      <c r="F122" t="s">
        <v>112</v>
      </c>
      <c r="G122">
        <v>1423290</v>
      </c>
    </row>
    <row r="123" spans="1:10" x14ac:dyDescent="0.25">
      <c r="A123" t="str">
        <f t="shared" si="1"/>
        <v>04 EE2 76</v>
      </c>
      <c r="B12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t="s">
        <v>1915</v>
      </c>
      <c r="D123" t="s">
        <v>1916</v>
      </c>
      <c r="E123" t="s">
        <v>1917</v>
      </c>
      <c r="F123" t="s">
        <v>112</v>
      </c>
      <c r="G123">
        <v>1514655</v>
      </c>
    </row>
    <row r="124" spans="1:10" x14ac:dyDescent="0.25">
      <c r="A124" t="str">
        <f t="shared" si="1"/>
        <v>04 EE2 76</v>
      </c>
      <c r="B12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t="s">
        <v>1918</v>
      </c>
      <c r="D124" t="s">
        <v>1919</v>
      </c>
      <c r="E124" t="s">
        <v>1920</v>
      </c>
      <c r="F124" t="s">
        <v>112</v>
      </c>
      <c r="G124">
        <v>1000945</v>
      </c>
    </row>
    <row r="125" spans="1:10" x14ac:dyDescent="0.25">
      <c r="A125" t="str">
        <f t="shared" si="1"/>
        <v/>
      </c>
      <c r="B1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t="s">
        <v>112</v>
      </c>
    </row>
    <row r="126" spans="1:10" x14ac:dyDescent="0.25">
      <c r="A126" t="str">
        <f t="shared" si="1"/>
        <v/>
      </c>
      <c r="B1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t="s">
        <v>234</v>
      </c>
      <c r="D126" t="s">
        <v>112</v>
      </c>
      <c r="E126" t="s">
        <v>235</v>
      </c>
      <c r="F126" t="s">
        <v>236</v>
      </c>
      <c r="G126" t="s">
        <v>237</v>
      </c>
      <c r="H126" t="s">
        <v>238</v>
      </c>
      <c r="I126" t="s">
        <v>239</v>
      </c>
      <c r="J126" t="s">
        <v>240</v>
      </c>
    </row>
    <row r="127" spans="1:10" x14ac:dyDescent="0.25">
      <c r="A127" t="str">
        <f t="shared" si="1"/>
        <v>04 EE2 76</v>
      </c>
      <c r="B12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t="s">
        <v>1921</v>
      </c>
      <c r="D127" t="s">
        <v>112</v>
      </c>
      <c r="E127" t="s">
        <v>1922</v>
      </c>
      <c r="F127" t="s">
        <v>1923</v>
      </c>
      <c r="G127" t="s">
        <v>1924</v>
      </c>
      <c r="H127" t="s">
        <v>1925</v>
      </c>
      <c r="I127">
        <v>24</v>
      </c>
      <c r="J127">
        <v>24</v>
      </c>
    </row>
    <row r="128" spans="1:10" x14ac:dyDescent="0.25">
      <c r="A128" t="str">
        <f t="shared" si="1"/>
        <v/>
      </c>
      <c r="B1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t="s">
        <v>112</v>
      </c>
    </row>
    <row r="129" spans="1:7" x14ac:dyDescent="0.25">
      <c r="A129" t="str">
        <f t="shared" si="1"/>
        <v/>
      </c>
      <c r="B1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t="s">
        <v>112</v>
      </c>
    </row>
    <row r="130" spans="1:7" x14ac:dyDescent="0.25">
      <c r="A130" t="str">
        <f t="shared" ref="A130:A193" si="2">IFERROR(LEFT(RIGHT(C130,LEN(C130)-SEARCH("@",C130)),SEARCH("/",RIGHT(C130,LEN(C130)-SEARCH("@",C130)-1))),"")</f>
        <v/>
      </c>
      <c r="B1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t="s">
        <v>112</v>
      </c>
    </row>
    <row r="131" spans="1:7" x14ac:dyDescent="0.25">
      <c r="A131" t="str">
        <f t="shared" si="2"/>
        <v/>
      </c>
      <c r="B1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t="s">
        <v>112</v>
      </c>
    </row>
    <row r="132" spans="1:7" x14ac:dyDescent="0.25">
      <c r="A132" t="str">
        <f t="shared" si="2"/>
        <v/>
      </c>
      <c r="B1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t="s">
        <v>112</v>
      </c>
    </row>
    <row r="133" spans="1:7" x14ac:dyDescent="0.25">
      <c r="A133" t="str">
        <f t="shared" si="2"/>
        <v/>
      </c>
      <c r="B1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t="s">
        <v>246</v>
      </c>
      <c r="D133" t="s">
        <v>110</v>
      </c>
      <c r="E133" t="s">
        <v>111</v>
      </c>
      <c r="F133" t="s">
        <v>112</v>
      </c>
      <c r="G133" t="s">
        <v>113</v>
      </c>
    </row>
    <row r="134" spans="1:7" x14ac:dyDescent="0.25">
      <c r="A134" t="str">
        <f t="shared" si="2"/>
        <v>05 EE2 114</v>
      </c>
      <c r="B13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t="s">
        <v>1926</v>
      </c>
      <c r="D134" t="s">
        <v>1267</v>
      </c>
      <c r="E134" t="s">
        <v>1927</v>
      </c>
      <c r="F134" t="s">
        <v>112</v>
      </c>
      <c r="G134">
        <v>348306</v>
      </c>
    </row>
    <row r="135" spans="1:7" x14ac:dyDescent="0.25">
      <c r="A135" t="str">
        <f t="shared" si="2"/>
        <v>05 EE2 114</v>
      </c>
      <c r="B13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t="s">
        <v>1928</v>
      </c>
      <c r="D135" t="s">
        <v>1765</v>
      </c>
      <c r="E135" t="s">
        <v>1929</v>
      </c>
      <c r="F135" t="s">
        <v>112</v>
      </c>
      <c r="G135">
        <v>80377</v>
      </c>
    </row>
    <row r="136" spans="1:7" x14ac:dyDescent="0.25">
      <c r="A136" t="str">
        <f t="shared" si="2"/>
        <v>05 EE2 114</v>
      </c>
      <c r="B13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t="s">
        <v>1930</v>
      </c>
      <c r="D136" t="s">
        <v>1931</v>
      </c>
      <c r="E136" t="s">
        <v>1932</v>
      </c>
      <c r="F136" t="s">
        <v>112</v>
      </c>
      <c r="G136">
        <v>117515</v>
      </c>
    </row>
    <row r="137" spans="1:7" x14ac:dyDescent="0.25">
      <c r="A137" t="str">
        <f t="shared" si="2"/>
        <v>05 EE2 114</v>
      </c>
      <c r="B13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t="s">
        <v>1933</v>
      </c>
    </row>
    <row r="138" spans="1:7" x14ac:dyDescent="0.25">
      <c r="A138" t="str">
        <f t="shared" si="2"/>
        <v>05 EE2 114</v>
      </c>
      <c r="B13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t="s">
        <v>1934</v>
      </c>
      <c r="D138" t="s">
        <v>1935</v>
      </c>
      <c r="E138" t="s">
        <v>1936</v>
      </c>
      <c r="F138" t="s">
        <v>112</v>
      </c>
      <c r="G138">
        <v>1299438</v>
      </c>
    </row>
    <row r="139" spans="1:7" x14ac:dyDescent="0.25">
      <c r="A139" t="str">
        <f t="shared" si="2"/>
        <v>05 EE2 114</v>
      </c>
      <c r="B13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t="s">
        <v>1937</v>
      </c>
      <c r="D139" t="s">
        <v>1938</v>
      </c>
      <c r="E139" t="s">
        <v>1939</v>
      </c>
      <c r="F139" t="s">
        <v>112</v>
      </c>
      <c r="G139">
        <v>1429368</v>
      </c>
    </row>
    <row r="140" spans="1:7" x14ac:dyDescent="0.25">
      <c r="A140" t="str">
        <f t="shared" si="2"/>
        <v>05 EE2 114</v>
      </c>
      <c r="B14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t="s">
        <v>1940</v>
      </c>
      <c r="D140" t="s">
        <v>1941</v>
      </c>
      <c r="E140" t="s">
        <v>1942</v>
      </c>
      <c r="F140" t="s">
        <v>112</v>
      </c>
      <c r="G140">
        <v>4058482</v>
      </c>
    </row>
    <row r="141" spans="1:7" x14ac:dyDescent="0.25">
      <c r="A141" t="str">
        <f t="shared" si="2"/>
        <v>05 EE2 114</v>
      </c>
      <c r="B14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t="s">
        <v>1943</v>
      </c>
      <c r="D141" t="s">
        <v>1944</v>
      </c>
      <c r="E141" t="s">
        <v>1945</v>
      </c>
      <c r="F141" t="s">
        <v>112</v>
      </c>
      <c r="G141">
        <v>3520871</v>
      </c>
    </row>
    <row r="142" spans="1:7" x14ac:dyDescent="0.25">
      <c r="A142" t="str">
        <f t="shared" si="2"/>
        <v>05 EE2 114</v>
      </c>
      <c r="B14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t="s">
        <v>1946</v>
      </c>
      <c r="D142" t="s">
        <v>1947</v>
      </c>
      <c r="E142" t="s">
        <v>1948</v>
      </c>
      <c r="F142" t="s">
        <v>112</v>
      </c>
      <c r="G142">
        <v>3579315</v>
      </c>
    </row>
    <row r="143" spans="1:7" x14ac:dyDescent="0.25">
      <c r="A143" t="str">
        <f t="shared" si="2"/>
        <v>05 EE2 114</v>
      </c>
      <c r="B14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t="s">
        <v>1949</v>
      </c>
      <c r="D143" t="s">
        <v>402</v>
      </c>
      <c r="E143" t="s">
        <v>1950</v>
      </c>
      <c r="F143" t="s">
        <v>112</v>
      </c>
      <c r="G143">
        <v>816875</v>
      </c>
    </row>
    <row r="144" spans="1:7" x14ac:dyDescent="0.25">
      <c r="A144" t="str">
        <f t="shared" si="2"/>
        <v>05 EE2 114</v>
      </c>
      <c r="B1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t="s">
        <v>1951</v>
      </c>
    </row>
    <row r="145" spans="1:10" x14ac:dyDescent="0.25">
      <c r="A145" t="str">
        <f t="shared" si="2"/>
        <v>05 EE2 114</v>
      </c>
      <c r="B14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t="s">
        <v>1952</v>
      </c>
    </row>
    <row r="146" spans="1:10" x14ac:dyDescent="0.25">
      <c r="A146" t="str">
        <f t="shared" si="2"/>
        <v>05 EE2 114</v>
      </c>
      <c r="B14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t="s">
        <v>1953</v>
      </c>
      <c r="D146" t="s">
        <v>1954</v>
      </c>
      <c r="E146" t="s">
        <v>1955</v>
      </c>
      <c r="F146" t="s">
        <v>112</v>
      </c>
      <c r="G146">
        <v>890178</v>
      </c>
    </row>
    <row r="147" spans="1:10" x14ac:dyDescent="0.25">
      <c r="A147" t="str">
        <f t="shared" si="2"/>
        <v>05 EE2 114</v>
      </c>
      <c r="B14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t="s">
        <v>1956</v>
      </c>
    </row>
    <row r="148" spans="1:10" x14ac:dyDescent="0.25">
      <c r="A148" t="str">
        <f t="shared" si="2"/>
        <v>05 EE2 114</v>
      </c>
      <c r="B14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t="s">
        <v>1957</v>
      </c>
      <c r="D148" t="s">
        <v>839</v>
      </c>
      <c r="E148" t="s">
        <v>1958</v>
      </c>
      <c r="F148" t="s">
        <v>112</v>
      </c>
      <c r="G148">
        <v>750190</v>
      </c>
    </row>
    <row r="149" spans="1:10" x14ac:dyDescent="0.25">
      <c r="A149" t="str">
        <f t="shared" si="2"/>
        <v>05 EE2 114</v>
      </c>
      <c r="B14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t="s">
        <v>1959</v>
      </c>
    </row>
    <row r="150" spans="1:10" x14ac:dyDescent="0.25">
      <c r="A150" t="str">
        <f t="shared" si="2"/>
        <v>05 EE2 114</v>
      </c>
      <c r="B15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t="s">
        <v>1960</v>
      </c>
      <c r="D150" t="s">
        <v>1961</v>
      </c>
      <c r="E150" t="s">
        <v>1962</v>
      </c>
      <c r="F150" t="s">
        <v>112</v>
      </c>
      <c r="G150">
        <v>3564650</v>
      </c>
    </row>
    <row r="151" spans="1:10" x14ac:dyDescent="0.25">
      <c r="A151" t="str">
        <f t="shared" si="2"/>
        <v>05 EE2 114</v>
      </c>
      <c r="B15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t="s">
        <v>1963</v>
      </c>
      <c r="D151" t="s">
        <v>1964</v>
      </c>
      <c r="E151" t="s">
        <v>1965</v>
      </c>
      <c r="F151" t="s">
        <v>112</v>
      </c>
      <c r="G151">
        <v>2035200</v>
      </c>
    </row>
    <row r="152" spans="1:10" x14ac:dyDescent="0.25">
      <c r="A152" t="str">
        <f t="shared" si="2"/>
        <v>05 EE2 114</v>
      </c>
      <c r="B15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t="s">
        <v>1966</v>
      </c>
    </row>
    <row r="153" spans="1:10" x14ac:dyDescent="0.25">
      <c r="A153" t="str">
        <f t="shared" si="2"/>
        <v>05 EE2 114</v>
      </c>
      <c r="B15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t="s">
        <v>1967</v>
      </c>
      <c r="D153" t="s">
        <v>1968</v>
      </c>
      <c r="E153" t="s">
        <v>1969</v>
      </c>
      <c r="F153" t="s">
        <v>112</v>
      </c>
      <c r="G153">
        <v>1451625</v>
      </c>
    </row>
    <row r="154" spans="1:10" x14ac:dyDescent="0.25">
      <c r="A154" t="str">
        <f t="shared" si="2"/>
        <v>05 EE2 114</v>
      </c>
      <c r="B15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t="s">
        <v>1970</v>
      </c>
      <c r="D154" t="s">
        <v>1971</v>
      </c>
      <c r="E154" t="s">
        <v>1972</v>
      </c>
      <c r="F154" t="s">
        <v>112</v>
      </c>
      <c r="G154">
        <v>1371963</v>
      </c>
    </row>
    <row r="155" spans="1:10" x14ac:dyDescent="0.25">
      <c r="A155" t="str">
        <f t="shared" si="2"/>
        <v>05 EE2 114</v>
      </c>
      <c r="B15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t="s">
        <v>1973</v>
      </c>
      <c r="D155" t="s">
        <v>1974</v>
      </c>
      <c r="E155" t="s">
        <v>1975</v>
      </c>
      <c r="F155" t="s">
        <v>112</v>
      </c>
      <c r="G155">
        <v>3210612</v>
      </c>
    </row>
    <row r="156" spans="1:10" x14ac:dyDescent="0.25">
      <c r="A156" t="str">
        <f t="shared" si="2"/>
        <v>05 EE2 114</v>
      </c>
      <c r="B15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t="s">
        <v>1976</v>
      </c>
      <c r="D156" t="s">
        <v>1977</v>
      </c>
      <c r="E156" t="s">
        <v>1978</v>
      </c>
      <c r="F156" t="s">
        <v>112</v>
      </c>
      <c r="G156">
        <v>3385425</v>
      </c>
    </row>
    <row r="157" spans="1:10" x14ac:dyDescent="0.25">
      <c r="A157" t="str">
        <f t="shared" si="2"/>
        <v>05 EE2 114</v>
      </c>
      <c r="B15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t="s">
        <v>1979</v>
      </c>
      <c r="D157" t="s">
        <v>1980</v>
      </c>
      <c r="E157" t="s">
        <v>1981</v>
      </c>
      <c r="F157" t="s">
        <v>112</v>
      </c>
      <c r="G157">
        <v>3505600</v>
      </c>
    </row>
    <row r="158" spans="1:10" x14ac:dyDescent="0.25">
      <c r="A158" t="str">
        <f t="shared" si="2"/>
        <v/>
      </c>
      <c r="B1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t="s">
        <v>112</v>
      </c>
    </row>
    <row r="159" spans="1:10" x14ac:dyDescent="0.25">
      <c r="A159" t="str">
        <f t="shared" si="2"/>
        <v/>
      </c>
      <c r="B1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t="s">
        <v>234</v>
      </c>
      <c r="D159" t="s">
        <v>112</v>
      </c>
      <c r="E159" t="s">
        <v>235</v>
      </c>
      <c r="F159" t="s">
        <v>236</v>
      </c>
      <c r="G159" t="s">
        <v>237</v>
      </c>
      <c r="H159" t="s">
        <v>238</v>
      </c>
      <c r="I159" t="s">
        <v>239</v>
      </c>
      <c r="J159" t="s">
        <v>240</v>
      </c>
    </row>
    <row r="160" spans="1:10" x14ac:dyDescent="0.25">
      <c r="A160" t="str">
        <f t="shared" si="2"/>
        <v>05 EE2 114</v>
      </c>
      <c r="B16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t="s">
        <v>1982</v>
      </c>
      <c r="D160" t="s">
        <v>112</v>
      </c>
      <c r="E160" t="s">
        <v>1983</v>
      </c>
      <c r="F160" t="s">
        <v>1984</v>
      </c>
      <c r="G160" t="s">
        <v>1985</v>
      </c>
      <c r="H160" t="s">
        <v>1986</v>
      </c>
      <c r="I160">
        <v>24</v>
      </c>
      <c r="J160">
        <v>24</v>
      </c>
    </row>
    <row r="161" spans="1:7" x14ac:dyDescent="0.25">
      <c r="A161" t="str">
        <f t="shared" si="2"/>
        <v/>
      </c>
      <c r="B1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t="s">
        <v>112</v>
      </c>
    </row>
    <row r="162" spans="1:7" x14ac:dyDescent="0.25">
      <c r="A162" t="str">
        <f t="shared" si="2"/>
        <v/>
      </c>
      <c r="B1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t="s">
        <v>112</v>
      </c>
    </row>
    <row r="163" spans="1:7" x14ac:dyDescent="0.25">
      <c r="A163" t="str">
        <f t="shared" si="2"/>
        <v/>
      </c>
      <c r="B1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t="s">
        <v>112</v>
      </c>
    </row>
    <row r="164" spans="1:7" x14ac:dyDescent="0.25">
      <c r="A164" t="str">
        <f t="shared" si="2"/>
        <v/>
      </c>
      <c r="B1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t="s">
        <v>112</v>
      </c>
    </row>
    <row r="165" spans="1:7" x14ac:dyDescent="0.25">
      <c r="A165" t="str">
        <f t="shared" si="2"/>
        <v/>
      </c>
      <c r="B1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t="s">
        <v>112</v>
      </c>
    </row>
    <row r="166" spans="1:7" x14ac:dyDescent="0.25">
      <c r="A166" t="str">
        <f t="shared" si="2"/>
        <v/>
      </c>
      <c r="B1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t="s">
        <v>246</v>
      </c>
      <c r="D166" t="s">
        <v>110</v>
      </c>
      <c r="E166" t="s">
        <v>111</v>
      </c>
      <c r="F166" t="s">
        <v>112</v>
      </c>
      <c r="G166" t="s">
        <v>113</v>
      </c>
    </row>
    <row r="167" spans="1:7" x14ac:dyDescent="0.25">
      <c r="A167" t="str">
        <f t="shared" si="2"/>
        <v>06 EE2 171</v>
      </c>
      <c r="B16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t="s">
        <v>1987</v>
      </c>
      <c r="D167" t="s">
        <v>1988</v>
      </c>
      <c r="E167" t="s">
        <v>1989</v>
      </c>
      <c r="F167" t="s">
        <v>112</v>
      </c>
      <c r="G167">
        <v>3211023</v>
      </c>
    </row>
    <row r="168" spans="1:7" x14ac:dyDescent="0.25">
      <c r="A168" t="str">
        <f t="shared" si="2"/>
        <v>06 EE2 171</v>
      </c>
      <c r="B16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t="s">
        <v>1990</v>
      </c>
      <c r="D168" t="s">
        <v>1991</v>
      </c>
      <c r="E168" t="s">
        <v>1992</v>
      </c>
      <c r="F168" t="s">
        <v>112</v>
      </c>
      <c r="G168">
        <v>3615264</v>
      </c>
    </row>
    <row r="169" spans="1:7" x14ac:dyDescent="0.25">
      <c r="A169" t="str">
        <f t="shared" si="2"/>
        <v>06 EE2 171</v>
      </c>
      <c r="B16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t="s">
        <v>1993</v>
      </c>
      <c r="D169" t="s">
        <v>1994</v>
      </c>
      <c r="E169" t="s">
        <v>1995</v>
      </c>
      <c r="F169" t="s">
        <v>112</v>
      </c>
      <c r="G169">
        <v>3529609</v>
      </c>
    </row>
    <row r="170" spans="1:7" x14ac:dyDescent="0.25">
      <c r="A170" t="str">
        <f t="shared" si="2"/>
        <v>06 EE2 171</v>
      </c>
      <c r="B17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t="s">
        <v>1996</v>
      </c>
    </row>
    <row r="171" spans="1:7" x14ac:dyDescent="0.25">
      <c r="A171" t="str">
        <f t="shared" si="2"/>
        <v>06 EE2 171</v>
      </c>
      <c r="B17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t="s">
        <v>1997</v>
      </c>
    </row>
    <row r="172" spans="1:7" x14ac:dyDescent="0.25">
      <c r="A172" t="str">
        <f t="shared" si="2"/>
        <v>06 EE2 171</v>
      </c>
      <c r="B17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t="s">
        <v>1998</v>
      </c>
    </row>
    <row r="173" spans="1:7" x14ac:dyDescent="0.25">
      <c r="A173" t="str">
        <f t="shared" si="2"/>
        <v>06 EE2 171</v>
      </c>
      <c r="B17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t="s">
        <v>1999</v>
      </c>
      <c r="D173" t="s">
        <v>2000</v>
      </c>
      <c r="E173" t="s">
        <v>2001</v>
      </c>
      <c r="F173" t="s">
        <v>112</v>
      </c>
      <c r="G173">
        <v>3520352</v>
      </c>
    </row>
    <row r="174" spans="1:7" x14ac:dyDescent="0.25">
      <c r="A174" t="str">
        <f t="shared" si="2"/>
        <v>06 EE2 171</v>
      </c>
      <c r="B17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t="s">
        <v>2002</v>
      </c>
      <c r="D174" t="s">
        <v>2003</v>
      </c>
      <c r="E174" t="s">
        <v>2004</v>
      </c>
      <c r="F174" t="s">
        <v>112</v>
      </c>
      <c r="G174">
        <v>3646541</v>
      </c>
    </row>
    <row r="175" spans="1:7" x14ac:dyDescent="0.25">
      <c r="A175" t="str">
        <f t="shared" si="2"/>
        <v>06 EE2 171</v>
      </c>
      <c r="B17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t="s">
        <v>2005</v>
      </c>
      <c r="D175" t="s">
        <v>2006</v>
      </c>
      <c r="E175" t="s">
        <v>2007</v>
      </c>
      <c r="F175" t="s">
        <v>112</v>
      </c>
      <c r="G175">
        <v>2882010</v>
      </c>
    </row>
    <row r="176" spans="1:7" x14ac:dyDescent="0.25">
      <c r="A176" t="str">
        <f t="shared" si="2"/>
        <v>06 EE2 171</v>
      </c>
      <c r="B17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t="s">
        <v>2008</v>
      </c>
      <c r="D176" t="s">
        <v>2009</v>
      </c>
      <c r="E176" t="s">
        <v>2010</v>
      </c>
      <c r="F176" t="s">
        <v>112</v>
      </c>
      <c r="G176">
        <v>3780689</v>
      </c>
    </row>
    <row r="177" spans="1:10" x14ac:dyDescent="0.25">
      <c r="A177" t="str">
        <f t="shared" si="2"/>
        <v>06 EE2 171</v>
      </c>
      <c r="B17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t="s">
        <v>2011</v>
      </c>
      <c r="D177" t="s">
        <v>2012</v>
      </c>
      <c r="E177" t="s">
        <v>2013</v>
      </c>
      <c r="F177" t="s">
        <v>112</v>
      </c>
      <c r="G177">
        <v>3658026</v>
      </c>
    </row>
    <row r="178" spans="1:10" x14ac:dyDescent="0.25">
      <c r="A178" t="str">
        <f t="shared" si="2"/>
        <v>06 EE2 171</v>
      </c>
      <c r="B17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t="s">
        <v>2014</v>
      </c>
      <c r="D178" t="s">
        <v>2015</v>
      </c>
      <c r="E178" t="s">
        <v>2016</v>
      </c>
      <c r="F178" t="s">
        <v>112</v>
      </c>
      <c r="G178">
        <v>3745324</v>
      </c>
    </row>
    <row r="179" spans="1:10" x14ac:dyDescent="0.25">
      <c r="A179" t="str">
        <f t="shared" si="2"/>
        <v>06 EE2 171</v>
      </c>
      <c r="B17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t="s">
        <v>2017</v>
      </c>
      <c r="D179" t="s">
        <v>2018</v>
      </c>
      <c r="E179" t="s">
        <v>2019</v>
      </c>
      <c r="F179" t="s">
        <v>112</v>
      </c>
      <c r="G179">
        <v>4494627</v>
      </c>
    </row>
    <row r="180" spans="1:10" x14ac:dyDescent="0.25">
      <c r="A180" t="str">
        <f t="shared" si="2"/>
        <v>06 EE2 171</v>
      </c>
      <c r="B18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t="s">
        <v>2020</v>
      </c>
      <c r="D180" t="s">
        <v>2021</v>
      </c>
      <c r="E180" t="s">
        <v>2022</v>
      </c>
      <c r="F180" t="s">
        <v>112</v>
      </c>
      <c r="G180">
        <v>4611796</v>
      </c>
    </row>
    <row r="181" spans="1:10" x14ac:dyDescent="0.25">
      <c r="A181" t="str">
        <f t="shared" si="2"/>
        <v>06 EE2 171</v>
      </c>
      <c r="B18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t="s">
        <v>2023</v>
      </c>
      <c r="D181" t="s">
        <v>2024</v>
      </c>
      <c r="E181" t="s">
        <v>2025</v>
      </c>
      <c r="F181" t="s">
        <v>112</v>
      </c>
      <c r="G181">
        <v>4496033</v>
      </c>
    </row>
    <row r="182" spans="1:10" x14ac:dyDescent="0.25">
      <c r="A182" t="str">
        <f t="shared" si="2"/>
        <v>06 EE2 171</v>
      </c>
      <c r="B18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t="s">
        <v>2026</v>
      </c>
      <c r="D182" t="s">
        <v>2027</v>
      </c>
      <c r="E182" t="s">
        <v>2028</v>
      </c>
      <c r="F182" t="s">
        <v>112</v>
      </c>
      <c r="G182">
        <v>3464287</v>
      </c>
    </row>
    <row r="183" spans="1:10" x14ac:dyDescent="0.25">
      <c r="A183" t="str">
        <f t="shared" si="2"/>
        <v>06 EE2 171</v>
      </c>
      <c r="B18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t="s">
        <v>2029</v>
      </c>
      <c r="D183" t="s">
        <v>911</v>
      </c>
      <c r="E183" t="s">
        <v>2030</v>
      </c>
      <c r="F183" t="s">
        <v>112</v>
      </c>
      <c r="G183">
        <v>3128613</v>
      </c>
    </row>
    <row r="184" spans="1:10" x14ac:dyDescent="0.25">
      <c r="A184" t="str">
        <f t="shared" si="2"/>
        <v>06 EE2 171</v>
      </c>
      <c r="B18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t="s">
        <v>2031</v>
      </c>
    </row>
    <row r="185" spans="1:10" x14ac:dyDescent="0.25">
      <c r="A185" t="str">
        <f t="shared" si="2"/>
        <v>06 EE2 171</v>
      </c>
      <c r="B18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t="s">
        <v>2032</v>
      </c>
      <c r="D185" t="s">
        <v>2033</v>
      </c>
      <c r="E185" t="s">
        <v>2034</v>
      </c>
      <c r="F185" t="s">
        <v>112</v>
      </c>
      <c r="G185">
        <v>4265826</v>
      </c>
    </row>
    <row r="186" spans="1:10" x14ac:dyDescent="0.25">
      <c r="A186" t="str">
        <f t="shared" si="2"/>
        <v>06 EE2 171</v>
      </c>
      <c r="B18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t="s">
        <v>2035</v>
      </c>
      <c r="D186" t="s">
        <v>2036</v>
      </c>
      <c r="E186" t="s">
        <v>2037</v>
      </c>
      <c r="F186" t="s">
        <v>112</v>
      </c>
      <c r="G186">
        <v>4167497</v>
      </c>
    </row>
    <row r="187" spans="1:10" x14ac:dyDescent="0.25">
      <c r="A187" t="str">
        <f t="shared" si="2"/>
        <v>06 EE2 171</v>
      </c>
      <c r="B18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t="s">
        <v>2038</v>
      </c>
      <c r="D187" t="s">
        <v>2039</v>
      </c>
      <c r="E187" t="s">
        <v>2040</v>
      </c>
      <c r="F187" t="s">
        <v>112</v>
      </c>
      <c r="G187">
        <v>3722375</v>
      </c>
    </row>
    <row r="188" spans="1:10" x14ac:dyDescent="0.25">
      <c r="A188" t="str">
        <f t="shared" si="2"/>
        <v>06 EE2 171</v>
      </c>
      <c r="B18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t="s">
        <v>2041</v>
      </c>
      <c r="D188" t="s">
        <v>2042</v>
      </c>
      <c r="E188" t="s">
        <v>2043</v>
      </c>
      <c r="F188" t="s">
        <v>112</v>
      </c>
      <c r="G188">
        <v>4077365</v>
      </c>
    </row>
    <row r="189" spans="1:10" x14ac:dyDescent="0.25">
      <c r="A189" t="str">
        <f t="shared" si="2"/>
        <v>06 EE2 171</v>
      </c>
      <c r="B18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t="s">
        <v>2044</v>
      </c>
      <c r="D189" t="s">
        <v>2045</v>
      </c>
      <c r="E189" t="s">
        <v>2046</v>
      </c>
      <c r="F189" t="s">
        <v>112</v>
      </c>
      <c r="G189">
        <v>3850446</v>
      </c>
    </row>
    <row r="190" spans="1:10" x14ac:dyDescent="0.25">
      <c r="A190" t="str">
        <f t="shared" si="2"/>
        <v>06 EE2 171</v>
      </c>
      <c r="B19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t="s">
        <v>2047</v>
      </c>
      <c r="D190" t="s">
        <v>2048</v>
      </c>
      <c r="E190" t="s">
        <v>2049</v>
      </c>
      <c r="F190" t="s">
        <v>112</v>
      </c>
      <c r="G190">
        <v>3617578</v>
      </c>
    </row>
    <row r="191" spans="1:10" x14ac:dyDescent="0.25">
      <c r="A191" t="str">
        <f t="shared" si="2"/>
        <v/>
      </c>
      <c r="B1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t="s">
        <v>112</v>
      </c>
    </row>
    <row r="192" spans="1:10" x14ac:dyDescent="0.25">
      <c r="A192" t="str">
        <f t="shared" si="2"/>
        <v/>
      </c>
      <c r="B1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t="s">
        <v>234</v>
      </c>
      <c r="D192" t="s">
        <v>112</v>
      </c>
      <c r="E192" t="s">
        <v>235</v>
      </c>
      <c r="F192" t="s">
        <v>236</v>
      </c>
      <c r="G192" t="s">
        <v>237</v>
      </c>
      <c r="H192" t="s">
        <v>238</v>
      </c>
      <c r="I192" t="s">
        <v>239</v>
      </c>
      <c r="J192" t="s">
        <v>240</v>
      </c>
    </row>
    <row r="193" spans="1:10" x14ac:dyDescent="0.25">
      <c r="A193" t="str">
        <f t="shared" si="2"/>
        <v>06 EE2 171</v>
      </c>
      <c r="B19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t="s">
        <v>2050</v>
      </c>
      <c r="D193" t="s">
        <v>112</v>
      </c>
      <c r="E193" t="s">
        <v>2051</v>
      </c>
      <c r="F193" t="s">
        <v>2052</v>
      </c>
      <c r="G193" t="s">
        <v>2053</v>
      </c>
      <c r="H193" t="s">
        <v>2054</v>
      </c>
      <c r="I193">
        <v>24</v>
      </c>
      <c r="J193">
        <v>24</v>
      </c>
    </row>
    <row r="194" spans="1:10" x14ac:dyDescent="0.25">
      <c r="A194" t="str">
        <f t="shared" ref="A194:A257" si="3">IFERROR(LEFT(RIGHT(C194,LEN(C194)-SEARCH("@",C194)),SEARCH("/",RIGHT(C194,LEN(C194)-SEARCH("@",C194)-1))),"")</f>
        <v/>
      </c>
      <c r="B1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t="s">
        <v>112</v>
      </c>
    </row>
    <row r="195" spans="1:10" x14ac:dyDescent="0.25">
      <c r="A195" t="str">
        <f t="shared" si="3"/>
        <v/>
      </c>
      <c r="B1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t="s">
        <v>112</v>
      </c>
    </row>
    <row r="196" spans="1:10" x14ac:dyDescent="0.25">
      <c r="A196" t="str">
        <f t="shared" si="3"/>
        <v/>
      </c>
      <c r="B1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t="s">
        <v>112</v>
      </c>
    </row>
    <row r="197" spans="1:10" x14ac:dyDescent="0.25">
      <c r="A197" t="str">
        <f t="shared" si="3"/>
        <v/>
      </c>
      <c r="B1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t="s">
        <v>112</v>
      </c>
    </row>
    <row r="198" spans="1:10" x14ac:dyDescent="0.25">
      <c r="A198" t="str">
        <f t="shared" si="3"/>
        <v/>
      </c>
      <c r="B1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t="s">
        <v>112</v>
      </c>
    </row>
    <row r="199" spans="1:10" x14ac:dyDescent="0.25">
      <c r="A199" t="str">
        <f t="shared" si="3"/>
        <v/>
      </c>
      <c r="B1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t="s">
        <v>246</v>
      </c>
      <c r="D199" t="s">
        <v>110</v>
      </c>
      <c r="E199" t="s">
        <v>111</v>
      </c>
      <c r="F199" t="s">
        <v>112</v>
      </c>
      <c r="G199" t="s">
        <v>113</v>
      </c>
    </row>
    <row r="200" spans="1:10" x14ac:dyDescent="0.25">
      <c r="A200" t="str">
        <f t="shared" si="3"/>
        <v>07 EE2 488</v>
      </c>
      <c r="B20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t="s">
        <v>2055</v>
      </c>
      <c r="D200" t="s">
        <v>2056</v>
      </c>
      <c r="E200" t="s">
        <v>2057</v>
      </c>
      <c r="F200" t="s">
        <v>112</v>
      </c>
      <c r="G200">
        <v>6775954</v>
      </c>
    </row>
    <row r="201" spans="1:10" x14ac:dyDescent="0.25">
      <c r="A201" t="str">
        <f t="shared" si="3"/>
        <v>07 EE2 488</v>
      </c>
      <c r="B20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t="s">
        <v>2058</v>
      </c>
      <c r="D201" t="s">
        <v>2059</v>
      </c>
      <c r="E201" t="s">
        <v>2060</v>
      </c>
      <c r="F201" t="s">
        <v>112</v>
      </c>
      <c r="G201">
        <v>6747446</v>
      </c>
    </row>
    <row r="202" spans="1:10" x14ac:dyDescent="0.25">
      <c r="A202" t="str">
        <f t="shared" si="3"/>
        <v>07 EE2 488</v>
      </c>
      <c r="B20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t="s">
        <v>2061</v>
      </c>
      <c r="D202" t="s">
        <v>2062</v>
      </c>
      <c r="E202" t="s">
        <v>2063</v>
      </c>
      <c r="F202" t="s">
        <v>112</v>
      </c>
      <c r="G202">
        <v>6935691</v>
      </c>
    </row>
    <row r="203" spans="1:10" x14ac:dyDescent="0.25">
      <c r="A203" t="str">
        <f t="shared" si="3"/>
        <v>07 EE2 488</v>
      </c>
      <c r="B20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t="s">
        <v>2064</v>
      </c>
      <c r="D203" t="s">
        <v>2065</v>
      </c>
      <c r="E203" t="s">
        <v>2066</v>
      </c>
      <c r="F203" t="s">
        <v>112</v>
      </c>
      <c r="G203">
        <v>6043328</v>
      </c>
    </row>
    <row r="204" spans="1:10" x14ac:dyDescent="0.25">
      <c r="A204" t="str">
        <f t="shared" si="3"/>
        <v>07 EE2 488</v>
      </c>
      <c r="B20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t="s">
        <v>2067</v>
      </c>
      <c r="D204" t="s">
        <v>1394</v>
      </c>
      <c r="E204" t="s">
        <v>2068</v>
      </c>
      <c r="F204" t="s">
        <v>112</v>
      </c>
      <c r="G204">
        <v>5601213</v>
      </c>
    </row>
    <row r="205" spans="1:10" x14ac:dyDescent="0.25">
      <c r="A205" t="str">
        <f t="shared" si="3"/>
        <v>07 EE2 488</v>
      </c>
      <c r="B20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t="s">
        <v>2069</v>
      </c>
      <c r="D205" t="s">
        <v>2070</v>
      </c>
      <c r="E205" t="s">
        <v>2071</v>
      </c>
      <c r="F205" t="s">
        <v>112</v>
      </c>
      <c r="G205">
        <v>5689073</v>
      </c>
    </row>
    <row r="206" spans="1:10" x14ac:dyDescent="0.25">
      <c r="A206" t="str">
        <f t="shared" si="3"/>
        <v>07 EE2 488</v>
      </c>
      <c r="B20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t="s">
        <v>2072</v>
      </c>
      <c r="D206" t="s">
        <v>2073</v>
      </c>
      <c r="E206" t="s">
        <v>2074</v>
      </c>
      <c r="F206" t="s">
        <v>112</v>
      </c>
      <c r="G206">
        <v>3604124</v>
      </c>
    </row>
    <row r="207" spans="1:10" x14ac:dyDescent="0.25">
      <c r="A207" t="str">
        <f t="shared" si="3"/>
        <v>07 EE2 488</v>
      </c>
      <c r="B20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t="s">
        <v>2075</v>
      </c>
      <c r="D207" t="s">
        <v>2076</v>
      </c>
      <c r="E207" t="s">
        <v>2077</v>
      </c>
      <c r="F207" t="s">
        <v>112</v>
      </c>
      <c r="G207">
        <v>3431107</v>
      </c>
    </row>
    <row r="208" spans="1:10" x14ac:dyDescent="0.25">
      <c r="A208" t="str">
        <f t="shared" si="3"/>
        <v>07 EE2 488</v>
      </c>
      <c r="B20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t="s">
        <v>2078</v>
      </c>
      <c r="D208" t="s">
        <v>2073</v>
      </c>
      <c r="E208" t="s">
        <v>2079</v>
      </c>
      <c r="F208" t="s">
        <v>112</v>
      </c>
      <c r="G208">
        <v>3625711</v>
      </c>
    </row>
    <row r="209" spans="1:7" x14ac:dyDescent="0.25">
      <c r="A209" t="str">
        <f t="shared" si="3"/>
        <v>07 EE2 488</v>
      </c>
      <c r="B20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t="s">
        <v>2080</v>
      </c>
      <c r="D209" t="s">
        <v>1138</v>
      </c>
      <c r="E209" t="s">
        <v>2081</v>
      </c>
      <c r="F209" t="s">
        <v>112</v>
      </c>
      <c r="G209">
        <v>4459652</v>
      </c>
    </row>
    <row r="210" spans="1:7" x14ac:dyDescent="0.25">
      <c r="A210" t="str">
        <f t="shared" si="3"/>
        <v>07 EE2 488</v>
      </c>
      <c r="B21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t="s">
        <v>2082</v>
      </c>
    </row>
    <row r="211" spans="1:7" x14ac:dyDescent="0.25">
      <c r="A211" t="str">
        <f t="shared" si="3"/>
        <v>07 EE2 488</v>
      </c>
      <c r="B21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t="s">
        <v>2083</v>
      </c>
      <c r="D211" t="s">
        <v>2084</v>
      </c>
      <c r="E211" t="s">
        <v>2085</v>
      </c>
      <c r="F211" t="s">
        <v>112</v>
      </c>
      <c r="G211">
        <v>4473495</v>
      </c>
    </row>
    <row r="212" spans="1:7" x14ac:dyDescent="0.25">
      <c r="A212" t="str">
        <f t="shared" si="3"/>
        <v>07 EE2 488</v>
      </c>
      <c r="B21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t="s">
        <v>2086</v>
      </c>
      <c r="D212" t="s">
        <v>2087</v>
      </c>
      <c r="E212" t="s">
        <v>2088</v>
      </c>
      <c r="F212" t="s">
        <v>112</v>
      </c>
      <c r="G212">
        <v>5438902</v>
      </c>
    </row>
    <row r="213" spans="1:7" x14ac:dyDescent="0.25">
      <c r="A213" t="str">
        <f t="shared" si="3"/>
        <v>07 EE2 488</v>
      </c>
      <c r="B21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t="s">
        <v>2089</v>
      </c>
      <c r="D213" t="s">
        <v>2090</v>
      </c>
      <c r="E213" t="s">
        <v>2091</v>
      </c>
      <c r="F213" t="s">
        <v>112</v>
      </c>
      <c r="G213">
        <v>5091785</v>
      </c>
    </row>
    <row r="214" spans="1:7" x14ac:dyDescent="0.25">
      <c r="A214" t="str">
        <f t="shared" si="3"/>
        <v>07 EE2 488</v>
      </c>
      <c r="B21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t="s">
        <v>2092</v>
      </c>
      <c r="D214" t="s">
        <v>2093</v>
      </c>
      <c r="E214" t="s">
        <v>2094</v>
      </c>
      <c r="F214" t="s">
        <v>112</v>
      </c>
      <c r="G214">
        <v>5479133</v>
      </c>
    </row>
    <row r="215" spans="1:7" x14ac:dyDescent="0.25">
      <c r="A215" t="str">
        <f t="shared" si="3"/>
        <v>07 EE2 488</v>
      </c>
      <c r="B21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t="s">
        <v>2095</v>
      </c>
      <c r="D215" t="s">
        <v>2096</v>
      </c>
      <c r="E215" t="s">
        <v>2097</v>
      </c>
      <c r="F215" t="s">
        <v>112</v>
      </c>
      <c r="G215">
        <v>7428484</v>
      </c>
    </row>
    <row r="216" spans="1:7" x14ac:dyDescent="0.25">
      <c r="A216" t="str">
        <f t="shared" si="3"/>
        <v>07 EE2 488</v>
      </c>
      <c r="B21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t="s">
        <v>2098</v>
      </c>
      <c r="D216" t="s">
        <v>2099</v>
      </c>
      <c r="E216" t="s">
        <v>2100</v>
      </c>
      <c r="F216" t="s">
        <v>112</v>
      </c>
      <c r="G216">
        <v>6582172</v>
      </c>
    </row>
    <row r="217" spans="1:7" x14ac:dyDescent="0.25">
      <c r="A217" t="str">
        <f t="shared" si="3"/>
        <v>07 EE2 488</v>
      </c>
      <c r="B21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t="s">
        <v>2101</v>
      </c>
      <c r="D217" t="s">
        <v>2102</v>
      </c>
      <c r="E217" t="s">
        <v>2103</v>
      </c>
      <c r="F217" t="s">
        <v>112</v>
      </c>
      <c r="G217">
        <v>6557276</v>
      </c>
    </row>
    <row r="218" spans="1:7" x14ac:dyDescent="0.25">
      <c r="A218" t="str">
        <f t="shared" si="3"/>
        <v>07 EE2 488</v>
      </c>
      <c r="B21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t="s">
        <v>2104</v>
      </c>
      <c r="D218" t="s">
        <v>2105</v>
      </c>
      <c r="E218" t="s">
        <v>2106</v>
      </c>
      <c r="F218" t="s">
        <v>112</v>
      </c>
      <c r="G218">
        <v>5402715</v>
      </c>
    </row>
    <row r="219" spans="1:7" x14ac:dyDescent="0.25">
      <c r="A219" t="str">
        <f t="shared" si="3"/>
        <v>07 EE2 488</v>
      </c>
      <c r="B21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t="s">
        <v>2107</v>
      </c>
      <c r="D219" t="s">
        <v>1311</v>
      </c>
      <c r="E219" t="s">
        <v>2108</v>
      </c>
      <c r="F219" t="s">
        <v>112</v>
      </c>
      <c r="G219">
        <v>5469703</v>
      </c>
    </row>
    <row r="220" spans="1:7" x14ac:dyDescent="0.25">
      <c r="A220" t="str">
        <f t="shared" si="3"/>
        <v>07 EE2 488</v>
      </c>
      <c r="B22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t="s">
        <v>2109</v>
      </c>
      <c r="D220" t="s">
        <v>2110</v>
      </c>
      <c r="E220" t="s">
        <v>2111</v>
      </c>
      <c r="F220" t="s">
        <v>112</v>
      </c>
      <c r="G220">
        <v>5301660</v>
      </c>
    </row>
    <row r="221" spans="1:7" x14ac:dyDescent="0.25">
      <c r="A221" t="str">
        <f t="shared" si="3"/>
        <v>07 EE2 488</v>
      </c>
      <c r="B22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t="s">
        <v>2112</v>
      </c>
      <c r="D221" t="s">
        <v>1296</v>
      </c>
      <c r="E221" t="s">
        <v>2113</v>
      </c>
      <c r="F221" t="s">
        <v>112</v>
      </c>
      <c r="G221">
        <v>6103589</v>
      </c>
    </row>
    <row r="222" spans="1:7" x14ac:dyDescent="0.25">
      <c r="A222" t="str">
        <f t="shared" si="3"/>
        <v>07 EE2 488</v>
      </c>
      <c r="B22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t="s">
        <v>2114</v>
      </c>
      <c r="D222" t="s">
        <v>2115</v>
      </c>
      <c r="E222" t="s">
        <v>2116</v>
      </c>
      <c r="F222" t="s">
        <v>112</v>
      </c>
      <c r="G222">
        <v>5604176</v>
      </c>
    </row>
    <row r="223" spans="1:7" x14ac:dyDescent="0.25">
      <c r="A223" t="str">
        <f t="shared" si="3"/>
        <v>07 EE2 488</v>
      </c>
      <c r="B22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t="s">
        <v>2117</v>
      </c>
      <c r="D223" t="s">
        <v>2118</v>
      </c>
      <c r="E223" t="s">
        <v>2119</v>
      </c>
      <c r="F223" t="s">
        <v>112</v>
      </c>
      <c r="G223">
        <v>5905307</v>
      </c>
    </row>
    <row r="224" spans="1:7" x14ac:dyDescent="0.25">
      <c r="A224" t="str">
        <f t="shared" si="3"/>
        <v/>
      </c>
      <c r="B2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t="s">
        <v>112</v>
      </c>
    </row>
    <row r="225" spans="1:10" x14ac:dyDescent="0.25">
      <c r="A225" t="str">
        <f t="shared" si="3"/>
        <v/>
      </c>
      <c r="B2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t="s">
        <v>234</v>
      </c>
      <c r="D225" t="s">
        <v>112</v>
      </c>
      <c r="E225" t="s">
        <v>235</v>
      </c>
      <c r="F225" t="s">
        <v>236</v>
      </c>
      <c r="G225" t="s">
        <v>237</v>
      </c>
      <c r="H225" t="s">
        <v>238</v>
      </c>
      <c r="I225" t="s">
        <v>239</v>
      </c>
      <c r="J225" t="s">
        <v>240</v>
      </c>
    </row>
    <row r="226" spans="1:10" x14ac:dyDescent="0.25">
      <c r="A226" t="str">
        <f t="shared" si="3"/>
        <v>07 EE2 488</v>
      </c>
      <c r="B22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t="s">
        <v>2120</v>
      </c>
      <c r="D226" t="s">
        <v>112</v>
      </c>
      <c r="E226" t="s">
        <v>2121</v>
      </c>
      <c r="F226" t="s">
        <v>2122</v>
      </c>
      <c r="G226" t="s">
        <v>2123</v>
      </c>
      <c r="H226" t="s">
        <v>2124</v>
      </c>
      <c r="I226">
        <v>24</v>
      </c>
      <c r="J226">
        <v>24</v>
      </c>
    </row>
    <row r="227" spans="1:10" x14ac:dyDescent="0.25">
      <c r="A227" t="str">
        <f t="shared" si="3"/>
        <v/>
      </c>
      <c r="B2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t="s">
        <v>112</v>
      </c>
    </row>
    <row r="228" spans="1:10" x14ac:dyDescent="0.25">
      <c r="A228" t="str">
        <f t="shared" si="3"/>
        <v/>
      </c>
      <c r="B2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t="s">
        <v>112</v>
      </c>
    </row>
    <row r="229" spans="1:10" x14ac:dyDescent="0.25">
      <c r="A229" t="str">
        <f t="shared" si="3"/>
        <v/>
      </c>
      <c r="B2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t="s">
        <v>112</v>
      </c>
    </row>
    <row r="230" spans="1:10" x14ac:dyDescent="0.25">
      <c r="A230" t="str">
        <f t="shared" si="3"/>
        <v/>
      </c>
      <c r="B2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t="s">
        <v>112</v>
      </c>
    </row>
    <row r="231" spans="1:10" x14ac:dyDescent="0.25">
      <c r="A231" t="str">
        <f t="shared" si="3"/>
        <v/>
      </c>
      <c r="B2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t="s">
        <v>112</v>
      </c>
    </row>
    <row r="232" spans="1:10" x14ac:dyDescent="0.25">
      <c r="A232" t="str">
        <f t="shared" si="3"/>
        <v/>
      </c>
      <c r="B2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t="s">
        <v>246</v>
      </c>
      <c r="D232" t="s">
        <v>110</v>
      </c>
      <c r="E232" t="s">
        <v>111</v>
      </c>
      <c r="F232" t="s">
        <v>112</v>
      </c>
      <c r="G232" t="s">
        <v>113</v>
      </c>
    </row>
    <row r="233" spans="1:10" x14ac:dyDescent="0.25">
      <c r="A233" t="str">
        <f t="shared" si="3"/>
        <v>08 TriphenylP 0.18</v>
      </c>
      <c r="B23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t="s">
        <v>2125</v>
      </c>
      <c r="D233" t="s">
        <v>2126</v>
      </c>
      <c r="E233" t="s">
        <v>2127</v>
      </c>
      <c r="F233" t="s">
        <v>112</v>
      </c>
      <c r="G233">
        <v>201482</v>
      </c>
    </row>
    <row r="234" spans="1:10" x14ac:dyDescent="0.25">
      <c r="A234" t="str">
        <f t="shared" si="3"/>
        <v>08 TriphenylP 0.18</v>
      </c>
      <c r="B23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t="s">
        <v>2128</v>
      </c>
      <c r="D234" t="s">
        <v>2129</v>
      </c>
      <c r="E234" t="s">
        <v>2130</v>
      </c>
      <c r="F234" t="s">
        <v>112</v>
      </c>
      <c r="G234">
        <v>469455</v>
      </c>
    </row>
    <row r="235" spans="1:10" x14ac:dyDescent="0.25">
      <c r="A235" t="str">
        <f t="shared" si="3"/>
        <v>08 TriphenylP 0.18</v>
      </c>
      <c r="B23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t="s">
        <v>2131</v>
      </c>
      <c r="D235" t="s">
        <v>2132</v>
      </c>
      <c r="E235" t="s">
        <v>2133</v>
      </c>
      <c r="F235" t="s">
        <v>112</v>
      </c>
      <c r="G235">
        <v>320187</v>
      </c>
    </row>
    <row r="236" spans="1:10" x14ac:dyDescent="0.25">
      <c r="A236" t="str">
        <f t="shared" si="3"/>
        <v>08 TriphenylP 0.18</v>
      </c>
      <c r="B23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t="s">
        <v>2134</v>
      </c>
      <c r="D236" t="s">
        <v>674</v>
      </c>
      <c r="E236" t="s">
        <v>2135</v>
      </c>
      <c r="F236" t="s">
        <v>112</v>
      </c>
      <c r="G236">
        <v>333014</v>
      </c>
    </row>
    <row r="237" spans="1:10" x14ac:dyDescent="0.25">
      <c r="A237" t="str">
        <f t="shared" si="3"/>
        <v>08 TriphenylP 0.18</v>
      </c>
      <c r="B23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t="s">
        <v>2136</v>
      </c>
      <c r="D237" t="s">
        <v>707</v>
      </c>
      <c r="E237" t="s">
        <v>2137</v>
      </c>
      <c r="F237" t="s">
        <v>112</v>
      </c>
      <c r="G237">
        <v>349366</v>
      </c>
    </row>
    <row r="238" spans="1:10" x14ac:dyDescent="0.25">
      <c r="A238" t="str">
        <f t="shared" si="3"/>
        <v>08 TriphenylP 0.18</v>
      </c>
      <c r="B23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t="s">
        <v>2138</v>
      </c>
    </row>
    <row r="239" spans="1:10" x14ac:dyDescent="0.25">
      <c r="A239" t="str">
        <f t="shared" si="3"/>
        <v>08 TriphenylP 0.18</v>
      </c>
      <c r="B23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t="s">
        <v>2139</v>
      </c>
      <c r="D239" t="s">
        <v>251</v>
      </c>
      <c r="E239" t="s">
        <v>2140</v>
      </c>
      <c r="F239" t="s">
        <v>112</v>
      </c>
      <c r="G239">
        <v>474863</v>
      </c>
    </row>
    <row r="240" spans="1:10" x14ac:dyDescent="0.25">
      <c r="A240" t="str">
        <f t="shared" si="3"/>
        <v>08 TriphenylP 0.18</v>
      </c>
      <c r="B24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t="s">
        <v>2141</v>
      </c>
      <c r="D240" t="s">
        <v>1811</v>
      </c>
      <c r="E240" t="s">
        <v>2142</v>
      </c>
      <c r="F240" t="s">
        <v>112</v>
      </c>
      <c r="G240">
        <v>145223</v>
      </c>
    </row>
    <row r="241" spans="1:7" x14ac:dyDescent="0.25">
      <c r="A241" t="str">
        <f t="shared" si="3"/>
        <v>08 TriphenylP 0.18</v>
      </c>
      <c r="B24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t="s">
        <v>2143</v>
      </c>
      <c r="D241" t="s">
        <v>2144</v>
      </c>
      <c r="E241" t="s">
        <v>2145</v>
      </c>
      <c r="F241" t="s">
        <v>112</v>
      </c>
      <c r="G241">
        <v>457018</v>
      </c>
    </row>
    <row r="242" spans="1:7" x14ac:dyDescent="0.25">
      <c r="A242" t="str">
        <f t="shared" si="3"/>
        <v>08 TriphenylP 0.18</v>
      </c>
      <c r="B24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t="s">
        <v>2146</v>
      </c>
      <c r="D242" t="s">
        <v>2147</v>
      </c>
      <c r="E242" t="s">
        <v>2148</v>
      </c>
      <c r="F242" t="s">
        <v>112</v>
      </c>
      <c r="G242">
        <v>342380</v>
      </c>
    </row>
    <row r="243" spans="1:7" x14ac:dyDescent="0.25">
      <c r="A243" t="str">
        <f t="shared" si="3"/>
        <v>08 TriphenylP 0.18</v>
      </c>
      <c r="B24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t="s">
        <v>2149</v>
      </c>
      <c r="D243" t="s">
        <v>830</v>
      </c>
      <c r="E243" t="s">
        <v>2150</v>
      </c>
      <c r="F243" t="s">
        <v>112</v>
      </c>
      <c r="G243">
        <v>634708</v>
      </c>
    </row>
    <row r="244" spans="1:7" x14ac:dyDescent="0.25">
      <c r="A244" t="str">
        <f t="shared" si="3"/>
        <v>08 TriphenylP 0.18</v>
      </c>
      <c r="B2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t="s">
        <v>2151</v>
      </c>
      <c r="D244" t="s">
        <v>1702</v>
      </c>
      <c r="E244" t="s">
        <v>2152</v>
      </c>
      <c r="F244" t="s">
        <v>112</v>
      </c>
      <c r="G244">
        <v>481546</v>
      </c>
    </row>
    <row r="245" spans="1:7" x14ac:dyDescent="0.25">
      <c r="A245" t="str">
        <f t="shared" si="3"/>
        <v>08 TriphenylP 0.18</v>
      </c>
      <c r="B24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t="s">
        <v>2153</v>
      </c>
      <c r="D245" t="s">
        <v>2154</v>
      </c>
      <c r="E245" t="s">
        <v>2155</v>
      </c>
      <c r="F245" t="s">
        <v>112</v>
      </c>
      <c r="G245">
        <v>356223</v>
      </c>
    </row>
    <row r="246" spans="1:7" x14ac:dyDescent="0.25">
      <c r="A246" t="str">
        <f t="shared" si="3"/>
        <v>08 TriphenylP 0.18</v>
      </c>
      <c r="B24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t="s">
        <v>2156</v>
      </c>
      <c r="D246" t="s">
        <v>2157</v>
      </c>
      <c r="E246" t="s">
        <v>2158</v>
      </c>
      <c r="F246" t="s">
        <v>112</v>
      </c>
      <c r="G246">
        <v>413369</v>
      </c>
    </row>
    <row r="247" spans="1:7" x14ac:dyDescent="0.25">
      <c r="A247" t="str">
        <f t="shared" si="3"/>
        <v>08 TriphenylP 0.18</v>
      </c>
      <c r="B24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t="s">
        <v>2159</v>
      </c>
      <c r="D247" t="s">
        <v>1835</v>
      </c>
      <c r="E247" t="s">
        <v>2160</v>
      </c>
      <c r="F247" t="s">
        <v>112</v>
      </c>
      <c r="G247">
        <v>68242</v>
      </c>
    </row>
    <row r="248" spans="1:7" x14ac:dyDescent="0.25">
      <c r="A248" t="str">
        <f t="shared" si="3"/>
        <v>08 TriphenylP 0.18</v>
      </c>
      <c r="B24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t="s">
        <v>2161</v>
      </c>
      <c r="D248" t="s">
        <v>1685</v>
      </c>
      <c r="E248" t="s">
        <v>2162</v>
      </c>
      <c r="F248" t="s">
        <v>112</v>
      </c>
      <c r="G248">
        <v>351399</v>
      </c>
    </row>
    <row r="249" spans="1:7" x14ac:dyDescent="0.25">
      <c r="A249" t="str">
        <f t="shared" si="3"/>
        <v>08 TriphenylP 0.18</v>
      </c>
      <c r="B24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t="s">
        <v>2163</v>
      </c>
      <c r="D249" t="s">
        <v>778</v>
      </c>
      <c r="E249" t="s">
        <v>2164</v>
      </c>
      <c r="F249" t="s">
        <v>112</v>
      </c>
      <c r="G249">
        <v>493789</v>
      </c>
    </row>
    <row r="250" spans="1:7" x14ac:dyDescent="0.25">
      <c r="A250" t="str">
        <f t="shared" si="3"/>
        <v>08 TriphenylP 0.18</v>
      </c>
      <c r="B25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t="s">
        <v>2165</v>
      </c>
      <c r="D250" t="s">
        <v>2166</v>
      </c>
      <c r="E250" t="s">
        <v>2167</v>
      </c>
      <c r="F250" t="s">
        <v>112</v>
      </c>
      <c r="G250">
        <v>796261</v>
      </c>
    </row>
    <row r="251" spans="1:7" x14ac:dyDescent="0.25">
      <c r="A251" t="str">
        <f t="shared" si="3"/>
        <v>08 TriphenylP 0.18</v>
      </c>
      <c r="B25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t="s">
        <v>2168</v>
      </c>
      <c r="D251" t="s">
        <v>842</v>
      </c>
      <c r="E251" t="s">
        <v>2169</v>
      </c>
      <c r="F251" t="s">
        <v>112</v>
      </c>
      <c r="G251">
        <v>740435</v>
      </c>
    </row>
    <row r="252" spans="1:7" x14ac:dyDescent="0.25">
      <c r="A252" t="str">
        <f t="shared" si="3"/>
        <v>08 TriphenylP 0.18</v>
      </c>
      <c r="B25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t="s">
        <v>2170</v>
      </c>
      <c r="D252" t="s">
        <v>683</v>
      </c>
      <c r="E252" t="s">
        <v>2171</v>
      </c>
      <c r="F252" t="s">
        <v>112</v>
      </c>
      <c r="G252">
        <v>627483</v>
      </c>
    </row>
    <row r="253" spans="1:7" x14ac:dyDescent="0.25">
      <c r="A253" t="str">
        <f t="shared" si="3"/>
        <v>08 TriphenylP 0.18</v>
      </c>
      <c r="B25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t="s">
        <v>2172</v>
      </c>
      <c r="D253" t="s">
        <v>2173</v>
      </c>
      <c r="E253" t="s">
        <v>2174</v>
      </c>
      <c r="F253" t="s">
        <v>112</v>
      </c>
      <c r="G253">
        <v>779714</v>
      </c>
    </row>
    <row r="254" spans="1:7" x14ac:dyDescent="0.25">
      <c r="A254" t="str">
        <f t="shared" si="3"/>
        <v>08 TriphenylP 0.18</v>
      </c>
      <c r="B25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t="s">
        <v>2175</v>
      </c>
      <c r="D254" t="s">
        <v>2176</v>
      </c>
      <c r="E254" t="s">
        <v>2177</v>
      </c>
      <c r="F254" t="s">
        <v>112</v>
      </c>
      <c r="G254">
        <v>418993</v>
      </c>
    </row>
    <row r="255" spans="1:7" x14ac:dyDescent="0.25">
      <c r="A255" t="str">
        <f t="shared" si="3"/>
        <v>08 TriphenylP 0.18</v>
      </c>
      <c r="B25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t="s">
        <v>2178</v>
      </c>
      <c r="D255" t="s">
        <v>2179</v>
      </c>
      <c r="E255" t="s">
        <v>2180</v>
      </c>
      <c r="F255" t="s">
        <v>112</v>
      </c>
      <c r="G255">
        <v>375279</v>
      </c>
    </row>
    <row r="256" spans="1:7" x14ac:dyDescent="0.25">
      <c r="A256" t="str">
        <f t="shared" si="3"/>
        <v>08 TriphenylP 0.18</v>
      </c>
      <c r="B25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t="s">
        <v>2181</v>
      </c>
      <c r="D256" t="s">
        <v>285</v>
      </c>
      <c r="E256" t="s">
        <v>2182</v>
      </c>
      <c r="F256" t="s">
        <v>112</v>
      </c>
      <c r="G256">
        <v>74234</v>
      </c>
    </row>
    <row r="257" spans="1:10" x14ac:dyDescent="0.25">
      <c r="A257" t="str">
        <f t="shared" si="3"/>
        <v/>
      </c>
      <c r="B2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t="s">
        <v>112</v>
      </c>
    </row>
    <row r="258" spans="1:10" x14ac:dyDescent="0.25">
      <c r="A258" t="str">
        <f t="shared" ref="A258:A321" si="4">IFERROR(LEFT(RIGHT(C258,LEN(C258)-SEARCH("@",C258)),SEARCH("/",RIGHT(C258,LEN(C258)-SEARCH("@",C258)-1))),"")</f>
        <v/>
      </c>
      <c r="B2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t="s">
        <v>234</v>
      </c>
      <c r="D258" t="s">
        <v>112</v>
      </c>
      <c r="E258" t="s">
        <v>235</v>
      </c>
      <c r="F258" t="s">
        <v>236</v>
      </c>
      <c r="G258" t="s">
        <v>237</v>
      </c>
      <c r="H258" t="s">
        <v>238</v>
      </c>
      <c r="I258" t="s">
        <v>239</v>
      </c>
      <c r="J258" t="s">
        <v>240</v>
      </c>
    </row>
    <row r="259" spans="1:10" x14ac:dyDescent="0.25">
      <c r="A259" t="str">
        <f t="shared" si="4"/>
        <v>08 TriphenylP 0.18</v>
      </c>
      <c r="B25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t="s">
        <v>2183</v>
      </c>
      <c r="D259" t="s">
        <v>112</v>
      </c>
      <c r="E259" t="s">
        <v>2184</v>
      </c>
      <c r="F259" t="s">
        <v>2185</v>
      </c>
      <c r="G259" t="s">
        <v>2186</v>
      </c>
      <c r="H259" t="s">
        <v>2187</v>
      </c>
      <c r="I259">
        <v>24</v>
      </c>
      <c r="J259">
        <v>24</v>
      </c>
    </row>
    <row r="260" spans="1:10" x14ac:dyDescent="0.25">
      <c r="A260" t="str">
        <f t="shared" si="4"/>
        <v/>
      </c>
      <c r="B2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t="s">
        <v>112</v>
      </c>
    </row>
    <row r="261" spans="1:10" x14ac:dyDescent="0.25">
      <c r="A261" t="str">
        <f t="shared" si="4"/>
        <v/>
      </c>
      <c r="B2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t="s">
        <v>112</v>
      </c>
    </row>
    <row r="262" spans="1:10" x14ac:dyDescent="0.25">
      <c r="A262" t="str">
        <f t="shared" si="4"/>
        <v/>
      </c>
      <c r="B2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t="s">
        <v>112</v>
      </c>
    </row>
    <row r="263" spans="1:10" x14ac:dyDescent="0.25">
      <c r="A263" t="str">
        <f t="shared" si="4"/>
        <v/>
      </c>
      <c r="B2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t="s">
        <v>112</v>
      </c>
    </row>
    <row r="264" spans="1:10" x14ac:dyDescent="0.25">
      <c r="A264" t="str">
        <f t="shared" si="4"/>
        <v/>
      </c>
      <c r="B2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t="s">
        <v>112</v>
      </c>
    </row>
    <row r="265" spans="1:10" x14ac:dyDescent="0.25">
      <c r="A265" t="str">
        <f t="shared" si="4"/>
        <v/>
      </c>
      <c r="B2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t="s">
        <v>246</v>
      </c>
      <c r="D265" t="s">
        <v>110</v>
      </c>
      <c r="E265" t="s">
        <v>111</v>
      </c>
      <c r="F265" t="s">
        <v>112</v>
      </c>
      <c r="G265" t="s">
        <v>113</v>
      </c>
    </row>
    <row r="266" spans="1:10" x14ac:dyDescent="0.25">
      <c r="A266" t="str">
        <f t="shared" si="4"/>
        <v>09 TriphenylP 0.26</v>
      </c>
      <c r="B26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t="s">
        <v>2188</v>
      </c>
    </row>
    <row r="267" spans="1:10" x14ac:dyDescent="0.25">
      <c r="A267" t="str">
        <f t="shared" si="4"/>
        <v>09 TriphenylP 0.26</v>
      </c>
      <c r="B26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t="s">
        <v>2189</v>
      </c>
    </row>
    <row r="268" spans="1:10" x14ac:dyDescent="0.25">
      <c r="A268" t="str">
        <f t="shared" si="4"/>
        <v>09 TriphenylP 0.26</v>
      </c>
      <c r="B26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t="s">
        <v>2190</v>
      </c>
    </row>
    <row r="269" spans="1:10" x14ac:dyDescent="0.25">
      <c r="A269" t="str">
        <f t="shared" si="4"/>
        <v>09 TriphenylP 0.26</v>
      </c>
      <c r="B26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t="s">
        <v>2191</v>
      </c>
      <c r="D269" t="s">
        <v>1848</v>
      </c>
      <c r="E269" t="s">
        <v>2192</v>
      </c>
      <c r="F269" t="s">
        <v>112</v>
      </c>
      <c r="G269">
        <v>60650</v>
      </c>
    </row>
    <row r="270" spans="1:10" x14ac:dyDescent="0.25">
      <c r="A270" t="str">
        <f t="shared" si="4"/>
        <v>09 TriphenylP 0.26</v>
      </c>
      <c r="B27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t="s">
        <v>2193</v>
      </c>
      <c r="D270" t="s">
        <v>1848</v>
      </c>
      <c r="E270" t="s">
        <v>2192</v>
      </c>
      <c r="F270" t="s">
        <v>112</v>
      </c>
      <c r="G270">
        <v>60650</v>
      </c>
    </row>
    <row r="271" spans="1:10" x14ac:dyDescent="0.25">
      <c r="A271" t="str">
        <f t="shared" si="4"/>
        <v>09 TriphenylP 0.26</v>
      </c>
      <c r="B27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t="s">
        <v>2194</v>
      </c>
      <c r="D271" t="s">
        <v>1762</v>
      </c>
      <c r="E271" t="s">
        <v>1275</v>
      </c>
      <c r="F271" t="s">
        <v>112</v>
      </c>
      <c r="G271">
        <v>83318</v>
      </c>
    </row>
    <row r="272" spans="1:10" x14ac:dyDescent="0.25">
      <c r="A272" t="str">
        <f t="shared" si="4"/>
        <v>09 TriphenylP 0.26</v>
      </c>
      <c r="B27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t="s">
        <v>2195</v>
      </c>
      <c r="D272" t="s">
        <v>2196</v>
      </c>
      <c r="E272" t="s">
        <v>2197</v>
      </c>
      <c r="F272" t="s">
        <v>112</v>
      </c>
      <c r="G272">
        <v>541288</v>
      </c>
    </row>
    <row r="273" spans="1:7" x14ac:dyDescent="0.25">
      <c r="A273" t="str">
        <f t="shared" si="4"/>
        <v>09 TriphenylP 0.26</v>
      </c>
      <c r="B27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t="s">
        <v>2198</v>
      </c>
      <c r="D273" t="s">
        <v>345</v>
      </c>
      <c r="E273" t="s">
        <v>2199</v>
      </c>
      <c r="F273" t="s">
        <v>112</v>
      </c>
      <c r="G273">
        <v>865455</v>
      </c>
    </row>
    <row r="274" spans="1:7" x14ac:dyDescent="0.25">
      <c r="A274" t="str">
        <f t="shared" si="4"/>
        <v>09 TriphenylP 0.26</v>
      </c>
      <c r="B27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t="s">
        <v>2200</v>
      </c>
      <c r="D274" t="s">
        <v>2201</v>
      </c>
      <c r="E274" t="s">
        <v>2202</v>
      </c>
      <c r="F274" t="s">
        <v>112</v>
      </c>
      <c r="G274">
        <v>923077</v>
      </c>
    </row>
    <row r="275" spans="1:7" x14ac:dyDescent="0.25">
      <c r="A275" t="str">
        <f t="shared" si="4"/>
        <v>09 TriphenylP 0.26</v>
      </c>
      <c r="B27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t="s">
        <v>2203</v>
      </c>
      <c r="D275" t="s">
        <v>2204</v>
      </c>
      <c r="E275" t="s">
        <v>2205</v>
      </c>
      <c r="F275" t="s">
        <v>112</v>
      </c>
      <c r="G275">
        <v>333857</v>
      </c>
    </row>
    <row r="276" spans="1:7" x14ac:dyDescent="0.25">
      <c r="A276" t="str">
        <f t="shared" si="4"/>
        <v>09 TriphenylP 0.26</v>
      </c>
      <c r="B27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t="s">
        <v>2206</v>
      </c>
    </row>
    <row r="277" spans="1:7" x14ac:dyDescent="0.25">
      <c r="A277" t="str">
        <f t="shared" si="4"/>
        <v>09 TriphenylP 0.26</v>
      </c>
      <c r="B27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t="s">
        <v>2207</v>
      </c>
      <c r="D277" t="s">
        <v>2208</v>
      </c>
      <c r="E277" t="s">
        <v>2209</v>
      </c>
      <c r="F277" t="s">
        <v>112</v>
      </c>
      <c r="G277">
        <v>95128</v>
      </c>
    </row>
    <row r="278" spans="1:7" x14ac:dyDescent="0.25">
      <c r="A278" t="str">
        <f t="shared" si="4"/>
        <v>09 TriphenylP 0.26</v>
      </c>
      <c r="B27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t="s">
        <v>2210</v>
      </c>
      <c r="D278" t="s">
        <v>1258</v>
      </c>
      <c r="E278" t="s">
        <v>1814</v>
      </c>
      <c r="F278" t="s">
        <v>112</v>
      </c>
      <c r="G278">
        <v>53274</v>
      </c>
    </row>
    <row r="279" spans="1:7" x14ac:dyDescent="0.25">
      <c r="A279" t="str">
        <f t="shared" si="4"/>
        <v>09 TriphenylP 0.26</v>
      </c>
      <c r="B27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t="s">
        <v>2211</v>
      </c>
      <c r="D279" t="s">
        <v>282</v>
      </c>
      <c r="E279" t="s">
        <v>2212</v>
      </c>
      <c r="F279" t="s">
        <v>112</v>
      </c>
      <c r="G279">
        <v>90564</v>
      </c>
    </row>
    <row r="280" spans="1:7" x14ac:dyDescent="0.25">
      <c r="A280" t="str">
        <f t="shared" si="4"/>
        <v>09 TriphenylP 0.26</v>
      </c>
      <c r="B28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t="s">
        <v>2213</v>
      </c>
      <c r="D280" t="s">
        <v>2214</v>
      </c>
      <c r="E280" t="s">
        <v>2215</v>
      </c>
      <c r="F280" t="s">
        <v>112</v>
      </c>
      <c r="G280">
        <v>94609</v>
      </c>
    </row>
    <row r="281" spans="1:7" x14ac:dyDescent="0.25">
      <c r="A281" t="str">
        <f t="shared" si="4"/>
        <v>09 TriphenylP 0.26</v>
      </c>
      <c r="B28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t="s">
        <v>2216</v>
      </c>
      <c r="D281" t="s">
        <v>1705</v>
      </c>
      <c r="E281" t="s">
        <v>2217</v>
      </c>
      <c r="F281" t="s">
        <v>112</v>
      </c>
      <c r="G281">
        <v>206501</v>
      </c>
    </row>
    <row r="282" spans="1:7" x14ac:dyDescent="0.25">
      <c r="A282" t="str">
        <f t="shared" si="4"/>
        <v>09 TriphenylP 0.26</v>
      </c>
      <c r="B28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t="s">
        <v>2218</v>
      </c>
      <c r="D282" t="s">
        <v>2219</v>
      </c>
      <c r="E282" t="s">
        <v>2220</v>
      </c>
      <c r="F282" t="s">
        <v>112</v>
      </c>
      <c r="G282">
        <v>187639</v>
      </c>
    </row>
    <row r="283" spans="1:7" x14ac:dyDescent="0.25">
      <c r="A283" t="str">
        <f t="shared" si="4"/>
        <v>09 TriphenylP 0.26</v>
      </c>
      <c r="B28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t="s">
        <v>2221</v>
      </c>
    </row>
    <row r="284" spans="1:7" x14ac:dyDescent="0.25">
      <c r="A284" t="str">
        <f t="shared" si="4"/>
        <v>09 TriphenylP 0.26</v>
      </c>
      <c r="B28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t="s">
        <v>2222</v>
      </c>
      <c r="D284" t="s">
        <v>924</v>
      </c>
      <c r="E284" t="s">
        <v>2223</v>
      </c>
      <c r="F284" t="s">
        <v>112</v>
      </c>
      <c r="G284">
        <v>546133</v>
      </c>
    </row>
    <row r="285" spans="1:7" x14ac:dyDescent="0.25">
      <c r="A285" t="str">
        <f t="shared" si="4"/>
        <v>09 TriphenylP 0.26</v>
      </c>
      <c r="B28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t="s">
        <v>2224</v>
      </c>
      <c r="D285" t="s">
        <v>2225</v>
      </c>
      <c r="E285" t="s">
        <v>2226</v>
      </c>
      <c r="F285" t="s">
        <v>112</v>
      </c>
      <c r="G285">
        <v>330224</v>
      </c>
    </row>
    <row r="286" spans="1:7" x14ac:dyDescent="0.25">
      <c r="A286" t="str">
        <f t="shared" si="4"/>
        <v>09 TriphenylP 0.26</v>
      </c>
      <c r="B28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t="s">
        <v>2227</v>
      </c>
      <c r="D286" t="s">
        <v>1903</v>
      </c>
      <c r="E286" t="s">
        <v>2228</v>
      </c>
      <c r="F286" t="s">
        <v>112</v>
      </c>
      <c r="G286">
        <v>352070</v>
      </c>
    </row>
    <row r="287" spans="1:7" x14ac:dyDescent="0.25">
      <c r="A287" t="str">
        <f t="shared" si="4"/>
        <v>09 TriphenylP 0.26</v>
      </c>
      <c r="B28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t="s">
        <v>2229</v>
      </c>
      <c r="D287" t="s">
        <v>326</v>
      </c>
      <c r="E287" t="s">
        <v>2230</v>
      </c>
      <c r="F287" t="s">
        <v>112</v>
      </c>
      <c r="G287">
        <v>633237</v>
      </c>
    </row>
    <row r="288" spans="1:7" x14ac:dyDescent="0.25">
      <c r="A288" t="str">
        <f t="shared" si="4"/>
        <v>09 TriphenylP 0.26</v>
      </c>
      <c r="B28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t="s">
        <v>2231</v>
      </c>
    </row>
    <row r="289" spans="1:10" x14ac:dyDescent="0.25">
      <c r="A289" t="str">
        <f t="shared" si="4"/>
        <v>09 TriphenylP 0.26</v>
      </c>
      <c r="B28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t="s">
        <v>2232</v>
      </c>
      <c r="D289" t="s">
        <v>229</v>
      </c>
      <c r="E289" t="s">
        <v>2233</v>
      </c>
      <c r="F289" t="s">
        <v>112</v>
      </c>
      <c r="G289">
        <v>122101</v>
      </c>
    </row>
    <row r="290" spans="1:10" x14ac:dyDescent="0.25">
      <c r="A290" t="str">
        <f t="shared" si="4"/>
        <v/>
      </c>
      <c r="B2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t="s">
        <v>112</v>
      </c>
    </row>
    <row r="291" spans="1:10" x14ac:dyDescent="0.25">
      <c r="A291" t="str">
        <f t="shared" si="4"/>
        <v/>
      </c>
      <c r="B2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t="s">
        <v>234</v>
      </c>
      <c r="D291" t="s">
        <v>112</v>
      </c>
      <c r="E291" t="s">
        <v>235</v>
      </c>
      <c r="F291" t="s">
        <v>236</v>
      </c>
      <c r="G291" t="s">
        <v>237</v>
      </c>
      <c r="H291" t="s">
        <v>238</v>
      </c>
      <c r="I291" t="s">
        <v>239</v>
      </c>
      <c r="J291" t="s">
        <v>240</v>
      </c>
    </row>
    <row r="292" spans="1:10" x14ac:dyDescent="0.25">
      <c r="A292" t="str">
        <f t="shared" si="4"/>
        <v>09 TriphenylP 0.26</v>
      </c>
      <c r="B29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t="s">
        <v>2234</v>
      </c>
      <c r="D292" t="s">
        <v>112</v>
      </c>
      <c r="E292" t="s">
        <v>2235</v>
      </c>
      <c r="F292" t="s">
        <v>2236</v>
      </c>
      <c r="G292" t="s">
        <v>2237</v>
      </c>
      <c r="H292" t="s">
        <v>2238</v>
      </c>
      <c r="I292">
        <v>24</v>
      </c>
      <c r="J292">
        <v>24</v>
      </c>
    </row>
    <row r="293" spans="1:10" x14ac:dyDescent="0.25">
      <c r="A293" t="str">
        <f t="shared" si="4"/>
        <v/>
      </c>
      <c r="B2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t="s">
        <v>112</v>
      </c>
    </row>
    <row r="294" spans="1:10" x14ac:dyDescent="0.25">
      <c r="A294" t="str">
        <f t="shared" si="4"/>
        <v/>
      </c>
      <c r="B2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t="s">
        <v>112</v>
      </c>
    </row>
    <row r="295" spans="1:10" x14ac:dyDescent="0.25">
      <c r="A295" t="str">
        <f t="shared" si="4"/>
        <v/>
      </c>
      <c r="B2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t="s">
        <v>112</v>
      </c>
    </row>
    <row r="296" spans="1:10" x14ac:dyDescent="0.25">
      <c r="A296" t="str">
        <f t="shared" si="4"/>
        <v/>
      </c>
      <c r="B2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t="s">
        <v>112</v>
      </c>
    </row>
    <row r="297" spans="1:10" x14ac:dyDescent="0.25">
      <c r="A297" t="str">
        <f t="shared" si="4"/>
        <v/>
      </c>
      <c r="B2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t="s">
        <v>112</v>
      </c>
    </row>
    <row r="298" spans="1:10" x14ac:dyDescent="0.25">
      <c r="A298" t="str">
        <f t="shared" si="4"/>
        <v/>
      </c>
      <c r="B2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t="s">
        <v>246</v>
      </c>
      <c r="D298" t="s">
        <v>110</v>
      </c>
      <c r="E298" t="s">
        <v>111</v>
      </c>
      <c r="F298" t="s">
        <v>112</v>
      </c>
      <c r="G298" t="s">
        <v>113</v>
      </c>
    </row>
    <row r="299" spans="1:10" x14ac:dyDescent="0.25">
      <c r="A299" t="str">
        <f t="shared" si="4"/>
        <v>10 TriphenylP 0.4</v>
      </c>
      <c r="B29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t="s">
        <v>2239</v>
      </c>
      <c r="D299" t="s">
        <v>2240</v>
      </c>
      <c r="E299" t="s">
        <v>2241</v>
      </c>
      <c r="F299" t="s">
        <v>112</v>
      </c>
      <c r="G299">
        <v>204100</v>
      </c>
    </row>
    <row r="300" spans="1:10" x14ac:dyDescent="0.25">
      <c r="A300" t="str">
        <f t="shared" si="4"/>
        <v>10 TriphenylP 0.4</v>
      </c>
      <c r="B30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t="s">
        <v>2242</v>
      </c>
    </row>
    <row r="301" spans="1:10" x14ac:dyDescent="0.25">
      <c r="A301" t="str">
        <f t="shared" si="4"/>
        <v>10 TriphenylP 0.4</v>
      </c>
      <c r="B30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t="s">
        <v>2243</v>
      </c>
      <c r="D301" t="s">
        <v>2244</v>
      </c>
      <c r="E301" t="s">
        <v>2245</v>
      </c>
      <c r="F301" t="s">
        <v>112</v>
      </c>
      <c r="G301">
        <v>70751</v>
      </c>
    </row>
    <row r="302" spans="1:10" x14ac:dyDescent="0.25">
      <c r="A302" t="str">
        <f t="shared" si="4"/>
        <v>10 TriphenylP 0.4</v>
      </c>
      <c r="B30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t="s">
        <v>2246</v>
      </c>
      <c r="D302" t="s">
        <v>2247</v>
      </c>
      <c r="E302" t="s">
        <v>2248</v>
      </c>
      <c r="F302" t="s">
        <v>112</v>
      </c>
      <c r="G302">
        <v>254432</v>
      </c>
    </row>
    <row r="303" spans="1:10" x14ac:dyDescent="0.25">
      <c r="A303" t="str">
        <f t="shared" si="4"/>
        <v>10 TriphenylP 0.4</v>
      </c>
      <c r="B30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t="s">
        <v>2249</v>
      </c>
      <c r="D303" t="s">
        <v>2250</v>
      </c>
      <c r="E303" t="s">
        <v>2251</v>
      </c>
      <c r="F303" t="s">
        <v>112</v>
      </c>
      <c r="G303">
        <v>293842</v>
      </c>
    </row>
    <row r="304" spans="1:10" x14ac:dyDescent="0.25">
      <c r="A304" t="str">
        <f t="shared" si="4"/>
        <v>10 TriphenylP 0.4</v>
      </c>
      <c r="B30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t="s">
        <v>2252</v>
      </c>
      <c r="D304" t="s">
        <v>279</v>
      </c>
      <c r="E304" t="s">
        <v>2253</v>
      </c>
      <c r="F304" t="s">
        <v>112</v>
      </c>
      <c r="G304">
        <v>226076</v>
      </c>
    </row>
    <row r="305" spans="1:7" x14ac:dyDescent="0.25">
      <c r="A305" t="str">
        <f t="shared" si="4"/>
        <v>10 TriphenylP 0.4</v>
      </c>
      <c r="B30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t="s">
        <v>2254</v>
      </c>
      <c r="D305" t="s">
        <v>2255</v>
      </c>
      <c r="E305" t="s">
        <v>2256</v>
      </c>
      <c r="F305" t="s">
        <v>112</v>
      </c>
      <c r="G305">
        <v>257980</v>
      </c>
    </row>
    <row r="306" spans="1:7" x14ac:dyDescent="0.25">
      <c r="A306" t="str">
        <f t="shared" si="4"/>
        <v>10 TriphenylP 0.4</v>
      </c>
      <c r="B30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t="s">
        <v>2257</v>
      </c>
      <c r="D306" t="s">
        <v>2258</v>
      </c>
      <c r="E306" t="s">
        <v>2259</v>
      </c>
      <c r="F306" t="s">
        <v>112</v>
      </c>
      <c r="G306">
        <v>251664</v>
      </c>
    </row>
    <row r="307" spans="1:7" x14ac:dyDescent="0.25">
      <c r="A307" t="str">
        <f t="shared" si="4"/>
        <v>10 TriphenylP 0.4</v>
      </c>
      <c r="B30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t="s">
        <v>2260</v>
      </c>
      <c r="D307" t="s">
        <v>190</v>
      </c>
      <c r="E307" t="s">
        <v>2261</v>
      </c>
      <c r="F307" t="s">
        <v>112</v>
      </c>
      <c r="G307">
        <v>46591</v>
      </c>
    </row>
    <row r="308" spans="1:7" x14ac:dyDescent="0.25">
      <c r="A308" t="str">
        <f t="shared" si="4"/>
        <v>10 TriphenylP 0.4</v>
      </c>
      <c r="B30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t="s">
        <v>2262</v>
      </c>
      <c r="D308" t="s">
        <v>180</v>
      </c>
      <c r="E308" t="s">
        <v>2263</v>
      </c>
      <c r="F308" t="s">
        <v>112</v>
      </c>
      <c r="G308">
        <v>251512</v>
      </c>
    </row>
    <row r="309" spans="1:7" x14ac:dyDescent="0.25">
      <c r="A309" t="str">
        <f t="shared" si="4"/>
        <v>10 TriphenylP 0.4</v>
      </c>
      <c r="B30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t="s">
        <v>2264</v>
      </c>
      <c r="D309" t="s">
        <v>187</v>
      </c>
      <c r="E309" t="s">
        <v>2265</v>
      </c>
      <c r="F309" t="s">
        <v>112</v>
      </c>
      <c r="G309">
        <v>169254</v>
      </c>
    </row>
    <row r="310" spans="1:7" x14ac:dyDescent="0.25">
      <c r="A310" t="str">
        <f t="shared" si="4"/>
        <v>10 TriphenylP 0.4</v>
      </c>
      <c r="B31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t="s">
        <v>2266</v>
      </c>
      <c r="D310" t="s">
        <v>2126</v>
      </c>
      <c r="E310" t="s">
        <v>2267</v>
      </c>
      <c r="F310" t="s">
        <v>112</v>
      </c>
      <c r="G310">
        <v>196248</v>
      </c>
    </row>
    <row r="311" spans="1:7" x14ac:dyDescent="0.25">
      <c r="A311" t="str">
        <f t="shared" si="4"/>
        <v>10 TriphenylP 0.4</v>
      </c>
      <c r="B31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t="s">
        <v>2268</v>
      </c>
      <c r="D311" t="s">
        <v>323</v>
      </c>
      <c r="E311" t="s">
        <v>2269</v>
      </c>
      <c r="F311" t="s">
        <v>112</v>
      </c>
      <c r="G311">
        <v>719432</v>
      </c>
    </row>
    <row r="312" spans="1:7" x14ac:dyDescent="0.25">
      <c r="A312" t="str">
        <f t="shared" si="4"/>
        <v>10 TriphenylP 0.4</v>
      </c>
      <c r="B31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t="s">
        <v>2270</v>
      </c>
      <c r="D312" t="s">
        <v>2271</v>
      </c>
      <c r="E312" t="s">
        <v>2272</v>
      </c>
      <c r="F312" t="s">
        <v>112</v>
      </c>
      <c r="G312">
        <v>618117</v>
      </c>
    </row>
    <row r="313" spans="1:7" x14ac:dyDescent="0.25">
      <c r="A313" t="str">
        <f t="shared" si="4"/>
        <v>10 TriphenylP 0.4</v>
      </c>
      <c r="B31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t="s">
        <v>2273</v>
      </c>
      <c r="D313" t="s">
        <v>2274</v>
      </c>
      <c r="E313" t="s">
        <v>2275</v>
      </c>
      <c r="F313" t="s">
        <v>112</v>
      </c>
      <c r="G313">
        <v>537330</v>
      </c>
    </row>
    <row r="314" spans="1:7" x14ac:dyDescent="0.25">
      <c r="A314" t="str">
        <f t="shared" si="4"/>
        <v>10 TriphenylP 0.4</v>
      </c>
      <c r="B31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t="s">
        <v>2276</v>
      </c>
      <c r="D314" t="s">
        <v>2277</v>
      </c>
      <c r="E314" t="s">
        <v>2278</v>
      </c>
      <c r="F314" t="s">
        <v>112</v>
      </c>
      <c r="G314">
        <v>363534</v>
      </c>
    </row>
    <row r="315" spans="1:7" x14ac:dyDescent="0.25">
      <c r="A315" t="str">
        <f t="shared" si="4"/>
        <v>10 TriphenylP 0.4</v>
      </c>
      <c r="B31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t="s">
        <v>2279</v>
      </c>
      <c r="D315" t="s">
        <v>2280</v>
      </c>
      <c r="E315" t="s">
        <v>2281</v>
      </c>
      <c r="F315" t="s">
        <v>112</v>
      </c>
      <c r="G315">
        <v>159780</v>
      </c>
    </row>
    <row r="316" spans="1:7" x14ac:dyDescent="0.25">
      <c r="A316" t="str">
        <f t="shared" si="4"/>
        <v>10 TriphenylP 0.4</v>
      </c>
      <c r="B31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t="s">
        <v>2282</v>
      </c>
      <c r="D316" t="s">
        <v>703</v>
      </c>
      <c r="E316" t="s">
        <v>2283</v>
      </c>
      <c r="F316" t="s">
        <v>112</v>
      </c>
      <c r="G316">
        <v>263149</v>
      </c>
    </row>
    <row r="317" spans="1:7" x14ac:dyDescent="0.25">
      <c r="A317" t="str">
        <f t="shared" si="4"/>
        <v>10 TriphenylP 0.4</v>
      </c>
      <c r="B31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t="s">
        <v>2284</v>
      </c>
      <c r="D317" t="s">
        <v>842</v>
      </c>
      <c r="E317" t="s">
        <v>2285</v>
      </c>
      <c r="F317" t="s">
        <v>112</v>
      </c>
      <c r="G317">
        <v>719908</v>
      </c>
    </row>
    <row r="318" spans="1:7" x14ac:dyDescent="0.25">
      <c r="A318" t="str">
        <f t="shared" si="4"/>
        <v>10 TriphenylP 0.4</v>
      </c>
      <c r="B31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t="s">
        <v>2286</v>
      </c>
      <c r="D318" t="s">
        <v>2287</v>
      </c>
      <c r="E318" t="s">
        <v>2288</v>
      </c>
      <c r="F318" t="s">
        <v>112</v>
      </c>
      <c r="G318">
        <v>930799</v>
      </c>
    </row>
    <row r="319" spans="1:7" x14ac:dyDescent="0.25">
      <c r="A319" t="str">
        <f t="shared" si="4"/>
        <v>10 TriphenylP 0.4</v>
      </c>
      <c r="B31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t="s">
        <v>2289</v>
      </c>
      <c r="D319" t="s">
        <v>2290</v>
      </c>
      <c r="E319" t="s">
        <v>2291</v>
      </c>
      <c r="F319" t="s">
        <v>112</v>
      </c>
      <c r="G319">
        <v>732864</v>
      </c>
    </row>
    <row r="320" spans="1:7" x14ac:dyDescent="0.25">
      <c r="A320" t="str">
        <f t="shared" si="4"/>
        <v>10 TriphenylP 0.4</v>
      </c>
      <c r="B32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t="s">
        <v>2292</v>
      </c>
      <c r="D320" t="s">
        <v>213</v>
      </c>
      <c r="E320" t="s">
        <v>2293</v>
      </c>
      <c r="F320" t="s">
        <v>112</v>
      </c>
      <c r="G320">
        <v>840148</v>
      </c>
    </row>
    <row r="321" spans="1:10" x14ac:dyDescent="0.25">
      <c r="A321" t="str">
        <f t="shared" si="4"/>
        <v>10 TriphenylP 0.4</v>
      </c>
      <c r="B32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t="s">
        <v>2294</v>
      </c>
      <c r="D321" t="s">
        <v>2295</v>
      </c>
      <c r="E321" t="s">
        <v>2296</v>
      </c>
      <c r="F321" t="s">
        <v>112</v>
      </c>
      <c r="G321">
        <v>782548</v>
      </c>
    </row>
    <row r="322" spans="1:10" x14ac:dyDescent="0.25">
      <c r="A322" t="str">
        <f t="shared" ref="A322:A385" si="5">IFERROR(LEFT(RIGHT(C322,LEN(C322)-SEARCH("@",C322)),SEARCH("/",RIGHT(C322,LEN(C322)-SEARCH("@",C322)-1))),"")</f>
        <v>10 TriphenylP 0.4</v>
      </c>
      <c r="B32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t="s">
        <v>2297</v>
      </c>
      <c r="D322" t="s">
        <v>2298</v>
      </c>
      <c r="E322" t="s">
        <v>2299</v>
      </c>
      <c r="F322" t="s">
        <v>112</v>
      </c>
      <c r="G322">
        <v>755446</v>
      </c>
    </row>
    <row r="323" spans="1:10" x14ac:dyDescent="0.25">
      <c r="A323" t="str">
        <f t="shared" si="5"/>
        <v/>
      </c>
      <c r="B3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t="s">
        <v>112</v>
      </c>
    </row>
    <row r="324" spans="1:10" x14ac:dyDescent="0.25">
      <c r="A324" t="str">
        <f t="shared" si="5"/>
        <v/>
      </c>
      <c r="B3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t="s">
        <v>234</v>
      </c>
      <c r="D324" t="s">
        <v>112</v>
      </c>
      <c r="E324" t="s">
        <v>235</v>
      </c>
      <c r="F324" t="s">
        <v>236</v>
      </c>
      <c r="G324" t="s">
        <v>237</v>
      </c>
      <c r="H324" t="s">
        <v>238</v>
      </c>
      <c r="I324" t="s">
        <v>239</v>
      </c>
      <c r="J324" t="s">
        <v>240</v>
      </c>
    </row>
    <row r="325" spans="1:10" x14ac:dyDescent="0.25">
      <c r="A325" t="str">
        <f t="shared" si="5"/>
        <v>10 TriphenylP 0.4</v>
      </c>
      <c r="B32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t="s">
        <v>2300</v>
      </c>
      <c r="D325" t="s">
        <v>112</v>
      </c>
      <c r="E325" t="s">
        <v>2301</v>
      </c>
      <c r="F325" t="s">
        <v>2302</v>
      </c>
      <c r="G325">
        <v>403877</v>
      </c>
      <c r="H325" t="s">
        <v>2303</v>
      </c>
      <c r="I325">
        <v>24</v>
      </c>
      <c r="J325">
        <v>24</v>
      </c>
    </row>
    <row r="326" spans="1:10" x14ac:dyDescent="0.25">
      <c r="A326" t="str">
        <f t="shared" si="5"/>
        <v/>
      </c>
      <c r="B3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t="s">
        <v>112</v>
      </c>
    </row>
    <row r="327" spans="1:10" x14ac:dyDescent="0.25">
      <c r="A327" t="str">
        <f t="shared" si="5"/>
        <v/>
      </c>
      <c r="B3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t="s">
        <v>112</v>
      </c>
    </row>
    <row r="328" spans="1:10" x14ac:dyDescent="0.25">
      <c r="A328" t="str">
        <f t="shared" si="5"/>
        <v/>
      </c>
      <c r="B3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t="s">
        <v>112</v>
      </c>
    </row>
    <row r="329" spans="1:10" x14ac:dyDescent="0.25">
      <c r="A329" t="str">
        <f t="shared" si="5"/>
        <v/>
      </c>
      <c r="B3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t="s">
        <v>112</v>
      </c>
    </row>
    <row r="330" spans="1:10" x14ac:dyDescent="0.25">
      <c r="A330" t="str">
        <f t="shared" si="5"/>
        <v/>
      </c>
      <c r="B3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t="s">
        <v>112</v>
      </c>
    </row>
    <row r="331" spans="1:10" x14ac:dyDescent="0.25">
      <c r="A331" t="str">
        <f t="shared" si="5"/>
        <v/>
      </c>
      <c r="B3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t="s">
        <v>246</v>
      </c>
      <c r="D331" t="s">
        <v>110</v>
      </c>
      <c r="E331" t="s">
        <v>111</v>
      </c>
      <c r="F331" t="s">
        <v>112</v>
      </c>
      <c r="G331" t="s">
        <v>113</v>
      </c>
    </row>
    <row r="332" spans="1:10" x14ac:dyDescent="0.25">
      <c r="A332" t="str">
        <f t="shared" si="5"/>
        <v>11 TriphenylP 0.59</v>
      </c>
      <c r="B33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t="s">
        <v>2304</v>
      </c>
      <c r="D332" t="s">
        <v>1711</v>
      </c>
      <c r="E332" t="s">
        <v>2305</v>
      </c>
      <c r="F332" t="s">
        <v>112</v>
      </c>
      <c r="G332">
        <v>124156</v>
      </c>
    </row>
    <row r="333" spans="1:10" x14ac:dyDescent="0.25">
      <c r="A333" t="str">
        <f t="shared" si="5"/>
        <v>11 TriphenylP 0.59</v>
      </c>
      <c r="B33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t="s">
        <v>2306</v>
      </c>
      <c r="D333" t="s">
        <v>2307</v>
      </c>
      <c r="E333" t="s">
        <v>2308</v>
      </c>
      <c r="F333" t="s">
        <v>112</v>
      </c>
      <c r="G333">
        <v>528829</v>
      </c>
    </row>
    <row r="334" spans="1:10" x14ac:dyDescent="0.25">
      <c r="A334" t="str">
        <f t="shared" si="5"/>
        <v>11 TriphenylP 0.59</v>
      </c>
      <c r="B33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t="s">
        <v>2309</v>
      </c>
      <c r="D334" t="s">
        <v>2310</v>
      </c>
      <c r="E334" t="s">
        <v>2311</v>
      </c>
      <c r="F334" t="s">
        <v>112</v>
      </c>
      <c r="G334">
        <v>525888</v>
      </c>
    </row>
    <row r="335" spans="1:10" x14ac:dyDescent="0.25">
      <c r="A335" t="str">
        <f t="shared" si="5"/>
        <v>11 TriphenylP 0.59</v>
      </c>
      <c r="B33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t="s">
        <v>2312</v>
      </c>
      <c r="D335" t="s">
        <v>2313</v>
      </c>
      <c r="E335" t="s">
        <v>2314</v>
      </c>
      <c r="F335" t="s">
        <v>112</v>
      </c>
      <c r="G335">
        <v>275954</v>
      </c>
    </row>
    <row r="336" spans="1:10" x14ac:dyDescent="0.25">
      <c r="A336" t="str">
        <f t="shared" si="5"/>
        <v>11 TriphenylP 0.59</v>
      </c>
      <c r="B33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t="s">
        <v>2315</v>
      </c>
      <c r="D336" t="s">
        <v>1731</v>
      </c>
      <c r="E336" t="s">
        <v>2316</v>
      </c>
      <c r="F336" t="s">
        <v>112</v>
      </c>
      <c r="G336">
        <v>440817</v>
      </c>
    </row>
    <row r="337" spans="1:7" x14ac:dyDescent="0.25">
      <c r="A337" t="str">
        <f t="shared" si="5"/>
        <v>11 TriphenylP 0.59</v>
      </c>
      <c r="B33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t="s">
        <v>2317</v>
      </c>
      <c r="D337" t="s">
        <v>2318</v>
      </c>
      <c r="E337" t="s">
        <v>2319</v>
      </c>
      <c r="F337" t="s">
        <v>112</v>
      </c>
      <c r="G337">
        <v>409519</v>
      </c>
    </row>
    <row r="338" spans="1:7" x14ac:dyDescent="0.25">
      <c r="A338" t="str">
        <f t="shared" si="5"/>
        <v>11 TriphenylP 0.59</v>
      </c>
      <c r="B33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t="s">
        <v>2320</v>
      </c>
      <c r="D338" t="s">
        <v>2321</v>
      </c>
      <c r="E338" t="s">
        <v>2322</v>
      </c>
      <c r="F338" t="s">
        <v>112</v>
      </c>
      <c r="G338">
        <v>370152</v>
      </c>
    </row>
    <row r="339" spans="1:7" x14ac:dyDescent="0.25">
      <c r="A339" t="str">
        <f t="shared" si="5"/>
        <v>11 TriphenylP 0.59</v>
      </c>
      <c r="B33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t="s">
        <v>2323</v>
      </c>
      <c r="D339" t="s">
        <v>2324</v>
      </c>
      <c r="E339" t="s">
        <v>2325</v>
      </c>
      <c r="F339" t="s">
        <v>112</v>
      </c>
      <c r="G339">
        <v>300677</v>
      </c>
    </row>
    <row r="340" spans="1:7" x14ac:dyDescent="0.25">
      <c r="A340" t="str">
        <f t="shared" si="5"/>
        <v>11 TriphenylP 0.59</v>
      </c>
      <c r="B34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t="s">
        <v>2326</v>
      </c>
      <c r="D340" t="s">
        <v>193</v>
      </c>
      <c r="E340" t="s">
        <v>2327</v>
      </c>
      <c r="F340" t="s">
        <v>112</v>
      </c>
      <c r="G340">
        <v>312292</v>
      </c>
    </row>
    <row r="341" spans="1:7" x14ac:dyDescent="0.25">
      <c r="A341" t="str">
        <f t="shared" si="5"/>
        <v>11 TriphenylP 0.59</v>
      </c>
      <c r="B34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t="s">
        <v>2328</v>
      </c>
      <c r="D341" t="s">
        <v>1054</v>
      </c>
      <c r="E341" t="s">
        <v>2329</v>
      </c>
      <c r="F341" t="s">
        <v>112</v>
      </c>
      <c r="G341">
        <v>1374926</v>
      </c>
    </row>
    <row r="342" spans="1:7" x14ac:dyDescent="0.25">
      <c r="A342" t="str">
        <f t="shared" si="5"/>
        <v>11 TriphenylP 0.59</v>
      </c>
      <c r="B34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t="s">
        <v>2330</v>
      </c>
    </row>
    <row r="343" spans="1:7" x14ac:dyDescent="0.25">
      <c r="A343" t="str">
        <f t="shared" si="5"/>
        <v>11 TriphenylP 0.59</v>
      </c>
      <c r="B34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t="s">
        <v>2331</v>
      </c>
      <c r="D343" t="s">
        <v>2332</v>
      </c>
      <c r="E343" t="s">
        <v>2333</v>
      </c>
      <c r="F343" t="s">
        <v>112</v>
      </c>
      <c r="G343">
        <v>1216249</v>
      </c>
    </row>
    <row r="344" spans="1:7" x14ac:dyDescent="0.25">
      <c r="A344" t="str">
        <f t="shared" si="5"/>
        <v>11 TriphenylP 0.59</v>
      </c>
      <c r="B3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t="s">
        <v>2334</v>
      </c>
      <c r="D344" t="s">
        <v>2335</v>
      </c>
      <c r="E344" t="s">
        <v>2336</v>
      </c>
      <c r="F344" t="s">
        <v>112</v>
      </c>
      <c r="G344">
        <v>541137</v>
      </c>
    </row>
    <row r="345" spans="1:7" x14ac:dyDescent="0.25">
      <c r="A345" t="str">
        <f t="shared" si="5"/>
        <v>11 TriphenylP 0.59</v>
      </c>
      <c r="B34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t="s">
        <v>2337</v>
      </c>
      <c r="D345" t="s">
        <v>2338</v>
      </c>
      <c r="E345" t="s">
        <v>2339</v>
      </c>
      <c r="F345" t="s">
        <v>112</v>
      </c>
      <c r="G345">
        <v>898982</v>
      </c>
    </row>
    <row r="346" spans="1:7" x14ac:dyDescent="0.25">
      <c r="A346" t="str">
        <f t="shared" si="5"/>
        <v>11 TriphenylP 0.59</v>
      </c>
      <c r="B34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t="s">
        <v>2340</v>
      </c>
      <c r="D346" t="s">
        <v>2341</v>
      </c>
      <c r="E346" t="s">
        <v>2342</v>
      </c>
      <c r="F346" t="s">
        <v>112</v>
      </c>
      <c r="G346">
        <v>630771</v>
      </c>
    </row>
    <row r="347" spans="1:7" x14ac:dyDescent="0.25">
      <c r="A347" t="str">
        <f t="shared" si="5"/>
        <v>11 TriphenylP 0.59</v>
      </c>
      <c r="B34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t="s">
        <v>2343</v>
      </c>
      <c r="D347" t="s">
        <v>1728</v>
      </c>
      <c r="E347" t="s">
        <v>2344</v>
      </c>
      <c r="F347" t="s">
        <v>112</v>
      </c>
      <c r="G347">
        <v>51090</v>
      </c>
    </row>
    <row r="348" spans="1:7" x14ac:dyDescent="0.25">
      <c r="A348" t="str">
        <f t="shared" si="5"/>
        <v>11 TriphenylP 0.59</v>
      </c>
      <c r="B34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t="s">
        <v>2345</v>
      </c>
      <c r="D348" t="s">
        <v>1792</v>
      </c>
      <c r="E348" t="s">
        <v>2346</v>
      </c>
      <c r="F348" t="s">
        <v>112</v>
      </c>
      <c r="G348">
        <v>113211</v>
      </c>
    </row>
    <row r="349" spans="1:7" x14ac:dyDescent="0.25">
      <c r="A349" t="str">
        <f t="shared" si="5"/>
        <v>11 TriphenylP 0.59</v>
      </c>
      <c r="B34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t="s">
        <v>2347</v>
      </c>
      <c r="D349" t="s">
        <v>2348</v>
      </c>
      <c r="E349" t="s">
        <v>2349</v>
      </c>
      <c r="F349" t="s">
        <v>112</v>
      </c>
      <c r="G349">
        <v>15379</v>
      </c>
    </row>
    <row r="350" spans="1:7" x14ac:dyDescent="0.25">
      <c r="A350" t="str">
        <f t="shared" si="5"/>
        <v>11 TriphenylP 0.59</v>
      </c>
      <c r="B35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t="s">
        <v>2350</v>
      </c>
      <c r="D350" t="s">
        <v>257</v>
      </c>
      <c r="E350" t="s">
        <v>2351</v>
      </c>
      <c r="F350" t="s">
        <v>112</v>
      </c>
      <c r="G350">
        <v>713311</v>
      </c>
    </row>
    <row r="351" spans="1:7" x14ac:dyDescent="0.25">
      <c r="A351" t="str">
        <f t="shared" si="5"/>
        <v>11 TriphenylP 0.59</v>
      </c>
      <c r="B35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t="s">
        <v>2352</v>
      </c>
      <c r="D351" t="s">
        <v>2353</v>
      </c>
      <c r="E351" t="s">
        <v>2354</v>
      </c>
      <c r="F351" t="s">
        <v>112</v>
      </c>
      <c r="G351">
        <v>512542</v>
      </c>
    </row>
    <row r="352" spans="1:7" x14ac:dyDescent="0.25">
      <c r="A352" t="str">
        <f t="shared" si="5"/>
        <v>11 TriphenylP 0.59</v>
      </c>
      <c r="B35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t="s">
        <v>2355</v>
      </c>
      <c r="D352" t="s">
        <v>2356</v>
      </c>
      <c r="E352" t="s">
        <v>2357</v>
      </c>
      <c r="F352" t="s">
        <v>112</v>
      </c>
      <c r="G352">
        <v>692459</v>
      </c>
    </row>
    <row r="353" spans="1:10" x14ac:dyDescent="0.25">
      <c r="A353" t="str">
        <f t="shared" si="5"/>
        <v>11 TriphenylP 0.59</v>
      </c>
      <c r="B35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t="s">
        <v>2358</v>
      </c>
      <c r="D353" t="s">
        <v>2359</v>
      </c>
      <c r="E353" t="s">
        <v>2360</v>
      </c>
      <c r="F353" t="s">
        <v>112</v>
      </c>
      <c r="G353">
        <v>2334039</v>
      </c>
    </row>
    <row r="354" spans="1:10" x14ac:dyDescent="0.25">
      <c r="A354" t="str">
        <f t="shared" si="5"/>
        <v>11 TriphenylP 0.59</v>
      </c>
      <c r="B35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t="s">
        <v>2361</v>
      </c>
      <c r="D354" t="s">
        <v>2362</v>
      </c>
      <c r="E354" t="s">
        <v>2363</v>
      </c>
      <c r="F354" t="s">
        <v>112</v>
      </c>
      <c r="G354">
        <v>1534403</v>
      </c>
    </row>
    <row r="355" spans="1:10" x14ac:dyDescent="0.25">
      <c r="A355" t="str">
        <f t="shared" si="5"/>
        <v>11 TriphenylP 0.59</v>
      </c>
      <c r="B35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t="s">
        <v>2364</v>
      </c>
      <c r="D355" t="s">
        <v>2365</v>
      </c>
      <c r="E355" t="s">
        <v>2366</v>
      </c>
      <c r="F355" t="s">
        <v>112</v>
      </c>
      <c r="G355">
        <v>1350895</v>
      </c>
    </row>
    <row r="356" spans="1:10" x14ac:dyDescent="0.25">
      <c r="A356" t="str">
        <f t="shared" si="5"/>
        <v/>
      </c>
      <c r="B3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t="s">
        <v>112</v>
      </c>
    </row>
    <row r="357" spans="1:10" x14ac:dyDescent="0.25">
      <c r="A357" t="str">
        <f t="shared" si="5"/>
        <v/>
      </c>
      <c r="B3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t="s">
        <v>234</v>
      </c>
      <c r="D357" t="s">
        <v>112</v>
      </c>
      <c r="E357" t="s">
        <v>235</v>
      </c>
      <c r="F357" t="s">
        <v>236</v>
      </c>
      <c r="G357" t="s">
        <v>237</v>
      </c>
      <c r="H357" t="s">
        <v>238</v>
      </c>
      <c r="I357" t="s">
        <v>239</v>
      </c>
      <c r="J357" t="s">
        <v>240</v>
      </c>
    </row>
    <row r="358" spans="1:10" x14ac:dyDescent="0.25">
      <c r="A358" t="str">
        <f t="shared" si="5"/>
        <v>11 TriphenylP 0.59</v>
      </c>
      <c r="B35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t="s">
        <v>2367</v>
      </c>
      <c r="D358" t="s">
        <v>112</v>
      </c>
      <c r="E358" t="s">
        <v>2368</v>
      </c>
      <c r="F358" t="s">
        <v>2369</v>
      </c>
      <c r="G358" t="s">
        <v>2370</v>
      </c>
      <c r="H358">
        <v>572250</v>
      </c>
      <c r="I358">
        <v>24</v>
      </c>
      <c r="J358">
        <v>24</v>
      </c>
    </row>
    <row r="359" spans="1:10" x14ac:dyDescent="0.25">
      <c r="A359" t="str">
        <f t="shared" si="5"/>
        <v/>
      </c>
      <c r="B3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t="s">
        <v>112</v>
      </c>
    </row>
    <row r="360" spans="1:10" x14ac:dyDescent="0.25">
      <c r="A360" t="str">
        <f t="shared" si="5"/>
        <v/>
      </c>
      <c r="B3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t="s">
        <v>112</v>
      </c>
    </row>
    <row r="361" spans="1:10" x14ac:dyDescent="0.25">
      <c r="A361" t="str">
        <f t="shared" si="5"/>
        <v/>
      </c>
      <c r="B3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t="s">
        <v>112</v>
      </c>
    </row>
    <row r="362" spans="1:10" x14ac:dyDescent="0.25">
      <c r="A362" t="str">
        <f t="shared" si="5"/>
        <v/>
      </c>
      <c r="B3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t="s">
        <v>112</v>
      </c>
    </row>
    <row r="363" spans="1:10" x14ac:dyDescent="0.25">
      <c r="A363" t="str">
        <f t="shared" si="5"/>
        <v/>
      </c>
      <c r="B3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t="s">
        <v>112</v>
      </c>
    </row>
    <row r="364" spans="1:10" x14ac:dyDescent="0.25">
      <c r="A364" t="str">
        <f t="shared" si="5"/>
        <v/>
      </c>
      <c r="B3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t="s">
        <v>246</v>
      </c>
      <c r="D364" t="s">
        <v>110</v>
      </c>
      <c r="E364" t="s">
        <v>111</v>
      </c>
      <c r="F364" t="s">
        <v>112</v>
      </c>
      <c r="G364" t="s">
        <v>113</v>
      </c>
    </row>
    <row r="365" spans="1:10" x14ac:dyDescent="0.25">
      <c r="A365" t="str">
        <f t="shared" si="5"/>
        <v>12 TriphenylP 0.89</v>
      </c>
      <c r="B36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t="s">
        <v>2371</v>
      </c>
      <c r="D365" t="s">
        <v>2372</v>
      </c>
      <c r="E365" t="s">
        <v>2373</v>
      </c>
      <c r="F365" t="s">
        <v>112</v>
      </c>
      <c r="G365">
        <v>5273412</v>
      </c>
    </row>
    <row r="366" spans="1:10" x14ac:dyDescent="0.25">
      <c r="A366" t="str">
        <f t="shared" si="5"/>
        <v>12 TriphenylP 0.89</v>
      </c>
      <c r="B36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t="s">
        <v>2374</v>
      </c>
      <c r="D366" t="s">
        <v>2375</v>
      </c>
      <c r="E366" t="s">
        <v>2376</v>
      </c>
      <c r="F366" t="s">
        <v>112</v>
      </c>
      <c r="G366">
        <v>4899885</v>
      </c>
    </row>
    <row r="367" spans="1:10" x14ac:dyDescent="0.25">
      <c r="A367" t="str">
        <f t="shared" si="5"/>
        <v>12 TriphenylP 0.89</v>
      </c>
      <c r="B36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t="s">
        <v>2377</v>
      </c>
      <c r="D367" t="s">
        <v>2378</v>
      </c>
      <c r="E367" t="s">
        <v>2379</v>
      </c>
      <c r="F367" t="s">
        <v>112</v>
      </c>
      <c r="G367">
        <v>5645835</v>
      </c>
    </row>
    <row r="368" spans="1:10" x14ac:dyDescent="0.25">
      <c r="A368" t="str">
        <f t="shared" si="5"/>
        <v>12 TriphenylP 0.89</v>
      </c>
      <c r="B36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t="s">
        <v>2380</v>
      </c>
      <c r="D368" t="s">
        <v>577</v>
      </c>
      <c r="E368" t="s">
        <v>2381</v>
      </c>
      <c r="F368" t="s">
        <v>112</v>
      </c>
      <c r="G368">
        <v>1003692</v>
      </c>
    </row>
    <row r="369" spans="1:7" x14ac:dyDescent="0.25">
      <c r="A369" t="str">
        <f t="shared" si="5"/>
        <v>12 TriphenylP 0.89</v>
      </c>
      <c r="B36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t="s">
        <v>2382</v>
      </c>
      <c r="D369" t="s">
        <v>2383</v>
      </c>
      <c r="E369" t="s">
        <v>2384</v>
      </c>
      <c r="F369" t="s">
        <v>112</v>
      </c>
      <c r="G369">
        <v>1070031</v>
      </c>
    </row>
    <row r="370" spans="1:7" x14ac:dyDescent="0.25">
      <c r="A370" t="str">
        <f t="shared" si="5"/>
        <v>12 TriphenylP 0.89</v>
      </c>
      <c r="B37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t="s">
        <v>2385</v>
      </c>
      <c r="D370" t="s">
        <v>2386</v>
      </c>
      <c r="E370" t="s">
        <v>2387</v>
      </c>
      <c r="F370" t="s">
        <v>112</v>
      </c>
      <c r="G370">
        <v>820725</v>
      </c>
    </row>
    <row r="371" spans="1:7" x14ac:dyDescent="0.25">
      <c r="A371" t="str">
        <f t="shared" si="5"/>
        <v>12 TriphenylP 0.89</v>
      </c>
      <c r="B37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t="s">
        <v>2388</v>
      </c>
      <c r="D371" t="s">
        <v>2389</v>
      </c>
      <c r="E371" t="s">
        <v>2390</v>
      </c>
      <c r="F371" t="s">
        <v>112</v>
      </c>
      <c r="G371">
        <v>2331162</v>
      </c>
    </row>
    <row r="372" spans="1:7" x14ac:dyDescent="0.25">
      <c r="A372" t="str">
        <f t="shared" si="5"/>
        <v>12 TriphenylP 0.89</v>
      </c>
      <c r="B37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t="s">
        <v>2391</v>
      </c>
      <c r="D372" t="s">
        <v>2392</v>
      </c>
      <c r="E372" t="s">
        <v>2393</v>
      </c>
      <c r="F372" t="s">
        <v>112</v>
      </c>
      <c r="G372">
        <v>1816565</v>
      </c>
    </row>
    <row r="373" spans="1:7" x14ac:dyDescent="0.25">
      <c r="A373" t="str">
        <f t="shared" si="5"/>
        <v>12 TriphenylP 0.89</v>
      </c>
      <c r="B37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t="s">
        <v>2394</v>
      </c>
      <c r="D373" t="s">
        <v>2395</v>
      </c>
      <c r="E373" t="s">
        <v>2396</v>
      </c>
      <c r="F373" t="s">
        <v>112</v>
      </c>
      <c r="G373">
        <v>4887210</v>
      </c>
    </row>
    <row r="374" spans="1:7" x14ac:dyDescent="0.25">
      <c r="A374" t="str">
        <f t="shared" si="5"/>
        <v>12 TriphenylP 0.89</v>
      </c>
      <c r="B37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t="s">
        <v>2397</v>
      </c>
      <c r="D374" t="s">
        <v>2398</v>
      </c>
      <c r="E374" t="s">
        <v>2399</v>
      </c>
      <c r="F374" t="s">
        <v>112</v>
      </c>
      <c r="G374">
        <v>2511598</v>
      </c>
    </row>
    <row r="375" spans="1:7" x14ac:dyDescent="0.25">
      <c r="A375" t="str">
        <f t="shared" si="5"/>
        <v>12 TriphenylP 0.89</v>
      </c>
      <c r="B37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t="s">
        <v>2400</v>
      </c>
      <c r="D375" t="s">
        <v>2401</v>
      </c>
      <c r="E375" t="s">
        <v>2402</v>
      </c>
      <c r="F375" t="s">
        <v>112</v>
      </c>
      <c r="G375">
        <v>2669540</v>
      </c>
    </row>
    <row r="376" spans="1:7" x14ac:dyDescent="0.25">
      <c r="A376" t="str">
        <f t="shared" si="5"/>
        <v>12 TriphenylP 0.89</v>
      </c>
      <c r="B37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t="s">
        <v>2403</v>
      </c>
      <c r="D376" t="s">
        <v>583</v>
      </c>
      <c r="E376" t="s">
        <v>2404</v>
      </c>
      <c r="F376" t="s">
        <v>112</v>
      </c>
      <c r="G376">
        <v>2733197</v>
      </c>
    </row>
    <row r="377" spans="1:7" x14ac:dyDescent="0.25">
      <c r="A377" t="str">
        <f t="shared" si="5"/>
        <v>12 TriphenylP 0.89</v>
      </c>
      <c r="B37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t="s">
        <v>2405</v>
      </c>
      <c r="D377" t="s">
        <v>2406</v>
      </c>
      <c r="E377" t="s">
        <v>2407</v>
      </c>
      <c r="F377" t="s">
        <v>112</v>
      </c>
      <c r="G377">
        <v>3175031</v>
      </c>
    </row>
    <row r="378" spans="1:7" x14ac:dyDescent="0.25">
      <c r="A378" t="str">
        <f t="shared" si="5"/>
        <v>12 TriphenylP 0.89</v>
      </c>
      <c r="B37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t="s">
        <v>2408</v>
      </c>
      <c r="D378" t="s">
        <v>2409</v>
      </c>
      <c r="E378" t="s">
        <v>2410</v>
      </c>
      <c r="F378" t="s">
        <v>112</v>
      </c>
      <c r="G378">
        <v>2575320</v>
      </c>
    </row>
    <row r="379" spans="1:7" x14ac:dyDescent="0.25">
      <c r="A379" t="str">
        <f t="shared" si="5"/>
        <v>12 TriphenylP 0.89</v>
      </c>
      <c r="B37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t="s">
        <v>2411</v>
      </c>
      <c r="D379" t="s">
        <v>2412</v>
      </c>
      <c r="E379" t="s">
        <v>2413</v>
      </c>
      <c r="F379" t="s">
        <v>112</v>
      </c>
      <c r="G379">
        <v>3339180</v>
      </c>
    </row>
    <row r="380" spans="1:7" x14ac:dyDescent="0.25">
      <c r="A380" t="str">
        <f t="shared" si="5"/>
        <v>12 TriphenylP 0.89</v>
      </c>
      <c r="B38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t="s">
        <v>2414</v>
      </c>
    </row>
    <row r="381" spans="1:7" x14ac:dyDescent="0.25">
      <c r="A381" t="str">
        <f t="shared" si="5"/>
        <v>12 TriphenylP 0.89</v>
      </c>
      <c r="B38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t="s">
        <v>2415</v>
      </c>
      <c r="D381" t="s">
        <v>2416</v>
      </c>
      <c r="E381" t="s">
        <v>2417</v>
      </c>
      <c r="F381" t="s">
        <v>112</v>
      </c>
      <c r="G381">
        <v>5457222</v>
      </c>
    </row>
    <row r="382" spans="1:7" x14ac:dyDescent="0.25">
      <c r="A382" t="str">
        <f t="shared" si="5"/>
        <v>12 TriphenylP 0.89</v>
      </c>
      <c r="B38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t="s">
        <v>2418</v>
      </c>
      <c r="D382" t="s">
        <v>2065</v>
      </c>
      <c r="E382" t="s">
        <v>2419</v>
      </c>
      <c r="F382" t="s">
        <v>112</v>
      </c>
      <c r="G382">
        <v>5366701</v>
      </c>
    </row>
    <row r="383" spans="1:7" x14ac:dyDescent="0.25">
      <c r="A383" t="str">
        <f t="shared" si="5"/>
        <v>12 TriphenylP 0.89</v>
      </c>
      <c r="B38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t="s">
        <v>2420</v>
      </c>
    </row>
    <row r="384" spans="1:7" x14ac:dyDescent="0.25">
      <c r="A384" t="str">
        <f t="shared" si="5"/>
        <v>12 TriphenylP 0.89</v>
      </c>
      <c r="B38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t="s">
        <v>2421</v>
      </c>
      <c r="D384" t="s">
        <v>2422</v>
      </c>
      <c r="E384" t="s">
        <v>2423</v>
      </c>
      <c r="F384" t="s">
        <v>112</v>
      </c>
      <c r="G384">
        <v>1198318</v>
      </c>
    </row>
    <row r="385" spans="1:10" x14ac:dyDescent="0.25">
      <c r="A385" t="str">
        <f t="shared" si="5"/>
        <v>12 TriphenylP 0.89</v>
      </c>
      <c r="B38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t="s">
        <v>2424</v>
      </c>
      <c r="D385" t="s">
        <v>2425</v>
      </c>
      <c r="E385" t="s">
        <v>2426</v>
      </c>
      <c r="F385" t="s">
        <v>112</v>
      </c>
      <c r="G385">
        <v>1172643</v>
      </c>
    </row>
    <row r="386" spans="1:10" x14ac:dyDescent="0.25">
      <c r="A386" t="str">
        <f t="shared" ref="A386:A449" si="6">IFERROR(LEFT(RIGHT(C386,LEN(C386)-SEARCH("@",C386)),SEARCH("/",RIGHT(C386,LEN(C386)-SEARCH("@",C386)-1))),"")</f>
        <v>12 TriphenylP 0.89</v>
      </c>
      <c r="B38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t="s">
        <v>2427</v>
      </c>
      <c r="D386" t="s">
        <v>2428</v>
      </c>
      <c r="E386" t="s">
        <v>2429</v>
      </c>
      <c r="F386" t="s">
        <v>112</v>
      </c>
      <c r="G386">
        <v>1500898</v>
      </c>
    </row>
    <row r="387" spans="1:10" x14ac:dyDescent="0.25">
      <c r="A387" t="str">
        <f t="shared" si="6"/>
        <v>12 TriphenylP 0.89</v>
      </c>
      <c r="B38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t="s">
        <v>2430</v>
      </c>
      <c r="D387" t="s">
        <v>577</v>
      </c>
      <c r="E387" t="s">
        <v>2431</v>
      </c>
      <c r="F387" t="s">
        <v>112</v>
      </c>
      <c r="G387">
        <v>1149499</v>
      </c>
    </row>
    <row r="388" spans="1:10" x14ac:dyDescent="0.25">
      <c r="A388" t="str">
        <f t="shared" si="6"/>
        <v>12 TriphenylP 0.89</v>
      </c>
      <c r="B38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t="s">
        <v>2432</v>
      </c>
      <c r="D388" t="s">
        <v>2433</v>
      </c>
      <c r="E388" t="s">
        <v>2434</v>
      </c>
      <c r="F388" t="s">
        <v>112</v>
      </c>
      <c r="G388">
        <v>974167</v>
      </c>
    </row>
    <row r="389" spans="1:10" x14ac:dyDescent="0.25">
      <c r="A389" t="str">
        <f t="shared" si="6"/>
        <v/>
      </c>
      <c r="B3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t="s">
        <v>112</v>
      </c>
    </row>
    <row r="390" spans="1:10" x14ac:dyDescent="0.25">
      <c r="A390" t="str">
        <f t="shared" si="6"/>
        <v/>
      </c>
      <c r="B3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t="s">
        <v>234</v>
      </c>
      <c r="D390" t="s">
        <v>112</v>
      </c>
      <c r="E390" t="s">
        <v>235</v>
      </c>
      <c r="F390" t="s">
        <v>236</v>
      </c>
      <c r="G390" t="s">
        <v>237</v>
      </c>
      <c r="H390" t="s">
        <v>238</v>
      </c>
      <c r="I390" t="s">
        <v>239</v>
      </c>
      <c r="J390" t="s">
        <v>240</v>
      </c>
    </row>
    <row r="391" spans="1:10" x14ac:dyDescent="0.25">
      <c r="A391" t="str">
        <f t="shared" si="6"/>
        <v>12 TriphenylP 0.89</v>
      </c>
      <c r="B39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t="s">
        <v>2435</v>
      </c>
      <c r="D391" t="s">
        <v>112</v>
      </c>
      <c r="E391" t="s">
        <v>2436</v>
      </c>
      <c r="F391" t="s">
        <v>2437</v>
      </c>
      <c r="G391" t="s">
        <v>2438</v>
      </c>
      <c r="H391" t="s">
        <v>2439</v>
      </c>
      <c r="I391">
        <v>24</v>
      </c>
      <c r="J391">
        <v>24</v>
      </c>
    </row>
    <row r="392" spans="1:10" x14ac:dyDescent="0.25">
      <c r="A392" t="str">
        <f t="shared" si="6"/>
        <v/>
      </c>
      <c r="B3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t="s">
        <v>112</v>
      </c>
    </row>
    <row r="393" spans="1:10" x14ac:dyDescent="0.25">
      <c r="A393" t="str">
        <f t="shared" si="6"/>
        <v/>
      </c>
      <c r="B3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t="s">
        <v>112</v>
      </c>
    </row>
    <row r="394" spans="1:10" x14ac:dyDescent="0.25">
      <c r="A394" t="str">
        <f t="shared" si="6"/>
        <v/>
      </c>
      <c r="B3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t="s">
        <v>112</v>
      </c>
    </row>
    <row r="395" spans="1:10" x14ac:dyDescent="0.25">
      <c r="A395" t="str">
        <f t="shared" si="6"/>
        <v/>
      </c>
      <c r="B3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t="s">
        <v>112</v>
      </c>
    </row>
    <row r="396" spans="1:10" x14ac:dyDescent="0.25">
      <c r="A396" t="str">
        <f t="shared" si="6"/>
        <v/>
      </c>
      <c r="B3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t="s">
        <v>112</v>
      </c>
    </row>
    <row r="397" spans="1:10" x14ac:dyDescent="0.25">
      <c r="A397" t="str">
        <f t="shared" si="6"/>
        <v/>
      </c>
      <c r="B3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t="s">
        <v>246</v>
      </c>
      <c r="D397" t="s">
        <v>110</v>
      </c>
      <c r="E397" t="s">
        <v>111</v>
      </c>
      <c r="F397" t="s">
        <v>112</v>
      </c>
      <c r="G397" t="s">
        <v>113</v>
      </c>
    </row>
    <row r="398" spans="1:10" x14ac:dyDescent="0.25">
      <c r="A398" t="str">
        <f t="shared" si="6"/>
        <v>13 TESTO</v>
      </c>
      <c r="B39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t="s">
        <v>2440</v>
      </c>
      <c r="D398" t="s">
        <v>2441</v>
      </c>
      <c r="E398" t="s">
        <v>2442</v>
      </c>
      <c r="F398" t="s">
        <v>112</v>
      </c>
      <c r="G398">
        <v>3652619</v>
      </c>
    </row>
    <row r="399" spans="1:10" x14ac:dyDescent="0.25">
      <c r="A399" t="str">
        <f t="shared" si="6"/>
        <v>13 TESTO</v>
      </c>
      <c r="B39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t="s">
        <v>2443</v>
      </c>
      <c r="D399" t="s">
        <v>2444</v>
      </c>
      <c r="E399" t="s">
        <v>2445</v>
      </c>
      <c r="F399" t="s">
        <v>112</v>
      </c>
      <c r="G399">
        <v>3630794</v>
      </c>
    </row>
    <row r="400" spans="1:10" x14ac:dyDescent="0.25">
      <c r="A400" t="str">
        <f t="shared" si="6"/>
        <v>13 TESTO</v>
      </c>
      <c r="B40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t="s">
        <v>2446</v>
      </c>
      <c r="D400" t="s">
        <v>2447</v>
      </c>
      <c r="E400" t="s">
        <v>2448</v>
      </c>
      <c r="F400" t="s">
        <v>112</v>
      </c>
      <c r="G400">
        <v>3399224</v>
      </c>
    </row>
    <row r="401" spans="1:7" x14ac:dyDescent="0.25">
      <c r="A401" t="str">
        <f t="shared" si="6"/>
        <v>13 TESTO</v>
      </c>
      <c r="B40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t="s">
        <v>2449</v>
      </c>
      <c r="D401" t="s">
        <v>2450</v>
      </c>
      <c r="E401" t="s">
        <v>2451</v>
      </c>
      <c r="F401" t="s">
        <v>112</v>
      </c>
      <c r="G401">
        <v>1895082</v>
      </c>
    </row>
    <row r="402" spans="1:7" x14ac:dyDescent="0.25">
      <c r="A402" t="str">
        <f t="shared" si="6"/>
        <v>13 TESTO</v>
      </c>
      <c r="B40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t="s">
        <v>2452</v>
      </c>
      <c r="D402" t="s">
        <v>2453</v>
      </c>
      <c r="E402" t="s">
        <v>2454</v>
      </c>
      <c r="F402" t="s">
        <v>112</v>
      </c>
      <c r="G402">
        <v>1855218</v>
      </c>
    </row>
    <row r="403" spans="1:7" x14ac:dyDescent="0.25">
      <c r="A403" t="str">
        <f t="shared" si="6"/>
        <v>13 TESTO</v>
      </c>
      <c r="B40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t="s">
        <v>2455</v>
      </c>
      <c r="D403" t="s">
        <v>2456</v>
      </c>
      <c r="E403" t="s">
        <v>2457</v>
      </c>
      <c r="F403" t="s">
        <v>112</v>
      </c>
      <c r="G403">
        <v>1626179</v>
      </c>
    </row>
    <row r="404" spans="1:7" x14ac:dyDescent="0.25">
      <c r="A404" t="str">
        <f t="shared" si="6"/>
        <v>13 TESTO</v>
      </c>
      <c r="B40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t="s">
        <v>2458</v>
      </c>
      <c r="D404" t="s">
        <v>2459</v>
      </c>
      <c r="E404" t="s">
        <v>2460</v>
      </c>
      <c r="F404" t="s">
        <v>112</v>
      </c>
      <c r="G404">
        <v>3272127</v>
      </c>
    </row>
    <row r="405" spans="1:7" x14ac:dyDescent="0.25">
      <c r="A405" t="str">
        <f t="shared" si="6"/>
        <v>13 TESTO</v>
      </c>
      <c r="B40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t="s">
        <v>2461</v>
      </c>
      <c r="D405" t="s">
        <v>2462</v>
      </c>
      <c r="E405" t="s">
        <v>2463</v>
      </c>
      <c r="F405" t="s">
        <v>112</v>
      </c>
      <c r="G405">
        <v>2046253</v>
      </c>
    </row>
    <row r="406" spans="1:7" x14ac:dyDescent="0.25">
      <c r="A406" t="str">
        <f t="shared" si="6"/>
        <v>13 TESTO</v>
      </c>
      <c r="B40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t="s">
        <v>2464</v>
      </c>
      <c r="D406" t="s">
        <v>1194</v>
      </c>
      <c r="E406" t="s">
        <v>2465</v>
      </c>
      <c r="F406" t="s">
        <v>112</v>
      </c>
      <c r="G406">
        <v>2690543</v>
      </c>
    </row>
    <row r="407" spans="1:7" x14ac:dyDescent="0.25">
      <c r="A407" t="str">
        <f t="shared" si="6"/>
        <v>13 TESTO</v>
      </c>
      <c r="B40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t="s">
        <v>2466</v>
      </c>
    </row>
    <row r="408" spans="1:7" x14ac:dyDescent="0.25">
      <c r="A408" t="str">
        <f t="shared" si="6"/>
        <v>13 TESTO</v>
      </c>
      <c r="B40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t="s">
        <v>2467</v>
      </c>
      <c r="D408" t="s">
        <v>1503</v>
      </c>
      <c r="E408" t="s">
        <v>2468</v>
      </c>
      <c r="F408" t="s">
        <v>112</v>
      </c>
      <c r="G408">
        <v>2897281</v>
      </c>
    </row>
    <row r="409" spans="1:7" x14ac:dyDescent="0.25">
      <c r="A409" t="str">
        <f t="shared" si="6"/>
        <v>13 TESTO</v>
      </c>
      <c r="B40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t="s">
        <v>2469</v>
      </c>
      <c r="D409" t="s">
        <v>2470</v>
      </c>
      <c r="E409" t="s">
        <v>2471</v>
      </c>
      <c r="F409" t="s">
        <v>112</v>
      </c>
      <c r="G409">
        <v>2627773</v>
      </c>
    </row>
    <row r="410" spans="1:7" x14ac:dyDescent="0.25">
      <c r="A410" t="str">
        <f t="shared" si="6"/>
        <v>13 TESTO</v>
      </c>
      <c r="B41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t="s">
        <v>2472</v>
      </c>
      <c r="D410" t="s">
        <v>2473</v>
      </c>
      <c r="E410" t="s">
        <v>2474</v>
      </c>
      <c r="F410" t="s">
        <v>112</v>
      </c>
      <c r="G410">
        <v>2968162</v>
      </c>
    </row>
    <row r="411" spans="1:7" x14ac:dyDescent="0.25">
      <c r="A411" t="str">
        <f t="shared" si="6"/>
        <v>13 TESTO</v>
      </c>
      <c r="B41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t="s">
        <v>2475</v>
      </c>
      <c r="D411" t="s">
        <v>2476</v>
      </c>
      <c r="E411" t="s">
        <v>2477</v>
      </c>
      <c r="F411" t="s">
        <v>112</v>
      </c>
      <c r="G411">
        <v>2916964</v>
      </c>
    </row>
    <row r="412" spans="1:7" x14ac:dyDescent="0.25">
      <c r="A412" t="str">
        <f t="shared" si="6"/>
        <v>13 TESTO</v>
      </c>
      <c r="B41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t="s">
        <v>2478</v>
      </c>
      <c r="D412" t="s">
        <v>2479</v>
      </c>
      <c r="E412" t="s">
        <v>2480</v>
      </c>
      <c r="F412" t="s">
        <v>112</v>
      </c>
      <c r="G412">
        <v>2841541</v>
      </c>
    </row>
    <row r="413" spans="1:7" x14ac:dyDescent="0.25">
      <c r="A413" t="str">
        <f t="shared" si="6"/>
        <v>13 TESTO</v>
      </c>
      <c r="B41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t="s">
        <v>2481</v>
      </c>
      <c r="D413" t="s">
        <v>2482</v>
      </c>
      <c r="E413" t="s">
        <v>2483</v>
      </c>
      <c r="F413" t="s">
        <v>112</v>
      </c>
      <c r="G413">
        <v>3060998</v>
      </c>
    </row>
    <row r="414" spans="1:7" x14ac:dyDescent="0.25">
      <c r="A414" t="str">
        <f t="shared" si="6"/>
        <v>13 TESTO</v>
      </c>
      <c r="B41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t="s">
        <v>2484</v>
      </c>
      <c r="D414" t="s">
        <v>2485</v>
      </c>
      <c r="E414" t="s">
        <v>2486</v>
      </c>
      <c r="F414" t="s">
        <v>112</v>
      </c>
      <c r="G414">
        <v>2315913</v>
      </c>
    </row>
    <row r="415" spans="1:7" x14ac:dyDescent="0.25">
      <c r="A415" t="str">
        <f t="shared" si="6"/>
        <v>13 TESTO</v>
      </c>
      <c r="B41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t="s">
        <v>2487</v>
      </c>
      <c r="D415" t="s">
        <v>2488</v>
      </c>
      <c r="E415" t="s">
        <v>2489</v>
      </c>
      <c r="F415" t="s">
        <v>112</v>
      </c>
      <c r="G415">
        <v>2453154</v>
      </c>
    </row>
    <row r="416" spans="1:7" x14ac:dyDescent="0.25">
      <c r="A416" t="str">
        <f t="shared" si="6"/>
        <v>13 TESTO</v>
      </c>
      <c r="B41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t="s">
        <v>2490</v>
      </c>
      <c r="D416" t="s">
        <v>2491</v>
      </c>
      <c r="E416" t="s">
        <v>2492</v>
      </c>
      <c r="F416" t="s">
        <v>112</v>
      </c>
      <c r="G416">
        <v>3706802</v>
      </c>
    </row>
    <row r="417" spans="1:10" x14ac:dyDescent="0.25">
      <c r="A417" t="str">
        <f t="shared" si="6"/>
        <v>13 TESTO</v>
      </c>
      <c r="B41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t="s">
        <v>2493</v>
      </c>
      <c r="D417" t="s">
        <v>1138</v>
      </c>
      <c r="E417" t="s">
        <v>2494</v>
      </c>
      <c r="F417" t="s">
        <v>112</v>
      </c>
      <c r="G417">
        <v>3986974</v>
      </c>
    </row>
    <row r="418" spans="1:10" x14ac:dyDescent="0.25">
      <c r="A418" t="str">
        <f t="shared" si="6"/>
        <v>13 TESTO</v>
      </c>
      <c r="B41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t="s">
        <v>2495</v>
      </c>
      <c r="D418" t="s">
        <v>2496</v>
      </c>
      <c r="E418" t="s">
        <v>2497</v>
      </c>
      <c r="F418" t="s">
        <v>112</v>
      </c>
      <c r="G418">
        <v>3478390</v>
      </c>
    </row>
    <row r="419" spans="1:10" x14ac:dyDescent="0.25">
      <c r="A419" t="str">
        <f t="shared" si="6"/>
        <v>13 TESTO</v>
      </c>
      <c r="B41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t="s">
        <v>2498</v>
      </c>
      <c r="D419" t="s">
        <v>2499</v>
      </c>
      <c r="E419" t="s">
        <v>2500</v>
      </c>
      <c r="F419" t="s">
        <v>112</v>
      </c>
      <c r="G419">
        <v>20419</v>
      </c>
    </row>
    <row r="420" spans="1:10" x14ac:dyDescent="0.25">
      <c r="A420" t="str">
        <f t="shared" si="6"/>
        <v>13 TESTO</v>
      </c>
      <c r="B42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t="s">
        <v>2501</v>
      </c>
      <c r="D420" t="s">
        <v>770</v>
      </c>
      <c r="E420">
        <v>64</v>
      </c>
      <c r="F420" t="s">
        <v>112</v>
      </c>
      <c r="G420">
        <v>29071</v>
      </c>
    </row>
    <row r="421" spans="1:10" x14ac:dyDescent="0.25">
      <c r="A421" t="str">
        <f t="shared" si="6"/>
        <v>13 TESTO</v>
      </c>
      <c r="B42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t="s">
        <v>2502</v>
      </c>
      <c r="D421" t="s">
        <v>2503</v>
      </c>
      <c r="E421" t="s">
        <v>765</v>
      </c>
      <c r="F421" t="s">
        <v>112</v>
      </c>
      <c r="G421">
        <v>24874</v>
      </c>
    </row>
    <row r="422" spans="1:10" x14ac:dyDescent="0.25">
      <c r="A422" t="str">
        <f t="shared" si="6"/>
        <v/>
      </c>
      <c r="B4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t="s">
        <v>112</v>
      </c>
    </row>
    <row r="423" spans="1:10" x14ac:dyDescent="0.25">
      <c r="A423" t="str">
        <f t="shared" si="6"/>
        <v/>
      </c>
      <c r="B4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t="s">
        <v>234</v>
      </c>
      <c r="D423" t="s">
        <v>112</v>
      </c>
      <c r="E423" t="s">
        <v>235</v>
      </c>
      <c r="F423" t="s">
        <v>236</v>
      </c>
      <c r="G423" t="s">
        <v>237</v>
      </c>
      <c r="H423" t="s">
        <v>238</v>
      </c>
      <c r="I423" t="s">
        <v>239</v>
      </c>
      <c r="J423" t="s">
        <v>240</v>
      </c>
    </row>
    <row r="424" spans="1:10" x14ac:dyDescent="0.25">
      <c r="A424" t="str">
        <f t="shared" si="6"/>
        <v>13 TESTO</v>
      </c>
      <c r="B42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t="s">
        <v>2504</v>
      </c>
      <c r="D424" t="s">
        <v>112</v>
      </c>
      <c r="E424" t="s">
        <v>2505</v>
      </c>
      <c r="F424" t="s">
        <v>2506</v>
      </c>
      <c r="G424" t="s">
        <v>2507</v>
      </c>
      <c r="H424" t="s">
        <v>2508</v>
      </c>
      <c r="I424">
        <v>24</v>
      </c>
      <c r="J424">
        <v>24</v>
      </c>
    </row>
    <row r="425" spans="1:10" x14ac:dyDescent="0.25">
      <c r="A425" t="str">
        <f t="shared" si="6"/>
        <v/>
      </c>
      <c r="B4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t="s">
        <v>112</v>
      </c>
    </row>
    <row r="426" spans="1:10" x14ac:dyDescent="0.25">
      <c r="A426" t="str">
        <f t="shared" si="6"/>
        <v/>
      </c>
      <c r="B4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t="s">
        <v>112</v>
      </c>
    </row>
    <row r="427" spans="1:10" x14ac:dyDescent="0.25">
      <c r="A427" t="str">
        <f t="shared" si="6"/>
        <v/>
      </c>
      <c r="B4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t="s">
        <v>112</v>
      </c>
    </row>
    <row r="428" spans="1:10" x14ac:dyDescent="0.25">
      <c r="A428" t="str">
        <f t="shared" si="6"/>
        <v/>
      </c>
      <c r="B4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t="s">
        <v>112</v>
      </c>
    </row>
    <row r="429" spans="1:10" x14ac:dyDescent="0.25">
      <c r="A429" t="str">
        <f t="shared" si="6"/>
        <v/>
      </c>
      <c r="B4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t="s">
        <v>112</v>
      </c>
    </row>
    <row r="430" spans="1:10" x14ac:dyDescent="0.25">
      <c r="A430" t="str">
        <f t="shared" si="6"/>
        <v/>
      </c>
      <c r="B4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t="s">
        <v>246</v>
      </c>
      <c r="D430" t="s">
        <v>110</v>
      </c>
      <c r="E430" t="s">
        <v>111</v>
      </c>
      <c r="F430" t="s">
        <v>112</v>
      </c>
      <c r="G430" t="s">
        <v>113</v>
      </c>
    </row>
    <row r="431" spans="1:10" x14ac:dyDescent="0.25">
      <c r="A431" t="str">
        <f t="shared" si="6"/>
        <v>14 TESTO</v>
      </c>
      <c r="B43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t="s">
        <v>2509</v>
      </c>
      <c r="D431" t="s">
        <v>2510</v>
      </c>
      <c r="E431" t="s">
        <v>2511</v>
      </c>
      <c r="F431" t="s">
        <v>112</v>
      </c>
      <c r="G431">
        <v>3451937</v>
      </c>
    </row>
    <row r="432" spans="1:10" x14ac:dyDescent="0.25">
      <c r="A432" t="str">
        <f t="shared" si="6"/>
        <v>14 TESTO</v>
      </c>
      <c r="B43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t="s">
        <v>2512</v>
      </c>
    </row>
    <row r="433" spans="1:7" x14ac:dyDescent="0.25">
      <c r="A433" t="str">
        <f t="shared" si="6"/>
        <v>14 TESTO</v>
      </c>
      <c r="B43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t="s">
        <v>2513</v>
      </c>
      <c r="D433" t="s">
        <v>2514</v>
      </c>
      <c r="E433" t="s">
        <v>2515</v>
      </c>
      <c r="F433" t="s">
        <v>112</v>
      </c>
      <c r="G433">
        <v>3489681</v>
      </c>
    </row>
    <row r="434" spans="1:7" x14ac:dyDescent="0.25">
      <c r="A434" t="str">
        <f t="shared" si="6"/>
        <v>14 TESTO</v>
      </c>
      <c r="B43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t="s">
        <v>2516</v>
      </c>
      <c r="D434" t="s">
        <v>1422</v>
      </c>
      <c r="E434" t="s">
        <v>2517</v>
      </c>
      <c r="F434" t="s">
        <v>112</v>
      </c>
      <c r="G434">
        <v>1719512</v>
      </c>
    </row>
    <row r="435" spans="1:7" x14ac:dyDescent="0.25">
      <c r="A435" t="str">
        <f t="shared" si="6"/>
        <v>14 TESTO</v>
      </c>
      <c r="B43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t="s">
        <v>2518</v>
      </c>
      <c r="D435" t="s">
        <v>2519</v>
      </c>
      <c r="E435" t="s">
        <v>2520</v>
      </c>
      <c r="F435" t="s">
        <v>112</v>
      </c>
      <c r="G435">
        <v>1531829</v>
      </c>
    </row>
    <row r="436" spans="1:7" x14ac:dyDescent="0.25">
      <c r="A436" t="str">
        <f t="shared" si="6"/>
        <v>14 TESTO</v>
      </c>
      <c r="B43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t="s">
        <v>2521</v>
      </c>
    </row>
    <row r="437" spans="1:7" x14ac:dyDescent="0.25">
      <c r="A437" t="str">
        <f t="shared" si="6"/>
        <v>14 TESTO</v>
      </c>
      <c r="B43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t="s">
        <v>2522</v>
      </c>
      <c r="D437" t="s">
        <v>2523</v>
      </c>
      <c r="E437" t="s">
        <v>2524</v>
      </c>
      <c r="F437" t="s">
        <v>112</v>
      </c>
      <c r="G437">
        <v>4176711</v>
      </c>
    </row>
    <row r="438" spans="1:7" x14ac:dyDescent="0.25">
      <c r="A438" t="str">
        <f t="shared" si="6"/>
        <v>14 TESTO</v>
      </c>
      <c r="B43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t="s">
        <v>2525</v>
      </c>
      <c r="D438" t="s">
        <v>2526</v>
      </c>
      <c r="E438" t="s">
        <v>2527</v>
      </c>
      <c r="F438" t="s">
        <v>112</v>
      </c>
      <c r="G438">
        <v>3647709</v>
      </c>
    </row>
    <row r="439" spans="1:7" x14ac:dyDescent="0.25">
      <c r="A439" t="str">
        <f t="shared" si="6"/>
        <v>14 TESTO</v>
      </c>
      <c r="B43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t="s">
        <v>2528</v>
      </c>
      <c r="D439" t="s">
        <v>550</v>
      </c>
      <c r="E439" t="s">
        <v>2529</v>
      </c>
      <c r="F439" t="s">
        <v>112</v>
      </c>
      <c r="G439">
        <v>4283822</v>
      </c>
    </row>
    <row r="440" spans="1:7" x14ac:dyDescent="0.25">
      <c r="A440" t="str">
        <f t="shared" si="6"/>
        <v>14 TESTO</v>
      </c>
      <c r="B44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t="s">
        <v>2530</v>
      </c>
      <c r="D440" t="s">
        <v>1034</v>
      </c>
      <c r="E440" t="s">
        <v>2531</v>
      </c>
      <c r="F440" t="s">
        <v>112</v>
      </c>
      <c r="G440">
        <v>2795448</v>
      </c>
    </row>
    <row r="441" spans="1:7" x14ac:dyDescent="0.25">
      <c r="A441" t="str">
        <f t="shared" si="6"/>
        <v>14 TESTO</v>
      </c>
      <c r="B44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t="s">
        <v>2532</v>
      </c>
      <c r="D441" t="s">
        <v>2533</v>
      </c>
      <c r="E441" t="s">
        <v>2534</v>
      </c>
      <c r="F441" t="s">
        <v>112</v>
      </c>
      <c r="G441">
        <v>2238261</v>
      </c>
    </row>
    <row r="442" spans="1:7" x14ac:dyDescent="0.25">
      <c r="A442" t="str">
        <f t="shared" si="6"/>
        <v>14 TESTO</v>
      </c>
      <c r="B44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t="s">
        <v>2535</v>
      </c>
      <c r="D442" t="s">
        <v>2536</v>
      </c>
      <c r="E442" t="s">
        <v>2537</v>
      </c>
      <c r="F442" t="s">
        <v>112</v>
      </c>
      <c r="G442">
        <v>2510193</v>
      </c>
    </row>
    <row r="443" spans="1:7" x14ac:dyDescent="0.25">
      <c r="A443" t="str">
        <f t="shared" si="6"/>
        <v>14 TESTO</v>
      </c>
      <c r="B44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t="s">
        <v>2538</v>
      </c>
      <c r="D443" t="s">
        <v>2539</v>
      </c>
      <c r="E443" t="s">
        <v>2540</v>
      </c>
      <c r="F443" t="s">
        <v>112</v>
      </c>
      <c r="G443">
        <v>3202717</v>
      </c>
    </row>
    <row r="444" spans="1:7" x14ac:dyDescent="0.25">
      <c r="A444" t="str">
        <f t="shared" si="6"/>
        <v>14 TESTO</v>
      </c>
      <c r="B4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t="s">
        <v>2541</v>
      </c>
      <c r="D444" t="s">
        <v>2542</v>
      </c>
      <c r="E444" t="s">
        <v>2543</v>
      </c>
      <c r="F444" t="s">
        <v>112</v>
      </c>
      <c r="G444">
        <v>3096622</v>
      </c>
    </row>
    <row r="445" spans="1:7" x14ac:dyDescent="0.25">
      <c r="A445" t="str">
        <f t="shared" si="6"/>
        <v>14 TESTO</v>
      </c>
      <c r="B44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t="s">
        <v>2544</v>
      </c>
      <c r="D445" t="s">
        <v>2545</v>
      </c>
      <c r="E445" t="s">
        <v>2546</v>
      </c>
      <c r="F445" t="s">
        <v>112</v>
      </c>
      <c r="G445">
        <v>2931867</v>
      </c>
    </row>
    <row r="446" spans="1:7" x14ac:dyDescent="0.25">
      <c r="A446" t="str">
        <f t="shared" si="6"/>
        <v>14 TESTO</v>
      </c>
      <c r="B44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t="s">
        <v>2547</v>
      </c>
      <c r="D446" t="s">
        <v>2548</v>
      </c>
      <c r="E446" t="s">
        <v>2549</v>
      </c>
      <c r="F446" t="s">
        <v>112</v>
      </c>
      <c r="G446">
        <v>2717126</v>
      </c>
    </row>
    <row r="447" spans="1:7" x14ac:dyDescent="0.25">
      <c r="A447" t="str">
        <f t="shared" si="6"/>
        <v>14 TESTO</v>
      </c>
      <c r="B44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t="s">
        <v>2550</v>
      </c>
      <c r="D447" t="s">
        <v>2551</v>
      </c>
      <c r="E447" t="s">
        <v>2552</v>
      </c>
      <c r="F447" t="s">
        <v>112</v>
      </c>
      <c r="G447">
        <v>3257787</v>
      </c>
    </row>
    <row r="448" spans="1:7" x14ac:dyDescent="0.25">
      <c r="A448" t="str">
        <f t="shared" si="6"/>
        <v>14 TESTO</v>
      </c>
      <c r="B44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t="s">
        <v>2553</v>
      </c>
      <c r="D448" t="s">
        <v>2554</v>
      </c>
      <c r="E448" t="s">
        <v>2555</v>
      </c>
      <c r="F448" t="s">
        <v>112</v>
      </c>
      <c r="G448">
        <v>2791900</v>
      </c>
    </row>
    <row r="449" spans="1:10" x14ac:dyDescent="0.25">
      <c r="A449" t="str">
        <f t="shared" si="6"/>
        <v>14 TESTO</v>
      </c>
      <c r="B44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t="s">
        <v>2556</v>
      </c>
      <c r="D449" t="s">
        <v>2557</v>
      </c>
      <c r="E449" t="s">
        <v>2558</v>
      </c>
      <c r="F449" t="s">
        <v>112</v>
      </c>
      <c r="G449">
        <v>2082959</v>
      </c>
    </row>
    <row r="450" spans="1:10" x14ac:dyDescent="0.25">
      <c r="A450" t="str">
        <f t="shared" ref="A450:A513" si="7">IFERROR(LEFT(RIGHT(C450,LEN(C450)-SEARCH("@",C450)),SEARCH("/",RIGHT(C450,LEN(C450)-SEARCH("@",C450)-1))),"")</f>
        <v>14 TESTO</v>
      </c>
      <c r="B45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t="s">
        <v>2559</v>
      </c>
      <c r="D450" t="s">
        <v>2560</v>
      </c>
      <c r="E450" t="s">
        <v>2561</v>
      </c>
      <c r="F450" t="s">
        <v>112</v>
      </c>
      <c r="G450">
        <v>2012143</v>
      </c>
    </row>
    <row r="451" spans="1:10" x14ac:dyDescent="0.25">
      <c r="A451" t="str">
        <f t="shared" si="7"/>
        <v>14 TESTO</v>
      </c>
      <c r="B45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t="s">
        <v>2562</v>
      </c>
      <c r="D451" t="s">
        <v>2563</v>
      </c>
      <c r="E451" t="s">
        <v>2564</v>
      </c>
      <c r="F451" t="s">
        <v>112</v>
      </c>
      <c r="G451">
        <v>1693577</v>
      </c>
    </row>
    <row r="452" spans="1:10" x14ac:dyDescent="0.25">
      <c r="A452" t="str">
        <f t="shared" si="7"/>
        <v>14 TESTO</v>
      </c>
      <c r="B45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t="s">
        <v>2565</v>
      </c>
      <c r="D452" t="s">
        <v>2566</v>
      </c>
      <c r="E452" t="s">
        <v>2567</v>
      </c>
      <c r="F452" t="s">
        <v>112</v>
      </c>
      <c r="G452">
        <v>1737702</v>
      </c>
    </row>
    <row r="453" spans="1:10" x14ac:dyDescent="0.25">
      <c r="A453" t="str">
        <f t="shared" si="7"/>
        <v>14 TESTO</v>
      </c>
      <c r="B45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t="s">
        <v>2568</v>
      </c>
      <c r="D453" t="s">
        <v>2569</v>
      </c>
      <c r="E453" t="s">
        <v>2570</v>
      </c>
      <c r="F453" t="s">
        <v>112</v>
      </c>
      <c r="G453">
        <v>1657520</v>
      </c>
    </row>
    <row r="454" spans="1:10" x14ac:dyDescent="0.25">
      <c r="A454" t="str">
        <f t="shared" si="7"/>
        <v>14 TESTO</v>
      </c>
      <c r="B45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t="s">
        <v>2571</v>
      </c>
      <c r="D454" t="s">
        <v>2572</v>
      </c>
      <c r="E454" t="s">
        <v>2573</v>
      </c>
      <c r="F454" t="s">
        <v>112</v>
      </c>
      <c r="G454">
        <v>1856862</v>
      </c>
    </row>
    <row r="455" spans="1:10" x14ac:dyDescent="0.25">
      <c r="A455" t="str">
        <f t="shared" si="7"/>
        <v/>
      </c>
      <c r="B4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t="s">
        <v>112</v>
      </c>
    </row>
    <row r="456" spans="1:10" x14ac:dyDescent="0.25">
      <c r="A456" t="str">
        <f t="shared" si="7"/>
        <v/>
      </c>
      <c r="B4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t="s">
        <v>234</v>
      </c>
      <c r="D456" t="s">
        <v>112</v>
      </c>
      <c r="E456" t="s">
        <v>235</v>
      </c>
      <c r="F456" t="s">
        <v>236</v>
      </c>
      <c r="G456" t="s">
        <v>237</v>
      </c>
      <c r="H456" t="s">
        <v>238</v>
      </c>
      <c r="I456" t="s">
        <v>239</v>
      </c>
      <c r="J456" t="s">
        <v>240</v>
      </c>
    </row>
    <row r="457" spans="1:10" x14ac:dyDescent="0.25">
      <c r="A457" t="str">
        <f t="shared" si="7"/>
        <v>14 TESTO</v>
      </c>
      <c r="B45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t="s">
        <v>2574</v>
      </c>
      <c r="D457" t="s">
        <v>112</v>
      </c>
      <c r="E457" t="s">
        <v>2575</v>
      </c>
      <c r="F457" t="s">
        <v>2576</v>
      </c>
      <c r="G457" t="s">
        <v>2577</v>
      </c>
      <c r="H457" t="s">
        <v>2578</v>
      </c>
      <c r="I457">
        <v>24</v>
      </c>
      <c r="J457">
        <v>24</v>
      </c>
    </row>
    <row r="458" spans="1:10" x14ac:dyDescent="0.25">
      <c r="A458" t="str">
        <f t="shared" si="7"/>
        <v/>
      </c>
      <c r="B4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t="s">
        <v>112</v>
      </c>
    </row>
    <row r="459" spans="1:10" x14ac:dyDescent="0.25">
      <c r="A459" t="str">
        <f t="shared" si="7"/>
        <v/>
      </c>
      <c r="B4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t="s">
        <v>112</v>
      </c>
    </row>
    <row r="460" spans="1:10" x14ac:dyDescent="0.25">
      <c r="A460" t="str">
        <f t="shared" si="7"/>
        <v/>
      </c>
      <c r="B4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t="s">
        <v>112</v>
      </c>
    </row>
    <row r="461" spans="1:10" x14ac:dyDescent="0.25">
      <c r="A461" t="str">
        <f t="shared" si="7"/>
        <v/>
      </c>
      <c r="B4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t="s">
        <v>112</v>
      </c>
    </row>
    <row r="462" spans="1:10" x14ac:dyDescent="0.25">
      <c r="A462" t="str">
        <f t="shared" si="7"/>
        <v/>
      </c>
      <c r="B4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t="s">
        <v>112</v>
      </c>
    </row>
    <row r="463" spans="1:10" x14ac:dyDescent="0.25">
      <c r="A463" t="str">
        <f t="shared" si="7"/>
        <v/>
      </c>
      <c r="B4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t="s">
        <v>246</v>
      </c>
      <c r="D463" t="s">
        <v>110</v>
      </c>
      <c r="E463" t="s">
        <v>111</v>
      </c>
      <c r="F463" t="s">
        <v>112</v>
      </c>
      <c r="G463" t="s">
        <v>113</v>
      </c>
    </row>
    <row r="464" spans="1:10" x14ac:dyDescent="0.25">
      <c r="A464" t="str">
        <f t="shared" si="7"/>
        <v>15 TESTO + EE2</v>
      </c>
      <c r="B46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t="s">
        <v>2579</v>
      </c>
      <c r="D464" t="s">
        <v>2580</v>
      </c>
      <c r="E464" t="s">
        <v>2581</v>
      </c>
      <c r="F464" t="s">
        <v>112</v>
      </c>
      <c r="G464">
        <v>2090702</v>
      </c>
    </row>
    <row r="465" spans="1:7" x14ac:dyDescent="0.25">
      <c r="A465" t="str">
        <f t="shared" si="7"/>
        <v>15 TESTO + EE2</v>
      </c>
      <c r="B46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t="s">
        <v>2582</v>
      </c>
      <c r="D465" t="s">
        <v>1416</v>
      </c>
      <c r="E465" t="s">
        <v>2583</v>
      </c>
      <c r="F465" t="s">
        <v>112</v>
      </c>
      <c r="G465">
        <v>1995704</v>
      </c>
    </row>
    <row r="466" spans="1:7" x14ac:dyDescent="0.25">
      <c r="A466" t="str">
        <f t="shared" si="7"/>
        <v>15 TESTO + EE2</v>
      </c>
      <c r="B46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t="s">
        <v>2584</v>
      </c>
      <c r="D466" t="s">
        <v>1416</v>
      </c>
      <c r="E466" t="s">
        <v>2585</v>
      </c>
      <c r="F466" t="s">
        <v>112</v>
      </c>
      <c r="G466">
        <v>2004615</v>
      </c>
    </row>
    <row r="467" spans="1:7" x14ac:dyDescent="0.25">
      <c r="A467" t="str">
        <f t="shared" si="7"/>
        <v>15 TESTO + EE2</v>
      </c>
      <c r="B46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t="s">
        <v>2586</v>
      </c>
      <c r="D467" t="s">
        <v>2587</v>
      </c>
      <c r="E467" t="s">
        <v>2588</v>
      </c>
      <c r="F467" t="s">
        <v>112</v>
      </c>
      <c r="G467">
        <v>989633</v>
      </c>
    </row>
    <row r="468" spans="1:7" x14ac:dyDescent="0.25">
      <c r="A468" t="str">
        <f t="shared" si="7"/>
        <v>15 TESTO + EE2</v>
      </c>
      <c r="B46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t="s">
        <v>2589</v>
      </c>
      <c r="D468" t="s">
        <v>2590</v>
      </c>
      <c r="E468" t="s">
        <v>2591</v>
      </c>
      <c r="F468" t="s">
        <v>112</v>
      </c>
      <c r="G468">
        <v>622400</v>
      </c>
    </row>
    <row r="469" spans="1:7" x14ac:dyDescent="0.25">
      <c r="A469" t="str">
        <f t="shared" si="7"/>
        <v>15 TESTO + EE2</v>
      </c>
      <c r="B46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t="s">
        <v>2592</v>
      </c>
    </row>
    <row r="470" spans="1:7" x14ac:dyDescent="0.25">
      <c r="A470" t="str">
        <f t="shared" si="7"/>
        <v>15 TESTO + EE2</v>
      </c>
      <c r="B47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t="s">
        <v>2593</v>
      </c>
      <c r="D470" t="s">
        <v>2594</v>
      </c>
      <c r="E470" t="s">
        <v>2595</v>
      </c>
      <c r="F470" t="s">
        <v>112</v>
      </c>
      <c r="G470">
        <v>4288148</v>
      </c>
    </row>
    <row r="471" spans="1:7" x14ac:dyDescent="0.25">
      <c r="A471" t="str">
        <f t="shared" si="7"/>
        <v>15 TESTO + EE2</v>
      </c>
      <c r="B47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t="s">
        <v>2596</v>
      </c>
      <c r="D471" t="s">
        <v>2597</v>
      </c>
      <c r="E471" t="s">
        <v>2598</v>
      </c>
      <c r="F471" t="s">
        <v>112</v>
      </c>
      <c r="G471">
        <v>4101482</v>
      </c>
    </row>
    <row r="472" spans="1:7" x14ac:dyDescent="0.25">
      <c r="A472" t="str">
        <f t="shared" si="7"/>
        <v>15 TESTO + EE2</v>
      </c>
      <c r="B47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t="s">
        <v>2599</v>
      </c>
      <c r="D472" t="s">
        <v>2600</v>
      </c>
      <c r="E472" t="s">
        <v>2601</v>
      </c>
      <c r="F472" t="s">
        <v>112</v>
      </c>
      <c r="G472">
        <v>4236734</v>
      </c>
    </row>
    <row r="473" spans="1:7" x14ac:dyDescent="0.25">
      <c r="A473" t="str">
        <f t="shared" si="7"/>
        <v>15 TESTO + EE2</v>
      </c>
      <c r="B47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t="s">
        <v>2602</v>
      </c>
      <c r="D473" t="s">
        <v>2603</v>
      </c>
      <c r="E473" t="s">
        <v>2604</v>
      </c>
      <c r="F473" t="s">
        <v>112</v>
      </c>
      <c r="G473">
        <v>6429227</v>
      </c>
    </row>
    <row r="474" spans="1:7" x14ac:dyDescent="0.25">
      <c r="A474" t="str">
        <f t="shared" si="7"/>
        <v>15 TESTO + EE2</v>
      </c>
      <c r="B47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t="s">
        <v>2605</v>
      </c>
      <c r="D474" t="s">
        <v>2606</v>
      </c>
      <c r="E474" t="s">
        <v>2607</v>
      </c>
      <c r="F474" t="s">
        <v>112</v>
      </c>
      <c r="G474">
        <v>6235704</v>
      </c>
    </row>
    <row r="475" spans="1:7" x14ac:dyDescent="0.25">
      <c r="A475" t="str">
        <f t="shared" si="7"/>
        <v>15 TESTO + EE2</v>
      </c>
      <c r="B47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t="s">
        <v>2608</v>
      </c>
      <c r="D475" t="s">
        <v>2609</v>
      </c>
      <c r="E475" t="s">
        <v>2610</v>
      </c>
      <c r="F475" t="s">
        <v>112</v>
      </c>
      <c r="G475">
        <v>6239316</v>
      </c>
    </row>
    <row r="476" spans="1:7" x14ac:dyDescent="0.25">
      <c r="A476" t="str">
        <f t="shared" si="7"/>
        <v>15 TESTO + EE2</v>
      </c>
      <c r="B47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t="s">
        <v>2611</v>
      </c>
      <c r="D476" t="s">
        <v>2612</v>
      </c>
      <c r="E476" t="s">
        <v>2613</v>
      </c>
      <c r="F476" t="s">
        <v>112</v>
      </c>
      <c r="G476">
        <v>5283707</v>
      </c>
    </row>
    <row r="477" spans="1:7" x14ac:dyDescent="0.25">
      <c r="A477" t="str">
        <f t="shared" si="7"/>
        <v>15 TESTO + EE2</v>
      </c>
      <c r="B47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t="s">
        <v>2614</v>
      </c>
      <c r="D477" t="s">
        <v>2615</v>
      </c>
      <c r="E477" t="s">
        <v>2616</v>
      </c>
      <c r="F477" t="s">
        <v>112</v>
      </c>
      <c r="G477">
        <v>5284162</v>
      </c>
    </row>
    <row r="478" spans="1:7" x14ac:dyDescent="0.25">
      <c r="A478" t="str">
        <f t="shared" si="7"/>
        <v>15 TESTO + EE2</v>
      </c>
      <c r="B47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t="s">
        <v>2617</v>
      </c>
      <c r="D478" t="s">
        <v>2618</v>
      </c>
      <c r="E478" t="s">
        <v>2619</v>
      </c>
      <c r="F478" t="s">
        <v>112</v>
      </c>
      <c r="G478">
        <v>5145903</v>
      </c>
    </row>
    <row r="479" spans="1:7" x14ac:dyDescent="0.25">
      <c r="A479" t="str">
        <f t="shared" si="7"/>
        <v>15 TESTO + EE2</v>
      </c>
      <c r="B47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t="s">
        <v>2620</v>
      </c>
      <c r="D479" t="s">
        <v>2621</v>
      </c>
      <c r="E479" t="s">
        <v>2622</v>
      </c>
      <c r="F479" t="s">
        <v>112</v>
      </c>
      <c r="G479">
        <v>3724863</v>
      </c>
    </row>
    <row r="480" spans="1:7" x14ac:dyDescent="0.25">
      <c r="A480" t="str">
        <f t="shared" si="7"/>
        <v>15 TESTO + EE2</v>
      </c>
      <c r="B48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t="s">
        <v>2623</v>
      </c>
      <c r="D480" t="s">
        <v>2624</v>
      </c>
      <c r="E480" t="s">
        <v>2625</v>
      </c>
      <c r="F480" t="s">
        <v>112</v>
      </c>
      <c r="G480">
        <v>3720234</v>
      </c>
    </row>
    <row r="481" spans="1:10" x14ac:dyDescent="0.25">
      <c r="A481" t="str">
        <f t="shared" si="7"/>
        <v>15 TESTO + EE2</v>
      </c>
      <c r="B48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t="s">
        <v>2626</v>
      </c>
      <c r="D481" t="s">
        <v>2627</v>
      </c>
      <c r="E481" t="s">
        <v>2628</v>
      </c>
      <c r="F481" t="s">
        <v>112</v>
      </c>
      <c r="G481">
        <v>3497294</v>
      </c>
    </row>
    <row r="482" spans="1:10" x14ac:dyDescent="0.25">
      <c r="A482" t="str">
        <f t="shared" si="7"/>
        <v>15 TESTO + EE2</v>
      </c>
      <c r="B48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t="s">
        <v>2629</v>
      </c>
      <c r="D482" t="s">
        <v>454</v>
      </c>
      <c r="E482" t="s">
        <v>2630</v>
      </c>
      <c r="F482" t="s">
        <v>112</v>
      </c>
      <c r="G482">
        <v>5056464</v>
      </c>
    </row>
    <row r="483" spans="1:10" x14ac:dyDescent="0.25">
      <c r="A483" t="str">
        <f t="shared" si="7"/>
        <v>15 TESTO + EE2</v>
      </c>
      <c r="B48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t="s">
        <v>2631</v>
      </c>
      <c r="D483" t="s">
        <v>2632</v>
      </c>
      <c r="E483" t="s">
        <v>2633</v>
      </c>
      <c r="F483" t="s">
        <v>112</v>
      </c>
      <c r="G483">
        <v>5508485</v>
      </c>
    </row>
    <row r="484" spans="1:10" x14ac:dyDescent="0.25">
      <c r="A484" t="str">
        <f t="shared" si="7"/>
        <v>15 TESTO + EE2</v>
      </c>
      <c r="B48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t="s">
        <v>2634</v>
      </c>
      <c r="D484" t="s">
        <v>2635</v>
      </c>
      <c r="E484" t="s">
        <v>2636</v>
      </c>
      <c r="F484" t="s">
        <v>112</v>
      </c>
      <c r="G484">
        <v>5163034</v>
      </c>
    </row>
    <row r="485" spans="1:10" x14ac:dyDescent="0.25">
      <c r="A485" t="str">
        <f t="shared" si="7"/>
        <v>15 TESTO + EE2</v>
      </c>
      <c r="B48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t="s">
        <v>2637</v>
      </c>
      <c r="D485" t="s">
        <v>2594</v>
      </c>
      <c r="E485" t="s">
        <v>2638</v>
      </c>
      <c r="F485" t="s">
        <v>112</v>
      </c>
      <c r="G485">
        <v>3777207</v>
      </c>
    </row>
    <row r="486" spans="1:10" x14ac:dyDescent="0.25">
      <c r="A486" t="str">
        <f t="shared" si="7"/>
        <v>15 TESTO + EE2</v>
      </c>
      <c r="B48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t="s">
        <v>2639</v>
      </c>
      <c r="D486" t="s">
        <v>2640</v>
      </c>
      <c r="E486" t="s">
        <v>2641</v>
      </c>
      <c r="F486" t="s">
        <v>112</v>
      </c>
      <c r="G486">
        <v>4354033</v>
      </c>
    </row>
    <row r="487" spans="1:10" x14ac:dyDescent="0.25">
      <c r="A487" t="str">
        <f t="shared" si="7"/>
        <v>15 TESTO + EE2</v>
      </c>
      <c r="B48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t="s">
        <v>2642</v>
      </c>
      <c r="D487" t="s">
        <v>2643</v>
      </c>
      <c r="E487" t="s">
        <v>2644</v>
      </c>
      <c r="F487" t="s">
        <v>112</v>
      </c>
      <c r="G487">
        <v>4069059</v>
      </c>
    </row>
    <row r="488" spans="1:10" x14ac:dyDescent="0.25">
      <c r="A488" t="str">
        <f t="shared" si="7"/>
        <v/>
      </c>
      <c r="B4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t="s">
        <v>112</v>
      </c>
    </row>
    <row r="489" spans="1:10" x14ac:dyDescent="0.25">
      <c r="A489" t="str">
        <f t="shared" si="7"/>
        <v/>
      </c>
      <c r="B4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t="s">
        <v>234</v>
      </c>
      <c r="D489" t="s">
        <v>112</v>
      </c>
      <c r="E489" t="s">
        <v>235</v>
      </c>
      <c r="F489" t="s">
        <v>236</v>
      </c>
      <c r="G489" t="s">
        <v>237</v>
      </c>
      <c r="H489" t="s">
        <v>238</v>
      </c>
      <c r="I489" t="s">
        <v>239</v>
      </c>
      <c r="J489" t="s">
        <v>240</v>
      </c>
    </row>
    <row r="490" spans="1:10" x14ac:dyDescent="0.25">
      <c r="A490" t="str">
        <f t="shared" si="7"/>
        <v>15 TESTO + EE2</v>
      </c>
      <c r="B49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t="s">
        <v>2645</v>
      </c>
      <c r="D490" t="s">
        <v>112</v>
      </c>
      <c r="E490" t="s">
        <v>2646</v>
      </c>
      <c r="F490" t="s">
        <v>2647</v>
      </c>
      <c r="G490" t="s">
        <v>2648</v>
      </c>
      <c r="H490" t="s">
        <v>2649</v>
      </c>
      <c r="I490">
        <v>24</v>
      </c>
      <c r="J490">
        <v>24</v>
      </c>
    </row>
    <row r="491" spans="1:10" x14ac:dyDescent="0.25">
      <c r="A491" t="str">
        <f t="shared" si="7"/>
        <v/>
      </c>
      <c r="B4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t="s">
        <v>112</v>
      </c>
    </row>
    <row r="492" spans="1:10" x14ac:dyDescent="0.25">
      <c r="A492" t="str">
        <f t="shared" si="7"/>
        <v/>
      </c>
      <c r="B4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t="s">
        <v>112</v>
      </c>
    </row>
    <row r="493" spans="1:10" x14ac:dyDescent="0.25">
      <c r="A493" t="str">
        <f t="shared" si="7"/>
        <v/>
      </c>
      <c r="B4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t="s">
        <v>112</v>
      </c>
    </row>
    <row r="494" spans="1:10" x14ac:dyDescent="0.25">
      <c r="A494" t="str">
        <f t="shared" si="7"/>
        <v/>
      </c>
      <c r="B4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t="s">
        <v>112</v>
      </c>
    </row>
    <row r="495" spans="1:10" x14ac:dyDescent="0.25">
      <c r="A495" t="str">
        <f t="shared" si="7"/>
        <v/>
      </c>
      <c r="B4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t="s">
        <v>112</v>
      </c>
    </row>
    <row r="496" spans="1:10" x14ac:dyDescent="0.25">
      <c r="A496" t="str">
        <f t="shared" si="7"/>
        <v/>
      </c>
      <c r="B4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t="s">
        <v>246</v>
      </c>
      <c r="D496" t="s">
        <v>110</v>
      </c>
      <c r="E496" t="s">
        <v>111</v>
      </c>
      <c r="F496" t="s">
        <v>112</v>
      </c>
      <c r="G496" t="s">
        <v>113</v>
      </c>
    </row>
    <row r="497" spans="1:7" x14ac:dyDescent="0.25">
      <c r="A497" t="str">
        <f t="shared" si="7"/>
        <v>16 TESTO + FAD</v>
      </c>
      <c r="B49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t="s">
        <v>2650</v>
      </c>
    </row>
    <row r="498" spans="1:7" x14ac:dyDescent="0.25">
      <c r="A498" t="str">
        <f t="shared" si="7"/>
        <v>16 TESTO + FAD</v>
      </c>
      <c r="B49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t="s">
        <v>2651</v>
      </c>
      <c r="D498" t="s">
        <v>2652</v>
      </c>
      <c r="E498" t="s">
        <v>2653</v>
      </c>
      <c r="F498" t="s">
        <v>112</v>
      </c>
      <c r="G498">
        <v>203948</v>
      </c>
    </row>
    <row r="499" spans="1:7" x14ac:dyDescent="0.25">
      <c r="A499" t="str">
        <f t="shared" si="7"/>
        <v>16 TESTO + FAD</v>
      </c>
      <c r="B49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t="s">
        <v>2654</v>
      </c>
      <c r="D499" t="s">
        <v>190</v>
      </c>
      <c r="E499" t="s">
        <v>2655</v>
      </c>
      <c r="F499" t="s">
        <v>112</v>
      </c>
      <c r="G499">
        <v>47391</v>
      </c>
    </row>
    <row r="500" spans="1:7" x14ac:dyDescent="0.25">
      <c r="A500" t="str">
        <f t="shared" si="7"/>
        <v>16 TESTO + FAD</v>
      </c>
      <c r="B50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t="s">
        <v>2656</v>
      </c>
      <c r="D500" t="s">
        <v>2657</v>
      </c>
      <c r="E500" t="s">
        <v>2658</v>
      </c>
      <c r="F500" t="s">
        <v>112</v>
      </c>
      <c r="G500">
        <v>230337</v>
      </c>
    </row>
    <row r="501" spans="1:7" x14ac:dyDescent="0.25">
      <c r="A501" t="str">
        <f t="shared" si="7"/>
        <v>16 TESTO + FAD</v>
      </c>
      <c r="B50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t="s">
        <v>2659</v>
      </c>
      <c r="D501" t="s">
        <v>2660</v>
      </c>
      <c r="E501" t="s">
        <v>2661</v>
      </c>
      <c r="F501" t="s">
        <v>112</v>
      </c>
      <c r="G501">
        <v>414753</v>
      </c>
    </row>
    <row r="502" spans="1:7" x14ac:dyDescent="0.25">
      <c r="A502" t="str">
        <f t="shared" si="7"/>
        <v>16 TESTO + FAD</v>
      </c>
      <c r="B50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t="s">
        <v>2662</v>
      </c>
      <c r="D502" t="s">
        <v>574</v>
      </c>
      <c r="E502" t="s">
        <v>2663</v>
      </c>
      <c r="F502" t="s">
        <v>112</v>
      </c>
      <c r="G502">
        <v>537243</v>
      </c>
    </row>
    <row r="503" spans="1:7" x14ac:dyDescent="0.25">
      <c r="A503" t="str">
        <f t="shared" si="7"/>
        <v>16 TESTO + FAD</v>
      </c>
      <c r="B50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t="s">
        <v>2664</v>
      </c>
      <c r="D503" t="s">
        <v>2665</v>
      </c>
      <c r="E503" t="s">
        <v>2666</v>
      </c>
      <c r="F503" t="s">
        <v>112</v>
      </c>
      <c r="G503">
        <v>326547</v>
      </c>
    </row>
    <row r="504" spans="1:7" x14ac:dyDescent="0.25">
      <c r="A504" t="str">
        <f t="shared" si="7"/>
        <v>16 TESTO + FAD</v>
      </c>
      <c r="B50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t="s">
        <v>2667</v>
      </c>
      <c r="D504" t="s">
        <v>2668</v>
      </c>
      <c r="E504" t="s">
        <v>2669</v>
      </c>
      <c r="F504" t="s">
        <v>112</v>
      </c>
      <c r="G504">
        <v>346143</v>
      </c>
    </row>
    <row r="505" spans="1:7" x14ac:dyDescent="0.25">
      <c r="A505" t="str">
        <f t="shared" si="7"/>
        <v>16 TESTO + FAD</v>
      </c>
      <c r="B50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t="s">
        <v>2670</v>
      </c>
      <c r="D505" t="s">
        <v>151</v>
      </c>
      <c r="E505" t="s">
        <v>2671</v>
      </c>
      <c r="F505" t="s">
        <v>112</v>
      </c>
      <c r="G505">
        <v>232262</v>
      </c>
    </row>
    <row r="506" spans="1:7" x14ac:dyDescent="0.25">
      <c r="A506" t="str">
        <f t="shared" si="7"/>
        <v>16 TESTO + FAD</v>
      </c>
      <c r="B50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t="s">
        <v>2672</v>
      </c>
      <c r="D506" t="s">
        <v>2673</v>
      </c>
      <c r="E506" t="s">
        <v>2674</v>
      </c>
      <c r="F506" t="s">
        <v>112</v>
      </c>
      <c r="G506">
        <v>791286</v>
      </c>
    </row>
    <row r="507" spans="1:7" x14ac:dyDescent="0.25">
      <c r="A507" t="str">
        <f t="shared" si="7"/>
        <v>16 TESTO + FAD</v>
      </c>
      <c r="B50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t="s">
        <v>2675</v>
      </c>
      <c r="D507" t="s">
        <v>2676</v>
      </c>
      <c r="E507" t="s">
        <v>2677</v>
      </c>
      <c r="F507" t="s">
        <v>112</v>
      </c>
      <c r="G507">
        <v>778568</v>
      </c>
    </row>
    <row r="508" spans="1:7" x14ac:dyDescent="0.25">
      <c r="A508" t="str">
        <f t="shared" si="7"/>
        <v>16 TESTO + FAD</v>
      </c>
      <c r="B50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t="s">
        <v>2678</v>
      </c>
      <c r="D508" t="s">
        <v>2679</v>
      </c>
      <c r="E508" t="s">
        <v>2680</v>
      </c>
      <c r="F508" t="s">
        <v>112</v>
      </c>
      <c r="G508">
        <v>605421</v>
      </c>
    </row>
    <row r="509" spans="1:7" x14ac:dyDescent="0.25">
      <c r="A509" t="str">
        <f t="shared" si="7"/>
        <v>16 TESTO + FAD</v>
      </c>
      <c r="B50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t="s">
        <v>2681</v>
      </c>
      <c r="D509" t="s">
        <v>1682</v>
      </c>
      <c r="E509" t="s">
        <v>2682</v>
      </c>
      <c r="F509" t="s">
        <v>112</v>
      </c>
      <c r="G509">
        <v>464415</v>
      </c>
    </row>
    <row r="510" spans="1:7" x14ac:dyDescent="0.25">
      <c r="A510" t="str">
        <f t="shared" si="7"/>
        <v>16 TESTO + FAD</v>
      </c>
      <c r="B51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t="s">
        <v>2683</v>
      </c>
    </row>
    <row r="511" spans="1:7" x14ac:dyDescent="0.25">
      <c r="A511" t="str">
        <f t="shared" si="7"/>
        <v>16 TESTO + FAD</v>
      </c>
      <c r="B51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t="s">
        <v>2684</v>
      </c>
      <c r="D511" t="s">
        <v>2356</v>
      </c>
      <c r="E511" t="s">
        <v>2685</v>
      </c>
      <c r="F511" t="s">
        <v>112</v>
      </c>
      <c r="G511">
        <v>693671</v>
      </c>
    </row>
    <row r="512" spans="1:7" x14ac:dyDescent="0.25">
      <c r="A512" t="str">
        <f t="shared" si="7"/>
        <v>16 TESTO + FAD</v>
      </c>
      <c r="B51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t="s">
        <v>2686</v>
      </c>
      <c r="D512" t="s">
        <v>2687</v>
      </c>
      <c r="E512" t="s">
        <v>2688</v>
      </c>
      <c r="F512" t="s">
        <v>112</v>
      </c>
      <c r="G512">
        <v>68415</v>
      </c>
    </row>
    <row r="513" spans="1:10" x14ac:dyDescent="0.25">
      <c r="A513" t="str">
        <f t="shared" si="7"/>
        <v>16 TESTO + FAD</v>
      </c>
      <c r="B51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t="s">
        <v>2689</v>
      </c>
      <c r="D513" t="s">
        <v>2690</v>
      </c>
      <c r="E513" t="s">
        <v>2305</v>
      </c>
      <c r="F513" t="s">
        <v>112</v>
      </c>
      <c r="G513">
        <v>62078</v>
      </c>
    </row>
    <row r="514" spans="1:10" x14ac:dyDescent="0.25">
      <c r="A514" t="str">
        <f t="shared" ref="A514:A577" si="8">IFERROR(LEFT(RIGHT(C514,LEN(C514)-SEARCH("@",C514)),SEARCH("/",RIGHT(C514,LEN(C514)-SEARCH("@",C514)-1))),"")</f>
        <v>16 TESTO + FAD</v>
      </c>
      <c r="B51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t="s">
        <v>2691</v>
      </c>
      <c r="D514" t="s">
        <v>2692</v>
      </c>
      <c r="E514" t="s">
        <v>2693</v>
      </c>
      <c r="F514" t="s">
        <v>112</v>
      </c>
      <c r="G514">
        <v>45142</v>
      </c>
    </row>
    <row r="515" spans="1:10" x14ac:dyDescent="0.25">
      <c r="A515" t="str">
        <f t="shared" si="8"/>
        <v>16 TESTO + FAD</v>
      </c>
      <c r="B51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t="s">
        <v>2694</v>
      </c>
      <c r="D515" t="s">
        <v>761</v>
      </c>
      <c r="E515" t="s">
        <v>2695</v>
      </c>
      <c r="F515" t="s">
        <v>112</v>
      </c>
      <c r="G515">
        <v>84270</v>
      </c>
    </row>
    <row r="516" spans="1:10" x14ac:dyDescent="0.25">
      <c r="A516" t="str">
        <f t="shared" si="8"/>
        <v>16 TESTO + FAD</v>
      </c>
      <c r="B51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t="s">
        <v>2696</v>
      </c>
      <c r="D516" t="s">
        <v>1708</v>
      </c>
      <c r="E516" t="s">
        <v>2697</v>
      </c>
      <c r="F516" t="s">
        <v>112</v>
      </c>
      <c r="G516">
        <v>161597</v>
      </c>
    </row>
    <row r="517" spans="1:10" x14ac:dyDescent="0.25">
      <c r="A517" t="str">
        <f t="shared" si="8"/>
        <v>16 TESTO + FAD</v>
      </c>
      <c r="B51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t="s">
        <v>2698</v>
      </c>
    </row>
    <row r="518" spans="1:10" x14ac:dyDescent="0.25">
      <c r="A518" t="str">
        <f t="shared" si="8"/>
        <v>16 TESTO + FAD</v>
      </c>
      <c r="B51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t="s">
        <v>2699</v>
      </c>
      <c r="D518" t="s">
        <v>2700</v>
      </c>
      <c r="E518" t="s">
        <v>2701</v>
      </c>
      <c r="F518" t="s">
        <v>112</v>
      </c>
      <c r="G518">
        <v>87017</v>
      </c>
    </row>
    <row r="519" spans="1:10" x14ac:dyDescent="0.25">
      <c r="A519" t="str">
        <f t="shared" si="8"/>
        <v>16 TESTO + FAD</v>
      </c>
      <c r="B51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t="s">
        <v>2702</v>
      </c>
      <c r="D519" t="s">
        <v>688</v>
      </c>
      <c r="E519" t="s">
        <v>2703</v>
      </c>
      <c r="F519" t="s">
        <v>112</v>
      </c>
      <c r="G519">
        <v>44147</v>
      </c>
    </row>
    <row r="520" spans="1:10" x14ac:dyDescent="0.25">
      <c r="A520" t="str">
        <f t="shared" si="8"/>
        <v>16 TESTO + FAD</v>
      </c>
      <c r="B52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t="s">
        <v>2704</v>
      </c>
      <c r="D520" t="s">
        <v>1728</v>
      </c>
      <c r="E520" t="s">
        <v>2705</v>
      </c>
      <c r="F520" t="s">
        <v>112</v>
      </c>
      <c r="G520">
        <v>50938</v>
      </c>
    </row>
    <row r="521" spans="1:10" x14ac:dyDescent="0.25">
      <c r="A521" t="str">
        <f t="shared" si="8"/>
        <v/>
      </c>
      <c r="B5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t="s">
        <v>112</v>
      </c>
    </row>
    <row r="522" spans="1:10" x14ac:dyDescent="0.25">
      <c r="A522" t="str">
        <f t="shared" si="8"/>
        <v/>
      </c>
      <c r="B5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t="s">
        <v>234</v>
      </c>
      <c r="D522" t="s">
        <v>112</v>
      </c>
      <c r="E522" t="s">
        <v>235</v>
      </c>
      <c r="F522" t="s">
        <v>236</v>
      </c>
      <c r="G522" t="s">
        <v>237</v>
      </c>
      <c r="H522" t="s">
        <v>238</v>
      </c>
      <c r="I522" t="s">
        <v>239</v>
      </c>
      <c r="J522" t="s">
        <v>240</v>
      </c>
    </row>
    <row r="523" spans="1:10" x14ac:dyDescent="0.25">
      <c r="A523" t="str">
        <f t="shared" si="8"/>
        <v>16 TESTO + FAD</v>
      </c>
      <c r="B52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t="s">
        <v>2706</v>
      </c>
      <c r="D523" t="s">
        <v>112</v>
      </c>
      <c r="E523" t="s">
        <v>2707</v>
      </c>
      <c r="F523" t="s">
        <v>2708</v>
      </c>
      <c r="G523" t="s">
        <v>2709</v>
      </c>
      <c r="H523" t="s">
        <v>2710</v>
      </c>
      <c r="I523">
        <v>24</v>
      </c>
      <c r="J523">
        <v>24</v>
      </c>
    </row>
    <row r="524" spans="1:10" x14ac:dyDescent="0.25">
      <c r="A524" t="str">
        <f t="shared" si="8"/>
        <v/>
      </c>
      <c r="B5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t="s">
        <v>112</v>
      </c>
    </row>
    <row r="525" spans="1:10" x14ac:dyDescent="0.25">
      <c r="A525" t="str">
        <f t="shared" si="8"/>
        <v/>
      </c>
      <c r="B5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t="s">
        <v>112</v>
      </c>
    </row>
    <row r="526" spans="1:10" x14ac:dyDescent="0.25">
      <c r="A526" t="str">
        <f t="shared" si="8"/>
        <v/>
      </c>
      <c r="B5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t="s">
        <v>112</v>
      </c>
    </row>
    <row r="527" spans="1:10" x14ac:dyDescent="0.25">
      <c r="A527" t="str">
        <f t="shared" si="8"/>
        <v/>
      </c>
      <c r="B5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t="s">
        <v>112</v>
      </c>
    </row>
    <row r="528" spans="1:10" x14ac:dyDescent="0.25">
      <c r="A528" t="str">
        <f t="shared" si="8"/>
        <v/>
      </c>
      <c r="B5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t="s">
        <v>112</v>
      </c>
    </row>
    <row r="529" spans="1:7" x14ac:dyDescent="0.25">
      <c r="A529" t="str">
        <f t="shared" si="8"/>
        <v/>
      </c>
      <c r="B5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t="s">
        <v>246</v>
      </c>
      <c r="D529" t="s">
        <v>110</v>
      </c>
      <c r="E529" t="s">
        <v>111</v>
      </c>
      <c r="F529" t="s">
        <v>112</v>
      </c>
      <c r="G529" t="s">
        <v>113</v>
      </c>
    </row>
    <row r="530" spans="1:7" x14ac:dyDescent="0.25">
      <c r="A530" t="str">
        <f t="shared" si="8"/>
        <v>17 TriphenylP 0.18 + TESTO</v>
      </c>
      <c r="B53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t="s">
        <v>2711</v>
      </c>
      <c r="D530" t="s">
        <v>2712</v>
      </c>
      <c r="E530" t="s">
        <v>2713</v>
      </c>
      <c r="F530" t="s">
        <v>112</v>
      </c>
      <c r="G530">
        <v>1603489</v>
      </c>
    </row>
    <row r="531" spans="1:7" x14ac:dyDescent="0.25">
      <c r="A531" t="str">
        <f t="shared" si="8"/>
        <v>17 TriphenylP 0.18 + TESTO</v>
      </c>
      <c r="B53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t="s">
        <v>2714</v>
      </c>
      <c r="D531" t="s">
        <v>2715</v>
      </c>
      <c r="E531" t="s">
        <v>2716</v>
      </c>
      <c r="F531" t="s">
        <v>112</v>
      </c>
      <c r="G531">
        <v>1421755</v>
      </c>
    </row>
    <row r="532" spans="1:7" x14ac:dyDescent="0.25">
      <c r="A532" t="str">
        <f t="shared" si="8"/>
        <v>17 TriphenylP 0.18 + TESTO</v>
      </c>
      <c r="B53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t="s">
        <v>2717</v>
      </c>
      <c r="D532" t="s">
        <v>2718</v>
      </c>
      <c r="E532" t="s">
        <v>2719</v>
      </c>
      <c r="F532" t="s">
        <v>112</v>
      </c>
      <c r="G532">
        <v>1364803</v>
      </c>
    </row>
    <row r="533" spans="1:7" x14ac:dyDescent="0.25">
      <c r="A533" t="str">
        <f t="shared" si="8"/>
        <v>17 TriphenylP 0.18 + TESTO</v>
      </c>
      <c r="B53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t="s">
        <v>2720</v>
      </c>
      <c r="D533" t="s">
        <v>2721</v>
      </c>
      <c r="E533" t="s">
        <v>2722</v>
      </c>
      <c r="F533" t="s">
        <v>112</v>
      </c>
      <c r="G533">
        <v>4884355</v>
      </c>
    </row>
    <row r="534" spans="1:7" x14ac:dyDescent="0.25">
      <c r="A534" t="str">
        <f t="shared" si="8"/>
        <v>17 TriphenylP 0.18 + TESTO</v>
      </c>
      <c r="B53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t="s">
        <v>2723</v>
      </c>
      <c r="D534" t="s">
        <v>2724</v>
      </c>
      <c r="E534" t="s">
        <v>2725</v>
      </c>
      <c r="F534" t="s">
        <v>112</v>
      </c>
      <c r="G534">
        <v>4675648</v>
      </c>
    </row>
    <row r="535" spans="1:7" x14ac:dyDescent="0.25">
      <c r="A535" t="str">
        <f t="shared" si="8"/>
        <v>17 TriphenylP 0.18 + TESTO</v>
      </c>
      <c r="B53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t="s">
        <v>2726</v>
      </c>
      <c r="D535" t="s">
        <v>2727</v>
      </c>
      <c r="E535" t="s">
        <v>2728</v>
      </c>
      <c r="F535" t="s">
        <v>112</v>
      </c>
      <c r="G535">
        <v>4751828</v>
      </c>
    </row>
    <row r="536" spans="1:7" x14ac:dyDescent="0.25">
      <c r="A536" t="str">
        <f t="shared" si="8"/>
        <v>17 TriphenylP 0.18 + TESTO</v>
      </c>
      <c r="B53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t="s">
        <v>2729</v>
      </c>
      <c r="D536" t="s">
        <v>2730</v>
      </c>
      <c r="E536" t="s">
        <v>2731</v>
      </c>
      <c r="F536" t="s">
        <v>112</v>
      </c>
      <c r="G536">
        <v>4551406</v>
      </c>
    </row>
    <row r="537" spans="1:7" x14ac:dyDescent="0.25">
      <c r="A537" t="str">
        <f t="shared" si="8"/>
        <v>17 TriphenylP 0.18 + TESTO</v>
      </c>
      <c r="B53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t="s">
        <v>2732</v>
      </c>
      <c r="D537" t="s">
        <v>2733</v>
      </c>
      <c r="E537" t="s">
        <v>2734</v>
      </c>
      <c r="F537" t="s">
        <v>112</v>
      </c>
      <c r="G537">
        <v>4405512</v>
      </c>
    </row>
    <row r="538" spans="1:7" x14ac:dyDescent="0.25">
      <c r="A538" t="str">
        <f t="shared" si="8"/>
        <v>17 TriphenylP 0.18 + TESTO</v>
      </c>
      <c r="B53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t="s">
        <v>2735</v>
      </c>
      <c r="D538" t="s">
        <v>2736</v>
      </c>
      <c r="E538" t="s">
        <v>2737</v>
      </c>
      <c r="F538" t="s">
        <v>112</v>
      </c>
      <c r="G538">
        <v>3022086</v>
      </c>
    </row>
    <row r="539" spans="1:7" x14ac:dyDescent="0.25">
      <c r="A539" t="str">
        <f t="shared" si="8"/>
        <v>17 TriphenylP 0.18 + TESTO</v>
      </c>
      <c r="B53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t="s">
        <v>2738</v>
      </c>
      <c r="D539" t="s">
        <v>2739</v>
      </c>
      <c r="E539" t="s">
        <v>2740</v>
      </c>
      <c r="F539" t="s">
        <v>112</v>
      </c>
      <c r="G539">
        <v>2858996</v>
      </c>
    </row>
    <row r="540" spans="1:7" x14ac:dyDescent="0.25">
      <c r="A540" t="str">
        <f t="shared" si="8"/>
        <v>17 TriphenylP 0.18 + TESTO</v>
      </c>
      <c r="B54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t="s">
        <v>2741</v>
      </c>
      <c r="D540" t="s">
        <v>2742</v>
      </c>
      <c r="E540" t="s">
        <v>2743</v>
      </c>
      <c r="F540" t="s">
        <v>112</v>
      </c>
      <c r="G540">
        <v>2819911</v>
      </c>
    </row>
    <row r="541" spans="1:7" x14ac:dyDescent="0.25">
      <c r="A541" t="str">
        <f t="shared" si="8"/>
        <v>17 TriphenylP 0.18 + TESTO</v>
      </c>
      <c r="B54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t="s">
        <v>2744</v>
      </c>
    </row>
    <row r="542" spans="1:7" x14ac:dyDescent="0.25">
      <c r="A542" t="str">
        <f t="shared" si="8"/>
        <v>17 TriphenylP 0.18 + TESTO</v>
      </c>
      <c r="B54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t="s">
        <v>2745</v>
      </c>
      <c r="D542" t="s">
        <v>2746</v>
      </c>
      <c r="E542" t="s">
        <v>2747</v>
      </c>
      <c r="F542" t="s">
        <v>112</v>
      </c>
      <c r="G542">
        <v>3710457</v>
      </c>
    </row>
    <row r="543" spans="1:7" x14ac:dyDescent="0.25">
      <c r="A543" t="str">
        <f t="shared" si="8"/>
        <v>17 TriphenylP 0.18 + TESTO</v>
      </c>
      <c r="B54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t="s">
        <v>2748</v>
      </c>
      <c r="D543" t="s">
        <v>2749</v>
      </c>
      <c r="E543" t="s">
        <v>2750</v>
      </c>
      <c r="F543" t="s">
        <v>112</v>
      </c>
      <c r="G543">
        <v>3751186</v>
      </c>
    </row>
    <row r="544" spans="1:7" x14ac:dyDescent="0.25">
      <c r="A544" t="str">
        <f t="shared" si="8"/>
        <v>17 TriphenylP 0.18 + TESTO</v>
      </c>
      <c r="B5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t="s">
        <v>2751</v>
      </c>
      <c r="D544" t="s">
        <v>2752</v>
      </c>
      <c r="E544" t="s">
        <v>2753</v>
      </c>
      <c r="F544" t="s">
        <v>112</v>
      </c>
      <c r="G544">
        <v>3923274</v>
      </c>
    </row>
    <row r="545" spans="1:10" x14ac:dyDescent="0.25">
      <c r="A545" t="str">
        <f t="shared" si="8"/>
        <v>17 TriphenylP 0.18 + TESTO</v>
      </c>
      <c r="B54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t="s">
        <v>2754</v>
      </c>
      <c r="D545" t="s">
        <v>2755</v>
      </c>
      <c r="E545" t="s">
        <v>2756</v>
      </c>
      <c r="F545" t="s">
        <v>112</v>
      </c>
      <c r="G545">
        <v>3352634</v>
      </c>
    </row>
    <row r="546" spans="1:10" x14ac:dyDescent="0.25">
      <c r="A546" t="str">
        <f t="shared" si="8"/>
        <v>17 TriphenylP 0.18 + TESTO</v>
      </c>
      <c r="B54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t="s">
        <v>2757</v>
      </c>
    </row>
    <row r="547" spans="1:10" x14ac:dyDescent="0.25">
      <c r="A547" t="str">
        <f t="shared" si="8"/>
        <v>17 TriphenylP 0.18 + TESTO</v>
      </c>
      <c r="B54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t="s">
        <v>2758</v>
      </c>
      <c r="D547" t="s">
        <v>2759</v>
      </c>
      <c r="E547" t="s">
        <v>2760</v>
      </c>
      <c r="F547" t="s">
        <v>112</v>
      </c>
      <c r="G547">
        <v>4177468</v>
      </c>
    </row>
    <row r="548" spans="1:10" x14ac:dyDescent="0.25">
      <c r="A548" t="str">
        <f t="shared" si="8"/>
        <v>17 TriphenylP 0.18 + TESTO</v>
      </c>
      <c r="B54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t="s">
        <v>2761</v>
      </c>
      <c r="D548" t="s">
        <v>2762</v>
      </c>
      <c r="E548" t="s">
        <v>2763</v>
      </c>
      <c r="F548" t="s">
        <v>112</v>
      </c>
      <c r="G548">
        <v>626813</v>
      </c>
    </row>
    <row r="549" spans="1:10" x14ac:dyDescent="0.25">
      <c r="A549" t="str">
        <f t="shared" si="8"/>
        <v>17 TriphenylP 0.18 + TESTO</v>
      </c>
      <c r="B54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t="s">
        <v>2764</v>
      </c>
    </row>
    <row r="550" spans="1:10" x14ac:dyDescent="0.25">
      <c r="A550" t="str">
        <f t="shared" si="8"/>
        <v>17 TriphenylP 0.18 + TESTO</v>
      </c>
      <c r="B55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t="s">
        <v>2765</v>
      </c>
      <c r="D550" t="s">
        <v>2766</v>
      </c>
      <c r="E550" t="s">
        <v>2767</v>
      </c>
      <c r="F550" t="s">
        <v>112</v>
      </c>
      <c r="G550">
        <v>1283064</v>
      </c>
    </row>
    <row r="551" spans="1:10" x14ac:dyDescent="0.25">
      <c r="A551" t="str">
        <f t="shared" si="8"/>
        <v>17 TriphenylP 0.18 + TESTO</v>
      </c>
      <c r="B55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t="s">
        <v>2768</v>
      </c>
      <c r="D551" t="s">
        <v>2769</v>
      </c>
      <c r="E551" t="s">
        <v>2770</v>
      </c>
      <c r="F551" t="s">
        <v>112</v>
      </c>
      <c r="G551">
        <v>3836538</v>
      </c>
    </row>
    <row r="552" spans="1:10" x14ac:dyDescent="0.25">
      <c r="A552" t="str">
        <f t="shared" si="8"/>
        <v>17 TriphenylP 0.18 + TESTO</v>
      </c>
      <c r="B55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t="s">
        <v>2771</v>
      </c>
      <c r="D552" t="s">
        <v>2772</v>
      </c>
      <c r="E552" t="s">
        <v>2773</v>
      </c>
      <c r="F552" t="s">
        <v>112</v>
      </c>
      <c r="G552">
        <v>3939366</v>
      </c>
    </row>
    <row r="553" spans="1:10" x14ac:dyDescent="0.25">
      <c r="A553" t="str">
        <f t="shared" si="8"/>
        <v>17 TriphenylP 0.18 + TESTO</v>
      </c>
      <c r="B55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t="s">
        <v>2774</v>
      </c>
      <c r="D553" t="s">
        <v>2775</v>
      </c>
      <c r="E553" t="s">
        <v>2776</v>
      </c>
      <c r="F553" t="s">
        <v>112</v>
      </c>
      <c r="G553">
        <v>3902725</v>
      </c>
    </row>
    <row r="554" spans="1:10" x14ac:dyDescent="0.25">
      <c r="A554" t="str">
        <f t="shared" si="8"/>
        <v/>
      </c>
      <c r="B5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t="s">
        <v>112</v>
      </c>
    </row>
    <row r="555" spans="1:10" x14ac:dyDescent="0.25">
      <c r="A555" t="str">
        <f t="shared" si="8"/>
        <v/>
      </c>
      <c r="B5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t="s">
        <v>234</v>
      </c>
      <c r="D555" t="s">
        <v>112</v>
      </c>
      <c r="E555" t="s">
        <v>235</v>
      </c>
      <c r="F555" t="s">
        <v>236</v>
      </c>
      <c r="G555" t="s">
        <v>237</v>
      </c>
      <c r="H555" t="s">
        <v>238</v>
      </c>
      <c r="I555" t="s">
        <v>239</v>
      </c>
      <c r="J555" t="s">
        <v>240</v>
      </c>
    </row>
    <row r="556" spans="1:10" x14ac:dyDescent="0.25">
      <c r="A556" t="str">
        <f t="shared" si="8"/>
        <v>17 TriphenylP 0.18 + TESTO</v>
      </c>
      <c r="B55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t="s">
        <v>2777</v>
      </c>
      <c r="D556" t="s">
        <v>112</v>
      </c>
      <c r="E556" t="s">
        <v>2778</v>
      </c>
      <c r="F556" t="s">
        <v>2779</v>
      </c>
      <c r="G556" t="s">
        <v>2780</v>
      </c>
      <c r="H556" t="s">
        <v>2781</v>
      </c>
      <c r="I556">
        <v>24</v>
      </c>
      <c r="J556">
        <v>24</v>
      </c>
    </row>
    <row r="557" spans="1:10" x14ac:dyDescent="0.25">
      <c r="A557" t="str">
        <f t="shared" si="8"/>
        <v/>
      </c>
      <c r="B5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t="s">
        <v>112</v>
      </c>
    </row>
    <row r="558" spans="1:10" x14ac:dyDescent="0.25">
      <c r="A558" t="str">
        <f t="shared" si="8"/>
        <v/>
      </c>
      <c r="B5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t="s">
        <v>112</v>
      </c>
    </row>
    <row r="559" spans="1:10" x14ac:dyDescent="0.25">
      <c r="A559" t="str">
        <f t="shared" si="8"/>
        <v/>
      </c>
      <c r="B5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t="s">
        <v>112</v>
      </c>
    </row>
    <row r="560" spans="1:10" x14ac:dyDescent="0.25">
      <c r="A560" t="str">
        <f t="shared" si="8"/>
        <v/>
      </c>
      <c r="B5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t="s">
        <v>112</v>
      </c>
    </row>
    <row r="561" spans="1:7" x14ac:dyDescent="0.25">
      <c r="A561" t="str">
        <f t="shared" si="8"/>
        <v/>
      </c>
      <c r="B5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t="s">
        <v>112</v>
      </c>
    </row>
    <row r="562" spans="1:7" x14ac:dyDescent="0.25">
      <c r="A562" t="str">
        <f t="shared" si="8"/>
        <v/>
      </c>
      <c r="B5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t="s">
        <v>246</v>
      </c>
      <c r="D562" t="s">
        <v>110</v>
      </c>
      <c r="E562" t="s">
        <v>111</v>
      </c>
      <c r="F562" t="s">
        <v>112</v>
      </c>
      <c r="G562" t="s">
        <v>113</v>
      </c>
    </row>
    <row r="563" spans="1:7" x14ac:dyDescent="0.25">
      <c r="A563" t="str">
        <f t="shared" si="8"/>
        <v>18  TriphenylP 0.26 + TESTO</v>
      </c>
      <c r="B56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t="s">
        <v>2782</v>
      </c>
      <c r="D563" t="s">
        <v>2783</v>
      </c>
      <c r="E563" t="s">
        <v>2784</v>
      </c>
      <c r="F563" t="s">
        <v>112</v>
      </c>
      <c r="G563">
        <v>3098028</v>
      </c>
    </row>
    <row r="564" spans="1:7" x14ac:dyDescent="0.25">
      <c r="A564" t="str">
        <f t="shared" si="8"/>
        <v>18  TriphenylP 0.26 + TESTO</v>
      </c>
      <c r="B56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t="s">
        <v>2785</v>
      </c>
    </row>
    <row r="565" spans="1:7" x14ac:dyDescent="0.25">
      <c r="A565" t="str">
        <f t="shared" si="8"/>
        <v>18  TriphenylP 0.26 + TESTO</v>
      </c>
      <c r="B56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t="s">
        <v>2786</v>
      </c>
      <c r="D565" t="s">
        <v>2441</v>
      </c>
      <c r="E565" t="s">
        <v>2787</v>
      </c>
      <c r="F565" t="s">
        <v>112</v>
      </c>
      <c r="G565">
        <v>3219718</v>
      </c>
    </row>
    <row r="566" spans="1:7" x14ac:dyDescent="0.25">
      <c r="A566" t="str">
        <f t="shared" si="8"/>
        <v>18  TriphenylP 0.26 + TESTO</v>
      </c>
      <c r="B56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t="s">
        <v>2788</v>
      </c>
      <c r="D566" t="s">
        <v>2789</v>
      </c>
      <c r="E566" t="s">
        <v>2790</v>
      </c>
      <c r="F566" t="s">
        <v>112</v>
      </c>
      <c r="G566">
        <v>3399679</v>
      </c>
    </row>
    <row r="567" spans="1:7" x14ac:dyDescent="0.25">
      <c r="A567" t="str">
        <f t="shared" si="8"/>
        <v>18  TriphenylP 0.26 + TESTO</v>
      </c>
      <c r="B56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t="s">
        <v>2791</v>
      </c>
      <c r="D567" t="s">
        <v>2792</v>
      </c>
      <c r="E567" t="s">
        <v>2793</v>
      </c>
      <c r="F567" t="s">
        <v>112</v>
      </c>
      <c r="G567">
        <v>3242905</v>
      </c>
    </row>
    <row r="568" spans="1:7" x14ac:dyDescent="0.25">
      <c r="A568" t="str">
        <f t="shared" si="8"/>
        <v>18  TriphenylP 0.26 + TESTO</v>
      </c>
      <c r="B56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t="s">
        <v>2794</v>
      </c>
      <c r="D568" t="s">
        <v>911</v>
      </c>
      <c r="E568" t="s">
        <v>2795</v>
      </c>
      <c r="F568" t="s">
        <v>112</v>
      </c>
      <c r="G568">
        <v>3338531</v>
      </c>
    </row>
    <row r="569" spans="1:7" x14ac:dyDescent="0.25">
      <c r="A569" t="str">
        <f t="shared" si="8"/>
        <v>18  TriphenylP 0.26 + TESTO</v>
      </c>
      <c r="B56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t="s">
        <v>2796</v>
      </c>
      <c r="D569" t="s">
        <v>2797</v>
      </c>
      <c r="E569" t="s">
        <v>2798</v>
      </c>
      <c r="F569" t="s">
        <v>112</v>
      </c>
      <c r="G569">
        <v>6890073</v>
      </c>
    </row>
    <row r="570" spans="1:7" x14ac:dyDescent="0.25">
      <c r="A570" t="str">
        <f t="shared" si="8"/>
        <v>18  TriphenylP 0.26 + TESTO</v>
      </c>
      <c r="B57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t="s">
        <v>2799</v>
      </c>
      <c r="D570" t="s">
        <v>2800</v>
      </c>
      <c r="E570" t="s">
        <v>2801</v>
      </c>
      <c r="F570" t="s">
        <v>112</v>
      </c>
      <c r="G570">
        <v>6991366</v>
      </c>
    </row>
    <row r="571" spans="1:7" x14ac:dyDescent="0.25">
      <c r="A571" t="str">
        <f t="shared" si="8"/>
        <v>18  TriphenylP 0.26 + TESTO</v>
      </c>
      <c r="B57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t="s">
        <v>2802</v>
      </c>
      <c r="D571" t="s">
        <v>2803</v>
      </c>
      <c r="E571" t="s">
        <v>2804</v>
      </c>
      <c r="F571" t="s">
        <v>112</v>
      </c>
      <c r="G571">
        <v>6782270</v>
      </c>
    </row>
    <row r="572" spans="1:7" x14ac:dyDescent="0.25">
      <c r="A572" t="str">
        <f t="shared" si="8"/>
        <v>18  TriphenylP 0.26 + TESTO</v>
      </c>
      <c r="B57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t="s">
        <v>2805</v>
      </c>
      <c r="D572" t="s">
        <v>2806</v>
      </c>
      <c r="E572" t="s">
        <v>2807</v>
      </c>
      <c r="F572" t="s">
        <v>112</v>
      </c>
      <c r="G572">
        <v>2547850</v>
      </c>
    </row>
    <row r="573" spans="1:7" x14ac:dyDescent="0.25">
      <c r="A573" t="str">
        <f t="shared" si="8"/>
        <v>18  TriphenylP 0.26 + TESTO</v>
      </c>
      <c r="B57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t="s">
        <v>2808</v>
      </c>
      <c r="D573" t="s">
        <v>2809</v>
      </c>
      <c r="E573" t="s">
        <v>2810</v>
      </c>
      <c r="F573" t="s">
        <v>112</v>
      </c>
      <c r="G573">
        <v>2592538</v>
      </c>
    </row>
    <row r="574" spans="1:7" x14ac:dyDescent="0.25">
      <c r="A574" t="str">
        <f t="shared" si="8"/>
        <v>18  TriphenylP 0.26 + TESTO</v>
      </c>
      <c r="B57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t="s">
        <v>2811</v>
      </c>
      <c r="D574" t="s">
        <v>2812</v>
      </c>
      <c r="E574" t="s">
        <v>2813</v>
      </c>
      <c r="F574" t="s">
        <v>112</v>
      </c>
      <c r="G574">
        <v>2430011</v>
      </c>
    </row>
    <row r="575" spans="1:7" x14ac:dyDescent="0.25">
      <c r="A575" t="str">
        <f t="shared" si="8"/>
        <v>18  TriphenylP 0.26 + TESTO</v>
      </c>
      <c r="B57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t="s">
        <v>2814</v>
      </c>
      <c r="D575" t="s">
        <v>2815</v>
      </c>
      <c r="E575" t="s">
        <v>2816</v>
      </c>
      <c r="F575" t="s">
        <v>112</v>
      </c>
      <c r="G575">
        <v>5521680</v>
      </c>
    </row>
    <row r="576" spans="1:7" x14ac:dyDescent="0.25">
      <c r="A576" t="str">
        <f t="shared" si="8"/>
        <v>18  TriphenylP 0.26 + TESTO</v>
      </c>
      <c r="B57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t="s">
        <v>2817</v>
      </c>
      <c r="D576" t="s">
        <v>2375</v>
      </c>
      <c r="E576" t="s">
        <v>2818</v>
      </c>
      <c r="F576" t="s">
        <v>112</v>
      </c>
      <c r="G576">
        <v>5582741</v>
      </c>
    </row>
    <row r="577" spans="1:10" x14ac:dyDescent="0.25">
      <c r="A577" t="str">
        <f t="shared" si="8"/>
        <v>18  TriphenylP 0.26 + TESTO</v>
      </c>
      <c r="B57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t="s">
        <v>2819</v>
      </c>
      <c r="D577" t="s">
        <v>2820</v>
      </c>
      <c r="E577" t="s">
        <v>2821</v>
      </c>
      <c r="F577" t="s">
        <v>112</v>
      </c>
      <c r="G577">
        <v>5361251</v>
      </c>
    </row>
    <row r="578" spans="1:10" x14ac:dyDescent="0.25">
      <c r="A578" t="str">
        <f t="shared" ref="A578:A641" si="9">IFERROR(LEFT(RIGHT(C578,LEN(C578)-SEARCH("@",C578)),SEARCH("/",RIGHT(C578,LEN(C578)-SEARCH("@",C578)-1))),"")</f>
        <v>18  TriphenylP 0.26 + TESTO</v>
      </c>
      <c r="B57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t="s">
        <v>2822</v>
      </c>
      <c r="D578" t="s">
        <v>2823</v>
      </c>
      <c r="E578" t="s">
        <v>2824</v>
      </c>
      <c r="F578" t="s">
        <v>112</v>
      </c>
      <c r="G578">
        <v>3202565</v>
      </c>
    </row>
    <row r="579" spans="1:10" x14ac:dyDescent="0.25">
      <c r="A579" t="str">
        <f t="shared" si="9"/>
        <v>18  TriphenylP 0.26 + TESTO</v>
      </c>
      <c r="B57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t="s">
        <v>2825</v>
      </c>
      <c r="D579" t="s">
        <v>2826</v>
      </c>
      <c r="E579" t="s">
        <v>2827</v>
      </c>
      <c r="F579" t="s">
        <v>112</v>
      </c>
      <c r="G579">
        <v>2721084</v>
      </c>
    </row>
    <row r="580" spans="1:10" x14ac:dyDescent="0.25">
      <c r="A580" t="str">
        <f t="shared" si="9"/>
        <v>18  TriphenylP 0.26 + TESTO</v>
      </c>
      <c r="B58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t="s">
        <v>2828</v>
      </c>
      <c r="D580" t="s">
        <v>478</v>
      </c>
      <c r="E580" t="s">
        <v>2829</v>
      </c>
      <c r="F580" t="s">
        <v>112</v>
      </c>
      <c r="G580">
        <v>2580338</v>
      </c>
    </row>
    <row r="581" spans="1:10" x14ac:dyDescent="0.25">
      <c r="A581" t="str">
        <f t="shared" si="9"/>
        <v>18  TriphenylP 0.26 + TESTO</v>
      </c>
      <c r="B58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t="s">
        <v>2830</v>
      </c>
      <c r="D581" t="s">
        <v>2831</v>
      </c>
      <c r="E581" t="s">
        <v>2832</v>
      </c>
      <c r="F581" t="s">
        <v>112</v>
      </c>
      <c r="G581">
        <v>5333759</v>
      </c>
    </row>
    <row r="582" spans="1:10" x14ac:dyDescent="0.25">
      <c r="A582" t="str">
        <f t="shared" si="9"/>
        <v>18  TriphenylP 0.26 + TESTO</v>
      </c>
      <c r="B58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t="s">
        <v>2833</v>
      </c>
      <c r="D582" t="s">
        <v>2834</v>
      </c>
      <c r="E582" t="s">
        <v>2835</v>
      </c>
      <c r="F582" t="s">
        <v>112</v>
      </c>
      <c r="G582">
        <v>5494621</v>
      </c>
    </row>
    <row r="583" spans="1:10" x14ac:dyDescent="0.25">
      <c r="A583" t="str">
        <f t="shared" si="9"/>
        <v>18  TriphenylP 0.26 + TESTO</v>
      </c>
      <c r="B58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t="s">
        <v>2836</v>
      </c>
      <c r="D583" t="s">
        <v>2837</v>
      </c>
      <c r="E583" t="s">
        <v>2838</v>
      </c>
      <c r="F583" t="s">
        <v>112</v>
      </c>
      <c r="G583">
        <v>5424886</v>
      </c>
    </row>
    <row r="584" spans="1:10" x14ac:dyDescent="0.25">
      <c r="A584" t="str">
        <f t="shared" si="9"/>
        <v>18  TriphenylP 0.26 + TESTO</v>
      </c>
      <c r="B58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t="s">
        <v>2839</v>
      </c>
      <c r="D584" t="s">
        <v>2840</v>
      </c>
      <c r="E584" t="s">
        <v>2841</v>
      </c>
      <c r="F584" t="s">
        <v>112</v>
      </c>
      <c r="G584">
        <v>4899020</v>
      </c>
    </row>
    <row r="585" spans="1:10" x14ac:dyDescent="0.25">
      <c r="A585" t="str">
        <f t="shared" si="9"/>
        <v>18  TriphenylP 0.26 + TESTO</v>
      </c>
      <c r="B58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t="s">
        <v>2842</v>
      </c>
      <c r="D585" t="s">
        <v>2843</v>
      </c>
      <c r="E585" t="s">
        <v>2844</v>
      </c>
      <c r="F585" t="s">
        <v>112</v>
      </c>
      <c r="G585">
        <v>4690508</v>
      </c>
    </row>
    <row r="586" spans="1:10" x14ac:dyDescent="0.25">
      <c r="A586" t="str">
        <f t="shared" si="9"/>
        <v>18  TriphenylP 0.26 + TESTO</v>
      </c>
      <c r="B58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t="s">
        <v>2845</v>
      </c>
      <c r="D586" t="s">
        <v>2846</v>
      </c>
      <c r="E586" t="s">
        <v>2847</v>
      </c>
      <c r="F586" t="s">
        <v>112</v>
      </c>
      <c r="G586">
        <v>4491426</v>
      </c>
    </row>
    <row r="587" spans="1:10" x14ac:dyDescent="0.25">
      <c r="A587" t="str">
        <f t="shared" si="9"/>
        <v/>
      </c>
      <c r="B5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t="s">
        <v>112</v>
      </c>
    </row>
    <row r="588" spans="1:10" x14ac:dyDescent="0.25">
      <c r="A588" t="str">
        <f t="shared" si="9"/>
        <v/>
      </c>
      <c r="B5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t="s">
        <v>234</v>
      </c>
      <c r="D588" t="s">
        <v>112</v>
      </c>
      <c r="E588" t="s">
        <v>235</v>
      </c>
      <c r="F588" t="s">
        <v>236</v>
      </c>
      <c r="G588" t="s">
        <v>237</v>
      </c>
      <c r="H588" t="s">
        <v>238</v>
      </c>
      <c r="I588" t="s">
        <v>239</v>
      </c>
      <c r="J588" t="s">
        <v>240</v>
      </c>
    </row>
    <row r="589" spans="1:10" x14ac:dyDescent="0.25">
      <c r="A589" t="str">
        <f t="shared" si="9"/>
        <v>18  TriphenylP 0.26 + TESTO</v>
      </c>
      <c r="B58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t="s">
        <v>2848</v>
      </c>
      <c r="D589" t="s">
        <v>112</v>
      </c>
      <c r="E589" t="s">
        <v>2849</v>
      </c>
      <c r="F589" t="s">
        <v>2850</v>
      </c>
      <c r="G589" t="s">
        <v>2851</v>
      </c>
      <c r="H589" t="s">
        <v>2852</v>
      </c>
      <c r="I589">
        <v>24</v>
      </c>
      <c r="J589">
        <v>24</v>
      </c>
    </row>
    <row r="590" spans="1:10" x14ac:dyDescent="0.25">
      <c r="A590" t="str">
        <f t="shared" si="9"/>
        <v/>
      </c>
      <c r="B5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t="s">
        <v>112</v>
      </c>
    </row>
    <row r="591" spans="1:10" x14ac:dyDescent="0.25">
      <c r="A591" t="str">
        <f t="shared" si="9"/>
        <v/>
      </c>
      <c r="B5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t="s">
        <v>112</v>
      </c>
    </row>
    <row r="592" spans="1:10" x14ac:dyDescent="0.25">
      <c r="A592" t="str">
        <f t="shared" si="9"/>
        <v/>
      </c>
      <c r="B5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t="s">
        <v>112</v>
      </c>
    </row>
    <row r="593" spans="1:7" x14ac:dyDescent="0.25">
      <c r="A593" t="str">
        <f t="shared" si="9"/>
        <v/>
      </c>
      <c r="B5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t="s">
        <v>112</v>
      </c>
    </row>
    <row r="594" spans="1:7" x14ac:dyDescent="0.25">
      <c r="A594" t="str">
        <f t="shared" si="9"/>
        <v/>
      </c>
      <c r="B5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t="s">
        <v>112</v>
      </c>
    </row>
    <row r="595" spans="1:7" x14ac:dyDescent="0.25">
      <c r="A595" t="str">
        <f t="shared" si="9"/>
        <v/>
      </c>
      <c r="B5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t="s">
        <v>246</v>
      </c>
      <c r="D595" t="s">
        <v>110</v>
      </c>
      <c r="E595" t="s">
        <v>111</v>
      </c>
      <c r="F595" t="s">
        <v>112</v>
      </c>
      <c r="G595" t="s">
        <v>113</v>
      </c>
    </row>
    <row r="596" spans="1:7" x14ac:dyDescent="0.25">
      <c r="A596" t="str">
        <f t="shared" si="9"/>
        <v>19  TriphenylP 0.4 + TESTO</v>
      </c>
      <c r="B59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t="s">
        <v>2853</v>
      </c>
      <c r="D596" t="s">
        <v>2775</v>
      </c>
      <c r="E596" t="s">
        <v>2854</v>
      </c>
      <c r="F596" t="s">
        <v>112</v>
      </c>
      <c r="G596">
        <v>4140416</v>
      </c>
    </row>
    <row r="597" spans="1:7" x14ac:dyDescent="0.25">
      <c r="A597" t="str">
        <f t="shared" si="9"/>
        <v>19  TriphenylP 0.4 + TESTO</v>
      </c>
      <c r="B59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t="s">
        <v>2855</v>
      </c>
      <c r="D597" t="s">
        <v>2856</v>
      </c>
      <c r="E597" t="s">
        <v>2857</v>
      </c>
      <c r="F597" t="s">
        <v>112</v>
      </c>
      <c r="G597">
        <v>4080220</v>
      </c>
    </row>
    <row r="598" spans="1:7" x14ac:dyDescent="0.25">
      <c r="A598" t="str">
        <f t="shared" si="9"/>
        <v>19  TriphenylP 0.4 + TESTO</v>
      </c>
      <c r="B59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t="s">
        <v>2858</v>
      </c>
    </row>
    <row r="599" spans="1:7" x14ac:dyDescent="0.25">
      <c r="A599" t="str">
        <f t="shared" si="9"/>
        <v>19  TriphenylP 0.4 + TESTO</v>
      </c>
      <c r="B59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t="s">
        <v>2859</v>
      </c>
      <c r="D599" t="s">
        <v>2860</v>
      </c>
      <c r="E599" t="s">
        <v>2861</v>
      </c>
      <c r="F599" t="s">
        <v>112</v>
      </c>
      <c r="G599">
        <v>2656367</v>
      </c>
    </row>
    <row r="600" spans="1:7" x14ac:dyDescent="0.25">
      <c r="A600" t="str">
        <f t="shared" si="9"/>
        <v>19  TriphenylP 0.4 + TESTO</v>
      </c>
      <c r="B60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t="s">
        <v>2862</v>
      </c>
      <c r="D600" t="s">
        <v>2863</v>
      </c>
      <c r="E600" t="s">
        <v>2864</v>
      </c>
      <c r="F600" t="s">
        <v>112</v>
      </c>
      <c r="G600">
        <v>2754805</v>
      </c>
    </row>
    <row r="601" spans="1:7" x14ac:dyDescent="0.25">
      <c r="A601" t="str">
        <f t="shared" si="9"/>
        <v>19  TriphenylP 0.4 + TESTO</v>
      </c>
      <c r="B60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t="s">
        <v>2865</v>
      </c>
      <c r="D601" t="s">
        <v>2866</v>
      </c>
      <c r="E601" t="s">
        <v>2867</v>
      </c>
      <c r="F601" t="s">
        <v>112</v>
      </c>
      <c r="G601">
        <v>2760299</v>
      </c>
    </row>
    <row r="602" spans="1:7" x14ac:dyDescent="0.25">
      <c r="A602" t="str">
        <f t="shared" si="9"/>
        <v>19  TriphenylP 0.4 + TESTO</v>
      </c>
      <c r="B60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t="s">
        <v>2868</v>
      </c>
      <c r="D602" t="s">
        <v>2869</v>
      </c>
      <c r="E602" t="s">
        <v>2870</v>
      </c>
      <c r="F602" t="s">
        <v>112</v>
      </c>
      <c r="G602">
        <v>495649</v>
      </c>
    </row>
    <row r="603" spans="1:7" x14ac:dyDescent="0.25">
      <c r="A603" t="str">
        <f t="shared" si="9"/>
        <v>19  TriphenylP 0.4 + TESTO</v>
      </c>
      <c r="B60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t="s">
        <v>2871</v>
      </c>
      <c r="D603" t="s">
        <v>1829</v>
      </c>
      <c r="E603" t="s">
        <v>2872</v>
      </c>
      <c r="F603" t="s">
        <v>112</v>
      </c>
      <c r="G603">
        <v>403614</v>
      </c>
    </row>
    <row r="604" spans="1:7" x14ac:dyDescent="0.25">
      <c r="A604" t="str">
        <f t="shared" si="9"/>
        <v>19  TriphenylP 0.4 + TESTO</v>
      </c>
      <c r="B60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t="s">
        <v>2873</v>
      </c>
      <c r="D604" t="s">
        <v>1772</v>
      </c>
      <c r="E604" t="s">
        <v>2874</v>
      </c>
      <c r="F604" t="s">
        <v>112</v>
      </c>
      <c r="G604">
        <v>338292</v>
      </c>
    </row>
    <row r="605" spans="1:7" x14ac:dyDescent="0.25">
      <c r="A605" t="str">
        <f t="shared" si="9"/>
        <v>19  TriphenylP 0.4 + TESTO</v>
      </c>
      <c r="B60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t="s">
        <v>2875</v>
      </c>
      <c r="D605" t="s">
        <v>2876</v>
      </c>
      <c r="E605" t="s">
        <v>2877</v>
      </c>
      <c r="F605" t="s">
        <v>112</v>
      </c>
      <c r="G605">
        <v>6771693</v>
      </c>
    </row>
    <row r="606" spans="1:7" x14ac:dyDescent="0.25">
      <c r="A606" t="str">
        <f t="shared" si="9"/>
        <v>19  TriphenylP 0.4 + TESTO</v>
      </c>
      <c r="B60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t="s">
        <v>2878</v>
      </c>
    </row>
    <row r="607" spans="1:7" x14ac:dyDescent="0.25">
      <c r="A607" t="str">
        <f t="shared" si="9"/>
        <v>19  TriphenylP 0.4 + TESTO</v>
      </c>
      <c r="B60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t="s">
        <v>2879</v>
      </c>
      <c r="D607" t="s">
        <v>2880</v>
      </c>
      <c r="E607" t="s">
        <v>2881</v>
      </c>
      <c r="F607" t="s">
        <v>112</v>
      </c>
      <c r="G607">
        <v>6168673</v>
      </c>
    </row>
    <row r="608" spans="1:7" x14ac:dyDescent="0.25">
      <c r="A608" t="str">
        <f t="shared" si="9"/>
        <v>19  TriphenylP 0.4 + TESTO</v>
      </c>
      <c r="B60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t="s">
        <v>2882</v>
      </c>
      <c r="D608" t="s">
        <v>2883</v>
      </c>
      <c r="E608" t="s">
        <v>2884</v>
      </c>
      <c r="F608" t="s">
        <v>112</v>
      </c>
      <c r="G608">
        <v>6163179</v>
      </c>
    </row>
    <row r="609" spans="1:10" x14ac:dyDescent="0.25">
      <c r="A609" t="str">
        <f t="shared" si="9"/>
        <v>19  TriphenylP 0.4 + TESTO</v>
      </c>
      <c r="B60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t="s">
        <v>2885</v>
      </c>
      <c r="D609" t="s">
        <v>1616</v>
      </c>
      <c r="E609" t="s">
        <v>2886</v>
      </c>
      <c r="F609" t="s">
        <v>112</v>
      </c>
      <c r="G609">
        <v>5353204</v>
      </c>
    </row>
    <row r="610" spans="1:10" x14ac:dyDescent="0.25">
      <c r="A610" t="str">
        <f t="shared" si="9"/>
        <v>19  TriphenylP 0.4 + TESTO</v>
      </c>
      <c r="B61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t="s">
        <v>2887</v>
      </c>
      <c r="D610" t="s">
        <v>2888</v>
      </c>
      <c r="E610" t="s">
        <v>2889</v>
      </c>
      <c r="F610" t="s">
        <v>112</v>
      </c>
      <c r="G610">
        <v>6159956</v>
      </c>
    </row>
    <row r="611" spans="1:10" x14ac:dyDescent="0.25">
      <c r="A611" t="str">
        <f t="shared" si="9"/>
        <v>19  TriphenylP 0.4 + TESTO</v>
      </c>
      <c r="B61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t="s">
        <v>2890</v>
      </c>
      <c r="D611" t="s">
        <v>2891</v>
      </c>
      <c r="E611" t="s">
        <v>2892</v>
      </c>
      <c r="F611" t="s">
        <v>112</v>
      </c>
      <c r="G611">
        <v>5146444</v>
      </c>
    </row>
    <row r="612" spans="1:10" x14ac:dyDescent="0.25">
      <c r="A612" t="str">
        <f t="shared" si="9"/>
        <v>19  TriphenylP 0.4 + TESTO</v>
      </c>
      <c r="B61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t="s">
        <v>2893</v>
      </c>
      <c r="D612" t="s">
        <v>2894</v>
      </c>
      <c r="E612" t="s">
        <v>2895</v>
      </c>
      <c r="F612" t="s">
        <v>112</v>
      </c>
      <c r="G612">
        <v>4707855</v>
      </c>
    </row>
    <row r="613" spans="1:10" x14ac:dyDescent="0.25">
      <c r="A613" t="str">
        <f t="shared" si="9"/>
        <v>19  TriphenylP 0.4 + TESTO</v>
      </c>
      <c r="B61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t="s">
        <v>2896</v>
      </c>
      <c r="D613" t="s">
        <v>2897</v>
      </c>
      <c r="E613" t="s">
        <v>2898</v>
      </c>
      <c r="F613" t="s">
        <v>112</v>
      </c>
      <c r="G613">
        <v>4463718</v>
      </c>
    </row>
    <row r="614" spans="1:10" x14ac:dyDescent="0.25">
      <c r="A614" t="str">
        <f t="shared" si="9"/>
        <v>19  TriphenylP 0.4 + TESTO</v>
      </c>
      <c r="B61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t="s">
        <v>2899</v>
      </c>
      <c r="D614" t="s">
        <v>2900</v>
      </c>
      <c r="E614" t="s">
        <v>2901</v>
      </c>
      <c r="F614" t="s">
        <v>112</v>
      </c>
      <c r="G614">
        <v>3823603</v>
      </c>
    </row>
    <row r="615" spans="1:10" x14ac:dyDescent="0.25">
      <c r="A615" t="str">
        <f t="shared" si="9"/>
        <v>19  TriphenylP 0.4 + TESTO</v>
      </c>
      <c r="B61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t="s">
        <v>2902</v>
      </c>
      <c r="D615" t="s">
        <v>2903</v>
      </c>
      <c r="E615" t="s">
        <v>2904</v>
      </c>
      <c r="F615" t="s">
        <v>112</v>
      </c>
      <c r="G615">
        <v>3169407</v>
      </c>
    </row>
    <row r="616" spans="1:10" x14ac:dyDescent="0.25">
      <c r="A616" t="str">
        <f t="shared" si="9"/>
        <v>19  TriphenylP 0.4 + TESTO</v>
      </c>
      <c r="B61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t="s">
        <v>2905</v>
      </c>
      <c r="D616" t="s">
        <v>2906</v>
      </c>
      <c r="E616" t="s">
        <v>2907</v>
      </c>
      <c r="F616" t="s">
        <v>112</v>
      </c>
      <c r="G616">
        <v>4003996</v>
      </c>
    </row>
    <row r="617" spans="1:10" x14ac:dyDescent="0.25">
      <c r="A617" t="str">
        <f t="shared" si="9"/>
        <v>19  TriphenylP 0.4 + TESTO</v>
      </c>
      <c r="B61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t="s">
        <v>2908</v>
      </c>
      <c r="D617" t="s">
        <v>1020</v>
      </c>
      <c r="E617" t="s">
        <v>2909</v>
      </c>
      <c r="F617" t="s">
        <v>112</v>
      </c>
      <c r="G617">
        <v>2801028</v>
      </c>
    </row>
    <row r="618" spans="1:10" x14ac:dyDescent="0.25">
      <c r="A618" t="str">
        <f t="shared" si="9"/>
        <v>19  TriphenylP 0.4 + TESTO</v>
      </c>
      <c r="B61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t="s">
        <v>2910</v>
      </c>
      <c r="D618" t="s">
        <v>2911</v>
      </c>
      <c r="E618" t="s">
        <v>2912</v>
      </c>
      <c r="F618" t="s">
        <v>112</v>
      </c>
      <c r="G618">
        <v>2268327</v>
      </c>
    </row>
    <row r="619" spans="1:10" x14ac:dyDescent="0.25">
      <c r="A619" t="str">
        <f t="shared" si="9"/>
        <v>19  TriphenylP 0.4 + TESTO</v>
      </c>
      <c r="B61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t="s">
        <v>2913</v>
      </c>
      <c r="D619" t="s">
        <v>2914</v>
      </c>
      <c r="E619" t="s">
        <v>2915</v>
      </c>
      <c r="F619" t="s">
        <v>112</v>
      </c>
      <c r="G619">
        <v>2625826</v>
      </c>
    </row>
    <row r="620" spans="1:10" x14ac:dyDescent="0.25">
      <c r="A620" t="str">
        <f t="shared" si="9"/>
        <v/>
      </c>
      <c r="B6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t="s">
        <v>112</v>
      </c>
    </row>
    <row r="621" spans="1:10" x14ac:dyDescent="0.25">
      <c r="A621" t="str">
        <f t="shared" si="9"/>
        <v/>
      </c>
      <c r="B6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t="s">
        <v>234</v>
      </c>
      <c r="D621" t="s">
        <v>112</v>
      </c>
      <c r="E621" t="s">
        <v>235</v>
      </c>
      <c r="F621" t="s">
        <v>236</v>
      </c>
      <c r="G621" t="s">
        <v>237</v>
      </c>
      <c r="H621" t="s">
        <v>238</v>
      </c>
      <c r="I621" t="s">
        <v>239</v>
      </c>
      <c r="J621" t="s">
        <v>240</v>
      </c>
    </row>
    <row r="622" spans="1:10" x14ac:dyDescent="0.25">
      <c r="A622" t="str">
        <f t="shared" si="9"/>
        <v>19  TriphenylP 0.4 + TESTO</v>
      </c>
      <c r="B62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t="s">
        <v>2916</v>
      </c>
      <c r="D622" t="s">
        <v>112</v>
      </c>
      <c r="E622" t="s">
        <v>2917</v>
      </c>
      <c r="F622" t="s">
        <v>2918</v>
      </c>
      <c r="G622" t="s">
        <v>2919</v>
      </c>
      <c r="H622" t="s">
        <v>2920</v>
      </c>
      <c r="I622">
        <v>24</v>
      </c>
      <c r="J622">
        <v>24</v>
      </c>
    </row>
    <row r="623" spans="1:10" x14ac:dyDescent="0.25">
      <c r="A623" t="str">
        <f t="shared" si="9"/>
        <v/>
      </c>
      <c r="B6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t="s">
        <v>112</v>
      </c>
    </row>
    <row r="624" spans="1:10" x14ac:dyDescent="0.25">
      <c r="A624" t="str">
        <f t="shared" si="9"/>
        <v/>
      </c>
      <c r="B6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t="s">
        <v>112</v>
      </c>
    </row>
    <row r="625" spans="1:7" x14ac:dyDescent="0.25">
      <c r="A625" t="str">
        <f t="shared" si="9"/>
        <v/>
      </c>
      <c r="B6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t="s">
        <v>112</v>
      </c>
    </row>
    <row r="626" spans="1:7" x14ac:dyDescent="0.25">
      <c r="A626" t="str">
        <f t="shared" si="9"/>
        <v/>
      </c>
      <c r="B6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t="s">
        <v>112</v>
      </c>
    </row>
    <row r="627" spans="1:7" x14ac:dyDescent="0.25">
      <c r="A627" t="str">
        <f t="shared" si="9"/>
        <v/>
      </c>
      <c r="B6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t="s">
        <v>112</v>
      </c>
    </row>
    <row r="628" spans="1:7" x14ac:dyDescent="0.25">
      <c r="A628" t="str">
        <f t="shared" si="9"/>
        <v/>
      </c>
      <c r="B6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t="s">
        <v>246</v>
      </c>
      <c r="D628" t="s">
        <v>110</v>
      </c>
      <c r="E628" t="s">
        <v>111</v>
      </c>
      <c r="F628" t="s">
        <v>112</v>
      </c>
      <c r="G628" t="s">
        <v>113</v>
      </c>
    </row>
    <row r="629" spans="1:7" x14ac:dyDescent="0.25">
      <c r="A629" t="str">
        <f t="shared" si="9"/>
        <v>20  TriphenylP 0.59 + TESTO</v>
      </c>
      <c r="B62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t="s">
        <v>2921</v>
      </c>
      <c r="D629" t="s">
        <v>2922</v>
      </c>
      <c r="E629" t="s">
        <v>2923</v>
      </c>
      <c r="F629" t="s">
        <v>112</v>
      </c>
      <c r="G629">
        <v>2989792</v>
      </c>
    </row>
    <row r="630" spans="1:7" x14ac:dyDescent="0.25">
      <c r="A630" t="str">
        <f t="shared" si="9"/>
        <v>20  TriphenylP 0.59 + TESTO</v>
      </c>
      <c r="B63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t="s">
        <v>2924</v>
      </c>
      <c r="D630" t="s">
        <v>2925</v>
      </c>
      <c r="E630" t="s">
        <v>2926</v>
      </c>
      <c r="F630" t="s">
        <v>112</v>
      </c>
      <c r="G630">
        <v>3005950</v>
      </c>
    </row>
    <row r="631" spans="1:7" x14ac:dyDescent="0.25">
      <c r="A631" t="str">
        <f t="shared" si="9"/>
        <v>20  TriphenylP 0.59 + TESTO</v>
      </c>
      <c r="B63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t="s">
        <v>2927</v>
      </c>
      <c r="D631" t="s">
        <v>1365</v>
      </c>
      <c r="E631" t="s">
        <v>2928</v>
      </c>
      <c r="F631" t="s">
        <v>112</v>
      </c>
      <c r="G631">
        <v>3270440</v>
      </c>
    </row>
    <row r="632" spans="1:7" x14ac:dyDescent="0.25">
      <c r="A632" t="str">
        <f t="shared" si="9"/>
        <v>20  TriphenylP 0.59 + TESTO</v>
      </c>
      <c r="B63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t="s">
        <v>2929</v>
      </c>
      <c r="D632" t="s">
        <v>2930</v>
      </c>
      <c r="E632" t="s">
        <v>2931</v>
      </c>
      <c r="F632" t="s">
        <v>112</v>
      </c>
      <c r="G632">
        <v>638406</v>
      </c>
    </row>
    <row r="633" spans="1:7" x14ac:dyDescent="0.25">
      <c r="A633" t="str">
        <f t="shared" si="9"/>
        <v>20  TriphenylP 0.59 + TESTO</v>
      </c>
      <c r="B63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t="s">
        <v>2932</v>
      </c>
      <c r="D633" t="s">
        <v>2933</v>
      </c>
      <c r="E633" t="s">
        <v>2934</v>
      </c>
      <c r="F633" t="s">
        <v>112</v>
      </c>
      <c r="G633">
        <v>513623</v>
      </c>
    </row>
    <row r="634" spans="1:7" x14ac:dyDescent="0.25">
      <c r="A634" t="str">
        <f t="shared" si="9"/>
        <v>20  TriphenylP 0.59 + TESTO</v>
      </c>
      <c r="B63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t="s">
        <v>2935</v>
      </c>
      <c r="D634" t="s">
        <v>1682</v>
      </c>
      <c r="E634" t="s">
        <v>2936</v>
      </c>
      <c r="F634" t="s">
        <v>112</v>
      </c>
      <c r="G634">
        <v>482152</v>
      </c>
    </row>
    <row r="635" spans="1:7" x14ac:dyDescent="0.25">
      <c r="A635" t="str">
        <f t="shared" si="9"/>
        <v>20  TriphenylP 0.59 + TESTO</v>
      </c>
      <c r="B63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t="s">
        <v>2937</v>
      </c>
      <c r="D635" t="s">
        <v>2938</v>
      </c>
      <c r="E635" t="s">
        <v>2939</v>
      </c>
      <c r="F635" t="s">
        <v>112</v>
      </c>
      <c r="G635">
        <v>4549805</v>
      </c>
    </row>
    <row r="636" spans="1:7" x14ac:dyDescent="0.25">
      <c r="A636" t="str">
        <f t="shared" si="9"/>
        <v>20  TriphenylP 0.59 + TESTO</v>
      </c>
      <c r="B63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t="s">
        <v>2940</v>
      </c>
      <c r="D636" t="s">
        <v>2510</v>
      </c>
      <c r="E636" t="s">
        <v>2941</v>
      </c>
      <c r="F636" t="s">
        <v>112</v>
      </c>
      <c r="G636">
        <v>3810019</v>
      </c>
    </row>
    <row r="637" spans="1:7" x14ac:dyDescent="0.25">
      <c r="A637" t="str">
        <f t="shared" si="9"/>
        <v>20  TriphenylP 0.59 + TESTO</v>
      </c>
      <c r="B63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t="s">
        <v>2942</v>
      </c>
    </row>
    <row r="638" spans="1:7" x14ac:dyDescent="0.25">
      <c r="A638" t="str">
        <f t="shared" si="9"/>
        <v>20  TriphenylP 0.59 + TESTO</v>
      </c>
      <c r="B63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t="s">
        <v>2943</v>
      </c>
      <c r="D638" t="s">
        <v>2944</v>
      </c>
      <c r="E638" t="s">
        <v>2945</v>
      </c>
      <c r="F638" t="s">
        <v>112</v>
      </c>
      <c r="G638">
        <v>3150957</v>
      </c>
    </row>
    <row r="639" spans="1:7" x14ac:dyDescent="0.25">
      <c r="A639" t="str">
        <f t="shared" si="9"/>
        <v>20  TriphenylP 0.59 + TESTO</v>
      </c>
      <c r="B63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t="s">
        <v>2946</v>
      </c>
      <c r="D639" t="s">
        <v>1613</v>
      </c>
      <c r="E639" t="s">
        <v>2947</v>
      </c>
      <c r="F639" t="s">
        <v>112</v>
      </c>
      <c r="G639">
        <v>3509753</v>
      </c>
    </row>
    <row r="640" spans="1:7" x14ac:dyDescent="0.25">
      <c r="A640" t="str">
        <f t="shared" si="9"/>
        <v>20  TriphenylP 0.59 + TESTO</v>
      </c>
      <c r="B64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t="s">
        <v>2948</v>
      </c>
      <c r="D640" t="s">
        <v>2949</v>
      </c>
      <c r="E640" t="s">
        <v>2950</v>
      </c>
      <c r="F640" t="s">
        <v>112</v>
      </c>
      <c r="G640">
        <v>2981724</v>
      </c>
    </row>
    <row r="641" spans="1:10" x14ac:dyDescent="0.25">
      <c r="A641" t="str">
        <f t="shared" si="9"/>
        <v>20  TriphenylP 0.59 + TESTO</v>
      </c>
      <c r="B64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t="s">
        <v>2951</v>
      </c>
    </row>
    <row r="642" spans="1:10" x14ac:dyDescent="0.25">
      <c r="A642" t="str">
        <f t="shared" ref="A642:A705" si="10">IFERROR(LEFT(RIGHT(C642,LEN(C642)-SEARCH("@",C642)),SEARCH("/",RIGHT(C642,LEN(C642)-SEARCH("@",C642)-1))),"")</f>
        <v>20  TriphenylP 0.59 + TESTO</v>
      </c>
      <c r="B64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t="s">
        <v>2952</v>
      </c>
      <c r="D642" t="s">
        <v>2953</v>
      </c>
      <c r="E642" t="s">
        <v>2954</v>
      </c>
      <c r="F642" t="s">
        <v>112</v>
      </c>
      <c r="G642">
        <v>6014560</v>
      </c>
    </row>
    <row r="643" spans="1:10" x14ac:dyDescent="0.25">
      <c r="A643" t="str">
        <f t="shared" si="10"/>
        <v>20  TriphenylP 0.59 + TESTO</v>
      </c>
      <c r="B64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t="s">
        <v>2955</v>
      </c>
      <c r="D643" t="s">
        <v>2956</v>
      </c>
      <c r="E643" t="s">
        <v>2957</v>
      </c>
      <c r="F643" t="s">
        <v>112</v>
      </c>
      <c r="G643">
        <v>6302043</v>
      </c>
    </row>
    <row r="644" spans="1:10" x14ac:dyDescent="0.25">
      <c r="A644" t="str">
        <f t="shared" si="10"/>
        <v>20  TriphenylP 0.59 + TESTO</v>
      </c>
      <c r="B64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t="s">
        <v>2958</v>
      </c>
      <c r="D644" t="s">
        <v>2621</v>
      </c>
      <c r="E644" t="s">
        <v>2959</v>
      </c>
      <c r="F644" t="s">
        <v>112</v>
      </c>
      <c r="G644">
        <v>3579704</v>
      </c>
    </row>
    <row r="645" spans="1:10" x14ac:dyDescent="0.25">
      <c r="A645" t="str">
        <f t="shared" si="10"/>
        <v>20  TriphenylP 0.59 + TESTO</v>
      </c>
      <c r="B64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t="s">
        <v>2960</v>
      </c>
      <c r="D645" t="s">
        <v>2961</v>
      </c>
      <c r="E645" t="s">
        <v>2962</v>
      </c>
      <c r="F645" t="s">
        <v>112</v>
      </c>
      <c r="G645">
        <v>3477525</v>
      </c>
    </row>
    <row r="646" spans="1:10" x14ac:dyDescent="0.25">
      <c r="A646" t="str">
        <f t="shared" si="10"/>
        <v>20  TriphenylP 0.59 + TESTO</v>
      </c>
      <c r="B64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t="s">
        <v>2963</v>
      </c>
      <c r="D646" t="s">
        <v>2964</v>
      </c>
      <c r="E646" t="s">
        <v>2965</v>
      </c>
      <c r="F646" t="s">
        <v>112</v>
      </c>
      <c r="G646">
        <v>3190020</v>
      </c>
    </row>
    <row r="647" spans="1:10" x14ac:dyDescent="0.25">
      <c r="A647" t="str">
        <f t="shared" si="10"/>
        <v>20  TriphenylP 0.59 + TESTO</v>
      </c>
      <c r="B64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t="s">
        <v>2966</v>
      </c>
      <c r="D647" t="s">
        <v>2967</v>
      </c>
      <c r="E647" t="s">
        <v>2968</v>
      </c>
      <c r="F647" t="s">
        <v>112</v>
      </c>
      <c r="G647">
        <v>3037291</v>
      </c>
    </row>
    <row r="648" spans="1:10" x14ac:dyDescent="0.25">
      <c r="A648" t="str">
        <f t="shared" si="10"/>
        <v>20  TriphenylP 0.59 + TESTO</v>
      </c>
      <c r="B64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t="s">
        <v>2969</v>
      </c>
      <c r="D648" t="s">
        <v>2970</v>
      </c>
      <c r="E648" t="s">
        <v>2971</v>
      </c>
      <c r="F648" t="s">
        <v>112</v>
      </c>
      <c r="G648">
        <v>2907945</v>
      </c>
    </row>
    <row r="649" spans="1:10" x14ac:dyDescent="0.25">
      <c r="A649" t="str">
        <f t="shared" si="10"/>
        <v>20  TriphenylP 0.59 + TESTO</v>
      </c>
      <c r="B64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t="s">
        <v>2972</v>
      </c>
      <c r="D649" t="s">
        <v>2973</v>
      </c>
      <c r="E649" t="s">
        <v>2974</v>
      </c>
      <c r="F649" t="s">
        <v>112</v>
      </c>
      <c r="G649">
        <v>2810826</v>
      </c>
    </row>
    <row r="650" spans="1:10" x14ac:dyDescent="0.25">
      <c r="A650" t="str">
        <f t="shared" si="10"/>
        <v>20  TriphenylP 0.59 + TESTO</v>
      </c>
      <c r="B65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t="s">
        <v>2975</v>
      </c>
      <c r="D650" t="s">
        <v>2880</v>
      </c>
      <c r="E650" t="s">
        <v>2976</v>
      </c>
      <c r="F650" t="s">
        <v>112</v>
      </c>
      <c r="G650">
        <v>5820496</v>
      </c>
    </row>
    <row r="651" spans="1:10" x14ac:dyDescent="0.25">
      <c r="A651" t="str">
        <f t="shared" si="10"/>
        <v>20  TriphenylP 0.59 + TESTO</v>
      </c>
      <c r="B65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t="s">
        <v>2977</v>
      </c>
      <c r="D651" t="s">
        <v>2978</v>
      </c>
      <c r="E651" t="s">
        <v>1158</v>
      </c>
      <c r="F651" t="s">
        <v>112</v>
      </c>
      <c r="G651">
        <v>6069002</v>
      </c>
    </row>
    <row r="652" spans="1:10" x14ac:dyDescent="0.25">
      <c r="A652" t="str">
        <f t="shared" si="10"/>
        <v>20  TriphenylP 0.59 + TESTO</v>
      </c>
      <c r="B65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t="s">
        <v>2979</v>
      </c>
      <c r="D652" t="s">
        <v>2980</v>
      </c>
      <c r="E652" t="s">
        <v>2981</v>
      </c>
      <c r="F652" t="s">
        <v>112</v>
      </c>
      <c r="G652">
        <v>5995482</v>
      </c>
    </row>
    <row r="653" spans="1:10" x14ac:dyDescent="0.25">
      <c r="A653" t="str">
        <f t="shared" si="10"/>
        <v/>
      </c>
      <c r="B6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t="s">
        <v>112</v>
      </c>
    </row>
    <row r="654" spans="1:10" x14ac:dyDescent="0.25">
      <c r="A654" t="str">
        <f t="shared" si="10"/>
        <v/>
      </c>
      <c r="B6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t="s">
        <v>234</v>
      </c>
      <c r="D654" t="s">
        <v>112</v>
      </c>
      <c r="E654" t="s">
        <v>235</v>
      </c>
      <c r="F654" t="s">
        <v>236</v>
      </c>
      <c r="G654" t="s">
        <v>237</v>
      </c>
      <c r="H654" t="s">
        <v>238</v>
      </c>
      <c r="I654" t="s">
        <v>239</v>
      </c>
      <c r="J654" t="s">
        <v>240</v>
      </c>
    </row>
    <row r="655" spans="1:10" x14ac:dyDescent="0.25">
      <c r="A655" t="str">
        <f t="shared" si="10"/>
        <v>20  TriphenylP 0.59 + TESTO</v>
      </c>
      <c r="B65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t="s">
        <v>2982</v>
      </c>
      <c r="D655" t="s">
        <v>112</v>
      </c>
      <c r="E655" t="s">
        <v>2983</v>
      </c>
      <c r="F655" t="s">
        <v>2984</v>
      </c>
      <c r="G655" t="s">
        <v>2985</v>
      </c>
      <c r="H655" t="s">
        <v>2986</v>
      </c>
      <c r="I655">
        <v>24</v>
      </c>
      <c r="J655">
        <v>24</v>
      </c>
    </row>
    <row r="656" spans="1:10" x14ac:dyDescent="0.25">
      <c r="A656" t="str">
        <f t="shared" si="10"/>
        <v/>
      </c>
      <c r="B6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t="s">
        <v>112</v>
      </c>
    </row>
    <row r="657" spans="1:7" x14ac:dyDescent="0.25">
      <c r="A657" t="str">
        <f t="shared" si="10"/>
        <v/>
      </c>
      <c r="B6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t="s">
        <v>112</v>
      </c>
    </row>
    <row r="658" spans="1:7" x14ac:dyDescent="0.25">
      <c r="A658" t="str">
        <f t="shared" si="10"/>
        <v/>
      </c>
      <c r="B6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t="s">
        <v>112</v>
      </c>
    </row>
    <row r="659" spans="1:7" x14ac:dyDescent="0.25">
      <c r="A659" t="str">
        <f t="shared" si="10"/>
        <v/>
      </c>
      <c r="B6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t="s">
        <v>112</v>
      </c>
    </row>
    <row r="660" spans="1:7" x14ac:dyDescent="0.25">
      <c r="A660" t="str">
        <f t="shared" si="10"/>
        <v/>
      </c>
      <c r="B6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t="s">
        <v>112</v>
      </c>
    </row>
    <row r="661" spans="1:7" x14ac:dyDescent="0.25">
      <c r="A661" t="str">
        <f t="shared" si="10"/>
        <v/>
      </c>
      <c r="B6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t="s">
        <v>246</v>
      </c>
      <c r="D661" t="s">
        <v>110</v>
      </c>
      <c r="E661" t="s">
        <v>111</v>
      </c>
      <c r="F661" t="s">
        <v>112</v>
      </c>
      <c r="G661" t="s">
        <v>113</v>
      </c>
    </row>
    <row r="662" spans="1:7" x14ac:dyDescent="0.25">
      <c r="A662" t="str">
        <f t="shared" si="10"/>
        <v>21 TriphenylP 0.89 + TESTO</v>
      </c>
      <c r="B66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t="s">
        <v>2987</v>
      </c>
      <c r="D662" t="s">
        <v>1430</v>
      </c>
      <c r="E662" t="s">
        <v>2988</v>
      </c>
      <c r="F662" t="s">
        <v>112</v>
      </c>
      <c r="G662">
        <v>4201045</v>
      </c>
    </row>
    <row r="663" spans="1:7" x14ac:dyDescent="0.25">
      <c r="A663" t="str">
        <f t="shared" si="10"/>
        <v>21 TriphenylP 0.89 + TESTO</v>
      </c>
      <c r="B66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t="s">
        <v>2989</v>
      </c>
      <c r="D663" t="s">
        <v>2024</v>
      </c>
      <c r="E663" t="s">
        <v>2990</v>
      </c>
      <c r="F663" t="s">
        <v>112</v>
      </c>
      <c r="G663">
        <v>4402549</v>
      </c>
    </row>
    <row r="664" spans="1:7" x14ac:dyDescent="0.25">
      <c r="A664" t="str">
        <f t="shared" si="10"/>
        <v>21 TriphenylP 0.89 + TESTO</v>
      </c>
      <c r="B66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t="s">
        <v>2991</v>
      </c>
      <c r="D664" t="s">
        <v>980</v>
      </c>
      <c r="E664" t="s">
        <v>2992</v>
      </c>
      <c r="F664" t="s">
        <v>112</v>
      </c>
      <c r="G664">
        <v>4331970</v>
      </c>
    </row>
    <row r="665" spans="1:7" x14ac:dyDescent="0.25">
      <c r="A665" t="str">
        <f t="shared" si="10"/>
        <v>21 TriphenylP 0.89 + TESTO</v>
      </c>
      <c r="B66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t="s">
        <v>2993</v>
      </c>
      <c r="D665" t="s">
        <v>2994</v>
      </c>
      <c r="E665" t="s">
        <v>2995</v>
      </c>
      <c r="F665" t="s">
        <v>112</v>
      </c>
      <c r="G665">
        <v>2592494</v>
      </c>
    </row>
    <row r="666" spans="1:7" x14ac:dyDescent="0.25">
      <c r="A666" t="str">
        <f t="shared" si="10"/>
        <v>21 TriphenylP 0.89 + TESTO</v>
      </c>
      <c r="B66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t="s">
        <v>2996</v>
      </c>
      <c r="D666" t="s">
        <v>2997</v>
      </c>
      <c r="E666" t="s">
        <v>2998</v>
      </c>
      <c r="F666" t="s">
        <v>112</v>
      </c>
      <c r="G666">
        <v>1971327</v>
      </c>
    </row>
    <row r="667" spans="1:7" x14ac:dyDescent="0.25">
      <c r="A667" t="str">
        <f t="shared" si="10"/>
        <v>21 TriphenylP 0.89 + TESTO</v>
      </c>
      <c r="B66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t="s">
        <v>2999</v>
      </c>
      <c r="D667" t="s">
        <v>3000</v>
      </c>
      <c r="E667" t="s">
        <v>3001</v>
      </c>
      <c r="F667" t="s">
        <v>112</v>
      </c>
      <c r="G667">
        <v>2414632</v>
      </c>
    </row>
    <row r="668" spans="1:7" x14ac:dyDescent="0.25">
      <c r="A668" t="str">
        <f t="shared" si="10"/>
        <v>21 TriphenylP 0.89 + TESTO</v>
      </c>
      <c r="B66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t="s">
        <v>3002</v>
      </c>
      <c r="D668" t="s">
        <v>3003</v>
      </c>
      <c r="E668" t="s">
        <v>3004</v>
      </c>
      <c r="F668" t="s">
        <v>112</v>
      </c>
      <c r="G668">
        <v>5198961</v>
      </c>
    </row>
    <row r="669" spans="1:7" x14ac:dyDescent="0.25">
      <c r="A669" t="str">
        <f t="shared" si="10"/>
        <v>21 TriphenylP 0.89 + TESTO</v>
      </c>
      <c r="B66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t="s">
        <v>3005</v>
      </c>
      <c r="D669" t="s">
        <v>3006</v>
      </c>
      <c r="E669" t="s">
        <v>3007</v>
      </c>
      <c r="F669" t="s">
        <v>112</v>
      </c>
      <c r="G669">
        <v>4457792</v>
      </c>
    </row>
    <row r="670" spans="1:7" x14ac:dyDescent="0.25">
      <c r="A670" t="str">
        <f t="shared" si="10"/>
        <v>21 TriphenylP 0.89 + TESTO</v>
      </c>
      <c r="B67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t="s">
        <v>3008</v>
      </c>
      <c r="D670" t="s">
        <v>3009</v>
      </c>
      <c r="E670" t="s">
        <v>3010</v>
      </c>
      <c r="F670" t="s">
        <v>112</v>
      </c>
      <c r="G670">
        <v>4691567</v>
      </c>
    </row>
    <row r="671" spans="1:7" x14ac:dyDescent="0.25">
      <c r="A671" t="str">
        <f t="shared" si="10"/>
        <v>21 TriphenylP 0.89 + TESTO</v>
      </c>
      <c r="B67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t="s">
        <v>3011</v>
      </c>
      <c r="D671" t="s">
        <v>3012</v>
      </c>
      <c r="E671" t="s">
        <v>3013</v>
      </c>
      <c r="F671" t="s">
        <v>112</v>
      </c>
      <c r="G671">
        <v>6247795</v>
      </c>
    </row>
    <row r="672" spans="1:7" x14ac:dyDescent="0.25">
      <c r="A672" t="str">
        <f t="shared" si="10"/>
        <v>21 TriphenylP 0.89 + TESTO</v>
      </c>
      <c r="B67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t="s">
        <v>3014</v>
      </c>
      <c r="D672" t="s">
        <v>1323</v>
      </c>
      <c r="E672" t="s">
        <v>3015</v>
      </c>
      <c r="F672" t="s">
        <v>112</v>
      </c>
      <c r="G672">
        <v>5301098</v>
      </c>
    </row>
    <row r="673" spans="1:10" x14ac:dyDescent="0.25">
      <c r="A673" t="str">
        <f t="shared" si="10"/>
        <v>21 TriphenylP 0.89 + TESTO</v>
      </c>
      <c r="B67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t="s">
        <v>3016</v>
      </c>
      <c r="D673" t="s">
        <v>3017</v>
      </c>
      <c r="E673" t="s">
        <v>3018</v>
      </c>
      <c r="F673" t="s">
        <v>112</v>
      </c>
      <c r="G673">
        <v>5597363</v>
      </c>
    </row>
    <row r="674" spans="1:10" x14ac:dyDescent="0.25">
      <c r="A674" t="str">
        <f t="shared" si="10"/>
        <v>21 TriphenylP 0.89 + TESTO</v>
      </c>
      <c r="B67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t="s">
        <v>3019</v>
      </c>
      <c r="D674" t="s">
        <v>3020</v>
      </c>
      <c r="E674" t="s">
        <v>3021</v>
      </c>
      <c r="F674" t="s">
        <v>112</v>
      </c>
      <c r="G674">
        <v>4332295</v>
      </c>
    </row>
    <row r="675" spans="1:10" x14ac:dyDescent="0.25">
      <c r="A675" t="str">
        <f t="shared" si="10"/>
        <v>21 TriphenylP 0.89 + TESTO</v>
      </c>
      <c r="B67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t="s">
        <v>3022</v>
      </c>
      <c r="D675" t="s">
        <v>3023</v>
      </c>
      <c r="E675" t="s">
        <v>3024</v>
      </c>
      <c r="F675" t="s">
        <v>112</v>
      </c>
      <c r="G675">
        <v>4161743</v>
      </c>
    </row>
    <row r="676" spans="1:10" x14ac:dyDescent="0.25">
      <c r="A676" t="str">
        <f t="shared" si="10"/>
        <v>21 TriphenylP 0.89 + TESTO</v>
      </c>
      <c r="B676"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t="s">
        <v>3025</v>
      </c>
      <c r="D676" t="s">
        <v>3026</v>
      </c>
      <c r="E676" t="s">
        <v>3027</v>
      </c>
      <c r="F676" t="s">
        <v>112</v>
      </c>
      <c r="G676">
        <v>4142211</v>
      </c>
    </row>
    <row r="677" spans="1:10" x14ac:dyDescent="0.25">
      <c r="A677" t="str">
        <f t="shared" si="10"/>
        <v>21 TriphenylP 0.89 + TESTO</v>
      </c>
      <c r="B677"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t="s">
        <v>3028</v>
      </c>
      <c r="D677" t="s">
        <v>3029</v>
      </c>
      <c r="E677" t="s">
        <v>3030</v>
      </c>
      <c r="F677" t="s">
        <v>112</v>
      </c>
      <c r="G677">
        <v>5828543</v>
      </c>
    </row>
    <row r="678" spans="1:10" x14ac:dyDescent="0.25">
      <c r="A678" t="str">
        <f t="shared" si="10"/>
        <v>21 TriphenylP 0.89 + TESTO</v>
      </c>
      <c r="B67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t="s">
        <v>3031</v>
      </c>
      <c r="D678" t="s">
        <v>3032</v>
      </c>
      <c r="E678" t="s">
        <v>3033</v>
      </c>
      <c r="F678" t="s">
        <v>112</v>
      </c>
      <c r="G678">
        <v>5617219</v>
      </c>
    </row>
    <row r="679" spans="1:10" x14ac:dyDescent="0.25">
      <c r="A679" t="str">
        <f t="shared" si="10"/>
        <v>21 TriphenylP 0.89 + TESTO</v>
      </c>
      <c r="B679"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t="s">
        <v>3034</v>
      </c>
      <c r="D679" t="s">
        <v>3035</v>
      </c>
      <c r="E679" t="s">
        <v>3036</v>
      </c>
      <c r="F679" t="s">
        <v>112</v>
      </c>
      <c r="G679">
        <v>4728771</v>
      </c>
    </row>
    <row r="680" spans="1:10" x14ac:dyDescent="0.25">
      <c r="A680" t="str">
        <f t="shared" si="10"/>
        <v>21 TriphenylP 0.89 + TESTO</v>
      </c>
      <c r="B680"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t="s">
        <v>3037</v>
      </c>
    </row>
    <row r="681" spans="1:10" x14ac:dyDescent="0.25">
      <c r="A681" t="str">
        <f t="shared" si="10"/>
        <v>21 TriphenylP 0.89 + TESTO</v>
      </c>
      <c r="B68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t="s">
        <v>3038</v>
      </c>
      <c r="D681" t="s">
        <v>3039</v>
      </c>
      <c r="E681" t="s">
        <v>3040</v>
      </c>
      <c r="F681" t="s">
        <v>112</v>
      </c>
      <c r="G681">
        <v>2433731</v>
      </c>
    </row>
    <row r="682" spans="1:10" x14ac:dyDescent="0.25">
      <c r="A682" t="str">
        <f t="shared" si="10"/>
        <v>21 TriphenylP 0.89 + TESTO</v>
      </c>
      <c r="B682"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t="s">
        <v>3041</v>
      </c>
      <c r="D682" t="s">
        <v>3042</v>
      </c>
      <c r="E682" t="s">
        <v>3043</v>
      </c>
      <c r="F682" t="s">
        <v>112</v>
      </c>
      <c r="G682">
        <v>2377320</v>
      </c>
    </row>
    <row r="683" spans="1:10" x14ac:dyDescent="0.25">
      <c r="A683" t="str">
        <f t="shared" si="10"/>
        <v>21 TriphenylP 0.89 + TESTO</v>
      </c>
      <c r="B683"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t="s">
        <v>3044</v>
      </c>
      <c r="D683" t="s">
        <v>3045</v>
      </c>
      <c r="E683" t="s">
        <v>3046</v>
      </c>
      <c r="F683" t="s">
        <v>112</v>
      </c>
      <c r="G683">
        <v>4722109</v>
      </c>
    </row>
    <row r="684" spans="1:10" x14ac:dyDescent="0.25">
      <c r="A684" t="str">
        <f t="shared" si="10"/>
        <v>21 TriphenylP 0.89 + TESTO</v>
      </c>
      <c r="B684"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t="s">
        <v>3047</v>
      </c>
      <c r="D684" t="s">
        <v>3048</v>
      </c>
      <c r="E684" t="s">
        <v>3049</v>
      </c>
      <c r="F684" t="s">
        <v>112</v>
      </c>
      <c r="G684">
        <v>4481649</v>
      </c>
    </row>
    <row r="685" spans="1:10" x14ac:dyDescent="0.25">
      <c r="A685" t="str">
        <f t="shared" si="10"/>
        <v>21 TriphenylP 0.89 + TESTO</v>
      </c>
      <c r="B685"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t="s">
        <v>3050</v>
      </c>
      <c r="D685" t="s">
        <v>3051</v>
      </c>
      <c r="E685" t="s">
        <v>3052</v>
      </c>
      <c r="F685" t="s">
        <v>112</v>
      </c>
      <c r="G685">
        <v>4600765</v>
      </c>
    </row>
    <row r="686" spans="1:10" x14ac:dyDescent="0.25">
      <c r="A686" t="str">
        <f t="shared" si="10"/>
        <v/>
      </c>
      <c r="B6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t="s">
        <v>112</v>
      </c>
    </row>
    <row r="687" spans="1:10" x14ac:dyDescent="0.25">
      <c r="A687" t="str">
        <f t="shared" si="10"/>
        <v/>
      </c>
      <c r="B6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t="s">
        <v>234</v>
      </c>
      <c r="D687" t="s">
        <v>112</v>
      </c>
      <c r="E687" t="s">
        <v>235</v>
      </c>
      <c r="F687" t="s">
        <v>236</v>
      </c>
      <c r="G687" t="s">
        <v>237</v>
      </c>
      <c r="H687" t="s">
        <v>238</v>
      </c>
      <c r="I687" t="s">
        <v>239</v>
      </c>
      <c r="J687" t="s">
        <v>240</v>
      </c>
    </row>
    <row r="688" spans="1:10" x14ac:dyDescent="0.25">
      <c r="A688" t="str">
        <f t="shared" si="10"/>
        <v>21 TriphenylP 0.89 + TESTO</v>
      </c>
      <c r="B688"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t="s">
        <v>3053</v>
      </c>
      <c r="D688" t="s">
        <v>112</v>
      </c>
      <c r="E688" t="s">
        <v>3054</v>
      </c>
      <c r="F688" t="s">
        <v>3055</v>
      </c>
      <c r="G688" t="s">
        <v>3056</v>
      </c>
      <c r="H688" t="s">
        <v>3057</v>
      </c>
      <c r="I688">
        <v>24</v>
      </c>
      <c r="J688">
        <v>24</v>
      </c>
    </row>
    <row r="689" spans="1:3" x14ac:dyDescent="0.25">
      <c r="A689" t="str">
        <f t="shared" si="10"/>
        <v/>
      </c>
      <c r="B6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t="s">
        <v>112</v>
      </c>
    </row>
    <row r="690" spans="1:3" x14ac:dyDescent="0.25">
      <c r="A690" t="str">
        <f t="shared" si="10"/>
        <v/>
      </c>
      <c r="B6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t="s">
        <v>112</v>
      </c>
    </row>
    <row r="691" spans="1:3" x14ac:dyDescent="0.25">
      <c r="A691" t="str">
        <f t="shared" si="10"/>
        <v/>
      </c>
      <c r="B6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25">
      <c r="A692" t="str">
        <f t="shared" si="10"/>
        <v/>
      </c>
      <c r="B6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t="str">
        <f t="shared" si="10"/>
        <v/>
      </c>
      <c r="B6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t="str">
        <f t="shared" si="10"/>
        <v/>
      </c>
      <c r="B6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t="str">
        <f t="shared" si="10"/>
        <v/>
      </c>
      <c r="B6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t="str">
        <f t="shared" si="10"/>
        <v/>
      </c>
      <c r="B6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t="str">
        <f t="shared" si="10"/>
        <v/>
      </c>
      <c r="B6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t="str">
        <f t="shared" si="10"/>
        <v/>
      </c>
      <c r="B6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t="str">
        <f t="shared" si="10"/>
        <v/>
      </c>
      <c r="B6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t="str">
        <f t="shared" si="10"/>
        <v/>
      </c>
      <c r="B7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t="str">
        <f t="shared" si="10"/>
        <v/>
      </c>
      <c r="B7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t="str">
        <f t="shared" si="10"/>
        <v/>
      </c>
      <c r="B7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t="str">
        <f t="shared" si="10"/>
        <v/>
      </c>
      <c r="B7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t="str">
        <f t="shared" si="10"/>
        <v/>
      </c>
      <c r="B7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t="str">
        <f t="shared" si="10"/>
        <v/>
      </c>
      <c r="B7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t="str">
        <f t="shared" ref="A706:A769" si="11">IFERROR(LEFT(RIGHT(C706,LEN(C706)-SEARCH("@",C706)),SEARCH("/",RIGHT(C706,LEN(C706)-SEARCH("@",C706)-1))),"")</f>
        <v/>
      </c>
      <c r="B7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t="str">
        <f t="shared" si="11"/>
        <v/>
      </c>
      <c r="B7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t="str">
        <f t="shared" si="11"/>
        <v/>
      </c>
      <c r="B7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t="str">
        <f t="shared" si="11"/>
        <v/>
      </c>
      <c r="B7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t="str">
        <f t="shared" si="11"/>
        <v/>
      </c>
      <c r="B7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t="str">
        <f t="shared" si="11"/>
        <v/>
      </c>
      <c r="B7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t="str">
        <f t="shared" si="11"/>
        <v/>
      </c>
      <c r="B7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t="str">
        <f t="shared" si="11"/>
        <v/>
      </c>
      <c r="B7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t="str">
        <f t="shared" si="11"/>
        <v/>
      </c>
      <c r="B7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t="str">
        <f t="shared" si="11"/>
        <v/>
      </c>
      <c r="B7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t="str">
        <f t="shared" si="11"/>
        <v/>
      </c>
      <c r="B7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t="str">
        <f t="shared" si="11"/>
        <v/>
      </c>
      <c r="B7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t="str">
        <f t="shared" si="11"/>
        <v/>
      </c>
      <c r="B7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t="str">
        <f t="shared" si="11"/>
        <v/>
      </c>
      <c r="B7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t="str">
        <f t="shared" si="11"/>
        <v/>
      </c>
      <c r="B7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t="str">
        <f t="shared" si="11"/>
        <v/>
      </c>
      <c r="B7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t="str">
        <f t="shared" si="11"/>
        <v/>
      </c>
      <c r="B7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t="str">
        <f t="shared" si="11"/>
        <v/>
      </c>
      <c r="B7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t="str">
        <f t="shared" si="11"/>
        <v/>
      </c>
      <c r="B7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t="str">
        <f t="shared" si="11"/>
        <v/>
      </c>
      <c r="B7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t="str">
        <f t="shared" si="11"/>
        <v/>
      </c>
      <c r="B7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t="str">
        <f t="shared" si="11"/>
        <v/>
      </c>
      <c r="B7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t="str">
        <f t="shared" si="11"/>
        <v/>
      </c>
      <c r="B7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t="str">
        <f t="shared" si="11"/>
        <v/>
      </c>
      <c r="B7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t="str">
        <f t="shared" si="11"/>
        <v/>
      </c>
      <c r="B7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t="str">
        <f t="shared" si="11"/>
        <v/>
      </c>
      <c r="B7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t="str">
        <f t="shared" si="11"/>
        <v/>
      </c>
      <c r="B7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t="str">
        <f t="shared" si="11"/>
        <v/>
      </c>
      <c r="B7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t="str">
        <f t="shared" si="11"/>
        <v/>
      </c>
      <c r="B7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t="str">
        <f t="shared" si="11"/>
        <v/>
      </c>
      <c r="B7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t="str">
        <f t="shared" si="11"/>
        <v/>
      </c>
      <c r="B7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t="str">
        <f t="shared" si="11"/>
        <v/>
      </c>
      <c r="B7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t="str">
        <f t="shared" si="11"/>
        <v/>
      </c>
      <c r="B7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t="str">
        <f t="shared" si="11"/>
        <v/>
      </c>
      <c r="B7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t="str">
        <f t="shared" si="11"/>
        <v/>
      </c>
      <c r="B7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t="str">
        <f t="shared" si="11"/>
        <v/>
      </c>
      <c r="B7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t="str">
        <f t="shared" si="11"/>
        <v/>
      </c>
      <c r="B7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t="str">
        <f t="shared" si="11"/>
        <v/>
      </c>
      <c r="B7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t="str">
        <f t="shared" si="11"/>
        <v/>
      </c>
      <c r="B7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t="str">
        <f t="shared" si="11"/>
        <v/>
      </c>
      <c r="B7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t="str">
        <f t="shared" si="11"/>
        <v/>
      </c>
      <c r="B7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t="str">
        <f t="shared" si="11"/>
        <v/>
      </c>
      <c r="B7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t="str">
        <f t="shared" si="11"/>
        <v/>
      </c>
      <c r="B7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t="str">
        <f t="shared" si="11"/>
        <v/>
      </c>
      <c r="B7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t="str">
        <f t="shared" si="11"/>
        <v/>
      </c>
      <c r="B7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t="str">
        <f t="shared" si="11"/>
        <v/>
      </c>
      <c r="B7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t="str">
        <f t="shared" si="11"/>
        <v/>
      </c>
      <c r="B7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t="str">
        <f t="shared" si="11"/>
        <v/>
      </c>
      <c r="B7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t="str">
        <f t="shared" si="11"/>
        <v/>
      </c>
      <c r="B7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t="str">
        <f t="shared" si="11"/>
        <v/>
      </c>
      <c r="B7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t="str">
        <f t="shared" si="11"/>
        <v/>
      </c>
      <c r="B7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t="str">
        <f t="shared" si="11"/>
        <v/>
      </c>
      <c r="B7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t="str">
        <f t="shared" si="11"/>
        <v/>
      </c>
      <c r="B7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t="str">
        <f t="shared" si="11"/>
        <v/>
      </c>
      <c r="B7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t="str">
        <f t="shared" si="11"/>
        <v/>
      </c>
      <c r="B7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t="str">
        <f t="shared" si="11"/>
        <v/>
      </c>
      <c r="B7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t="str">
        <f t="shared" si="11"/>
        <v/>
      </c>
      <c r="B7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t="str">
        <f t="shared" si="11"/>
        <v/>
      </c>
      <c r="B7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t="str">
        <f t="shared" si="11"/>
        <v/>
      </c>
      <c r="B7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t="str">
        <f t="shared" si="11"/>
        <v/>
      </c>
      <c r="B7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t="str">
        <f t="shared" si="11"/>
        <v/>
      </c>
      <c r="B7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t="str">
        <f t="shared" si="11"/>
        <v/>
      </c>
      <c r="B7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t="str">
        <f t="shared" si="11"/>
        <v/>
      </c>
      <c r="B7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t="str">
        <f t="shared" si="11"/>
        <v/>
      </c>
      <c r="B7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t="str">
        <f t="shared" ref="A770:A833" si="12">IFERROR(LEFT(RIGHT(C770,LEN(C770)-SEARCH("@",C770)),SEARCH("/",RIGHT(C770,LEN(C770)-SEARCH("@",C770)-1))),"")</f>
        <v/>
      </c>
      <c r="B7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t="str">
        <f t="shared" si="12"/>
        <v/>
      </c>
      <c r="B7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t="str">
        <f t="shared" si="12"/>
        <v/>
      </c>
      <c r="B7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t="str">
        <f t="shared" si="12"/>
        <v/>
      </c>
      <c r="B7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t="str">
        <f t="shared" si="12"/>
        <v/>
      </c>
      <c r="B7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t="str">
        <f t="shared" si="12"/>
        <v/>
      </c>
      <c r="B7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t="str">
        <f t="shared" si="12"/>
        <v/>
      </c>
      <c r="B7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t="str">
        <f t="shared" si="12"/>
        <v/>
      </c>
      <c r="B7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t="str">
        <f t="shared" si="12"/>
        <v/>
      </c>
      <c r="B7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t="str">
        <f t="shared" si="12"/>
        <v/>
      </c>
      <c r="B7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t="str">
        <f t="shared" si="12"/>
        <v/>
      </c>
      <c r="B7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t="str">
        <f t="shared" si="12"/>
        <v/>
      </c>
      <c r="B7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t="str">
        <f t="shared" si="12"/>
        <v/>
      </c>
      <c r="B7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t="str">
        <f t="shared" si="12"/>
        <v/>
      </c>
      <c r="B7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t="str">
        <f t="shared" si="12"/>
        <v/>
      </c>
      <c r="B7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t="str">
        <f t="shared" si="12"/>
        <v/>
      </c>
      <c r="B7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t="str">
        <f t="shared" si="12"/>
        <v/>
      </c>
      <c r="B7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t="str">
        <f t="shared" si="12"/>
        <v/>
      </c>
      <c r="B7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t="str">
        <f t="shared" si="12"/>
        <v/>
      </c>
      <c r="B7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t="str">
        <f t="shared" si="12"/>
        <v/>
      </c>
      <c r="B7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t="str">
        <f t="shared" si="12"/>
        <v/>
      </c>
      <c r="B7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t="str">
        <f t="shared" si="12"/>
        <v/>
      </c>
      <c r="B7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t="str">
        <f t="shared" si="12"/>
        <v/>
      </c>
      <c r="B7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t="str">
        <f t="shared" si="12"/>
        <v/>
      </c>
      <c r="B7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t="str">
        <f t="shared" si="12"/>
        <v/>
      </c>
      <c r="B7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t="str">
        <f t="shared" si="12"/>
        <v/>
      </c>
      <c r="B7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t="str">
        <f t="shared" si="12"/>
        <v/>
      </c>
      <c r="B7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t="str">
        <f t="shared" si="12"/>
        <v/>
      </c>
      <c r="B7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t="str">
        <f t="shared" si="12"/>
        <v/>
      </c>
      <c r="B7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t="str">
        <f t="shared" si="12"/>
        <v/>
      </c>
      <c r="B7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t="str">
        <f t="shared" si="12"/>
        <v/>
      </c>
      <c r="B8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t="str">
        <f t="shared" si="12"/>
        <v/>
      </c>
      <c r="B8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t="str">
        <f t="shared" si="12"/>
        <v/>
      </c>
      <c r="B8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t="str">
        <f t="shared" si="12"/>
        <v/>
      </c>
      <c r="B8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t="str">
        <f t="shared" si="12"/>
        <v/>
      </c>
      <c r="B8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t="str">
        <f t="shared" si="12"/>
        <v/>
      </c>
      <c r="B8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t="str">
        <f t="shared" si="12"/>
        <v/>
      </c>
      <c r="B8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t="str">
        <f t="shared" si="12"/>
        <v/>
      </c>
      <c r="B8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t="str">
        <f t="shared" si="12"/>
        <v/>
      </c>
      <c r="B8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t="str">
        <f t="shared" si="12"/>
        <v/>
      </c>
      <c r="B8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t="str">
        <f t="shared" si="12"/>
        <v/>
      </c>
      <c r="B8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t="str">
        <f t="shared" si="12"/>
        <v/>
      </c>
      <c r="B8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t="str">
        <f t="shared" si="12"/>
        <v/>
      </c>
      <c r="B8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t="str">
        <f t="shared" si="12"/>
        <v/>
      </c>
      <c r="B8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t="str">
        <f t="shared" si="12"/>
        <v/>
      </c>
      <c r="B8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t="str">
        <f t="shared" si="12"/>
        <v/>
      </c>
      <c r="B8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t="str">
        <f t="shared" si="12"/>
        <v/>
      </c>
      <c r="B8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t="str">
        <f t="shared" si="12"/>
        <v/>
      </c>
      <c r="B8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t="str">
        <f t="shared" si="12"/>
        <v/>
      </c>
      <c r="B8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t="str">
        <f t="shared" si="12"/>
        <v/>
      </c>
      <c r="B8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t="str">
        <f t="shared" si="12"/>
        <v/>
      </c>
      <c r="B8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t="str">
        <f t="shared" si="12"/>
        <v/>
      </c>
      <c r="B8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t="str">
        <f t="shared" si="12"/>
        <v/>
      </c>
      <c r="B8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t="str">
        <f t="shared" si="12"/>
        <v/>
      </c>
      <c r="B8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t="str">
        <f t="shared" si="12"/>
        <v/>
      </c>
      <c r="B8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t="str">
        <f t="shared" si="12"/>
        <v/>
      </c>
      <c r="B8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t="str">
        <f t="shared" si="12"/>
        <v/>
      </c>
      <c r="B8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t="str">
        <f t="shared" si="12"/>
        <v/>
      </c>
      <c r="B8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t="str">
        <f t="shared" si="12"/>
        <v/>
      </c>
      <c r="B8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t="str">
        <f t="shared" si="12"/>
        <v/>
      </c>
      <c r="B8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t="str">
        <f t="shared" si="12"/>
        <v/>
      </c>
      <c r="B8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t="str">
        <f t="shared" si="12"/>
        <v/>
      </c>
      <c r="B8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t="str">
        <f t="shared" si="12"/>
        <v/>
      </c>
      <c r="B8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t="str">
        <f t="shared" si="12"/>
        <v/>
      </c>
      <c r="B8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t="str">
        <f t="shared" ref="A834:A897" si="13">IFERROR(LEFT(RIGHT(C834,LEN(C834)-SEARCH("@",C834)),SEARCH("/",RIGHT(C834,LEN(C834)-SEARCH("@",C834)-1))),"")</f>
        <v/>
      </c>
      <c r="B8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t="str">
        <f t="shared" si="13"/>
        <v/>
      </c>
      <c r="B8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t="str">
        <f t="shared" si="13"/>
        <v/>
      </c>
      <c r="B8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t="str">
        <f t="shared" si="13"/>
        <v/>
      </c>
      <c r="B8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t="str">
        <f t="shared" si="13"/>
        <v/>
      </c>
      <c r="B8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t="str">
        <f t="shared" si="13"/>
        <v/>
      </c>
      <c r="B8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t="str">
        <f t="shared" si="13"/>
        <v/>
      </c>
      <c r="B8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t="str">
        <f t="shared" si="13"/>
        <v/>
      </c>
      <c r="B8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t="str">
        <f t="shared" si="13"/>
        <v/>
      </c>
      <c r="B8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t="str">
        <f t="shared" si="13"/>
        <v/>
      </c>
      <c r="B8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t="str">
        <f t="shared" si="13"/>
        <v/>
      </c>
      <c r="B8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t="str">
        <f t="shared" si="13"/>
        <v/>
      </c>
      <c r="B8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t="str">
        <f t="shared" si="13"/>
        <v/>
      </c>
      <c r="B8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t="str">
        <f t="shared" si="13"/>
        <v/>
      </c>
      <c r="B8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t="str">
        <f t="shared" si="13"/>
        <v/>
      </c>
      <c r="B8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t="str">
        <f t="shared" si="13"/>
        <v/>
      </c>
      <c r="B8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t="str">
        <f t="shared" si="13"/>
        <v/>
      </c>
      <c r="B8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t="str">
        <f t="shared" si="13"/>
        <v/>
      </c>
      <c r="B8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t="str">
        <f t="shared" si="13"/>
        <v/>
      </c>
      <c r="B8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t="str">
        <f t="shared" si="13"/>
        <v/>
      </c>
      <c r="B8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t="str">
        <f t="shared" si="13"/>
        <v/>
      </c>
      <c r="B8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t="str">
        <f t="shared" si="13"/>
        <v/>
      </c>
      <c r="B8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t="str">
        <f t="shared" si="13"/>
        <v/>
      </c>
      <c r="B8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t="str">
        <f t="shared" si="13"/>
        <v/>
      </c>
      <c r="B8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t="str">
        <f t="shared" si="13"/>
        <v/>
      </c>
      <c r="B8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t="str">
        <f t="shared" si="13"/>
        <v/>
      </c>
      <c r="B8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t="str">
        <f t="shared" si="13"/>
        <v/>
      </c>
      <c r="B8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t="str">
        <f t="shared" si="13"/>
        <v/>
      </c>
      <c r="B8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t="str">
        <f t="shared" si="13"/>
        <v/>
      </c>
      <c r="B8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t="str">
        <f t="shared" si="13"/>
        <v/>
      </c>
      <c r="B8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t="str">
        <f t="shared" si="13"/>
        <v/>
      </c>
      <c r="B8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t="str">
        <f t="shared" si="13"/>
        <v/>
      </c>
      <c r="B8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t="str">
        <f t="shared" si="13"/>
        <v/>
      </c>
      <c r="B8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t="str">
        <f t="shared" si="13"/>
        <v/>
      </c>
      <c r="B8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t="str">
        <f t="shared" si="13"/>
        <v/>
      </c>
      <c r="B8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t="str">
        <f t="shared" si="13"/>
        <v/>
      </c>
      <c r="B8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t="str">
        <f t="shared" si="13"/>
        <v/>
      </c>
      <c r="B8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t="str">
        <f t="shared" si="13"/>
        <v/>
      </c>
      <c r="B8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t="str">
        <f t="shared" si="13"/>
        <v/>
      </c>
      <c r="B8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t="str">
        <f t="shared" si="13"/>
        <v/>
      </c>
      <c r="B8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t="str">
        <f t="shared" si="13"/>
        <v/>
      </c>
      <c r="B8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t="str">
        <f t="shared" si="13"/>
        <v/>
      </c>
      <c r="B8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t="str">
        <f t="shared" si="13"/>
        <v/>
      </c>
      <c r="B8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t="str">
        <f t="shared" si="13"/>
        <v/>
      </c>
      <c r="B8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t="str">
        <f t="shared" si="13"/>
        <v/>
      </c>
      <c r="B8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t="str">
        <f t="shared" si="13"/>
        <v/>
      </c>
      <c r="B8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t="str">
        <f t="shared" si="13"/>
        <v/>
      </c>
      <c r="B8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t="str">
        <f t="shared" si="13"/>
        <v/>
      </c>
      <c r="B8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t="str">
        <f t="shared" si="13"/>
        <v/>
      </c>
      <c r="B8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t="str">
        <f t="shared" si="13"/>
        <v/>
      </c>
      <c r="B8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t="str">
        <f t="shared" si="13"/>
        <v/>
      </c>
      <c r="B8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t="str">
        <f t="shared" si="13"/>
        <v/>
      </c>
      <c r="B8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t="str">
        <f t="shared" si="13"/>
        <v/>
      </c>
      <c r="B8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t="str">
        <f t="shared" si="13"/>
        <v/>
      </c>
      <c r="B8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t="str">
        <f t="shared" si="13"/>
        <v/>
      </c>
      <c r="B8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t="str">
        <f t="shared" si="13"/>
        <v/>
      </c>
      <c r="B8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t="str">
        <f t="shared" si="13"/>
        <v/>
      </c>
      <c r="B8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t="str">
        <f t="shared" si="13"/>
        <v/>
      </c>
      <c r="B8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t="str">
        <f t="shared" si="13"/>
        <v/>
      </c>
      <c r="B8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t="str">
        <f t="shared" si="13"/>
        <v/>
      </c>
      <c r="B8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t="str">
        <f t="shared" si="13"/>
        <v/>
      </c>
      <c r="B8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t="str">
        <f t="shared" si="13"/>
        <v/>
      </c>
      <c r="B8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t="str">
        <f t="shared" si="13"/>
        <v/>
      </c>
      <c r="B8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t="str">
        <f t="shared" si="13"/>
        <v/>
      </c>
      <c r="B8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t="str">
        <f t="shared" ref="A898:A961" si="14">IFERROR(LEFT(RIGHT(C898,LEN(C898)-SEARCH("@",C898)),SEARCH("/",RIGHT(C898,LEN(C898)-SEARCH("@",C898)-1))),"")</f>
        <v/>
      </c>
      <c r="B8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t="str">
        <f t="shared" si="14"/>
        <v/>
      </c>
      <c r="B8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t="str">
        <f t="shared" si="14"/>
        <v/>
      </c>
      <c r="B9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t="str">
        <f t="shared" si="14"/>
        <v/>
      </c>
      <c r="B9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t="str">
        <f t="shared" si="14"/>
        <v/>
      </c>
      <c r="B9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t="str">
        <f t="shared" si="14"/>
        <v/>
      </c>
      <c r="B9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t="str">
        <f t="shared" si="14"/>
        <v/>
      </c>
      <c r="B9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t="str">
        <f t="shared" si="14"/>
        <v/>
      </c>
      <c r="B9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t="str">
        <f t="shared" si="14"/>
        <v/>
      </c>
      <c r="B9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t="str">
        <f t="shared" si="14"/>
        <v/>
      </c>
      <c r="B9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t="str">
        <f t="shared" si="14"/>
        <v/>
      </c>
      <c r="B9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t="str">
        <f t="shared" si="14"/>
        <v/>
      </c>
      <c r="B9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t="str">
        <f t="shared" si="14"/>
        <v/>
      </c>
      <c r="B9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t="str">
        <f t="shared" si="14"/>
        <v/>
      </c>
      <c r="B9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t="str">
        <f t="shared" si="14"/>
        <v/>
      </c>
      <c r="B9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t="str">
        <f t="shared" si="14"/>
        <v/>
      </c>
      <c r="B9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t="str">
        <f t="shared" si="14"/>
        <v/>
      </c>
      <c r="B9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t="str">
        <f t="shared" si="14"/>
        <v/>
      </c>
      <c r="B9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t="str">
        <f t="shared" si="14"/>
        <v/>
      </c>
      <c r="B9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t="str">
        <f t="shared" si="14"/>
        <v/>
      </c>
      <c r="B9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t="str">
        <f t="shared" si="14"/>
        <v/>
      </c>
      <c r="B9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t="str">
        <f t="shared" si="14"/>
        <v/>
      </c>
      <c r="B9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t="str">
        <f t="shared" si="14"/>
        <v/>
      </c>
      <c r="B9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t="str">
        <f t="shared" si="14"/>
        <v/>
      </c>
      <c r="B9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t="str">
        <f t="shared" si="14"/>
        <v/>
      </c>
      <c r="B9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t="str">
        <f t="shared" si="14"/>
        <v/>
      </c>
      <c r="B9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t="str">
        <f t="shared" si="14"/>
        <v/>
      </c>
      <c r="B9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t="str">
        <f t="shared" si="14"/>
        <v/>
      </c>
      <c r="B9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t="str">
        <f t="shared" si="14"/>
        <v/>
      </c>
      <c r="B9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t="str">
        <f t="shared" si="14"/>
        <v/>
      </c>
      <c r="B9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t="str">
        <f t="shared" si="14"/>
        <v/>
      </c>
      <c r="B9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t="str">
        <f t="shared" si="14"/>
        <v/>
      </c>
      <c r="B9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t="str">
        <f t="shared" si="14"/>
        <v/>
      </c>
      <c r="B9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t="str">
        <f t="shared" si="14"/>
        <v/>
      </c>
      <c r="B9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t="str">
        <f t="shared" si="14"/>
        <v/>
      </c>
      <c r="B9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t="str">
        <f t="shared" si="14"/>
        <v/>
      </c>
      <c r="B9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t="str">
        <f t="shared" si="14"/>
        <v/>
      </c>
      <c r="B9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t="str">
        <f t="shared" si="14"/>
        <v/>
      </c>
      <c r="B9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t="str">
        <f t="shared" si="14"/>
        <v/>
      </c>
      <c r="B9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t="str">
        <f t="shared" si="14"/>
        <v/>
      </c>
      <c r="B9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t="str">
        <f t="shared" si="14"/>
        <v/>
      </c>
      <c r="B9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t="str">
        <f t="shared" si="14"/>
        <v/>
      </c>
      <c r="B9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t="str">
        <f t="shared" si="14"/>
        <v/>
      </c>
      <c r="B9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t="str">
        <f t="shared" si="14"/>
        <v/>
      </c>
      <c r="B9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t="str">
        <f t="shared" si="14"/>
        <v/>
      </c>
      <c r="B9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t="str">
        <f t="shared" si="14"/>
        <v/>
      </c>
      <c r="B9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t="str">
        <f t="shared" si="14"/>
        <v/>
      </c>
      <c r="B9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t="str">
        <f t="shared" si="14"/>
        <v/>
      </c>
      <c r="B9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t="str">
        <f t="shared" si="14"/>
        <v/>
      </c>
      <c r="B9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t="str">
        <f t="shared" si="14"/>
        <v/>
      </c>
      <c r="B9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t="str">
        <f t="shared" si="14"/>
        <v/>
      </c>
      <c r="B9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t="str">
        <f t="shared" si="14"/>
        <v/>
      </c>
      <c r="B9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t="str">
        <f t="shared" si="14"/>
        <v/>
      </c>
      <c r="B9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t="str">
        <f t="shared" si="14"/>
        <v/>
      </c>
      <c r="B9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t="str">
        <f t="shared" si="14"/>
        <v/>
      </c>
      <c r="B9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t="str">
        <f t="shared" si="14"/>
        <v/>
      </c>
      <c r="B9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t="str">
        <f t="shared" si="14"/>
        <v/>
      </c>
      <c r="B9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t="str">
        <f t="shared" si="14"/>
        <v/>
      </c>
      <c r="B9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t="str">
        <f t="shared" si="14"/>
        <v/>
      </c>
      <c r="B9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t="str">
        <f t="shared" si="14"/>
        <v/>
      </c>
      <c r="B9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t="str">
        <f t="shared" si="14"/>
        <v/>
      </c>
      <c r="B9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t="str">
        <f t="shared" si="14"/>
        <v/>
      </c>
      <c r="B9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t="str">
        <f t="shared" si="14"/>
        <v/>
      </c>
      <c r="B9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t="str">
        <f t="shared" si="14"/>
        <v/>
      </c>
      <c r="B9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t="str">
        <f t="shared" ref="A962:A1025" si="15">IFERROR(LEFT(RIGHT(C962,LEN(C962)-SEARCH("@",C962)),SEARCH("/",RIGHT(C962,LEN(C962)-SEARCH("@",C962)-1))),"")</f>
        <v/>
      </c>
      <c r="B9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t="str">
        <f t="shared" si="15"/>
        <v/>
      </c>
      <c r="B9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t="str">
        <f t="shared" si="15"/>
        <v/>
      </c>
      <c r="B9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t="str">
        <f t="shared" si="15"/>
        <v/>
      </c>
      <c r="B9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t="str">
        <f t="shared" si="15"/>
        <v/>
      </c>
      <c r="B9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t="str">
        <f t="shared" si="15"/>
        <v/>
      </c>
      <c r="B9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t="str">
        <f t="shared" si="15"/>
        <v/>
      </c>
      <c r="B9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t="str">
        <f t="shared" si="15"/>
        <v/>
      </c>
      <c r="B9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t="str">
        <f t="shared" si="15"/>
        <v/>
      </c>
      <c r="B9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t="str">
        <f t="shared" si="15"/>
        <v/>
      </c>
      <c r="B9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t="str">
        <f t="shared" si="15"/>
        <v/>
      </c>
      <c r="B9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t="str">
        <f t="shared" si="15"/>
        <v/>
      </c>
      <c r="B9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t="str">
        <f t="shared" si="15"/>
        <v/>
      </c>
      <c r="B9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t="str">
        <f t="shared" si="15"/>
        <v/>
      </c>
      <c r="B9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t="str">
        <f t="shared" si="15"/>
        <v/>
      </c>
      <c r="B9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t="str">
        <f t="shared" si="15"/>
        <v/>
      </c>
      <c r="B9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t="str">
        <f t="shared" si="15"/>
        <v/>
      </c>
      <c r="B9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t="str">
        <f t="shared" si="15"/>
        <v/>
      </c>
      <c r="B9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t="str">
        <f t="shared" si="15"/>
        <v/>
      </c>
      <c r="B9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t="str">
        <f t="shared" si="15"/>
        <v/>
      </c>
      <c r="B9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t="str">
        <f t="shared" si="15"/>
        <v/>
      </c>
      <c r="B9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t="str">
        <f t="shared" si="15"/>
        <v/>
      </c>
      <c r="B9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t="str">
        <f t="shared" si="15"/>
        <v/>
      </c>
      <c r="B9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t="str">
        <f t="shared" si="15"/>
        <v/>
      </c>
      <c r="B9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t="str">
        <f t="shared" si="15"/>
        <v/>
      </c>
      <c r="B9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t="str">
        <f t="shared" si="15"/>
        <v/>
      </c>
      <c r="B9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t="str">
        <f t="shared" si="15"/>
        <v/>
      </c>
      <c r="B9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t="str">
        <f t="shared" si="15"/>
        <v/>
      </c>
      <c r="B9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t="str">
        <f t="shared" si="15"/>
        <v/>
      </c>
      <c r="B9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t="str">
        <f t="shared" si="15"/>
        <v/>
      </c>
      <c r="B9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t="str">
        <f t="shared" si="15"/>
        <v/>
      </c>
      <c r="B9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t="str">
        <f t="shared" si="15"/>
        <v/>
      </c>
      <c r="B9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t="str">
        <f t="shared" si="15"/>
        <v/>
      </c>
      <c r="B9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t="str">
        <f t="shared" si="15"/>
        <v/>
      </c>
      <c r="B9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t="str">
        <f t="shared" si="15"/>
        <v/>
      </c>
      <c r="B9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t="str">
        <f t="shared" si="15"/>
        <v/>
      </c>
      <c r="B9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t="str">
        <f t="shared" si="15"/>
        <v/>
      </c>
      <c r="B9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t="str">
        <f t="shared" si="15"/>
        <v/>
      </c>
      <c r="B9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t="str">
        <f t="shared" si="15"/>
        <v/>
      </c>
      <c r="B10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t="str">
        <f t="shared" si="15"/>
        <v/>
      </c>
      <c r="B10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t="str">
        <f t="shared" si="15"/>
        <v/>
      </c>
      <c r="B10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t="str">
        <f t="shared" si="15"/>
        <v/>
      </c>
      <c r="B10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t="str">
        <f t="shared" si="15"/>
        <v/>
      </c>
      <c r="B10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t="str">
        <f t="shared" si="15"/>
        <v/>
      </c>
      <c r="B10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t="str">
        <f t="shared" si="15"/>
        <v/>
      </c>
      <c r="B10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t="str">
        <f t="shared" si="15"/>
        <v/>
      </c>
      <c r="B10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t="str">
        <f t="shared" si="15"/>
        <v/>
      </c>
      <c r="B10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t="str">
        <f t="shared" si="15"/>
        <v/>
      </c>
      <c r="B10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t="str">
        <f t="shared" si="15"/>
        <v/>
      </c>
      <c r="B10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t="str">
        <f t="shared" si="15"/>
        <v/>
      </c>
      <c r="B10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t="str">
        <f t="shared" si="15"/>
        <v/>
      </c>
      <c r="B10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t="str">
        <f t="shared" si="15"/>
        <v/>
      </c>
      <c r="B10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t="str">
        <f t="shared" si="15"/>
        <v/>
      </c>
      <c r="B10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t="str">
        <f t="shared" si="15"/>
        <v/>
      </c>
      <c r="B10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t="str">
        <f t="shared" si="15"/>
        <v/>
      </c>
      <c r="B10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t="str">
        <f t="shared" si="15"/>
        <v/>
      </c>
      <c r="B10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t="str">
        <f t="shared" si="15"/>
        <v/>
      </c>
      <c r="B10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t="str">
        <f t="shared" si="15"/>
        <v/>
      </c>
      <c r="B10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t="str">
        <f t="shared" si="15"/>
        <v/>
      </c>
      <c r="B10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t="str">
        <f t="shared" si="15"/>
        <v/>
      </c>
      <c r="B10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t="str">
        <f t="shared" si="15"/>
        <v/>
      </c>
      <c r="B10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t="str">
        <f t="shared" si="15"/>
        <v/>
      </c>
      <c r="B10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t="str">
        <f t="shared" si="15"/>
        <v/>
      </c>
      <c r="B10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t="str">
        <f t="shared" si="15"/>
        <v/>
      </c>
      <c r="B10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t="str">
        <f t="shared" ref="A1026:A1089" si="16">IFERROR(LEFT(RIGHT(C1026,LEN(C1026)-SEARCH("@",C1026)),SEARCH("/",RIGHT(C1026,LEN(C1026)-SEARCH("@",C1026)-1))),"")</f>
        <v/>
      </c>
      <c r="B10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t="str">
        <f t="shared" si="16"/>
        <v/>
      </c>
      <c r="B10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t="str">
        <f t="shared" si="16"/>
        <v/>
      </c>
      <c r="B10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t="str">
        <f t="shared" si="16"/>
        <v/>
      </c>
      <c r="B10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t="str">
        <f t="shared" si="16"/>
        <v/>
      </c>
      <c r="B10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t="str">
        <f t="shared" si="16"/>
        <v/>
      </c>
      <c r="B10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t="str">
        <f t="shared" si="16"/>
        <v/>
      </c>
      <c r="B10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t="str">
        <f t="shared" si="16"/>
        <v/>
      </c>
      <c r="B10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t="str">
        <f t="shared" si="16"/>
        <v/>
      </c>
      <c r="B10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t="str">
        <f t="shared" si="16"/>
        <v/>
      </c>
      <c r="B10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t="str">
        <f t="shared" si="16"/>
        <v/>
      </c>
      <c r="B10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t="str">
        <f t="shared" si="16"/>
        <v/>
      </c>
      <c r="B10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t="str">
        <f t="shared" si="16"/>
        <v/>
      </c>
      <c r="B10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t="str">
        <f t="shared" si="16"/>
        <v/>
      </c>
      <c r="B10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t="str">
        <f t="shared" si="16"/>
        <v/>
      </c>
      <c r="B10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t="str">
        <f t="shared" si="16"/>
        <v/>
      </c>
      <c r="B10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t="str">
        <f t="shared" si="16"/>
        <v/>
      </c>
      <c r="B10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t="str">
        <f t="shared" si="16"/>
        <v/>
      </c>
      <c r="B10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t="str">
        <f t="shared" si="16"/>
        <v/>
      </c>
      <c r="B10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t="str">
        <f t="shared" si="16"/>
        <v/>
      </c>
      <c r="B10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t="str">
        <f t="shared" si="16"/>
        <v/>
      </c>
      <c r="B10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t="str">
        <f t="shared" si="16"/>
        <v/>
      </c>
      <c r="B10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t="str">
        <f t="shared" si="16"/>
        <v/>
      </c>
      <c r="B10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t="str">
        <f t="shared" si="16"/>
        <v/>
      </c>
      <c r="B10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t="str">
        <f t="shared" si="16"/>
        <v/>
      </c>
      <c r="B10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t="str">
        <f t="shared" si="16"/>
        <v/>
      </c>
      <c r="B10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t="str">
        <f t="shared" si="16"/>
        <v/>
      </c>
      <c r="B10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t="str">
        <f t="shared" si="16"/>
        <v/>
      </c>
      <c r="B10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t="str">
        <f t="shared" si="16"/>
        <v/>
      </c>
      <c r="B10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t="str">
        <f t="shared" si="16"/>
        <v/>
      </c>
      <c r="B10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t="str">
        <f t="shared" si="16"/>
        <v/>
      </c>
      <c r="B10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t="str">
        <f t="shared" si="16"/>
        <v/>
      </c>
      <c r="B10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t="str">
        <f t="shared" si="16"/>
        <v/>
      </c>
      <c r="B10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t="str">
        <f t="shared" si="16"/>
        <v/>
      </c>
      <c r="B10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t="str">
        <f t="shared" si="16"/>
        <v/>
      </c>
      <c r="B10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t="str">
        <f t="shared" si="16"/>
        <v/>
      </c>
      <c r="B10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t="str">
        <f t="shared" si="16"/>
        <v/>
      </c>
      <c r="B10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t="str">
        <f t="shared" si="16"/>
        <v/>
      </c>
      <c r="B10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t="str">
        <f t="shared" si="16"/>
        <v/>
      </c>
      <c r="B10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t="str">
        <f t="shared" si="16"/>
        <v/>
      </c>
      <c r="B10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t="str">
        <f t="shared" si="16"/>
        <v/>
      </c>
      <c r="B10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t="str">
        <f t="shared" si="16"/>
        <v/>
      </c>
      <c r="B10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t="str">
        <f t="shared" si="16"/>
        <v/>
      </c>
      <c r="B10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t="str">
        <f t="shared" si="16"/>
        <v/>
      </c>
      <c r="B10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t="str">
        <f t="shared" si="16"/>
        <v/>
      </c>
      <c r="B10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t="str">
        <f t="shared" si="16"/>
        <v/>
      </c>
      <c r="B10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t="str">
        <f t="shared" si="16"/>
        <v/>
      </c>
      <c r="B10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t="str">
        <f t="shared" si="16"/>
        <v/>
      </c>
      <c r="B10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t="str">
        <f t="shared" si="16"/>
        <v/>
      </c>
      <c r="B10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t="str">
        <f t="shared" si="16"/>
        <v/>
      </c>
      <c r="B10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t="str">
        <f t="shared" si="16"/>
        <v/>
      </c>
      <c r="B10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t="str">
        <f t="shared" si="16"/>
        <v/>
      </c>
      <c r="B10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t="str">
        <f t="shared" si="16"/>
        <v/>
      </c>
      <c r="B10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t="str">
        <f t="shared" si="16"/>
        <v/>
      </c>
      <c r="B10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t="str">
        <f t="shared" si="16"/>
        <v/>
      </c>
      <c r="B10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t="str">
        <f t="shared" si="16"/>
        <v/>
      </c>
      <c r="B10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t="str">
        <f t="shared" si="16"/>
        <v/>
      </c>
      <c r="B10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t="str">
        <f t="shared" si="16"/>
        <v/>
      </c>
      <c r="B10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t="str">
        <f t="shared" si="16"/>
        <v/>
      </c>
      <c r="B10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t="str">
        <f t="shared" si="16"/>
        <v/>
      </c>
      <c r="B10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t="str">
        <f t="shared" si="16"/>
        <v/>
      </c>
      <c r="B10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t="str">
        <f t="shared" si="16"/>
        <v/>
      </c>
      <c r="B10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t="str">
        <f t="shared" si="16"/>
        <v/>
      </c>
      <c r="B10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t="str">
        <f t="shared" si="16"/>
        <v/>
      </c>
      <c r="B10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t="str">
        <f t="shared" ref="A1090:A1153" si="17">IFERROR(LEFT(RIGHT(C1090,LEN(C1090)-SEARCH("@",C1090)),SEARCH("/",RIGHT(C1090,LEN(C1090)-SEARCH("@",C1090)-1))),"")</f>
        <v/>
      </c>
      <c r="B10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t="str">
        <f t="shared" si="17"/>
        <v/>
      </c>
      <c r="B10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t="str">
        <f t="shared" si="17"/>
        <v/>
      </c>
      <c r="B10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t="str">
        <f t="shared" si="17"/>
        <v/>
      </c>
      <c r="B10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t="str">
        <f t="shared" si="17"/>
        <v/>
      </c>
      <c r="B10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t="str">
        <f t="shared" si="17"/>
        <v/>
      </c>
      <c r="B10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t="str">
        <f t="shared" si="17"/>
        <v/>
      </c>
      <c r="B10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t="str">
        <f t="shared" si="17"/>
        <v/>
      </c>
      <c r="B10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t="str">
        <f t="shared" si="17"/>
        <v/>
      </c>
      <c r="B10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t="str">
        <f t="shared" si="17"/>
        <v/>
      </c>
      <c r="B10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t="str">
        <f t="shared" si="17"/>
        <v/>
      </c>
      <c r="B11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t="str">
        <f t="shared" si="17"/>
        <v/>
      </c>
      <c r="B11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t="str">
        <f t="shared" si="17"/>
        <v/>
      </c>
      <c r="B11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t="str">
        <f t="shared" si="17"/>
        <v/>
      </c>
      <c r="B11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t="str">
        <f t="shared" si="17"/>
        <v/>
      </c>
      <c r="B11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t="str">
        <f t="shared" si="17"/>
        <v/>
      </c>
      <c r="B11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t="str">
        <f t="shared" si="17"/>
        <v/>
      </c>
      <c r="B11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t="str">
        <f t="shared" si="17"/>
        <v/>
      </c>
      <c r="B11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t="str">
        <f t="shared" si="17"/>
        <v/>
      </c>
      <c r="B11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t="str">
        <f t="shared" si="17"/>
        <v/>
      </c>
      <c r="B11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t="str">
        <f t="shared" si="17"/>
        <v/>
      </c>
      <c r="B11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t="str">
        <f t="shared" si="17"/>
        <v/>
      </c>
      <c r="B11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t="str">
        <f t="shared" si="17"/>
        <v/>
      </c>
      <c r="B11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t="str">
        <f t="shared" si="17"/>
        <v/>
      </c>
      <c r="B11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t="str">
        <f t="shared" si="17"/>
        <v/>
      </c>
      <c r="B11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t="str">
        <f t="shared" si="17"/>
        <v/>
      </c>
      <c r="B11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t="str">
        <f t="shared" si="17"/>
        <v/>
      </c>
      <c r="B11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t="str">
        <f t="shared" si="17"/>
        <v/>
      </c>
      <c r="B11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t="str">
        <f t="shared" si="17"/>
        <v/>
      </c>
      <c r="B11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t="str">
        <f t="shared" si="17"/>
        <v/>
      </c>
      <c r="B11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t="str">
        <f t="shared" si="17"/>
        <v/>
      </c>
      <c r="B11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t="str">
        <f t="shared" si="17"/>
        <v/>
      </c>
      <c r="B11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t="str">
        <f t="shared" si="17"/>
        <v/>
      </c>
      <c r="B11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t="str">
        <f t="shared" si="17"/>
        <v/>
      </c>
      <c r="B11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t="str">
        <f t="shared" si="17"/>
        <v/>
      </c>
      <c r="B11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t="str">
        <f t="shared" si="17"/>
        <v/>
      </c>
      <c r="B11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t="str">
        <f t="shared" si="17"/>
        <v/>
      </c>
      <c r="B11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t="str">
        <f t="shared" si="17"/>
        <v/>
      </c>
      <c r="B11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t="str">
        <f t="shared" si="17"/>
        <v/>
      </c>
      <c r="B11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t="str">
        <f t="shared" si="17"/>
        <v/>
      </c>
      <c r="B11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t="str">
        <f t="shared" si="17"/>
        <v/>
      </c>
      <c r="B11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t="str">
        <f t="shared" si="17"/>
        <v/>
      </c>
      <c r="B11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t="str">
        <f t="shared" si="17"/>
        <v/>
      </c>
      <c r="B11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t="str">
        <f t="shared" si="17"/>
        <v/>
      </c>
      <c r="B11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t="str">
        <f t="shared" si="17"/>
        <v/>
      </c>
      <c r="B11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t="str">
        <f t="shared" si="17"/>
        <v/>
      </c>
      <c r="B11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t="str">
        <f t="shared" si="17"/>
        <v/>
      </c>
      <c r="B11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t="str">
        <f t="shared" si="17"/>
        <v/>
      </c>
      <c r="B11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t="str">
        <f t="shared" si="17"/>
        <v/>
      </c>
      <c r="B11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t="str">
        <f t="shared" si="17"/>
        <v/>
      </c>
      <c r="B11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t="str">
        <f t="shared" si="17"/>
        <v/>
      </c>
      <c r="B11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t="str">
        <f t="shared" si="17"/>
        <v/>
      </c>
      <c r="B11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t="str">
        <f t="shared" si="17"/>
        <v/>
      </c>
      <c r="B11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t="str">
        <f t="shared" si="17"/>
        <v/>
      </c>
      <c r="B11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t="str">
        <f t="shared" si="17"/>
        <v/>
      </c>
      <c r="B11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t="str">
        <f t="shared" si="17"/>
        <v/>
      </c>
      <c r="B11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t="str">
        <f t="shared" si="17"/>
        <v/>
      </c>
      <c r="B11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t="str">
        <f t="shared" si="17"/>
        <v/>
      </c>
      <c r="B11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t="str">
        <f t="shared" si="17"/>
        <v/>
      </c>
      <c r="B11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t="str">
        <f t="shared" si="17"/>
        <v/>
      </c>
      <c r="B11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t="str">
        <f t="shared" si="17"/>
        <v/>
      </c>
      <c r="B11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t="str">
        <f t="shared" si="17"/>
        <v/>
      </c>
      <c r="B11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t="str">
        <f t="shared" si="17"/>
        <v/>
      </c>
      <c r="B11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t="str">
        <f t="shared" si="17"/>
        <v/>
      </c>
      <c r="B11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t="str">
        <f t="shared" ref="A1154:A1217" si="18">IFERROR(LEFT(RIGHT(C1154,LEN(C1154)-SEARCH("@",C1154)),SEARCH("/",RIGHT(C1154,LEN(C1154)-SEARCH("@",C1154)-1))),"")</f>
        <v/>
      </c>
      <c r="B11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t="str">
        <f t="shared" si="18"/>
        <v/>
      </c>
      <c r="B11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t="str">
        <f t="shared" si="18"/>
        <v/>
      </c>
      <c r="B11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t="str">
        <f t="shared" si="18"/>
        <v/>
      </c>
      <c r="B11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t="str">
        <f t="shared" si="18"/>
        <v/>
      </c>
      <c r="B11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t="str">
        <f t="shared" si="18"/>
        <v/>
      </c>
      <c r="B11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t="str">
        <f t="shared" si="18"/>
        <v/>
      </c>
      <c r="B11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t="str">
        <f t="shared" si="18"/>
        <v/>
      </c>
      <c r="B11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t="str">
        <f t="shared" si="18"/>
        <v/>
      </c>
      <c r="B11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t="str">
        <f t="shared" si="18"/>
        <v/>
      </c>
      <c r="B11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t="str">
        <f t="shared" si="18"/>
        <v/>
      </c>
      <c r="B11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t="str">
        <f t="shared" si="18"/>
        <v/>
      </c>
      <c r="B11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t="str">
        <f t="shared" si="18"/>
        <v/>
      </c>
      <c r="B11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t="str">
        <f t="shared" si="18"/>
        <v/>
      </c>
      <c r="B11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t="str">
        <f t="shared" si="18"/>
        <v/>
      </c>
      <c r="B11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t="str">
        <f t="shared" si="18"/>
        <v/>
      </c>
      <c r="B11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t="str">
        <f t="shared" si="18"/>
        <v/>
      </c>
      <c r="B11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t="str">
        <f t="shared" si="18"/>
        <v/>
      </c>
      <c r="B11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t="str">
        <f t="shared" si="18"/>
        <v/>
      </c>
      <c r="B11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t="str">
        <f t="shared" si="18"/>
        <v/>
      </c>
      <c r="B11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t="str">
        <f t="shared" si="18"/>
        <v/>
      </c>
      <c r="B11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t="str">
        <f t="shared" si="18"/>
        <v/>
      </c>
      <c r="B11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t="str">
        <f t="shared" si="18"/>
        <v/>
      </c>
      <c r="B11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t="str">
        <f t="shared" si="18"/>
        <v/>
      </c>
      <c r="B11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t="str">
        <f t="shared" si="18"/>
        <v/>
      </c>
      <c r="B11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t="str">
        <f t="shared" si="18"/>
        <v/>
      </c>
      <c r="B11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t="str">
        <f t="shared" si="18"/>
        <v/>
      </c>
      <c r="B11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t="str">
        <f t="shared" si="18"/>
        <v/>
      </c>
      <c r="B11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t="str">
        <f t="shared" si="18"/>
        <v/>
      </c>
      <c r="B11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t="str">
        <f t="shared" si="18"/>
        <v/>
      </c>
      <c r="B11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t="str">
        <f t="shared" si="18"/>
        <v/>
      </c>
      <c r="B11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t="str">
        <f t="shared" si="18"/>
        <v/>
      </c>
      <c r="B11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t="str">
        <f t="shared" si="18"/>
        <v/>
      </c>
      <c r="B11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t="str">
        <f t="shared" si="18"/>
        <v/>
      </c>
      <c r="B11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t="str">
        <f t="shared" si="18"/>
        <v/>
      </c>
      <c r="B11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t="str">
        <f t="shared" si="18"/>
        <v/>
      </c>
      <c r="B11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t="str">
        <f t="shared" si="18"/>
        <v/>
      </c>
      <c r="B11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t="str">
        <f t="shared" si="18"/>
        <v/>
      </c>
      <c r="B11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t="str">
        <f t="shared" si="18"/>
        <v/>
      </c>
      <c r="B11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t="str">
        <f t="shared" si="18"/>
        <v/>
      </c>
      <c r="B11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t="str">
        <f t="shared" si="18"/>
        <v/>
      </c>
      <c r="B11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t="str">
        <f t="shared" si="18"/>
        <v/>
      </c>
      <c r="B11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t="str">
        <f t="shared" si="18"/>
        <v/>
      </c>
      <c r="B11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t="str">
        <f t="shared" si="18"/>
        <v/>
      </c>
      <c r="B11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t="str">
        <f t="shared" si="18"/>
        <v/>
      </c>
      <c r="B11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t="str">
        <f t="shared" si="18"/>
        <v/>
      </c>
      <c r="B11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t="str">
        <f t="shared" si="18"/>
        <v/>
      </c>
      <c r="B12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t="str">
        <f t="shared" si="18"/>
        <v/>
      </c>
      <c r="B12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t="str">
        <f t="shared" si="18"/>
        <v/>
      </c>
      <c r="B12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t="str">
        <f t="shared" si="18"/>
        <v/>
      </c>
      <c r="B12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t="str">
        <f t="shared" si="18"/>
        <v/>
      </c>
      <c r="B12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t="str">
        <f t="shared" si="18"/>
        <v/>
      </c>
      <c r="B12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t="str">
        <f t="shared" si="18"/>
        <v/>
      </c>
      <c r="B12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t="str">
        <f t="shared" si="18"/>
        <v/>
      </c>
      <c r="B12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t="str">
        <f t="shared" si="18"/>
        <v/>
      </c>
      <c r="B12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t="str">
        <f t="shared" si="18"/>
        <v/>
      </c>
      <c r="B12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t="str">
        <f t="shared" si="18"/>
        <v/>
      </c>
      <c r="B12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t="str">
        <f t="shared" si="18"/>
        <v/>
      </c>
      <c r="B12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t="str">
        <f t="shared" si="18"/>
        <v/>
      </c>
      <c r="B12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t="str">
        <f t="shared" si="18"/>
        <v/>
      </c>
      <c r="B12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t="str">
        <f t="shared" si="18"/>
        <v/>
      </c>
      <c r="B12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t="str">
        <f t="shared" si="18"/>
        <v/>
      </c>
      <c r="B12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t="str">
        <f t="shared" si="18"/>
        <v/>
      </c>
      <c r="B12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t="str">
        <f t="shared" si="18"/>
        <v/>
      </c>
      <c r="B12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t="str">
        <f t="shared" ref="A1218:A1281" si="19">IFERROR(LEFT(RIGHT(C1218,LEN(C1218)-SEARCH("@",C1218)),SEARCH("/",RIGHT(C1218,LEN(C1218)-SEARCH("@",C1218)-1))),"")</f>
        <v/>
      </c>
      <c r="B12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t="str">
        <f t="shared" si="19"/>
        <v/>
      </c>
      <c r="B12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t="str">
        <f t="shared" si="19"/>
        <v/>
      </c>
      <c r="B12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t="str">
        <f t="shared" si="19"/>
        <v/>
      </c>
      <c r="B12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t="str">
        <f t="shared" si="19"/>
        <v/>
      </c>
      <c r="B12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t="str">
        <f t="shared" si="19"/>
        <v/>
      </c>
      <c r="B12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t="str">
        <f t="shared" si="19"/>
        <v/>
      </c>
      <c r="B12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t="str">
        <f t="shared" si="19"/>
        <v/>
      </c>
      <c r="B12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t="str">
        <f t="shared" si="19"/>
        <v/>
      </c>
      <c r="B12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t="str">
        <f t="shared" si="19"/>
        <v/>
      </c>
      <c r="B12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t="str">
        <f t="shared" si="19"/>
        <v/>
      </c>
      <c r="B12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t="str">
        <f t="shared" si="19"/>
        <v/>
      </c>
      <c r="B12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t="str">
        <f t="shared" si="19"/>
        <v/>
      </c>
      <c r="B12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t="str">
        <f t="shared" si="19"/>
        <v/>
      </c>
      <c r="B12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t="str">
        <f t="shared" si="19"/>
        <v/>
      </c>
      <c r="B12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t="str">
        <f t="shared" si="19"/>
        <v/>
      </c>
      <c r="B12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t="str">
        <f t="shared" si="19"/>
        <v/>
      </c>
      <c r="B12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t="str">
        <f t="shared" si="19"/>
        <v/>
      </c>
      <c r="B12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t="str">
        <f t="shared" si="19"/>
        <v/>
      </c>
      <c r="B12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t="str">
        <f t="shared" si="19"/>
        <v/>
      </c>
      <c r="B12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t="str">
        <f t="shared" si="19"/>
        <v/>
      </c>
      <c r="B12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t="str">
        <f t="shared" si="19"/>
        <v/>
      </c>
      <c r="B12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t="str">
        <f t="shared" si="19"/>
        <v/>
      </c>
      <c r="B12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t="str">
        <f t="shared" si="19"/>
        <v/>
      </c>
      <c r="B12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t="str">
        <f t="shared" si="19"/>
        <v/>
      </c>
      <c r="B12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t="str">
        <f t="shared" si="19"/>
        <v/>
      </c>
      <c r="B12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t="str">
        <f t="shared" si="19"/>
        <v/>
      </c>
      <c r="B12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t="str">
        <f t="shared" si="19"/>
        <v/>
      </c>
      <c r="B12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t="str">
        <f t="shared" si="19"/>
        <v/>
      </c>
      <c r="B12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t="str">
        <f t="shared" si="19"/>
        <v/>
      </c>
      <c r="B12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t="str">
        <f t="shared" si="19"/>
        <v/>
      </c>
      <c r="B12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t="str">
        <f t="shared" si="19"/>
        <v/>
      </c>
      <c r="B12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t="str">
        <f t="shared" si="19"/>
        <v/>
      </c>
      <c r="B12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t="str">
        <f t="shared" si="19"/>
        <v/>
      </c>
      <c r="B12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t="str">
        <f t="shared" si="19"/>
        <v/>
      </c>
      <c r="B12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t="str">
        <f t="shared" si="19"/>
        <v/>
      </c>
      <c r="B12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t="str">
        <f t="shared" si="19"/>
        <v/>
      </c>
      <c r="B12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t="str">
        <f t="shared" si="19"/>
        <v/>
      </c>
      <c r="B12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t="str">
        <f t="shared" si="19"/>
        <v/>
      </c>
      <c r="B12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t="str">
        <f t="shared" si="19"/>
        <v/>
      </c>
      <c r="B12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t="str">
        <f t="shared" si="19"/>
        <v/>
      </c>
      <c r="B12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t="str">
        <f t="shared" si="19"/>
        <v/>
      </c>
      <c r="B12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t="str">
        <f t="shared" si="19"/>
        <v/>
      </c>
      <c r="B12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t="str">
        <f t="shared" si="19"/>
        <v/>
      </c>
      <c r="B12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t="str">
        <f t="shared" si="19"/>
        <v/>
      </c>
      <c r="B12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t="str">
        <f t="shared" si="19"/>
        <v/>
      </c>
      <c r="B12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t="str">
        <f t="shared" si="19"/>
        <v/>
      </c>
      <c r="B12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t="str">
        <f t="shared" si="19"/>
        <v/>
      </c>
      <c r="B12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t="str">
        <f t="shared" si="19"/>
        <v/>
      </c>
      <c r="B12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t="str">
        <f t="shared" si="19"/>
        <v/>
      </c>
      <c r="B12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t="str">
        <f t="shared" si="19"/>
        <v/>
      </c>
      <c r="B12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t="str">
        <f t="shared" si="19"/>
        <v/>
      </c>
      <c r="B12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t="str">
        <f t="shared" si="19"/>
        <v/>
      </c>
      <c r="B12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t="str">
        <f t="shared" si="19"/>
        <v/>
      </c>
      <c r="B12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t="str">
        <f t="shared" si="19"/>
        <v/>
      </c>
      <c r="B12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t="str">
        <f t="shared" si="19"/>
        <v/>
      </c>
      <c r="B12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t="str">
        <f t="shared" si="19"/>
        <v/>
      </c>
      <c r="B12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t="str">
        <f t="shared" si="19"/>
        <v/>
      </c>
      <c r="B12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t="str">
        <f t="shared" si="19"/>
        <v/>
      </c>
      <c r="B12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t="str">
        <f t="shared" si="19"/>
        <v/>
      </c>
      <c r="B12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t="str">
        <f t="shared" si="19"/>
        <v/>
      </c>
      <c r="B12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t="str">
        <f t="shared" si="19"/>
        <v/>
      </c>
      <c r="B12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t="str">
        <f t="shared" si="19"/>
        <v/>
      </c>
      <c r="B12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t="str">
        <f t="shared" si="19"/>
        <v/>
      </c>
      <c r="B12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t="str">
        <f t="shared" ref="A1282:A1345" si="20">IFERROR(LEFT(RIGHT(C1282,LEN(C1282)-SEARCH("@",C1282)),SEARCH("/",RIGHT(C1282,LEN(C1282)-SEARCH("@",C1282)-1))),"")</f>
        <v/>
      </c>
      <c r="B12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t="str">
        <f t="shared" si="20"/>
        <v/>
      </c>
      <c r="B12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t="str">
        <f t="shared" si="20"/>
        <v/>
      </c>
      <c r="B12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t="str">
        <f t="shared" si="20"/>
        <v/>
      </c>
      <c r="B12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t="str">
        <f t="shared" si="20"/>
        <v/>
      </c>
      <c r="B12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t="str">
        <f t="shared" si="20"/>
        <v/>
      </c>
      <c r="B12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t="str">
        <f t="shared" si="20"/>
        <v/>
      </c>
      <c r="B12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t="str">
        <f t="shared" si="20"/>
        <v/>
      </c>
      <c r="B12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t="str">
        <f t="shared" si="20"/>
        <v/>
      </c>
      <c r="B12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t="str">
        <f t="shared" si="20"/>
        <v/>
      </c>
      <c r="B12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t="str">
        <f t="shared" si="20"/>
        <v/>
      </c>
      <c r="B12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t="str">
        <f t="shared" si="20"/>
        <v/>
      </c>
      <c r="B12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t="str">
        <f t="shared" si="20"/>
        <v/>
      </c>
      <c r="B12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t="str">
        <f t="shared" si="20"/>
        <v/>
      </c>
      <c r="B12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t="str">
        <f t="shared" si="20"/>
        <v/>
      </c>
      <c r="B12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t="str">
        <f t="shared" si="20"/>
        <v/>
      </c>
      <c r="B12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t="str">
        <f t="shared" si="20"/>
        <v/>
      </c>
      <c r="B12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t="str">
        <f t="shared" si="20"/>
        <v/>
      </c>
      <c r="B12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t="str">
        <f t="shared" si="20"/>
        <v/>
      </c>
      <c r="B13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t="str">
        <f t="shared" si="20"/>
        <v/>
      </c>
      <c r="B13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t="str">
        <f t="shared" si="20"/>
        <v/>
      </c>
      <c r="B13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t="str">
        <f t="shared" si="20"/>
        <v/>
      </c>
      <c r="B13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t="str">
        <f t="shared" si="20"/>
        <v/>
      </c>
      <c r="B13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t="str">
        <f t="shared" si="20"/>
        <v/>
      </c>
      <c r="B13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t="str">
        <f t="shared" si="20"/>
        <v/>
      </c>
      <c r="B13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t="str">
        <f t="shared" si="20"/>
        <v/>
      </c>
      <c r="B13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t="str">
        <f t="shared" si="20"/>
        <v/>
      </c>
      <c r="B13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t="str">
        <f t="shared" si="20"/>
        <v/>
      </c>
      <c r="B13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t="str">
        <f t="shared" si="20"/>
        <v/>
      </c>
      <c r="B13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t="str">
        <f t="shared" si="20"/>
        <v/>
      </c>
      <c r="B13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t="str">
        <f t="shared" si="20"/>
        <v/>
      </c>
      <c r="B13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t="str">
        <f t="shared" si="20"/>
        <v/>
      </c>
      <c r="B13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t="str">
        <f t="shared" si="20"/>
        <v/>
      </c>
      <c r="B13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t="str">
        <f t="shared" si="20"/>
        <v/>
      </c>
      <c r="B13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t="str">
        <f t="shared" si="20"/>
        <v/>
      </c>
      <c r="B13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t="str">
        <f t="shared" si="20"/>
        <v/>
      </c>
      <c r="B13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t="str">
        <f t="shared" si="20"/>
        <v/>
      </c>
      <c r="B13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t="str">
        <f t="shared" si="20"/>
        <v/>
      </c>
      <c r="B13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t="str">
        <f t="shared" si="20"/>
        <v/>
      </c>
      <c r="B13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t="str">
        <f t="shared" si="20"/>
        <v/>
      </c>
      <c r="B13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t="str">
        <f t="shared" si="20"/>
        <v/>
      </c>
      <c r="B13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t="str">
        <f t="shared" si="20"/>
        <v/>
      </c>
      <c r="B13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t="str">
        <f t="shared" si="20"/>
        <v/>
      </c>
      <c r="B13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t="str">
        <f t="shared" si="20"/>
        <v/>
      </c>
      <c r="B13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t="str">
        <f t="shared" si="20"/>
        <v/>
      </c>
      <c r="B13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t="str">
        <f t="shared" si="20"/>
        <v/>
      </c>
      <c r="B13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t="str">
        <f t="shared" si="20"/>
        <v/>
      </c>
      <c r="B13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t="str">
        <f t="shared" si="20"/>
        <v/>
      </c>
      <c r="B13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t="str">
        <f t="shared" si="20"/>
        <v/>
      </c>
      <c r="B13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t="str">
        <f t="shared" si="20"/>
        <v/>
      </c>
      <c r="B13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t="str">
        <f t="shared" si="20"/>
        <v/>
      </c>
      <c r="B13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t="str">
        <f t="shared" si="20"/>
        <v/>
      </c>
      <c r="B13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t="str">
        <f t="shared" si="20"/>
        <v/>
      </c>
      <c r="B13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t="str">
        <f t="shared" si="20"/>
        <v/>
      </c>
      <c r="B13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t="str">
        <f t="shared" si="20"/>
        <v/>
      </c>
      <c r="B13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t="str">
        <f t="shared" si="20"/>
        <v/>
      </c>
      <c r="B13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t="str">
        <f t="shared" si="20"/>
        <v/>
      </c>
      <c r="B13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t="str">
        <f t="shared" si="20"/>
        <v/>
      </c>
      <c r="B13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t="str">
        <f t="shared" si="20"/>
        <v/>
      </c>
      <c r="B13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t="str">
        <f t="shared" si="20"/>
        <v/>
      </c>
      <c r="B13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t="str">
        <f t="shared" si="20"/>
        <v/>
      </c>
      <c r="B13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t="str">
        <f t="shared" si="20"/>
        <v/>
      </c>
      <c r="B13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t="str">
        <f t="shared" si="20"/>
        <v/>
      </c>
      <c r="B13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t="str">
        <f t="shared" si="20"/>
        <v/>
      </c>
      <c r="B13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t="str">
        <f t="shared" ref="A1346:A1409" si="21">IFERROR(LEFT(RIGHT(C1346,LEN(C1346)-SEARCH("@",C1346)),SEARCH("/",RIGHT(C1346,LEN(C1346)-SEARCH("@",C1346)-1))),"")</f>
        <v/>
      </c>
      <c r="B13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t="str">
        <f t="shared" si="21"/>
        <v/>
      </c>
      <c r="B13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t="str">
        <f t="shared" si="21"/>
        <v/>
      </c>
      <c r="B13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t="str">
        <f t="shared" si="21"/>
        <v/>
      </c>
      <c r="B13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t="str">
        <f t="shared" si="21"/>
        <v/>
      </c>
      <c r="B13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t="str">
        <f t="shared" si="21"/>
        <v/>
      </c>
      <c r="B13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t="str">
        <f t="shared" si="21"/>
        <v/>
      </c>
      <c r="B13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t="str">
        <f t="shared" si="21"/>
        <v/>
      </c>
      <c r="B13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t="str">
        <f t="shared" si="21"/>
        <v/>
      </c>
      <c r="B13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t="str">
        <f t="shared" si="21"/>
        <v/>
      </c>
      <c r="B13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t="str">
        <f t="shared" si="21"/>
        <v/>
      </c>
      <c r="B13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t="str">
        <f t="shared" si="21"/>
        <v/>
      </c>
      <c r="B13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t="str">
        <f t="shared" si="21"/>
        <v/>
      </c>
      <c r="B13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t="str">
        <f t="shared" si="21"/>
        <v/>
      </c>
      <c r="B13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t="str">
        <f t="shared" si="21"/>
        <v/>
      </c>
      <c r="B13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t="str">
        <f t="shared" si="21"/>
        <v/>
      </c>
      <c r="B13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t="str">
        <f t="shared" si="21"/>
        <v/>
      </c>
      <c r="B13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t="str">
        <f t="shared" si="21"/>
        <v/>
      </c>
      <c r="B13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t="str">
        <f t="shared" si="21"/>
        <v/>
      </c>
      <c r="B13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t="str">
        <f t="shared" si="21"/>
        <v/>
      </c>
      <c r="B13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t="str">
        <f t="shared" si="21"/>
        <v/>
      </c>
      <c r="B13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t="str">
        <f t="shared" si="21"/>
        <v/>
      </c>
      <c r="B13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t="str">
        <f t="shared" si="21"/>
        <v/>
      </c>
      <c r="B13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t="str">
        <f t="shared" si="21"/>
        <v/>
      </c>
      <c r="B13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t="str">
        <f t="shared" si="21"/>
        <v/>
      </c>
      <c r="B13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t="str">
        <f t="shared" si="21"/>
        <v/>
      </c>
      <c r="B13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t="str">
        <f t="shared" si="21"/>
        <v/>
      </c>
      <c r="B13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t="str">
        <f t="shared" si="21"/>
        <v/>
      </c>
      <c r="B13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t="str">
        <f t="shared" si="21"/>
        <v/>
      </c>
      <c r="B13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t="str">
        <f t="shared" si="21"/>
        <v/>
      </c>
      <c r="B13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t="str">
        <f t="shared" si="21"/>
        <v/>
      </c>
      <c r="B13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t="str">
        <f t="shared" si="21"/>
        <v/>
      </c>
      <c r="B13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t="str">
        <f t="shared" si="21"/>
        <v/>
      </c>
      <c r="B13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t="str">
        <f t="shared" si="21"/>
        <v/>
      </c>
      <c r="B13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t="str">
        <f t="shared" si="21"/>
        <v/>
      </c>
      <c r="B13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t="str">
        <f t="shared" si="21"/>
        <v/>
      </c>
      <c r="B13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t="str">
        <f t="shared" si="21"/>
        <v/>
      </c>
      <c r="B13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t="str">
        <f t="shared" si="21"/>
        <v/>
      </c>
      <c r="B13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t="str">
        <f t="shared" si="21"/>
        <v/>
      </c>
      <c r="B13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t="str">
        <f t="shared" si="21"/>
        <v/>
      </c>
      <c r="B13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t="str">
        <f t="shared" si="21"/>
        <v/>
      </c>
      <c r="B13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t="str">
        <f t="shared" si="21"/>
        <v/>
      </c>
      <c r="B13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t="str">
        <f t="shared" si="21"/>
        <v/>
      </c>
      <c r="B13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t="str">
        <f t="shared" si="21"/>
        <v/>
      </c>
      <c r="B13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t="str">
        <f t="shared" si="21"/>
        <v/>
      </c>
      <c r="B13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t="str">
        <f t="shared" si="21"/>
        <v/>
      </c>
      <c r="B13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t="str">
        <f t="shared" si="21"/>
        <v/>
      </c>
      <c r="B13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t="str">
        <f t="shared" si="21"/>
        <v/>
      </c>
      <c r="B13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t="str">
        <f t="shared" si="21"/>
        <v/>
      </c>
      <c r="B13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t="str">
        <f t="shared" si="21"/>
        <v/>
      </c>
      <c r="B13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t="str">
        <f t="shared" si="21"/>
        <v/>
      </c>
      <c r="B13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t="str">
        <f t="shared" si="21"/>
        <v/>
      </c>
      <c r="B13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t="str">
        <f t="shared" si="21"/>
        <v/>
      </c>
      <c r="B13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t="str">
        <f t="shared" si="21"/>
        <v/>
      </c>
      <c r="B13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t="str">
        <f t="shared" si="21"/>
        <v/>
      </c>
      <c r="B14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t="str">
        <f t="shared" si="21"/>
        <v/>
      </c>
      <c r="B14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t="str">
        <f t="shared" si="21"/>
        <v/>
      </c>
      <c r="B14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t="str">
        <f t="shared" si="21"/>
        <v/>
      </c>
      <c r="B14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t="str">
        <f t="shared" si="21"/>
        <v/>
      </c>
      <c r="B14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t="str">
        <f t="shared" si="21"/>
        <v/>
      </c>
      <c r="B14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t="str">
        <f t="shared" si="21"/>
        <v/>
      </c>
      <c r="B14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t="str">
        <f t="shared" si="21"/>
        <v/>
      </c>
      <c r="B14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t="str">
        <f t="shared" si="21"/>
        <v/>
      </c>
      <c r="B14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t="str">
        <f t="shared" si="21"/>
        <v/>
      </c>
      <c r="B14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t="str">
        <f t="shared" ref="A1410:A1473" si="22">IFERROR(LEFT(RIGHT(C1410,LEN(C1410)-SEARCH("@",C1410)),SEARCH("/",RIGHT(C1410,LEN(C1410)-SEARCH("@",C1410)-1))),"")</f>
        <v/>
      </c>
      <c r="B14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t="str">
        <f t="shared" si="22"/>
        <v/>
      </c>
      <c r="B14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t="str">
        <f t="shared" si="22"/>
        <v/>
      </c>
      <c r="B14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t="str">
        <f t="shared" si="22"/>
        <v/>
      </c>
      <c r="B14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t="str">
        <f t="shared" si="22"/>
        <v/>
      </c>
      <c r="B14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t="str">
        <f t="shared" si="22"/>
        <v/>
      </c>
      <c r="B14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t="str">
        <f t="shared" si="22"/>
        <v/>
      </c>
      <c r="B14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t="str">
        <f t="shared" si="22"/>
        <v/>
      </c>
      <c r="B14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t="str">
        <f t="shared" si="22"/>
        <v/>
      </c>
      <c r="B14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t="str">
        <f t="shared" si="22"/>
        <v/>
      </c>
      <c r="B14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t="str">
        <f t="shared" si="22"/>
        <v/>
      </c>
      <c r="B14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t="str">
        <f t="shared" si="22"/>
        <v/>
      </c>
      <c r="B14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t="str">
        <f t="shared" si="22"/>
        <v/>
      </c>
      <c r="B14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t="str">
        <f t="shared" si="22"/>
        <v/>
      </c>
      <c r="B14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t="str">
        <f t="shared" si="22"/>
        <v/>
      </c>
      <c r="B14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t="str">
        <f t="shared" si="22"/>
        <v/>
      </c>
      <c r="B14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t="str">
        <f t="shared" si="22"/>
        <v/>
      </c>
      <c r="B14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t="str">
        <f t="shared" si="22"/>
        <v/>
      </c>
      <c r="B14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t="str">
        <f t="shared" si="22"/>
        <v/>
      </c>
      <c r="B14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t="str">
        <f t="shared" si="22"/>
        <v/>
      </c>
      <c r="B14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t="str">
        <f t="shared" si="22"/>
        <v/>
      </c>
      <c r="B14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t="str">
        <f t="shared" si="22"/>
        <v/>
      </c>
      <c r="B14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t="str">
        <f t="shared" si="22"/>
        <v/>
      </c>
      <c r="B143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t="str">
        <f t="shared" si="22"/>
        <v/>
      </c>
      <c r="B143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t="str">
        <f t="shared" si="22"/>
        <v/>
      </c>
      <c r="B143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t="str">
        <f t="shared" si="22"/>
        <v/>
      </c>
      <c r="B143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t="str">
        <f t="shared" si="22"/>
        <v/>
      </c>
      <c r="B143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t="str">
        <f t="shared" si="22"/>
        <v/>
      </c>
      <c r="B143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t="str">
        <f t="shared" si="22"/>
        <v/>
      </c>
      <c r="B143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t="str">
        <f t="shared" si="22"/>
        <v/>
      </c>
      <c r="B143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t="str">
        <f t="shared" si="22"/>
        <v/>
      </c>
      <c r="B144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t="str">
        <f t="shared" si="22"/>
        <v/>
      </c>
      <c r="B144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t="str">
        <f t="shared" si="22"/>
        <v/>
      </c>
      <c r="B144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t="str">
        <f t="shared" si="22"/>
        <v/>
      </c>
      <c r="B14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t="str">
        <f t="shared" si="22"/>
        <v/>
      </c>
      <c r="B14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t="str">
        <f t="shared" si="22"/>
        <v/>
      </c>
      <c r="B144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t="str">
        <f t="shared" si="22"/>
        <v/>
      </c>
      <c r="B144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t="str">
        <f t="shared" si="22"/>
        <v/>
      </c>
      <c r="B144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t="str">
        <f t="shared" si="22"/>
        <v/>
      </c>
      <c r="B144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t="str">
        <f t="shared" si="22"/>
        <v/>
      </c>
      <c r="B144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t="str">
        <f t="shared" si="22"/>
        <v/>
      </c>
      <c r="B145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t="str">
        <f t="shared" si="22"/>
        <v/>
      </c>
      <c r="B145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t="str">
        <f t="shared" si="22"/>
        <v/>
      </c>
      <c r="B145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t="str">
        <f t="shared" si="22"/>
        <v/>
      </c>
      <c r="B145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t="str">
        <f t="shared" si="22"/>
        <v/>
      </c>
      <c r="B145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t="str">
        <f t="shared" si="22"/>
        <v/>
      </c>
      <c r="B145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t="str">
        <f t="shared" si="22"/>
        <v/>
      </c>
      <c r="B145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t="str">
        <f t="shared" si="22"/>
        <v/>
      </c>
      <c r="B145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t="str">
        <f t="shared" si="22"/>
        <v/>
      </c>
      <c r="B145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t="str">
        <f t="shared" si="22"/>
        <v/>
      </c>
      <c r="B145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t="str">
        <f t="shared" si="22"/>
        <v/>
      </c>
      <c r="B146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t="str">
        <f t="shared" si="22"/>
        <v/>
      </c>
      <c r="B146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t="str">
        <f t="shared" si="22"/>
        <v/>
      </c>
      <c r="B146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t="str">
        <f t="shared" si="22"/>
        <v/>
      </c>
      <c r="B146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t="str">
        <f t="shared" si="22"/>
        <v/>
      </c>
      <c r="B146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t="str">
        <f t="shared" si="22"/>
        <v/>
      </c>
      <c r="B146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t="str">
        <f t="shared" si="22"/>
        <v/>
      </c>
      <c r="B146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t="str">
        <f t="shared" si="22"/>
        <v/>
      </c>
      <c r="B146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t="str">
        <f t="shared" si="22"/>
        <v/>
      </c>
      <c r="B146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t="str">
        <f t="shared" si="22"/>
        <v/>
      </c>
      <c r="B146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t="str">
        <f t="shared" si="22"/>
        <v/>
      </c>
      <c r="B147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t="str">
        <f t="shared" si="22"/>
        <v/>
      </c>
      <c r="B147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t="str">
        <f t="shared" si="22"/>
        <v/>
      </c>
      <c r="B147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t="str">
        <f t="shared" si="22"/>
        <v/>
      </c>
      <c r="B147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t="str">
        <f t="shared" ref="A1474:A1531" si="23">IFERROR(LEFT(RIGHT(C1474,LEN(C1474)-SEARCH("@",C1474)),SEARCH("/",RIGHT(C1474,LEN(C1474)-SEARCH("@",C1474)-1))),"")</f>
        <v/>
      </c>
      <c r="B147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t="str">
        <f t="shared" si="23"/>
        <v/>
      </c>
      <c r="B147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t="str">
        <f t="shared" si="23"/>
        <v/>
      </c>
      <c r="B147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t="str">
        <f t="shared" si="23"/>
        <v/>
      </c>
      <c r="B147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t="str">
        <f t="shared" si="23"/>
        <v/>
      </c>
      <c r="B147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t="str">
        <f t="shared" si="23"/>
        <v/>
      </c>
      <c r="B147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t="str">
        <f t="shared" si="23"/>
        <v/>
      </c>
      <c r="B148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t="str">
        <f t="shared" si="23"/>
        <v/>
      </c>
      <c r="B148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t="str">
        <f t="shared" si="23"/>
        <v/>
      </c>
      <c r="B148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t="str">
        <f t="shared" si="23"/>
        <v/>
      </c>
      <c r="B148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t="str">
        <f t="shared" si="23"/>
        <v/>
      </c>
      <c r="B148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t="str">
        <f t="shared" si="23"/>
        <v/>
      </c>
      <c r="B148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t="str">
        <f t="shared" si="23"/>
        <v/>
      </c>
      <c r="B148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t="str">
        <f t="shared" si="23"/>
        <v/>
      </c>
      <c r="B148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t="str">
        <f t="shared" si="23"/>
        <v/>
      </c>
      <c r="B148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t="str">
        <f t="shared" si="23"/>
        <v/>
      </c>
      <c r="B148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t="str">
        <f t="shared" si="23"/>
        <v/>
      </c>
      <c r="B149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t="str">
        <f t="shared" si="23"/>
        <v/>
      </c>
      <c r="B149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t="str">
        <f t="shared" si="23"/>
        <v/>
      </c>
      <c r="B149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t="str">
        <f t="shared" si="23"/>
        <v/>
      </c>
      <c r="B149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t="str">
        <f t="shared" si="23"/>
        <v/>
      </c>
      <c r="B149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t="str">
        <f t="shared" si="23"/>
        <v/>
      </c>
      <c r="B149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t="str">
        <f t="shared" si="23"/>
        <v/>
      </c>
      <c r="B149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t="str">
        <f t="shared" si="23"/>
        <v/>
      </c>
      <c r="B149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t="str">
        <f t="shared" si="23"/>
        <v/>
      </c>
      <c r="B149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t="str">
        <f t="shared" si="23"/>
        <v/>
      </c>
      <c r="B149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t="str">
        <f t="shared" si="23"/>
        <v/>
      </c>
      <c r="B150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t="str">
        <f t="shared" si="23"/>
        <v/>
      </c>
      <c r="B150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t="str">
        <f t="shared" si="23"/>
        <v/>
      </c>
      <c r="B150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t="str">
        <f t="shared" si="23"/>
        <v/>
      </c>
      <c r="B150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t="str">
        <f t="shared" si="23"/>
        <v/>
      </c>
      <c r="B150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t="str">
        <f t="shared" si="23"/>
        <v/>
      </c>
      <c r="B150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t="str">
        <f t="shared" si="23"/>
        <v/>
      </c>
      <c r="B150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t="str">
        <f t="shared" si="23"/>
        <v/>
      </c>
      <c r="B150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t="str">
        <f t="shared" si="23"/>
        <v/>
      </c>
      <c r="B150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t="str">
        <f t="shared" si="23"/>
        <v/>
      </c>
      <c r="B150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t="str">
        <f t="shared" si="23"/>
        <v/>
      </c>
      <c r="B151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t="str">
        <f t="shared" si="23"/>
        <v/>
      </c>
      <c r="B151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t="str">
        <f t="shared" si="23"/>
        <v/>
      </c>
      <c r="B151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t="str">
        <f t="shared" si="23"/>
        <v/>
      </c>
      <c r="B151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t="str">
        <f t="shared" si="23"/>
        <v/>
      </c>
      <c r="B151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t="str">
        <f t="shared" si="23"/>
        <v/>
      </c>
      <c r="B151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t="str">
        <f t="shared" si="23"/>
        <v/>
      </c>
      <c r="B151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t="str">
        <f t="shared" si="23"/>
        <v/>
      </c>
      <c r="B151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t="str">
        <f t="shared" si="23"/>
        <v/>
      </c>
      <c r="B151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t="str">
        <f t="shared" si="23"/>
        <v/>
      </c>
      <c r="B151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t="str">
        <f t="shared" si="23"/>
        <v/>
      </c>
      <c r="B152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t="str">
        <f t="shared" si="23"/>
        <v/>
      </c>
      <c r="B152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t="str">
        <f t="shared" si="23"/>
        <v/>
      </c>
      <c r="B1522"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t="str">
        <f t="shared" si="23"/>
        <v/>
      </c>
      <c r="B152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t="str">
        <f t="shared" si="23"/>
        <v/>
      </c>
      <c r="B152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t="str">
        <f t="shared" si="23"/>
        <v/>
      </c>
      <c r="B1525"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t="str">
        <f t="shared" si="23"/>
        <v/>
      </c>
      <c r="B1526"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t="str">
        <f t="shared" si="23"/>
        <v/>
      </c>
      <c r="B1527"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t="str">
        <f t="shared" si="23"/>
        <v/>
      </c>
      <c r="B1528"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t="str">
        <f t="shared" si="23"/>
        <v/>
      </c>
      <c r="B1529"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t="str">
        <f t="shared" si="23"/>
        <v/>
      </c>
      <c r="B1530"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t="str">
        <f t="shared" si="23"/>
        <v/>
      </c>
      <c r="B153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K1:L4 EO1:XFD10 B3:J10 A3:A1531 K5:K6 B11:K13 AH11:XFD14 B14:J19 M15:XFD19 B20:XFD1531 A1532:XFD1048576">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74"/>
  <sheetViews>
    <sheetView showGridLines="0" topLeftCell="H1" zoomScale="70" zoomScaleNormal="70" zoomScaleSheetLayoutView="40" zoomScalePageLayoutView="30" workbookViewId="0">
      <selection activeCell="P17" sqref="P17"/>
    </sheetView>
  </sheetViews>
  <sheetFormatPr defaultColWidth="9.140625" defaultRowHeight="15" x14ac:dyDescent="0.25"/>
  <cols>
    <col min="1" max="1" width="33.5703125" customWidth="1"/>
    <col min="2" max="2" width="14.85546875" customWidth="1"/>
    <col min="3" max="5" width="25.85546875" bestFit="1" customWidth="1"/>
    <col min="6" max="8" width="26.42578125" bestFit="1" customWidth="1"/>
    <col min="9" max="9" width="26.42578125" customWidth="1"/>
    <col min="10" max="10" width="25.85546875" bestFit="1" customWidth="1"/>
    <col min="11" max="11" width="26.42578125" bestFit="1" customWidth="1"/>
    <col min="12" max="28" width="26.42578125" customWidth="1"/>
    <col min="29" max="29" width="26.42578125" bestFit="1" customWidth="1"/>
    <col min="30" max="30" width="11.7109375" customWidth="1"/>
    <col min="31" max="31" width="14.85546875" customWidth="1"/>
    <col min="32" max="32" width="17.7109375" customWidth="1"/>
    <col min="33" max="34" width="25.85546875" bestFit="1" customWidth="1"/>
    <col min="35" max="52" width="25.85546875" customWidth="1"/>
    <col min="53" max="53" width="25.85546875" bestFit="1" customWidth="1"/>
  </cols>
  <sheetData>
    <row r="1" spans="1:53" ht="27" thickBot="1" x14ac:dyDescent="0.45">
      <c r="A1" s="185" t="s">
        <v>43</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6"/>
      <c r="AQ1" s="186"/>
      <c r="AR1" s="186"/>
      <c r="AS1" s="186"/>
      <c r="AT1" s="186"/>
      <c r="AU1" s="186"/>
      <c r="AV1" s="186"/>
      <c r="AW1" s="186"/>
      <c r="AX1" s="186"/>
      <c r="AY1" s="186"/>
      <c r="AZ1" s="186"/>
      <c r="BA1" s="187"/>
    </row>
    <row r="2" spans="1:53" ht="15.75" thickBot="1" x14ac:dyDescent="0.3"/>
    <row r="3" spans="1:53" ht="15.75" thickBot="1" x14ac:dyDescent="0.3">
      <c r="A3" s="35" t="s">
        <v>18</v>
      </c>
      <c r="B3" s="195" t="s">
        <v>6</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7"/>
      <c r="AE3" s="195" t="s">
        <v>3</v>
      </c>
      <c r="AF3" s="196"/>
      <c r="AG3" s="196"/>
      <c r="AH3" s="196"/>
      <c r="AI3" s="196"/>
      <c r="AJ3" s="196"/>
      <c r="AK3" s="196"/>
      <c r="AL3" s="196"/>
      <c r="AM3" s="196"/>
      <c r="AN3" s="196"/>
      <c r="AO3" s="196"/>
      <c r="AP3" s="196"/>
      <c r="AQ3" s="196"/>
      <c r="AR3" s="196"/>
      <c r="AS3" s="196"/>
      <c r="AT3" s="196"/>
      <c r="AU3" s="196"/>
      <c r="AV3" s="196"/>
      <c r="AW3" s="196"/>
      <c r="AX3" s="196"/>
      <c r="AY3" s="196"/>
      <c r="AZ3" s="196"/>
      <c r="BA3" s="197"/>
    </row>
    <row r="4" spans="1:53" x14ac:dyDescent="0.25">
      <c r="A4" s="18" t="s">
        <v>41</v>
      </c>
      <c r="B4" s="19" t="str">
        <f>'Page de garde'!A7</f>
        <v>Témoin solvant</v>
      </c>
      <c r="C4" s="19" t="str">
        <f>'Page de garde'!A9</f>
        <v>EE2-33,8ng/L</v>
      </c>
      <c r="D4" s="19" t="str">
        <f>'Page de garde'!A10</f>
        <v>EE2-50,6ng/L</v>
      </c>
      <c r="E4" s="19" t="str">
        <f>'Page de garde'!A11</f>
        <v>EE2-76ng/L</v>
      </c>
      <c r="F4" s="19" t="str">
        <f>'Page de garde'!A12</f>
        <v>EE2-114ng/L</v>
      </c>
      <c r="G4" s="19" t="str">
        <f>'Page de garde'!A13</f>
        <v>EE2-170,9ng/L</v>
      </c>
      <c r="H4" s="19" t="str">
        <f>'Page de garde'!A14</f>
        <v>EE2-488ng/L</v>
      </c>
      <c r="I4" s="19" t="str">
        <f>'Page de garde'!A15</f>
        <v>Triphénylphosphate-0,18mg/L</v>
      </c>
      <c r="J4" s="19" t="str">
        <f>'Page de garde'!A16</f>
        <v>Triphénylphosphate-0,26mg/L</v>
      </c>
      <c r="K4" s="19" t="str">
        <f>'Page de garde'!A17</f>
        <v>Triphénylphosphate-0,4mg/L</v>
      </c>
      <c r="L4" s="19" t="str">
        <f>'Page de garde'!A18</f>
        <v>Triphénylphosphate-0,59mg/L</v>
      </c>
      <c r="M4" s="19" t="str">
        <f>'Page de garde'!A19</f>
        <v>Triphénylphosphate-0,89mg/L</v>
      </c>
      <c r="N4" s="19" t="str">
        <f>'Page de garde'!A20</f>
        <v xml:space="preserve"> </v>
      </c>
      <c r="O4" s="20" t="str">
        <f>'Page de garde'!A36</f>
        <v>Testo -30µg/L</v>
      </c>
      <c r="P4" s="20" t="str">
        <f>'Page de garde'!A37</f>
        <v>Testo 30µg/L + EE2 -64ng/L</v>
      </c>
      <c r="Q4" s="20" t="str">
        <f>'Page de garde'!A38</f>
        <v>Testo 30µg/L + FAD-10mg/L</v>
      </c>
      <c r="R4" s="20" t="str">
        <f>'Page de garde'!A39</f>
        <v>Triphénylphosphate-0,18mg/L + Testostérone</v>
      </c>
      <c r="S4" s="20" t="str">
        <f>'Page de garde'!A40</f>
        <v>Triphénylphosphate-0,26mg/L + Testostérone</v>
      </c>
      <c r="T4" s="20" t="str">
        <f>'Page de garde'!A41</f>
        <v>Triphénylphosphate-0,4mg/L + Testostérone</v>
      </c>
      <c r="U4" s="20" t="str">
        <f>'Page de garde'!A42</f>
        <v>Triphénylphosphate-0,59mg/L + Testostérone</v>
      </c>
      <c r="V4" s="20" t="str">
        <f>'Page de garde'!A43</f>
        <v>Triphénylphosphate-0,89mg/L + Testostérone</v>
      </c>
      <c r="W4" s="20" t="str">
        <f>'Page de garde'!A44</f>
        <v>0-00 + Testostérone</v>
      </c>
      <c r="X4" s="20" t="str">
        <f>'Page de garde'!A45</f>
        <v>0-00 + Testostérone</v>
      </c>
      <c r="Y4" s="20" t="str">
        <f>'Page de garde'!A46</f>
        <v>0-00 + Testostérone</v>
      </c>
      <c r="Z4" s="20" t="str">
        <f>'Page de garde'!A47</f>
        <v>0-00 + Testostérone</v>
      </c>
      <c r="AA4" s="20" t="str">
        <f>'Page de garde'!A48</f>
        <v>0-00 + Testostérone</v>
      </c>
      <c r="AB4" s="20" t="str">
        <f>'Page de garde'!A49</f>
        <v>0-00 + Testostérone</v>
      </c>
      <c r="AC4" s="20" t="str">
        <f>'Page de garde'!A50</f>
        <v>0-00 + Testostérone</v>
      </c>
      <c r="AD4" s="20" t="str">
        <f>'Page de garde'!A51</f>
        <v>0-00 + Testostérone</v>
      </c>
      <c r="AE4" s="20" t="str">
        <f>'Page de garde'!A52</f>
        <v>0-00 + Testostérone</v>
      </c>
      <c r="AF4" s="20" t="str">
        <f>'Page de garde'!A53</f>
        <v>0-00 + Testostérone</v>
      </c>
      <c r="AG4" s="20" t="str">
        <f>'Page de garde'!A54</f>
        <v>0-00 + Testostérone</v>
      </c>
      <c r="AH4" s="20" t="str">
        <f>'Page de garde'!A55</f>
        <v>0-00 + Testostérone</v>
      </c>
      <c r="AI4" s="20" t="str">
        <f>'Page de garde'!A56</f>
        <v>0-00 + Testostérone</v>
      </c>
      <c r="AJ4" s="20" t="str">
        <f>'Page de garde'!A57</f>
        <v>0-00 + Testostérone</v>
      </c>
      <c r="AK4" s="20" t="str">
        <f>'Page de garde'!A58</f>
        <v>0-00 + Testostérone</v>
      </c>
    </row>
    <row r="5" spans="1:53" x14ac:dyDescent="0.25">
      <c r="A5" s="198" t="s">
        <v>33</v>
      </c>
      <c r="B5">
        <v>33202</v>
      </c>
      <c r="C5">
        <v>170898</v>
      </c>
      <c r="D5">
        <v>504452.33333333331</v>
      </c>
      <c r="E5">
        <v>504722.5</v>
      </c>
      <c r="F5">
        <v>182066</v>
      </c>
      <c r="G5">
        <v>3451965.3333333335</v>
      </c>
      <c r="H5">
        <v>6819697</v>
      </c>
      <c r="I5">
        <v>330374.66666666669</v>
      </c>
      <c r="K5">
        <v>137425.5</v>
      </c>
      <c r="L5">
        <v>392957.66666666669</v>
      </c>
      <c r="M5">
        <v>5273044</v>
      </c>
      <c r="N5" s="11"/>
      <c r="O5">
        <v>3560879</v>
      </c>
      <c r="P5">
        <v>2030340.3333333333</v>
      </c>
      <c r="Q5">
        <v>125669.5</v>
      </c>
      <c r="R5">
        <v>1463349</v>
      </c>
      <c r="S5">
        <v>3158873</v>
      </c>
      <c r="T5">
        <v>4110318</v>
      </c>
      <c r="U5">
        <v>3088727.3333333335</v>
      </c>
      <c r="V5">
        <v>4311854.666666667</v>
      </c>
      <c r="W5" s="3"/>
      <c r="X5" s="3"/>
      <c r="Y5" s="3"/>
      <c r="Z5" s="3"/>
      <c r="AA5" s="3"/>
      <c r="AB5" s="3"/>
      <c r="AC5" s="3"/>
      <c r="AD5" s="3"/>
      <c r="AE5" s="3"/>
      <c r="AF5" s="3"/>
      <c r="AG5" s="3"/>
      <c r="AH5" s="3"/>
      <c r="AI5" s="3"/>
      <c r="AJ5" s="3"/>
      <c r="AK5" s="3"/>
    </row>
    <row r="6" spans="1:53" x14ac:dyDescent="0.25">
      <c r="A6" s="198"/>
      <c r="B6">
        <v>425640</v>
      </c>
      <c r="C6">
        <v>271743.33333333331</v>
      </c>
      <c r="D6">
        <v>78062.5</v>
      </c>
      <c r="E6">
        <v>639682.5</v>
      </c>
      <c r="F6">
        <v>1364403</v>
      </c>
      <c r="H6">
        <v>5777871.333333333</v>
      </c>
      <c r="I6">
        <v>341190</v>
      </c>
      <c r="J6">
        <v>68206</v>
      </c>
      <c r="K6">
        <v>258116.66666666666</v>
      </c>
      <c r="L6">
        <v>375430</v>
      </c>
      <c r="M6">
        <v>964816</v>
      </c>
      <c r="N6" s="11"/>
      <c r="O6">
        <v>1792159.6666666667</v>
      </c>
      <c r="P6">
        <v>806016.5</v>
      </c>
      <c r="Q6">
        <v>394111</v>
      </c>
      <c r="R6">
        <v>4770610.333333333</v>
      </c>
      <c r="S6">
        <v>3327038.3333333335</v>
      </c>
      <c r="T6">
        <v>2723823.6666666665</v>
      </c>
      <c r="U6">
        <v>544727</v>
      </c>
      <c r="V6">
        <v>2326151</v>
      </c>
      <c r="W6" s="3"/>
      <c r="X6" s="3"/>
      <c r="Y6" s="3"/>
      <c r="Z6" s="3"/>
      <c r="AA6" s="3"/>
      <c r="AB6" s="3"/>
      <c r="AC6" s="3"/>
      <c r="AD6" s="3"/>
      <c r="AE6" s="3"/>
      <c r="AF6" s="3"/>
      <c r="AG6" s="3"/>
      <c r="AH6" s="3"/>
      <c r="AI6" s="3"/>
      <c r="AJ6" s="3"/>
      <c r="AK6" s="3"/>
    </row>
    <row r="7" spans="1:53" x14ac:dyDescent="0.25">
      <c r="A7" s="198"/>
      <c r="B7">
        <v>285817.5</v>
      </c>
      <c r="C7">
        <v>933611.33333333337</v>
      </c>
      <c r="D7">
        <v>73210</v>
      </c>
      <c r="E7">
        <v>282875.5</v>
      </c>
      <c r="F7">
        <v>3719556</v>
      </c>
      <c r="G7">
        <v>3349634.3333333335</v>
      </c>
      <c r="H7">
        <v>3553647.3333333335</v>
      </c>
      <c r="I7">
        <v>359034.66666666669</v>
      </c>
      <c r="J7">
        <v>776606.66666666663</v>
      </c>
      <c r="K7">
        <v>185411.66666666666</v>
      </c>
      <c r="L7">
        <v>327707</v>
      </c>
      <c r="M7">
        <v>3011645.6666666665</v>
      </c>
      <c r="N7" s="11"/>
      <c r="O7">
        <v>2669641</v>
      </c>
      <c r="P7">
        <v>4208788</v>
      </c>
      <c r="Q7">
        <v>301650.66666666669</v>
      </c>
      <c r="R7">
        <v>3993001.3333333335</v>
      </c>
      <c r="S7">
        <v>6887903</v>
      </c>
      <c r="T7">
        <v>412518.33333333331</v>
      </c>
      <c r="U7">
        <v>4179912</v>
      </c>
      <c r="V7">
        <v>4782773.333333333</v>
      </c>
      <c r="W7" s="3"/>
      <c r="X7" s="3"/>
      <c r="Y7" s="3"/>
      <c r="Z7" s="3"/>
      <c r="AA7" s="3"/>
      <c r="AB7" s="3"/>
      <c r="AC7" s="3"/>
      <c r="AD7" s="3"/>
      <c r="AE7" s="3"/>
      <c r="AF7" s="3"/>
      <c r="AG7" s="3"/>
      <c r="AH7" s="3"/>
      <c r="AI7" s="3"/>
      <c r="AJ7" s="3"/>
      <c r="AK7" s="3"/>
    </row>
    <row r="8" spans="1:53" x14ac:dyDescent="0.25">
      <c r="A8" s="198"/>
      <c r="B8">
        <v>479909.66666666669</v>
      </c>
      <c r="C8">
        <v>82626.333333333328</v>
      </c>
      <c r="D8">
        <v>306207</v>
      </c>
      <c r="E8">
        <v>718840.66666666663</v>
      </c>
      <c r="F8">
        <v>816875</v>
      </c>
      <c r="G8">
        <v>3728013</v>
      </c>
      <c r="H8">
        <v>4466573.5</v>
      </c>
      <c r="I8">
        <v>486211.33333333331</v>
      </c>
      <c r="J8">
        <v>214492.5</v>
      </c>
      <c r="K8">
        <v>205671.33333333334</v>
      </c>
      <c r="L8">
        <v>1295587.5</v>
      </c>
      <c r="M8">
        <v>2638111.6666666665</v>
      </c>
      <c r="N8" s="11"/>
      <c r="O8">
        <v>2762527</v>
      </c>
      <c r="P8">
        <v>6301415.666666667</v>
      </c>
      <c r="Q8">
        <v>725091.66666666663</v>
      </c>
      <c r="R8">
        <v>2839453.5</v>
      </c>
      <c r="S8">
        <v>2523466.3333333335</v>
      </c>
      <c r="T8">
        <v>6470183</v>
      </c>
      <c r="U8">
        <v>3214144.6666666665</v>
      </c>
      <c r="V8">
        <v>5715418.666666667</v>
      </c>
      <c r="W8" s="3"/>
      <c r="X8" s="3"/>
      <c r="Y8" s="3"/>
      <c r="Z8" s="3"/>
      <c r="AA8" s="3"/>
      <c r="AB8" s="3"/>
      <c r="AC8" s="3"/>
      <c r="AD8" s="3"/>
      <c r="AE8" s="3"/>
      <c r="AF8" s="3"/>
      <c r="AG8" s="3"/>
      <c r="AH8" s="3"/>
      <c r="AI8" s="3"/>
      <c r="AJ8" s="3"/>
      <c r="AK8" s="3"/>
    </row>
    <row r="9" spans="1:53" x14ac:dyDescent="0.25">
      <c r="A9" s="198"/>
      <c r="B9">
        <v>169881.33333333334</v>
      </c>
      <c r="C9">
        <v>245996.66666666666</v>
      </c>
      <c r="D9">
        <v>58948.666666666664</v>
      </c>
      <c r="E9">
        <v>1490761.3333333333</v>
      </c>
      <c r="F9">
        <v>820184</v>
      </c>
      <c r="G9">
        <v>4534152</v>
      </c>
      <c r="H9">
        <v>5336606.666666667</v>
      </c>
      <c r="I9">
        <v>279278</v>
      </c>
      <c r="J9">
        <v>79482.333333333328</v>
      </c>
      <c r="K9">
        <v>624959.66666666663</v>
      </c>
      <c r="L9">
        <v>690296.66666666663</v>
      </c>
      <c r="M9">
        <v>3029843.6666666665</v>
      </c>
      <c r="N9" s="11"/>
      <c r="O9">
        <v>2908889</v>
      </c>
      <c r="P9">
        <v>5237924</v>
      </c>
      <c r="Q9">
        <v>579043</v>
      </c>
      <c r="R9">
        <v>3794972.3333333335</v>
      </c>
      <c r="S9">
        <v>5488557.333333333</v>
      </c>
      <c r="T9">
        <v>5892113</v>
      </c>
      <c r="U9">
        <v>6158301.5</v>
      </c>
      <c r="V9">
        <v>4212083</v>
      </c>
      <c r="W9" s="3"/>
      <c r="X9" s="3"/>
      <c r="Y9" s="3"/>
      <c r="Z9" s="3"/>
      <c r="AA9" s="3"/>
      <c r="AB9" s="3"/>
      <c r="AC9" s="3"/>
      <c r="AD9" s="3"/>
      <c r="AE9" s="3"/>
      <c r="AF9" s="3"/>
      <c r="AG9" s="3"/>
      <c r="AH9" s="3"/>
      <c r="AI9" s="3"/>
      <c r="AJ9" s="3"/>
      <c r="AK9" s="3"/>
    </row>
    <row r="10" spans="1:53" x14ac:dyDescent="0.25">
      <c r="A10" s="198"/>
      <c r="B10">
        <v>110024.33333333333</v>
      </c>
      <c r="C10">
        <v>135237.33333333334</v>
      </c>
      <c r="D10">
        <v>73022.666666666672</v>
      </c>
      <c r="E10">
        <v>486651</v>
      </c>
      <c r="F10">
        <v>2799925</v>
      </c>
      <c r="G10">
        <v>3296450</v>
      </c>
      <c r="H10">
        <v>6855977.333333333</v>
      </c>
      <c r="I10">
        <v>547149.66666666663</v>
      </c>
      <c r="J10">
        <v>197070</v>
      </c>
      <c r="K10">
        <v>262154.33333333331</v>
      </c>
      <c r="L10">
        <v>59893.333333333336</v>
      </c>
      <c r="M10">
        <v>5411961.5</v>
      </c>
      <c r="N10" s="11"/>
      <c r="O10">
        <v>2610021.6666666665</v>
      </c>
      <c r="P10">
        <v>3647463.6666666665</v>
      </c>
      <c r="Q10">
        <v>58545</v>
      </c>
      <c r="R10">
        <v>3765051</v>
      </c>
      <c r="S10">
        <v>2834662.3333333335</v>
      </c>
      <c r="T10">
        <v>4772672.333333333</v>
      </c>
      <c r="U10">
        <v>3415749.6666666665</v>
      </c>
      <c r="V10">
        <v>5391511</v>
      </c>
      <c r="W10" s="3"/>
      <c r="X10" s="3"/>
      <c r="Y10" s="3"/>
      <c r="Z10" s="3"/>
      <c r="AA10" s="3"/>
      <c r="AB10" s="3"/>
      <c r="AC10" s="3"/>
      <c r="AD10" s="3"/>
      <c r="AE10" s="3"/>
      <c r="AF10" s="3"/>
      <c r="AG10" s="3"/>
      <c r="AH10" s="3"/>
      <c r="AI10" s="3"/>
      <c r="AJ10" s="3"/>
      <c r="AK10" s="3"/>
    </row>
    <row r="11" spans="1:53" x14ac:dyDescent="0.25">
      <c r="A11" s="198"/>
      <c r="B11">
        <v>222708.66666666666</v>
      </c>
      <c r="C11">
        <v>67521.333333333328</v>
      </c>
      <c r="D11">
        <v>140378</v>
      </c>
      <c r="E11">
        <v>739872.33333333337</v>
      </c>
      <c r="F11">
        <v>1411794</v>
      </c>
      <c r="G11">
        <v>4051899.3333333335</v>
      </c>
      <c r="H11">
        <v>5391359.333333333</v>
      </c>
      <c r="I11">
        <v>715877.33333333337</v>
      </c>
      <c r="J11">
        <v>409475.66666666669</v>
      </c>
      <c r="K11">
        <v>794523.66666666663</v>
      </c>
      <c r="L11">
        <v>639437.33333333337</v>
      </c>
      <c r="M11">
        <v>1185480.5</v>
      </c>
      <c r="N11" s="11"/>
      <c r="O11">
        <v>3724055.3333333335</v>
      </c>
      <c r="P11">
        <v>5242661</v>
      </c>
      <c r="Q11">
        <v>122933.5</v>
      </c>
      <c r="R11">
        <v>954938.5</v>
      </c>
      <c r="S11">
        <v>5417755.333333333</v>
      </c>
      <c r="T11">
        <v>3665668.6666666665</v>
      </c>
      <c r="U11">
        <v>2918687.3333333335</v>
      </c>
      <c r="V11">
        <v>2405525.5</v>
      </c>
      <c r="W11" s="3"/>
      <c r="X11" s="3"/>
      <c r="Y11" s="3"/>
      <c r="Z11" s="3"/>
      <c r="AA11" s="3"/>
      <c r="AB11" s="3"/>
      <c r="AC11" s="3"/>
      <c r="AD11" s="3"/>
      <c r="AE11" s="3"/>
      <c r="AF11" s="3"/>
      <c r="AG11" s="3"/>
      <c r="AH11" s="3"/>
      <c r="AI11" s="3"/>
      <c r="AJ11" s="3"/>
      <c r="AK11" s="3"/>
    </row>
    <row r="12" spans="1:53" x14ac:dyDescent="0.25">
      <c r="A12" s="198"/>
      <c r="B12">
        <v>425081.5</v>
      </c>
      <c r="C12">
        <v>66858</v>
      </c>
      <c r="E12">
        <v>1312963.3333333333</v>
      </c>
      <c r="F12">
        <v>3367212.3333333335</v>
      </c>
      <c r="G12">
        <v>3848463</v>
      </c>
      <c r="H12">
        <v>5871024</v>
      </c>
      <c r="I12">
        <v>289502</v>
      </c>
      <c r="J12">
        <v>377669</v>
      </c>
      <c r="K12">
        <v>792714</v>
      </c>
      <c r="L12">
        <v>1739779</v>
      </c>
      <c r="M12">
        <v>1208188</v>
      </c>
      <c r="N12" s="11"/>
      <c r="O12">
        <v>24788</v>
      </c>
      <c r="P12">
        <v>4066766.3333333335</v>
      </c>
      <c r="Q12">
        <v>60700.666666666664</v>
      </c>
      <c r="R12">
        <v>3892876.3333333335</v>
      </c>
      <c r="S12">
        <v>4693651.333333333</v>
      </c>
      <c r="T12">
        <v>2565060.3333333335</v>
      </c>
      <c r="U12">
        <v>5961660</v>
      </c>
      <c r="V12">
        <v>4601507.666666667</v>
      </c>
      <c r="W12" s="3"/>
      <c r="X12" s="3"/>
      <c r="Y12" s="3"/>
      <c r="Z12" s="3"/>
      <c r="AA12" s="3"/>
      <c r="AB12" s="3"/>
      <c r="AC12" s="3"/>
      <c r="AD12" s="3"/>
      <c r="AE12" s="3"/>
      <c r="AF12" s="3"/>
      <c r="AG12" s="3"/>
      <c r="AH12" s="3"/>
      <c r="AI12" s="3"/>
      <c r="AJ12" s="3"/>
      <c r="AK12" s="3"/>
    </row>
    <row r="13" spans="1:53" ht="16.5" x14ac:dyDescent="0.25">
      <c r="A13" s="198"/>
      <c r="B13" s="12"/>
      <c r="C13" s="11"/>
      <c r="D13" s="3"/>
      <c r="E13" s="3"/>
      <c r="F13" s="3"/>
      <c r="G13" s="3"/>
      <c r="H13" s="3"/>
      <c r="I13" s="3"/>
      <c r="J13" s="3"/>
      <c r="K13" s="11"/>
      <c r="L13" s="11"/>
      <c r="M13" s="11"/>
      <c r="N13" s="11"/>
      <c r="O13">
        <v>3470809</v>
      </c>
      <c r="P13" s="11"/>
      <c r="Q13" s="11"/>
      <c r="R13" s="3"/>
      <c r="S13" s="3"/>
      <c r="T13" s="3"/>
      <c r="U13" s="3"/>
      <c r="V13" s="3"/>
      <c r="W13" s="3"/>
      <c r="X13" s="3"/>
      <c r="Y13" s="3"/>
      <c r="Z13" s="3"/>
      <c r="AA13" s="3"/>
      <c r="AB13" s="3"/>
      <c r="AC13" s="3"/>
      <c r="AD13" s="3"/>
      <c r="AE13" s="3"/>
      <c r="AF13" s="3"/>
      <c r="AG13" s="3"/>
      <c r="AH13" s="3"/>
      <c r="AI13" s="3"/>
      <c r="AJ13" s="3"/>
      <c r="AK13" s="3"/>
    </row>
    <row r="14" spans="1:53" ht="16.5" x14ac:dyDescent="0.25">
      <c r="A14" s="198"/>
      <c r="B14" s="12"/>
      <c r="C14" s="3"/>
      <c r="D14" s="3"/>
      <c r="E14" s="3"/>
      <c r="F14" s="3"/>
      <c r="G14" s="3"/>
      <c r="H14" s="3"/>
      <c r="I14" s="3"/>
      <c r="J14" s="3"/>
      <c r="K14" s="11"/>
      <c r="L14" s="11"/>
      <c r="M14" s="11"/>
      <c r="N14" s="11"/>
      <c r="O14">
        <v>1625670.5</v>
      </c>
      <c r="P14" s="11"/>
      <c r="Q14" s="11"/>
      <c r="R14" s="3"/>
      <c r="S14" s="3"/>
      <c r="T14" s="3"/>
      <c r="U14" s="3"/>
      <c r="V14" s="3"/>
      <c r="W14" s="3"/>
      <c r="X14" s="3"/>
      <c r="Y14" s="3"/>
      <c r="Z14" s="3"/>
      <c r="AA14" s="3"/>
      <c r="AB14" s="3"/>
      <c r="AC14" s="3"/>
      <c r="AD14" s="3"/>
      <c r="AE14" s="3"/>
      <c r="AF14" s="3"/>
      <c r="AG14" s="3"/>
      <c r="AH14" s="3"/>
      <c r="AI14" s="3"/>
      <c r="AJ14" s="3"/>
      <c r="AK14" s="3"/>
    </row>
    <row r="15" spans="1:53" ht="16.5" x14ac:dyDescent="0.25">
      <c r="A15" s="198"/>
      <c r="B15" s="12"/>
      <c r="C15" s="3"/>
      <c r="D15" s="3"/>
      <c r="E15" s="3"/>
      <c r="F15" s="3"/>
      <c r="G15" s="3"/>
      <c r="H15" s="3"/>
      <c r="I15" s="3"/>
      <c r="J15" s="3"/>
      <c r="K15" s="11"/>
      <c r="L15" s="11"/>
      <c r="M15" s="11"/>
      <c r="N15" s="11"/>
      <c r="O15">
        <v>4036080.6666666665</v>
      </c>
      <c r="P15" s="11"/>
      <c r="Q15" s="11"/>
      <c r="R15" s="3"/>
      <c r="S15" s="3"/>
      <c r="T15" s="3"/>
      <c r="U15" s="3"/>
      <c r="V15" s="3"/>
      <c r="W15" s="3"/>
      <c r="X15" s="3"/>
      <c r="Y15" s="3"/>
      <c r="Z15" s="3"/>
      <c r="AA15" s="3"/>
      <c r="AB15" s="3"/>
      <c r="AC15" s="3"/>
      <c r="AD15" s="3"/>
      <c r="AE15" s="3"/>
      <c r="AF15" s="3"/>
      <c r="AG15" s="3"/>
      <c r="AH15" s="3"/>
      <c r="AI15" s="3"/>
      <c r="AJ15" s="3"/>
      <c r="AK15" s="3"/>
    </row>
    <row r="16" spans="1:53" ht="16.5" x14ac:dyDescent="0.25">
      <c r="A16" s="198"/>
      <c r="B16" s="12"/>
      <c r="C16" s="3"/>
      <c r="D16" s="3"/>
      <c r="E16" s="3"/>
      <c r="F16" s="3"/>
      <c r="G16" s="3"/>
      <c r="H16" s="3"/>
      <c r="I16" s="3"/>
      <c r="J16" s="3"/>
      <c r="K16" s="11"/>
      <c r="L16" s="11"/>
      <c r="M16" s="11"/>
      <c r="N16" s="11"/>
      <c r="O16" s="11"/>
      <c r="P16" s="11"/>
      <c r="Q16" s="11"/>
      <c r="R16" s="11"/>
      <c r="S16" s="11"/>
      <c r="T16" s="11"/>
      <c r="U16" s="11"/>
      <c r="V16" s="11"/>
      <c r="W16" s="11"/>
      <c r="X16" s="11"/>
      <c r="Y16" s="11"/>
      <c r="Z16" s="11"/>
      <c r="AA16" s="11"/>
      <c r="AB16" s="11"/>
      <c r="AC16" s="11"/>
      <c r="AD16" s="2"/>
      <c r="AE16">
        <v>2514634</v>
      </c>
      <c r="AF16" s="11"/>
      <c r="AG16" s="11"/>
      <c r="AH16" s="3"/>
      <c r="AI16" s="3"/>
      <c r="AJ16" s="3"/>
      <c r="AK16" s="3"/>
      <c r="AL16" s="3"/>
      <c r="AM16" s="3"/>
      <c r="AN16" s="3"/>
      <c r="AO16" s="3"/>
      <c r="AP16" s="3"/>
      <c r="AQ16" s="3"/>
      <c r="AR16" s="3"/>
      <c r="AS16" s="3"/>
      <c r="AT16" s="3"/>
      <c r="AU16" s="3"/>
      <c r="AV16" s="3"/>
      <c r="AW16" s="3"/>
      <c r="AX16" s="3"/>
      <c r="AY16" s="3"/>
      <c r="AZ16" s="3"/>
      <c r="BA16" s="3"/>
    </row>
    <row r="17" spans="1:53" ht="16.5" x14ac:dyDescent="0.25">
      <c r="A17" s="198"/>
      <c r="B17" s="12"/>
      <c r="C17" s="3"/>
      <c r="D17" s="3"/>
      <c r="E17" s="3"/>
      <c r="F17" s="3"/>
      <c r="G17" s="3"/>
      <c r="H17" s="3"/>
      <c r="I17" s="3"/>
      <c r="J17" s="3"/>
      <c r="K17" s="11"/>
      <c r="L17" s="11"/>
      <c r="M17" s="11"/>
      <c r="N17" s="11"/>
      <c r="O17" s="11"/>
      <c r="P17" s="11"/>
      <c r="Q17" s="11"/>
      <c r="R17" s="11"/>
      <c r="S17" s="11"/>
      <c r="T17" s="11"/>
      <c r="U17" s="11"/>
      <c r="V17" s="11"/>
      <c r="W17" s="11"/>
      <c r="X17" s="11"/>
      <c r="Y17" s="11"/>
      <c r="Z17" s="11"/>
      <c r="AA17" s="11"/>
      <c r="AB17" s="11"/>
      <c r="AC17" s="11"/>
      <c r="AD17" s="2"/>
      <c r="AE17">
        <v>3077068.6666666665</v>
      </c>
      <c r="AF17" s="11"/>
      <c r="AG17" s="11"/>
      <c r="AH17" s="3"/>
      <c r="AI17" s="3"/>
      <c r="AJ17" s="3"/>
      <c r="AK17" s="3"/>
      <c r="AL17" s="3"/>
      <c r="AM17" s="3"/>
      <c r="AN17" s="3"/>
      <c r="AO17" s="3"/>
      <c r="AP17" s="3"/>
      <c r="AQ17" s="3"/>
      <c r="AR17" s="3"/>
      <c r="AS17" s="3"/>
      <c r="AT17" s="3"/>
      <c r="AU17" s="3"/>
      <c r="AV17" s="3"/>
      <c r="AW17" s="3"/>
      <c r="AX17" s="3"/>
      <c r="AY17" s="3"/>
      <c r="AZ17" s="3"/>
      <c r="BA17" s="3"/>
    </row>
    <row r="18" spans="1:53" ht="16.5" x14ac:dyDescent="0.25">
      <c r="A18" s="198"/>
      <c r="B18" s="12"/>
      <c r="C18" s="3"/>
      <c r="D18" s="3"/>
      <c r="E18" s="3"/>
      <c r="F18" s="3"/>
      <c r="G18" s="3"/>
      <c r="H18" s="3"/>
      <c r="I18" s="3"/>
      <c r="J18" s="3"/>
      <c r="K18" s="11"/>
      <c r="L18" s="11"/>
      <c r="M18" s="11"/>
      <c r="N18" s="11"/>
      <c r="O18" s="11"/>
      <c r="P18" s="11"/>
      <c r="Q18" s="11"/>
      <c r="R18" s="11"/>
      <c r="S18" s="11"/>
      <c r="T18" s="11"/>
      <c r="U18" s="11"/>
      <c r="V18" s="11"/>
      <c r="W18" s="11"/>
      <c r="X18" s="11"/>
      <c r="Y18" s="11"/>
      <c r="Z18" s="11"/>
      <c r="AA18" s="11"/>
      <c r="AB18" s="11"/>
      <c r="AC18" s="11"/>
      <c r="AD18" s="2"/>
      <c r="AE18">
        <v>2922271</v>
      </c>
      <c r="AF18" s="11"/>
      <c r="AG18" s="11"/>
      <c r="AH18" s="3"/>
      <c r="AI18" s="3"/>
      <c r="AJ18" s="3"/>
      <c r="AK18" s="3"/>
      <c r="AL18" s="3"/>
      <c r="AM18" s="3"/>
      <c r="AN18" s="3"/>
      <c r="AO18" s="3"/>
      <c r="AP18" s="3"/>
      <c r="AQ18" s="3"/>
      <c r="AR18" s="3"/>
      <c r="AS18" s="3"/>
      <c r="AT18" s="3"/>
      <c r="AU18" s="3"/>
      <c r="AV18" s="3"/>
      <c r="AW18" s="3"/>
      <c r="AX18" s="3"/>
      <c r="AY18" s="3"/>
      <c r="AZ18" s="3"/>
      <c r="BA18" s="3"/>
    </row>
    <row r="19" spans="1:53" ht="16.5" x14ac:dyDescent="0.25">
      <c r="A19" s="198"/>
      <c r="B19" s="12"/>
      <c r="C19" s="3"/>
      <c r="D19" s="3"/>
      <c r="E19" s="3"/>
      <c r="F19" s="3"/>
      <c r="G19" s="3"/>
      <c r="H19" s="3"/>
      <c r="I19" s="3"/>
      <c r="J19" s="3"/>
      <c r="K19" s="11"/>
      <c r="L19" s="11"/>
      <c r="M19" s="11"/>
      <c r="N19" s="11"/>
      <c r="O19" s="11"/>
      <c r="P19" s="11"/>
      <c r="Q19" s="11"/>
      <c r="R19" s="11"/>
      <c r="S19" s="11"/>
      <c r="T19" s="11"/>
      <c r="U19" s="11"/>
      <c r="V19" s="11"/>
      <c r="W19" s="11"/>
      <c r="X19" s="11"/>
      <c r="Y19" s="11"/>
      <c r="Z19" s="11"/>
      <c r="AA19" s="11"/>
      <c r="AB19" s="11"/>
      <c r="AC19" s="11"/>
      <c r="AD19" s="2"/>
      <c r="AE19">
        <v>1929559.6666666667</v>
      </c>
      <c r="AF19" s="11"/>
      <c r="AG19" s="11"/>
      <c r="AH19" s="3"/>
      <c r="AI19" s="3"/>
      <c r="AJ19" s="3"/>
      <c r="AK19" s="3"/>
      <c r="AL19" s="3"/>
      <c r="AM19" s="3"/>
      <c r="AN19" s="3"/>
      <c r="AO19" s="3"/>
      <c r="AP19" s="3"/>
      <c r="AQ19" s="3"/>
      <c r="AR19" s="3"/>
      <c r="AS19" s="3"/>
      <c r="AT19" s="3"/>
      <c r="AU19" s="3"/>
      <c r="AV19" s="3"/>
      <c r="AW19" s="3"/>
      <c r="AX19" s="3"/>
      <c r="AY19" s="3"/>
      <c r="AZ19" s="3"/>
      <c r="BA19" s="3"/>
    </row>
    <row r="20" spans="1:53" ht="16.5" x14ac:dyDescent="0.25">
      <c r="A20" s="198"/>
      <c r="B20" s="12"/>
      <c r="C20" s="3"/>
      <c r="D20" s="3"/>
      <c r="E20" s="3"/>
      <c r="F20" s="3"/>
      <c r="G20" s="3"/>
      <c r="H20" s="3"/>
      <c r="I20" s="3"/>
      <c r="J20" s="3"/>
      <c r="K20" s="11"/>
      <c r="L20" s="11"/>
      <c r="M20" s="11"/>
      <c r="N20" s="11"/>
      <c r="O20" s="11"/>
      <c r="P20" s="11"/>
      <c r="Q20" s="11"/>
      <c r="R20" s="11"/>
      <c r="S20" s="11"/>
      <c r="T20" s="11"/>
      <c r="U20" s="11"/>
      <c r="V20" s="11"/>
      <c r="W20" s="11"/>
      <c r="X20" s="11"/>
      <c r="Y20" s="11"/>
      <c r="Z20" s="11"/>
      <c r="AA20" s="11"/>
      <c r="AB20" s="11"/>
      <c r="AC20" s="11"/>
      <c r="AD20" s="2"/>
      <c r="AE20">
        <v>1750694.6666666667</v>
      </c>
      <c r="AF20" s="11"/>
      <c r="AG20" s="11"/>
      <c r="AH20" s="3"/>
      <c r="AI20" s="3"/>
      <c r="AJ20" s="3"/>
      <c r="AK20" s="3"/>
      <c r="AL20" s="3"/>
      <c r="AM20" s="3"/>
      <c r="AN20" s="3"/>
      <c r="AO20" s="3"/>
      <c r="AP20" s="3"/>
      <c r="AQ20" s="3"/>
      <c r="AR20" s="3"/>
      <c r="AS20" s="3"/>
      <c r="AT20" s="3"/>
      <c r="AU20" s="3"/>
      <c r="AV20" s="3"/>
      <c r="AW20" s="3"/>
      <c r="AX20" s="3"/>
      <c r="AY20" s="3"/>
      <c r="AZ20" s="3"/>
      <c r="BA20" s="3"/>
    </row>
    <row r="21" spans="1:53" x14ac:dyDescent="0.25">
      <c r="A21" s="2"/>
      <c r="B21" s="2"/>
      <c r="C21" s="2"/>
      <c r="D21" s="2"/>
      <c r="E21" s="2"/>
      <c r="F21" s="2"/>
      <c r="G21" s="2"/>
      <c r="H21" s="2"/>
      <c r="I21" s="2"/>
      <c r="J21" s="2"/>
      <c r="AD21" s="2"/>
      <c r="AE21" s="2"/>
      <c r="AH21" s="2"/>
      <c r="AI21" s="2"/>
      <c r="AJ21" s="2"/>
      <c r="AK21" s="2"/>
      <c r="AL21" s="2"/>
      <c r="AM21" s="2"/>
      <c r="AN21" s="2"/>
      <c r="AO21" s="2"/>
      <c r="AP21" s="2"/>
      <c r="AQ21" s="2"/>
      <c r="AR21" s="2"/>
      <c r="AS21" s="2"/>
      <c r="AT21" s="2"/>
      <c r="AU21" s="2"/>
      <c r="AV21" s="2"/>
      <c r="AW21" s="2"/>
      <c r="AX21" s="2"/>
      <c r="AY21" s="2"/>
      <c r="AZ21" s="2"/>
      <c r="BA21" s="2"/>
    </row>
    <row r="22" spans="1:53" x14ac:dyDescent="0.25">
      <c r="A22" s="2" t="str">
        <f>A4</f>
        <v>Noms des groupes</v>
      </c>
      <c r="B22" s="2" t="str">
        <f t="shared" ref="B22:N22" si="0">B4</f>
        <v>Témoin solvant</v>
      </c>
      <c r="C22" s="2" t="str">
        <f t="shared" si="0"/>
        <v>EE2-33,8ng/L</v>
      </c>
      <c r="D22" s="2" t="str">
        <f t="shared" si="0"/>
        <v>EE2-50,6ng/L</v>
      </c>
      <c r="E22" s="2" t="str">
        <f t="shared" si="0"/>
        <v>EE2-76ng/L</v>
      </c>
      <c r="F22" s="2" t="str">
        <f t="shared" si="0"/>
        <v>EE2-114ng/L</v>
      </c>
      <c r="G22" s="2" t="str">
        <f t="shared" si="0"/>
        <v>EE2-170,9ng/L</v>
      </c>
      <c r="H22" s="2" t="str">
        <f t="shared" si="0"/>
        <v>EE2-488ng/L</v>
      </c>
      <c r="I22" s="2" t="str">
        <f t="shared" si="0"/>
        <v>Triphénylphosphate-0,18mg/L</v>
      </c>
      <c r="J22" s="2" t="str">
        <f t="shared" si="0"/>
        <v>Triphénylphosphate-0,26mg/L</v>
      </c>
      <c r="K22" s="2" t="str">
        <f t="shared" si="0"/>
        <v>Triphénylphosphate-0,4mg/L</v>
      </c>
      <c r="L22" s="2" t="str">
        <f t="shared" si="0"/>
        <v>Triphénylphosphate-0,59mg/L</v>
      </c>
      <c r="M22" s="2" t="str">
        <f t="shared" si="0"/>
        <v>Triphénylphosphate-0,89mg/L</v>
      </c>
      <c r="N22" s="2" t="str">
        <f t="shared" si="0"/>
        <v xml:space="preserve"> </v>
      </c>
      <c r="O22" s="2" t="e">
        <f>#REF!</f>
        <v>#REF!</v>
      </c>
      <c r="P22" s="2" t="e">
        <f>#REF!</f>
        <v>#REF!</v>
      </c>
      <c r="Q22" s="2" t="e">
        <f>#REF!</f>
        <v>#REF!</v>
      </c>
      <c r="R22" s="2" t="e">
        <f>#REF!</f>
        <v>#REF!</v>
      </c>
      <c r="S22" s="2" t="e">
        <f>#REF!</f>
        <v>#REF!</v>
      </c>
      <c r="T22" s="2" t="e">
        <f>#REF!</f>
        <v>#REF!</v>
      </c>
      <c r="U22" s="2" t="e">
        <f>#REF!</f>
        <v>#REF!</v>
      </c>
      <c r="V22" s="2" t="e">
        <f>#REF!</f>
        <v>#REF!</v>
      </c>
      <c r="W22" s="2" t="e">
        <f>#REF!</f>
        <v>#REF!</v>
      </c>
      <c r="X22" s="2" t="e">
        <f>#REF!</f>
        <v>#REF!</v>
      </c>
      <c r="Y22" s="2" t="e">
        <f>#REF!</f>
        <v>#REF!</v>
      </c>
      <c r="Z22" s="2" t="e">
        <f>#REF!</f>
        <v>#REF!</v>
      </c>
      <c r="AA22" s="2" t="e">
        <f>#REF!</f>
        <v>#REF!</v>
      </c>
      <c r="AB22" s="2" t="e">
        <f>#REF!</f>
        <v>#REF!</v>
      </c>
      <c r="AC22" s="2" t="e">
        <f>#REF!</f>
        <v>#REF!</v>
      </c>
      <c r="AD22" s="2" t="s">
        <v>41</v>
      </c>
      <c r="AE22" s="2" t="str">
        <f>O4</f>
        <v>Testo -30µg/L</v>
      </c>
      <c r="AF22" s="2" t="str">
        <f>P4</f>
        <v>Testo 30µg/L + EE2 -64ng/L</v>
      </c>
      <c r="AG22" s="2" t="str">
        <f>Q4</f>
        <v>Testo 30µg/L + FAD-10mg/L</v>
      </c>
      <c r="AH22" s="2" t="str">
        <f>R4</f>
        <v>Triphénylphosphate-0,18mg/L + Testostérone</v>
      </c>
      <c r="AI22" s="2" t="str">
        <f>S4</f>
        <v>Triphénylphosphate-0,26mg/L + Testostérone</v>
      </c>
      <c r="AJ22" s="2" t="str">
        <f>T4</f>
        <v>Triphénylphosphate-0,4mg/L + Testostérone</v>
      </c>
      <c r="AK22" s="2" t="str">
        <f>U4</f>
        <v>Triphénylphosphate-0,59mg/L + Testostérone</v>
      </c>
      <c r="AL22" s="2" t="str">
        <f>V4</f>
        <v>Triphénylphosphate-0,89mg/L + Testostérone</v>
      </c>
      <c r="AM22" s="2" t="str">
        <f>W4</f>
        <v>0-00 + Testostérone</v>
      </c>
      <c r="AN22" s="2" t="str">
        <f>X4</f>
        <v>0-00 + Testostérone</v>
      </c>
      <c r="AO22" s="2" t="str">
        <f>Y4</f>
        <v>0-00 + Testostérone</v>
      </c>
      <c r="AP22" s="2" t="str">
        <f>Z4</f>
        <v>0-00 + Testostérone</v>
      </c>
      <c r="AQ22" s="2" t="str">
        <f>AA4</f>
        <v>0-00 + Testostérone</v>
      </c>
      <c r="AR22" s="2" t="str">
        <f>AB4</f>
        <v>0-00 + Testostérone</v>
      </c>
      <c r="AS22" s="2" t="str">
        <f>AC4</f>
        <v>0-00 + Testostérone</v>
      </c>
      <c r="AT22" s="2" t="str">
        <f>AD4</f>
        <v>0-00 + Testostérone</v>
      </c>
      <c r="AU22" s="2" t="str">
        <f>AE4</f>
        <v>0-00 + Testostérone</v>
      </c>
      <c r="AV22" s="2" t="str">
        <f>AF4</f>
        <v>0-00 + Testostérone</v>
      </c>
      <c r="AW22" s="2" t="str">
        <f>AG4</f>
        <v>0-00 + Testostérone</v>
      </c>
      <c r="AX22" s="2" t="str">
        <f>AH4</f>
        <v>0-00 + Testostérone</v>
      </c>
      <c r="AY22" s="2" t="str">
        <f>AI4</f>
        <v>0-00 + Testostérone</v>
      </c>
      <c r="AZ22" s="2" t="str">
        <f>AJ4</f>
        <v>0-00 + Testostérone</v>
      </c>
      <c r="BA22" s="2" t="str">
        <f>AK4</f>
        <v>0-00 + Testostérone</v>
      </c>
    </row>
    <row r="23" spans="1:53" x14ac:dyDescent="0.25">
      <c r="A23" s="4" t="s">
        <v>0</v>
      </c>
      <c r="B23" s="4">
        <f t="shared" ref="B23:J23" si="1">AVERAGE(B5:B20)</f>
        <v>269033.125</v>
      </c>
      <c r="C23" s="4">
        <f t="shared" si="1"/>
        <v>246811.54166666666</v>
      </c>
      <c r="D23" s="4">
        <f t="shared" si="1"/>
        <v>176325.88095238092</v>
      </c>
      <c r="E23" s="4">
        <f t="shared" si="1"/>
        <v>772046.14583333326</v>
      </c>
      <c r="F23" s="4">
        <f t="shared" si="1"/>
        <v>1810251.9166666667</v>
      </c>
      <c r="G23" s="4">
        <f t="shared" si="1"/>
        <v>3751511</v>
      </c>
      <c r="H23" s="4">
        <f t="shared" si="1"/>
        <v>5509094.5625</v>
      </c>
      <c r="I23" s="4">
        <f t="shared" si="1"/>
        <v>418577.20833333337</v>
      </c>
      <c r="J23" s="4">
        <f t="shared" si="1"/>
        <v>303286.02380952379</v>
      </c>
      <c r="K23" s="4"/>
      <c r="L23" s="4">
        <f>AVERAGE(L5:L20)</f>
        <v>690136.0625</v>
      </c>
      <c r="M23" s="4"/>
      <c r="N23" s="4" t="e">
        <f>AVERAGE(N5:N20)</f>
        <v>#DIV/0!</v>
      </c>
      <c r="O23" s="4"/>
      <c r="P23" s="4" t="e">
        <f>AVERAGE(P16:P20)</f>
        <v>#DIV/0!</v>
      </c>
      <c r="Q23" s="4" t="e">
        <f>AVERAGE(Q16:Q20)</f>
        <v>#DIV/0!</v>
      </c>
      <c r="R23" s="4" t="e">
        <f>AVERAGE(R16:R20)</f>
        <v>#DIV/0!</v>
      </c>
      <c r="S23" s="4" t="e">
        <f>AVERAGE(S16:S20)</f>
        <v>#DIV/0!</v>
      </c>
      <c r="T23" s="4" t="e">
        <f>AVERAGE(T16:T20)</f>
        <v>#DIV/0!</v>
      </c>
      <c r="U23" s="4" t="e">
        <f>AVERAGE(U16:U20)</f>
        <v>#DIV/0!</v>
      </c>
      <c r="V23" s="4" t="e">
        <f>AVERAGE(V16:V20)</f>
        <v>#DIV/0!</v>
      </c>
      <c r="W23" s="4" t="e">
        <f>AVERAGE(W16:W20)</f>
        <v>#DIV/0!</v>
      </c>
      <c r="X23" s="4" t="e">
        <f>AVERAGE(X16:X20)</f>
        <v>#DIV/0!</v>
      </c>
      <c r="Y23" s="4" t="e">
        <f>AVERAGE(Y16:Y20)</f>
        <v>#DIV/0!</v>
      </c>
      <c r="Z23" s="4" t="e">
        <f>AVERAGE(Z16:Z20)</f>
        <v>#DIV/0!</v>
      </c>
      <c r="AA23" s="4" t="e">
        <f>AVERAGE(AA16:AA20)</f>
        <v>#DIV/0!</v>
      </c>
      <c r="AB23" s="4" t="e">
        <f>AVERAGE(AB16:AB20)</f>
        <v>#DIV/0!</v>
      </c>
      <c r="AC23" s="4" t="e">
        <f>AVERAGE(AC16:AC20)</f>
        <v>#DIV/0!</v>
      </c>
      <c r="AD23" s="4" t="s">
        <v>0</v>
      </c>
      <c r="AE23" s="4">
        <f>AVERAGE(AE5:AE20)</f>
        <v>2438845.5999999996</v>
      </c>
      <c r="AF23" s="4" t="e">
        <f>AVERAGE(AF5:AF20)</f>
        <v>#DIV/0!</v>
      </c>
      <c r="AG23" s="4" t="e">
        <f>AVERAGE(AG5:AG20)</f>
        <v>#DIV/0!</v>
      </c>
      <c r="AH23" s="4" t="e">
        <f>AVERAGE(AH5:AH20)</f>
        <v>#DIV/0!</v>
      </c>
      <c r="AI23" s="4" t="e">
        <f>AVERAGE(AI5:AI20)</f>
        <v>#DIV/0!</v>
      </c>
      <c r="AJ23" s="4" t="e">
        <f t="shared" ref="AJ23:AT23" si="2">AVERAGE(AJ5:AJ20)</f>
        <v>#DIV/0!</v>
      </c>
      <c r="AK23" s="4" t="e">
        <f t="shared" si="2"/>
        <v>#DIV/0!</v>
      </c>
      <c r="AL23" s="4" t="e">
        <f t="shared" si="2"/>
        <v>#DIV/0!</v>
      </c>
      <c r="AM23" s="4" t="e">
        <f t="shared" si="2"/>
        <v>#DIV/0!</v>
      </c>
      <c r="AN23" s="4" t="e">
        <f t="shared" si="2"/>
        <v>#DIV/0!</v>
      </c>
      <c r="AO23" s="4" t="e">
        <f t="shared" si="2"/>
        <v>#DIV/0!</v>
      </c>
      <c r="AP23" s="4" t="e">
        <f t="shared" si="2"/>
        <v>#DIV/0!</v>
      </c>
      <c r="AQ23" s="4" t="e">
        <f t="shared" si="2"/>
        <v>#DIV/0!</v>
      </c>
      <c r="AR23" s="4" t="e">
        <f t="shared" si="2"/>
        <v>#DIV/0!</v>
      </c>
      <c r="AS23" s="4" t="e">
        <f t="shared" si="2"/>
        <v>#DIV/0!</v>
      </c>
      <c r="AT23" s="4" t="e">
        <f t="shared" si="2"/>
        <v>#DIV/0!</v>
      </c>
      <c r="AU23" s="4" t="e">
        <f t="shared" ref="AU23:BA23" si="3">AVERAGE(AU5:AU20)</f>
        <v>#DIV/0!</v>
      </c>
      <c r="AV23" s="4" t="e">
        <f t="shared" si="3"/>
        <v>#DIV/0!</v>
      </c>
      <c r="AW23" s="4" t="e">
        <f t="shared" si="3"/>
        <v>#DIV/0!</v>
      </c>
      <c r="AX23" s="4" t="e">
        <f t="shared" si="3"/>
        <v>#DIV/0!</v>
      </c>
      <c r="AY23" s="4" t="e">
        <f t="shared" si="3"/>
        <v>#DIV/0!</v>
      </c>
      <c r="AZ23" s="4" t="e">
        <f t="shared" si="3"/>
        <v>#DIV/0!</v>
      </c>
      <c r="BA23" s="4" t="e">
        <f t="shared" si="3"/>
        <v>#DIV/0!</v>
      </c>
    </row>
    <row r="24" spans="1:53" x14ac:dyDescent="0.25">
      <c r="A24" s="2" t="s">
        <v>1</v>
      </c>
      <c r="B24" s="2">
        <f t="shared" ref="B24:J24" si="4">STDEV(B5:B20)</f>
        <v>163228.40626535131</v>
      </c>
      <c r="C24" s="2">
        <f t="shared" si="4"/>
        <v>288348.23204441689</v>
      </c>
      <c r="D24" s="2">
        <f t="shared" si="4"/>
        <v>168604.99470564866</v>
      </c>
      <c r="E24" s="2">
        <f t="shared" si="4"/>
        <v>417942.11459591909</v>
      </c>
      <c r="F24" s="2">
        <f t="shared" si="4"/>
        <v>1310648.2670164402</v>
      </c>
      <c r="G24" s="2">
        <f t="shared" si="4"/>
        <v>441781.41415234446</v>
      </c>
      <c r="H24" s="2">
        <f t="shared" si="4"/>
        <v>1114145.6373142696</v>
      </c>
      <c r="I24" s="2">
        <f t="shared" si="4"/>
        <v>152536.21477172853</v>
      </c>
      <c r="J24" s="2">
        <f t="shared" si="4"/>
        <v>246765.18575400315</v>
      </c>
      <c r="K24" s="2"/>
      <c r="L24" s="2">
        <f>STDEV(L5:L20)</f>
        <v>558928.53543743643</v>
      </c>
      <c r="M24" s="2"/>
      <c r="N24" s="2" t="e">
        <f>STDEV(N5:N20)</f>
        <v>#DIV/0!</v>
      </c>
      <c r="O24" s="2"/>
      <c r="P24" s="2" t="e">
        <f>STDEV(P16:P20)</f>
        <v>#DIV/0!</v>
      </c>
      <c r="Q24" s="2" t="e">
        <f>STDEV(Q16:Q20)</f>
        <v>#DIV/0!</v>
      </c>
      <c r="R24" s="2" t="e">
        <f>STDEV(R16:R20)</f>
        <v>#DIV/0!</v>
      </c>
      <c r="S24" s="2" t="e">
        <f>STDEV(S16:S20)</f>
        <v>#DIV/0!</v>
      </c>
      <c r="T24" s="2" t="e">
        <f>STDEV(T16:T20)</f>
        <v>#DIV/0!</v>
      </c>
      <c r="U24" s="2" t="e">
        <f>STDEV(U16:U20)</f>
        <v>#DIV/0!</v>
      </c>
      <c r="V24" s="2" t="e">
        <f>STDEV(V16:V20)</f>
        <v>#DIV/0!</v>
      </c>
      <c r="W24" s="2" t="e">
        <f>STDEV(W16:W20)</f>
        <v>#DIV/0!</v>
      </c>
      <c r="X24" s="2" t="e">
        <f>STDEV(X16:X20)</f>
        <v>#DIV/0!</v>
      </c>
      <c r="Y24" s="2" t="e">
        <f>STDEV(Y16:Y20)</f>
        <v>#DIV/0!</v>
      </c>
      <c r="Z24" s="2" t="e">
        <f>STDEV(Z16:Z20)</f>
        <v>#DIV/0!</v>
      </c>
      <c r="AA24" s="2" t="e">
        <f>STDEV(AA16:AA20)</f>
        <v>#DIV/0!</v>
      </c>
      <c r="AB24" s="2" t="e">
        <f>STDEV(AB16:AB20)</f>
        <v>#DIV/0!</v>
      </c>
      <c r="AC24" s="2" t="e">
        <f>STDEV(AC16:AC20)</f>
        <v>#DIV/0!</v>
      </c>
      <c r="AD24" s="2" t="s">
        <v>1</v>
      </c>
      <c r="AE24" s="2">
        <f>STDEV(AE5:AE20)</f>
        <v>587302.42437433184</v>
      </c>
      <c r="AF24" s="2" t="e">
        <f>STDEV(AF5:AF20)</f>
        <v>#DIV/0!</v>
      </c>
      <c r="AG24" s="2" t="e">
        <f>STDEV(AG5:AG20)</f>
        <v>#DIV/0!</v>
      </c>
      <c r="AH24" s="2" t="e">
        <f>STDEV(AH5:AH20)</f>
        <v>#DIV/0!</v>
      </c>
      <c r="AI24" s="2" t="e">
        <f>STDEV(AI5:AI20)</f>
        <v>#DIV/0!</v>
      </c>
      <c r="AJ24" s="2" t="e">
        <f t="shared" ref="AJ24:AT24" si="5">STDEV(AJ5:AJ20)</f>
        <v>#DIV/0!</v>
      </c>
      <c r="AK24" s="2" t="e">
        <f t="shared" si="5"/>
        <v>#DIV/0!</v>
      </c>
      <c r="AL24" s="2" t="e">
        <f t="shared" si="5"/>
        <v>#DIV/0!</v>
      </c>
      <c r="AM24" s="2" t="e">
        <f t="shared" si="5"/>
        <v>#DIV/0!</v>
      </c>
      <c r="AN24" s="2" t="e">
        <f t="shared" si="5"/>
        <v>#DIV/0!</v>
      </c>
      <c r="AO24" s="2" t="e">
        <f t="shared" si="5"/>
        <v>#DIV/0!</v>
      </c>
      <c r="AP24" s="2" t="e">
        <f t="shared" si="5"/>
        <v>#DIV/0!</v>
      </c>
      <c r="AQ24" s="2" t="e">
        <f t="shared" si="5"/>
        <v>#DIV/0!</v>
      </c>
      <c r="AR24" s="2" t="e">
        <f t="shared" si="5"/>
        <v>#DIV/0!</v>
      </c>
      <c r="AS24" s="2" t="e">
        <f t="shared" si="5"/>
        <v>#DIV/0!</v>
      </c>
      <c r="AT24" s="2" t="e">
        <f t="shared" si="5"/>
        <v>#DIV/0!</v>
      </c>
      <c r="AU24" s="2" t="e">
        <f t="shared" ref="AU24:BA24" si="6">STDEV(AU5:AU20)</f>
        <v>#DIV/0!</v>
      </c>
      <c r="AV24" s="2" t="e">
        <f t="shared" si="6"/>
        <v>#DIV/0!</v>
      </c>
      <c r="AW24" s="2" t="e">
        <f t="shared" si="6"/>
        <v>#DIV/0!</v>
      </c>
      <c r="AX24" s="2" t="e">
        <f t="shared" si="6"/>
        <v>#DIV/0!</v>
      </c>
      <c r="AY24" s="2" t="e">
        <f t="shared" si="6"/>
        <v>#DIV/0!</v>
      </c>
      <c r="AZ24" s="2" t="e">
        <f t="shared" si="6"/>
        <v>#DIV/0!</v>
      </c>
      <c r="BA24" s="2" t="e">
        <f t="shared" si="6"/>
        <v>#DIV/0!</v>
      </c>
    </row>
    <row r="25" spans="1:53" ht="15.75" thickBot="1" x14ac:dyDescent="0.3"/>
    <row r="26" spans="1:53" ht="15.75" thickBot="1" x14ac:dyDescent="0.3">
      <c r="B26" s="195" t="s">
        <v>6</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7"/>
      <c r="AE26" s="195" t="s">
        <v>3</v>
      </c>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7"/>
    </row>
    <row r="27" spans="1:53" x14ac:dyDescent="0.25">
      <c r="A27" s="18" t="s">
        <v>41</v>
      </c>
      <c r="B27" s="19" t="str">
        <f>B4</f>
        <v>Témoin solvant</v>
      </c>
      <c r="C27" s="19" t="str">
        <f t="shared" ref="C27:N27" si="7">C4</f>
        <v>EE2-33,8ng/L</v>
      </c>
      <c r="D27" s="19" t="str">
        <f t="shared" si="7"/>
        <v>EE2-50,6ng/L</v>
      </c>
      <c r="E27" s="19" t="str">
        <f t="shared" si="7"/>
        <v>EE2-76ng/L</v>
      </c>
      <c r="F27" s="19" t="str">
        <f t="shared" si="7"/>
        <v>EE2-114ng/L</v>
      </c>
      <c r="G27" s="19" t="str">
        <f t="shared" si="7"/>
        <v>EE2-170,9ng/L</v>
      </c>
      <c r="H27" s="19" t="str">
        <f t="shared" si="7"/>
        <v>EE2-488ng/L</v>
      </c>
      <c r="I27" s="19" t="str">
        <f t="shared" si="7"/>
        <v>Triphénylphosphate-0,18mg/L</v>
      </c>
      <c r="J27" s="19" t="str">
        <f t="shared" si="7"/>
        <v>Triphénylphosphate-0,26mg/L</v>
      </c>
      <c r="K27" s="19" t="str">
        <f t="shared" si="7"/>
        <v>Triphénylphosphate-0,4mg/L</v>
      </c>
      <c r="L27" s="19" t="str">
        <f t="shared" si="7"/>
        <v>Triphénylphosphate-0,59mg/L</v>
      </c>
      <c r="M27" s="19" t="str">
        <f t="shared" si="7"/>
        <v>Triphénylphosphate-0,89mg/L</v>
      </c>
      <c r="N27" s="19" t="str">
        <f t="shared" si="7"/>
        <v xml:space="preserve"> </v>
      </c>
      <c r="O27" s="19" t="e">
        <f>#REF!</f>
        <v>#REF!</v>
      </c>
      <c r="P27" s="19" t="e">
        <f>#REF!</f>
        <v>#REF!</v>
      </c>
      <c r="Q27" s="19" t="e">
        <f>#REF!</f>
        <v>#REF!</v>
      </c>
      <c r="R27" s="19" t="e">
        <f>#REF!</f>
        <v>#REF!</v>
      </c>
      <c r="S27" s="19" t="e">
        <f>#REF!</f>
        <v>#REF!</v>
      </c>
      <c r="T27" s="19" t="e">
        <f>#REF!</f>
        <v>#REF!</v>
      </c>
      <c r="U27" s="19" t="e">
        <f>#REF!</f>
        <v>#REF!</v>
      </c>
      <c r="V27" s="19" t="e">
        <f>#REF!</f>
        <v>#REF!</v>
      </c>
      <c r="W27" s="19" t="e">
        <f>#REF!</f>
        <v>#REF!</v>
      </c>
      <c r="X27" s="19" t="e">
        <f>#REF!</f>
        <v>#REF!</v>
      </c>
      <c r="Y27" s="19" t="e">
        <f>#REF!</f>
        <v>#REF!</v>
      </c>
      <c r="Z27" s="19" t="e">
        <f>#REF!</f>
        <v>#REF!</v>
      </c>
      <c r="AA27" s="19" t="e">
        <f>#REF!</f>
        <v>#REF!</v>
      </c>
      <c r="AB27" s="19" t="e">
        <f>#REF!</f>
        <v>#REF!</v>
      </c>
      <c r="AC27" s="19" t="e">
        <f>#REF!</f>
        <v>#REF!</v>
      </c>
      <c r="AD27" s="2"/>
      <c r="AE27" s="20" t="str">
        <f>O4</f>
        <v>Testo -30µg/L</v>
      </c>
      <c r="AF27" s="20" t="str">
        <f>P4</f>
        <v>Testo 30µg/L + EE2 -64ng/L</v>
      </c>
      <c r="AG27" s="20" t="str">
        <f>Q4</f>
        <v>Testo 30µg/L + FAD-10mg/L</v>
      </c>
      <c r="AH27" s="20" t="str">
        <f>R4</f>
        <v>Triphénylphosphate-0,18mg/L + Testostérone</v>
      </c>
      <c r="AI27" s="20" t="str">
        <f>S4</f>
        <v>Triphénylphosphate-0,26mg/L + Testostérone</v>
      </c>
      <c r="AJ27" s="20" t="str">
        <f>T4</f>
        <v>Triphénylphosphate-0,4mg/L + Testostérone</v>
      </c>
      <c r="AK27" s="20" t="str">
        <f>U4</f>
        <v>Triphénylphosphate-0,59mg/L + Testostérone</v>
      </c>
      <c r="AL27" s="20" t="str">
        <f>V4</f>
        <v>Triphénylphosphate-0,89mg/L + Testostérone</v>
      </c>
      <c r="AM27" s="20" t="str">
        <f>W4</f>
        <v>0-00 + Testostérone</v>
      </c>
      <c r="AN27" s="20" t="str">
        <f>X4</f>
        <v>0-00 + Testostérone</v>
      </c>
      <c r="AO27" s="20" t="str">
        <f>Y4</f>
        <v>0-00 + Testostérone</v>
      </c>
      <c r="AP27" s="20" t="str">
        <f>Z4</f>
        <v>0-00 + Testostérone</v>
      </c>
      <c r="AQ27" s="20" t="str">
        <f>AA4</f>
        <v>0-00 + Testostérone</v>
      </c>
      <c r="AR27" s="20" t="str">
        <f>AB4</f>
        <v>0-00 + Testostérone</v>
      </c>
      <c r="AS27" s="20" t="str">
        <f>AC4</f>
        <v>0-00 + Testostérone</v>
      </c>
      <c r="AT27" s="20" t="str">
        <f>AD4</f>
        <v>0-00 + Testostérone</v>
      </c>
      <c r="AU27" s="20" t="str">
        <f>AE4</f>
        <v>0-00 + Testostérone</v>
      </c>
      <c r="AV27" s="20" t="str">
        <f>AF4</f>
        <v>0-00 + Testostérone</v>
      </c>
      <c r="AW27" s="20" t="str">
        <f>AG4</f>
        <v>0-00 + Testostérone</v>
      </c>
      <c r="AX27" s="20" t="str">
        <f>AH4</f>
        <v>0-00 + Testostérone</v>
      </c>
      <c r="AY27" s="20" t="str">
        <f>AI4</f>
        <v>0-00 + Testostérone</v>
      </c>
      <c r="AZ27" s="20" t="str">
        <f>AJ4</f>
        <v>0-00 + Testostérone</v>
      </c>
      <c r="BA27" s="20" t="str">
        <f>AK4</f>
        <v>0-00 + Testostérone</v>
      </c>
    </row>
    <row r="28" spans="1:53" x14ac:dyDescent="0.25">
      <c r="A28" s="199" t="s">
        <v>34</v>
      </c>
      <c r="B28" s="9">
        <f t="shared" ref="B28:N28" si="8">IF(B5="","",(B5/$AE$23))</f>
        <v>1.3613817947310812E-2</v>
      </c>
      <c r="C28" s="9">
        <f t="shared" si="8"/>
        <v>7.0073316654404041E-2</v>
      </c>
      <c r="D28" s="9">
        <f t="shared" si="8"/>
        <v>0.20684061891139538</v>
      </c>
      <c r="E28" s="9">
        <f t="shared" si="8"/>
        <v>0.20695139536508586</v>
      </c>
      <c r="F28" s="9">
        <f t="shared" si="8"/>
        <v>7.4652532329229873E-2</v>
      </c>
      <c r="G28" s="9">
        <f t="shared" si="8"/>
        <v>1.4154095418477226</v>
      </c>
      <c r="H28" s="9">
        <f t="shared" si="8"/>
        <v>2.7962807485639933</v>
      </c>
      <c r="I28" s="9">
        <f t="shared" si="8"/>
        <v>0.1354635433529153</v>
      </c>
      <c r="J28" s="9" t="str">
        <f t="shared" si="8"/>
        <v/>
      </c>
      <c r="K28" s="9">
        <f t="shared" si="8"/>
        <v>5.6348585576717125E-2</v>
      </c>
      <c r="L28" s="9">
        <f t="shared" si="8"/>
        <v>0.16112445440033873</v>
      </c>
      <c r="M28" s="9">
        <f t="shared" si="8"/>
        <v>2.162106531057153</v>
      </c>
      <c r="N28" s="9" t="str">
        <f t="shared" si="8"/>
        <v/>
      </c>
      <c r="O28" s="9" t="e">
        <f>IF(#REF!="","",(#REF!/$AE$23))</f>
        <v>#REF!</v>
      </c>
      <c r="P28" s="9" t="e">
        <f>IF(#REF!="","",(#REF!/$AE$23))</f>
        <v>#REF!</v>
      </c>
      <c r="Q28" s="9" t="e">
        <f>IF(#REF!="","",(#REF!/$AE$23))</f>
        <v>#REF!</v>
      </c>
      <c r="R28" s="9" t="e">
        <f>IF(#REF!="","",(#REF!/$AE$23))</f>
        <v>#REF!</v>
      </c>
      <c r="S28" s="9" t="e">
        <f>IF(#REF!="","",(#REF!/$AE$23))</f>
        <v>#REF!</v>
      </c>
      <c r="T28" s="9" t="e">
        <f>IF(#REF!="","",(#REF!/$AE$23))</f>
        <v>#REF!</v>
      </c>
      <c r="U28" s="9" t="e">
        <f>IF(#REF!="","",(#REF!/$AE$23))</f>
        <v>#REF!</v>
      </c>
      <c r="V28" s="9" t="e">
        <f>IF(#REF!="","",(#REF!/$AE$23))</f>
        <v>#REF!</v>
      </c>
      <c r="W28" s="9" t="e">
        <f>IF(#REF!="","",(#REF!/$AE$23))</f>
        <v>#REF!</v>
      </c>
      <c r="X28" s="9" t="e">
        <f>IF(#REF!="","",(#REF!/$AE$23))</f>
        <v>#REF!</v>
      </c>
      <c r="Y28" s="9" t="e">
        <f>IF(#REF!="","",(#REF!/$AE$23))</f>
        <v>#REF!</v>
      </c>
      <c r="Z28" s="9" t="e">
        <f>IF(#REF!="","",(#REF!/$AE$23))</f>
        <v>#REF!</v>
      </c>
      <c r="AA28" s="9" t="e">
        <f>IF(#REF!="","",(#REF!/$AE$23))</f>
        <v>#REF!</v>
      </c>
      <c r="AB28" s="9" t="e">
        <f>IF(#REF!="","",(#REF!/$AE$23))</f>
        <v>#REF!</v>
      </c>
      <c r="AC28" s="9" t="e">
        <f>IF(#REF!="","",(#REF!/$AE$23))</f>
        <v>#REF!</v>
      </c>
      <c r="AD28" s="5"/>
      <c r="AE28" s="9">
        <f>IF(O5="","",(O5/$AE$23))</f>
        <v>1.4600674187820666</v>
      </c>
      <c r="AF28" s="9">
        <f>IF(P5="","",(P5/$AE$23))</f>
        <v>0.83250056228788472</v>
      </c>
      <c r="AG28" s="9">
        <f>IF(Q5="","",(Q5/$AE$23))</f>
        <v>5.1528272228467446E-2</v>
      </c>
      <c r="AH28" s="9">
        <f>IF(R5="","",(R5/$AE$23))</f>
        <v>0.60001707365156709</v>
      </c>
      <c r="AI28" s="9">
        <f>IF(S5="","",(S5/$AE$23))</f>
        <v>1.2952328757507243</v>
      </c>
      <c r="AJ28" s="9">
        <f>IF(T5="","",(T5/$AE$23))</f>
        <v>1.6853539231839854</v>
      </c>
      <c r="AK28" s="9">
        <f>IF(U5="","",(U5/$AE$23))</f>
        <v>1.2664710440600806</v>
      </c>
      <c r="AL28" s="9">
        <f>IF(V5="","",(V5/$AE$23))</f>
        <v>1.7679900140733253</v>
      </c>
      <c r="AM28" s="9" t="str">
        <f>IF(W5="","",(W5/$AE$23))</f>
        <v/>
      </c>
      <c r="AN28" s="9" t="str">
        <f>IF(X5="","",(X5/$AE$23))</f>
        <v/>
      </c>
      <c r="AO28" s="9" t="str">
        <f>IF(Y5="","",(Y5/$AE$23))</f>
        <v/>
      </c>
      <c r="AP28" s="9" t="str">
        <f>IF(Z5="","",(Z5/$AE$23))</f>
        <v/>
      </c>
      <c r="AQ28" s="9" t="str">
        <f>IF(AA5="","",(AA5/$AE$23))</f>
        <v/>
      </c>
      <c r="AR28" s="9" t="str">
        <f>IF(AB5="","",(AB5/$AE$23))</f>
        <v/>
      </c>
      <c r="AS28" s="9" t="str">
        <f>IF(AC5="","",(AC5/$AE$23))</f>
        <v/>
      </c>
      <c r="AT28" s="9" t="str">
        <f>IF(AD5="","",(AD5/$AE$23))</f>
        <v/>
      </c>
      <c r="AU28" s="9" t="str">
        <f>IF(AE5="","",(AE5/$AE$23))</f>
        <v/>
      </c>
      <c r="AV28" s="9" t="str">
        <f>IF(AF5="","",(AF5/$AE$23))</f>
        <v/>
      </c>
      <c r="AW28" s="9" t="str">
        <f>IF(AG5="","",(AG5/$AE$23))</f>
        <v/>
      </c>
      <c r="AX28" s="9" t="str">
        <f>IF(AH5="","",(AH5/$AE$23))</f>
        <v/>
      </c>
      <c r="AY28" s="9" t="str">
        <f>IF(AI5="","",(AI5/$AE$23))</f>
        <v/>
      </c>
      <c r="AZ28" s="9" t="str">
        <f>IF(AJ5="","",(AJ5/$AE$23))</f>
        <v/>
      </c>
      <c r="BA28" s="9" t="str">
        <f>IF(AK5="","",(AK5/$AE$23))</f>
        <v/>
      </c>
    </row>
    <row r="29" spans="1:53" x14ac:dyDescent="0.25">
      <c r="A29" s="199"/>
      <c r="B29" s="9">
        <f t="shared" ref="B29:N29" si="9">IF(B6="","",(B6/$AE$23))</f>
        <v>0.17452519339477665</v>
      </c>
      <c r="C29" s="9">
        <f t="shared" si="9"/>
        <v>0.11142293441345091</v>
      </c>
      <c r="D29" s="9">
        <f t="shared" si="9"/>
        <v>3.2007971312329082E-2</v>
      </c>
      <c r="E29" s="9">
        <f t="shared" si="9"/>
        <v>0.26228905183665585</v>
      </c>
      <c r="F29" s="9">
        <f t="shared" si="9"/>
        <v>0.55944623964715123</v>
      </c>
      <c r="G29" s="9" t="str">
        <f t="shared" si="9"/>
        <v/>
      </c>
      <c r="H29" s="9">
        <f t="shared" si="9"/>
        <v>2.3691009112398644</v>
      </c>
      <c r="I29" s="9">
        <f t="shared" si="9"/>
        <v>0.13989815509436107</v>
      </c>
      <c r="J29" s="9">
        <f t="shared" si="9"/>
        <v>2.7966510057053227E-2</v>
      </c>
      <c r="K29" s="9">
        <f t="shared" si="9"/>
        <v>0.10583559150553307</v>
      </c>
      <c r="L29" s="9">
        <f t="shared" si="9"/>
        <v>0.15393758424067519</v>
      </c>
      <c r="M29" s="9">
        <f t="shared" si="9"/>
        <v>0.3956035593233127</v>
      </c>
      <c r="N29" s="9" t="str">
        <f t="shared" si="9"/>
        <v/>
      </c>
      <c r="O29" s="9" t="e">
        <f>IF(#REF!="","",(#REF!/$AE$23))</f>
        <v>#REF!</v>
      </c>
      <c r="P29" s="9" t="e">
        <f>IF(#REF!="","",(#REF!/$AE$23))</f>
        <v>#REF!</v>
      </c>
      <c r="Q29" s="9" t="e">
        <f>IF(#REF!="","",(#REF!/$AE$23))</f>
        <v>#REF!</v>
      </c>
      <c r="R29" s="9" t="e">
        <f>IF(#REF!="","",(#REF!/$AE$23))</f>
        <v>#REF!</v>
      </c>
      <c r="S29" s="9" t="e">
        <f>IF(#REF!="","",(#REF!/$AE$23))</f>
        <v>#REF!</v>
      </c>
      <c r="T29" s="9" t="e">
        <f>IF(#REF!="","",(#REF!/$AE$23))</f>
        <v>#REF!</v>
      </c>
      <c r="U29" s="9" t="e">
        <f>IF(#REF!="","",(#REF!/$AE$23))</f>
        <v>#REF!</v>
      </c>
      <c r="V29" s="9" t="e">
        <f>IF(#REF!="","",(#REF!/$AE$23))</f>
        <v>#REF!</v>
      </c>
      <c r="W29" s="9" t="e">
        <f>IF(#REF!="","",(#REF!/$AE$23))</f>
        <v>#REF!</v>
      </c>
      <c r="X29" s="9" t="e">
        <f>IF(#REF!="","",(#REF!/$AE$23))</f>
        <v>#REF!</v>
      </c>
      <c r="Y29" s="9" t="e">
        <f>IF(#REF!="","",(#REF!/$AE$23))</f>
        <v>#REF!</v>
      </c>
      <c r="Z29" s="9" t="e">
        <f>IF(#REF!="","",(#REF!/$AE$23))</f>
        <v>#REF!</v>
      </c>
      <c r="AA29" s="9" t="e">
        <f>IF(#REF!="","",(#REF!/$AE$23))</f>
        <v>#REF!</v>
      </c>
      <c r="AB29" s="9" t="e">
        <f>IF(#REF!="","",(#REF!/$AE$23))</f>
        <v>#REF!</v>
      </c>
      <c r="AC29" s="9" t="e">
        <f>IF(#REF!="","",(#REF!/$AE$23))</f>
        <v>#REF!</v>
      </c>
      <c r="AD29" s="5"/>
      <c r="AE29" s="9">
        <f>IF(O6="","",(O6/$AE$23))</f>
        <v>0.73483932999557944</v>
      </c>
      <c r="AF29" s="9">
        <f>IF(P6="","",(P6/$AE$23))</f>
        <v>0.33049099131162718</v>
      </c>
      <c r="AG29" s="9">
        <f>IF(Q6="","",(Q6/$AE$23))</f>
        <v>0.16159735573256465</v>
      </c>
      <c r="AH29" s="9">
        <f>IF(R6="","",(R6/$AE$23))</f>
        <v>1.9560936261538384</v>
      </c>
      <c r="AI29" s="9">
        <f>IF(S6="","",(S6/$AE$23))</f>
        <v>1.3641857169364613</v>
      </c>
      <c r="AJ29" s="9">
        <f>IF(T6="","",(T6/$AE$23))</f>
        <v>1.1168495728744234</v>
      </c>
      <c r="AK29" s="9">
        <f>IF(U6="","",(U6/$AE$23))</f>
        <v>0.22335444277407315</v>
      </c>
      <c r="AL29" s="9">
        <f>IF(V6="","",(V6/$AE$23))</f>
        <v>0.95379182675606866</v>
      </c>
      <c r="AM29" s="9" t="str">
        <f>IF(W6="","",(W6/$AE$23))</f>
        <v/>
      </c>
      <c r="AN29" s="9" t="str">
        <f>IF(X6="","",(X6/$AE$23))</f>
        <v/>
      </c>
      <c r="AO29" s="9" t="str">
        <f>IF(Y6="","",(Y6/$AE$23))</f>
        <v/>
      </c>
      <c r="AP29" s="9" t="str">
        <f>IF(Z6="","",(Z6/$AE$23))</f>
        <v/>
      </c>
      <c r="AQ29" s="9" t="str">
        <f>IF(AA6="","",(AA6/$AE$23))</f>
        <v/>
      </c>
      <c r="AR29" s="9" t="str">
        <f>IF(AB6="","",(AB6/$AE$23))</f>
        <v/>
      </c>
      <c r="AS29" s="9" t="str">
        <f>IF(AC6="","",(AC6/$AE$23))</f>
        <v/>
      </c>
      <c r="AT29" s="9" t="str">
        <f>IF(AD6="","",(AD6/$AE$23))</f>
        <v/>
      </c>
      <c r="AU29" s="9" t="str">
        <f>IF(AE6="","",(AE6/$AE$23))</f>
        <v/>
      </c>
      <c r="AV29" s="9" t="str">
        <f>IF(AF6="","",(AF6/$AE$23))</f>
        <v/>
      </c>
      <c r="AW29" s="9" t="str">
        <f>IF(AG6="","",(AG6/$AE$23))</f>
        <v/>
      </c>
      <c r="AX29" s="9" t="str">
        <f>IF(AH6="","",(AH6/$AE$23))</f>
        <v/>
      </c>
      <c r="AY29" s="9" t="str">
        <f>IF(AI6="","",(AI6/$AE$23))</f>
        <v/>
      </c>
      <c r="AZ29" s="9" t="str">
        <f>IF(AJ6="","",(AJ6/$AE$23))</f>
        <v/>
      </c>
      <c r="BA29" s="9" t="str">
        <f>IF(AK6="","",(AK6/$AE$23))</f>
        <v/>
      </c>
    </row>
    <row r="30" spans="1:53" x14ac:dyDescent="0.25">
      <c r="A30" s="199"/>
      <c r="B30" s="9">
        <f t="shared" ref="B30:N30" si="10">IF(B7="","",(B7/$AE$23))</f>
        <v>0.11719376577180615</v>
      </c>
      <c r="C30" s="9">
        <f t="shared" si="10"/>
        <v>0.38280870807620354</v>
      </c>
      <c r="D30" s="9">
        <f t="shared" si="10"/>
        <v>3.0018300461497033E-2</v>
      </c>
      <c r="E30" s="9">
        <f t="shared" si="10"/>
        <v>0.11598745734457321</v>
      </c>
      <c r="F30" s="9">
        <f t="shared" si="10"/>
        <v>1.5251297581117889</v>
      </c>
      <c r="G30" s="9">
        <f t="shared" si="10"/>
        <v>1.3734507561008922</v>
      </c>
      <c r="H30" s="9">
        <f t="shared" si="10"/>
        <v>1.4571022180876616</v>
      </c>
      <c r="I30" s="9">
        <f t="shared" si="10"/>
        <v>0.14721500478204391</v>
      </c>
      <c r="J30" s="9">
        <f t="shared" si="10"/>
        <v>0.31843207567820886</v>
      </c>
      <c r="K30" s="9">
        <f t="shared" si="10"/>
        <v>7.6024356222741896E-2</v>
      </c>
      <c r="L30" s="9">
        <f t="shared" si="10"/>
        <v>0.13436971983794302</v>
      </c>
      <c r="M30" s="9">
        <f t="shared" si="10"/>
        <v>1.2348652438951719</v>
      </c>
      <c r="N30" s="9" t="str">
        <f t="shared" si="10"/>
        <v/>
      </c>
      <c r="O30" s="9" t="e">
        <f>IF(#REF!="","",(#REF!/$AE$23))</f>
        <v>#REF!</v>
      </c>
      <c r="P30" s="9" t="e">
        <f>IF(#REF!="","",(#REF!/$AE$23))</f>
        <v>#REF!</v>
      </c>
      <c r="Q30" s="9" t="e">
        <f>IF(#REF!="","",(#REF!/$AE$23))</f>
        <v>#REF!</v>
      </c>
      <c r="R30" s="9" t="e">
        <f>IF(#REF!="","",(#REF!/$AE$23))</f>
        <v>#REF!</v>
      </c>
      <c r="S30" s="9" t="e">
        <f>IF(#REF!="","",(#REF!/$AE$23))</f>
        <v>#REF!</v>
      </c>
      <c r="T30" s="9" t="e">
        <f>IF(#REF!="","",(#REF!/$AE$23))</f>
        <v>#REF!</v>
      </c>
      <c r="U30" s="9" t="e">
        <f>IF(#REF!="","",(#REF!/$AE$23))</f>
        <v>#REF!</v>
      </c>
      <c r="V30" s="9" t="e">
        <f>IF(#REF!="","",(#REF!/$AE$23))</f>
        <v>#REF!</v>
      </c>
      <c r="W30" s="9" t="e">
        <f>IF(#REF!="","",(#REF!/$AE$23))</f>
        <v>#REF!</v>
      </c>
      <c r="X30" s="9" t="e">
        <f>IF(#REF!="","",(#REF!/$AE$23))</f>
        <v>#REF!</v>
      </c>
      <c r="Y30" s="9" t="e">
        <f>IF(#REF!="","",(#REF!/$AE$23))</f>
        <v>#REF!</v>
      </c>
      <c r="Z30" s="9" t="e">
        <f>IF(#REF!="","",(#REF!/$AE$23))</f>
        <v>#REF!</v>
      </c>
      <c r="AA30" s="9" t="e">
        <f>IF(#REF!="","",(#REF!/$AE$23))</f>
        <v>#REF!</v>
      </c>
      <c r="AB30" s="9" t="e">
        <f>IF(#REF!="","",(#REF!/$AE$23))</f>
        <v>#REF!</v>
      </c>
      <c r="AC30" s="9" t="e">
        <f>IF(#REF!="","",(#REF!/$AE$23))</f>
        <v>#REF!</v>
      </c>
      <c r="AD30" s="5"/>
      <c r="AE30" s="9">
        <f>IF(O7="","",(O7/$AE$23))</f>
        <v>1.0946330509811693</v>
      </c>
      <c r="AF30" s="9">
        <f>IF(P7="","",(P7/$AE$23))</f>
        <v>1.7257295828813437</v>
      </c>
      <c r="AG30" s="9">
        <f>IF(Q7="","",(Q7/$AE$23))</f>
        <v>0.12368584000014873</v>
      </c>
      <c r="AH30" s="9">
        <f>IF(R7="","",(R7/$AE$23))</f>
        <v>1.6372505636819872</v>
      </c>
      <c r="AI30" s="9">
        <f>IF(S7="","",(S7/$AE$23))</f>
        <v>2.8242472586210465</v>
      </c>
      <c r="AJ30" s="9">
        <f>IF(T7="","",(T7/$AE$23))</f>
        <v>0.16914491566556464</v>
      </c>
      <c r="AK30" s="9">
        <f>IF(U7="","",(U7/$AE$23))</f>
        <v>1.7138895549599371</v>
      </c>
      <c r="AL30" s="9">
        <f>IF(V7="","",(V7/$AE$23))</f>
        <v>1.9610808217352234</v>
      </c>
      <c r="AM30" s="9" t="str">
        <f>IF(W7="","",(W7/$AE$23))</f>
        <v/>
      </c>
      <c r="AN30" s="9" t="str">
        <f>IF(X7="","",(X7/$AE$23))</f>
        <v/>
      </c>
      <c r="AO30" s="9" t="str">
        <f>IF(Y7="","",(Y7/$AE$23))</f>
        <v/>
      </c>
      <c r="AP30" s="9" t="str">
        <f>IF(Z7="","",(Z7/$AE$23))</f>
        <v/>
      </c>
      <c r="AQ30" s="9" t="str">
        <f>IF(AA7="","",(AA7/$AE$23))</f>
        <v/>
      </c>
      <c r="AR30" s="9" t="str">
        <f>IF(AB7="","",(AB7/$AE$23))</f>
        <v/>
      </c>
      <c r="AS30" s="9" t="str">
        <f>IF(AC7="","",(AC7/$AE$23))</f>
        <v/>
      </c>
      <c r="AT30" s="9" t="str">
        <f>IF(AD7="","",(AD7/$AE$23))</f>
        <v/>
      </c>
      <c r="AU30" s="9" t="str">
        <f>IF(AE7="","",(AE7/$AE$23))</f>
        <v/>
      </c>
      <c r="AV30" s="9" t="str">
        <f>IF(AF7="","",(AF7/$AE$23))</f>
        <v/>
      </c>
      <c r="AW30" s="9" t="str">
        <f>IF(AG7="","",(AG7/$AE$23))</f>
        <v/>
      </c>
      <c r="AX30" s="9" t="str">
        <f>IF(AH7="","",(AH7/$AE$23))</f>
        <v/>
      </c>
      <c r="AY30" s="9" t="str">
        <f>IF(AI7="","",(AI7/$AE$23))</f>
        <v/>
      </c>
      <c r="AZ30" s="9" t="str">
        <f>IF(AJ7="","",(AJ7/$AE$23))</f>
        <v/>
      </c>
      <c r="BA30" s="9" t="str">
        <f>IF(AK7="","",(AK7/$AE$23))</f>
        <v/>
      </c>
    </row>
    <row r="31" spans="1:53" x14ac:dyDescent="0.25">
      <c r="A31" s="199"/>
      <c r="B31" s="9">
        <f t="shared" ref="B31:N31" si="11">IF(B8="","",(B8/$AE$23))</f>
        <v>0.19677738790297622</v>
      </c>
      <c r="C31" s="9">
        <f t="shared" si="11"/>
        <v>3.3879280153419039E-2</v>
      </c>
      <c r="D31" s="9">
        <f t="shared" si="11"/>
        <v>0.12555407361581236</v>
      </c>
      <c r="E31" s="9">
        <f t="shared" si="11"/>
        <v>0.29474627941459958</v>
      </c>
      <c r="F31" s="9">
        <f t="shared" si="11"/>
        <v>0.33494330268385997</v>
      </c>
      <c r="G31" s="9">
        <f t="shared" si="11"/>
        <v>1.5285973823025125</v>
      </c>
      <c r="H31" s="9">
        <f t="shared" si="11"/>
        <v>1.8314293860997188</v>
      </c>
      <c r="I31" s="9">
        <f t="shared" si="11"/>
        <v>0.19936126064451698</v>
      </c>
      <c r="J31" s="9">
        <f t="shared" si="11"/>
        <v>8.7948371967458722E-2</v>
      </c>
      <c r="K31" s="9">
        <f t="shared" si="11"/>
        <v>8.4331428497701283E-2</v>
      </c>
      <c r="L31" s="9">
        <f t="shared" si="11"/>
        <v>0.53122981627045196</v>
      </c>
      <c r="M31" s="9">
        <f t="shared" si="11"/>
        <v>1.0817050766422716</v>
      </c>
      <c r="N31" s="9" t="str">
        <f t="shared" si="11"/>
        <v/>
      </c>
      <c r="O31" s="9" t="e">
        <f>IF(#REF!="","",(#REF!/$AE$23))</f>
        <v>#REF!</v>
      </c>
      <c r="P31" s="9" t="e">
        <f>IF(#REF!="","",(#REF!/$AE$23))</f>
        <v>#REF!</v>
      </c>
      <c r="Q31" s="9" t="e">
        <f>IF(#REF!="","",(#REF!/$AE$23))</f>
        <v>#REF!</v>
      </c>
      <c r="R31" s="9" t="e">
        <f>IF(#REF!="","",(#REF!/$AE$23))</f>
        <v>#REF!</v>
      </c>
      <c r="S31" s="9" t="e">
        <f>IF(#REF!="","",(#REF!/$AE$23))</f>
        <v>#REF!</v>
      </c>
      <c r="T31" s="9" t="e">
        <f>IF(#REF!="","",(#REF!/$AE$23))</f>
        <v>#REF!</v>
      </c>
      <c r="U31" s="9" t="e">
        <f>IF(#REF!="","",(#REF!/$AE$23))</f>
        <v>#REF!</v>
      </c>
      <c r="V31" s="9" t="e">
        <f>IF(#REF!="","",(#REF!/$AE$23))</f>
        <v>#REF!</v>
      </c>
      <c r="W31" s="9" t="e">
        <f>IF(#REF!="","",(#REF!/$AE$23))</f>
        <v>#REF!</v>
      </c>
      <c r="X31" s="9" t="e">
        <f>IF(#REF!="","",(#REF!/$AE$23))</f>
        <v>#REF!</v>
      </c>
      <c r="Y31" s="9" t="e">
        <f>IF(#REF!="","",(#REF!/$AE$23))</f>
        <v>#REF!</v>
      </c>
      <c r="Z31" s="9" t="e">
        <f>IF(#REF!="","",(#REF!/$AE$23))</f>
        <v>#REF!</v>
      </c>
      <c r="AA31" s="9" t="e">
        <f>IF(#REF!="","",(#REF!/$AE$23))</f>
        <v>#REF!</v>
      </c>
      <c r="AB31" s="9" t="e">
        <f>IF(#REF!="","",(#REF!/$AE$23))</f>
        <v>#REF!</v>
      </c>
      <c r="AC31" s="9" t="e">
        <f>IF(#REF!="","",(#REF!/$AE$23))</f>
        <v>#REF!</v>
      </c>
      <c r="AD31" s="5"/>
      <c r="AE31" s="9">
        <f>IF(O8="","",(O8/$AE$23))</f>
        <v>1.1327191028411148</v>
      </c>
      <c r="AF31" s="9">
        <f>IF(P8="","",(P8/$AE$23))</f>
        <v>2.5837698239965121</v>
      </c>
      <c r="AG31" s="9">
        <f>IF(Q8="","",(Q8/$AE$23))</f>
        <v>0.29730937729992696</v>
      </c>
      <c r="AH31" s="9">
        <f>IF(R8="","",(R8/$AE$23))</f>
        <v>1.1642612800088699</v>
      </c>
      <c r="AI31" s="9">
        <f>IF(S8="","",(S8/$AE$23))</f>
        <v>1.0346970440987875</v>
      </c>
      <c r="AJ31" s="9">
        <f>IF(T8="","",(T8/$AE$23))</f>
        <v>2.6529695032764686</v>
      </c>
      <c r="AK31" s="9">
        <f>IF(U8="","",(U8/$AE$23))</f>
        <v>1.3178959203758807</v>
      </c>
      <c r="AL31" s="9">
        <f>IF(V8="","",(V8/$AE$23))</f>
        <v>2.3434934407765167</v>
      </c>
      <c r="AM31" s="9" t="str">
        <f>IF(W8="","",(W8/$AE$23))</f>
        <v/>
      </c>
      <c r="AN31" s="9" t="str">
        <f>IF(X8="","",(X8/$AE$23))</f>
        <v/>
      </c>
      <c r="AO31" s="9" t="str">
        <f>IF(Y8="","",(Y8/$AE$23))</f>
        <v/>
      </c>
      <c r="AP31" s="9" t="str">
        <f>IF(Z8="","",(Z8/$AE$23))</f>
        <v/>
      </c>
      <c r="AQ31" s="9" t="str">
        <f>IF(AA8="","",(AA8/$AE$23))</f>
        <v/>
      </c>
      <c r="AR31" s="9" t="str">
        <f>IF(AB8="","",(AB8/$AE$23))</f>
        <v/>
      </c>
      <c r="AS31" s="9" t="str">
        <f>IF(AC8="","",(AC8/$AE$23))</f>
        <v/>
      </c>
      <c r="AT31" s="9" t="str">
        <f>IF(AD8="","",(AD8/$AE$23))</f>
        <v/>
      </c>
      <c r="AU31" s="9" t="str">
        <f>IF(AE8="","",(AE8/$AE$23))</f>
        <v/>
      </c>
      <c r="AV31" s="9" t="str">
        <f>IF(AF8="","",(AF8/$AE$23))</f>
        <v/>
      </c>
      <c r="AW31" s="9" t="str">
        <f>IF(AG8="","",(AG8/$AE$23))</f>
        <v/>
      </c>
      <c r="AX31" s="9" t="str">
        <f>IF(AH8="","",(AH8/$AE$23))</f>
        <v/>
      </c>
      <c r="AY31" s="9" t="str">
        <f>IF(AI8="","",(AI8/$AE$23))</f>
        <v/>
      </c>
      <c r="AZ31" s="9" t="str">
        <f>IF(AJ8="","",(AJ8/$AE$23))</f>
        <v/>
      </c>
      <c r="BA31" s="9" t="str">
        <f>IF(AK8="","",(AK8/$AE$23))</f>
        <v/>
      </c>
    </row>
    <row r="32" spans="1:53" x14ac:dyDescent="0.25">
      <c r="A32" s="199"/>
      <c r="B32" s="9">
        <f t="shared" ref="B32:N32" si="12">IF(B9="","",(B9/$AE$23))</f>
        <v>6.9656452763280044E-2</v>
      </c>
      <c r="C32" s="9">
        <f t="shared" si="12"/>
        <v>0.10086602721659244</v>
      </c>
      <c r="D32" s="9">
        <f t="shared" si="12"/>
        <v>2.4170725144169306E-2</v>
      </c>
      <c r="E32" s="9">
        <f t="shared" si="12"/>
        <v>0.61125695424644078</v>
      </c>
      <c r="F32" s="9">
        <f t="shared" si="12"/>
        <v>0.33630009214195444</v>
      </c>
      <c r="G32" s="9">
        <f t="shared" si="12"/>
        <v>1.8591386022961029</v>
      </c>
      <c r="H32" s="9">
        <f t="shared" si="12"/>
        <v>2.1881691348835974</v>
      </c>
      <c r="I32" s="9">
        <f t="shared" si="12"/>
        <v>0.11451237421507948</v>
      </c>
      <c r="J32" s="9">
        <f t="shared" si="12"/>
        <v>3.2590145654703744E-2</v>
      </c>
      <c r="K32" s="9">
        <f t="shared" si="12"/>
        <v>0.25625224764809496</v>
      </c>
      <c r="L32" s="9">
        <f t="shared" si="12"/>
        <v>0.28304238147206479</v>
      </c>
      <c r="M32" s="9">
        <f t="shared" si="12"/>
        <v>1.2423269708696061</v>
      </c>
      <c r="N32" s="9" t="str">
        <f t="shared" si="12"/>
        <v/>
      </c>
      <c r="O32" s="9" t="e">
        <f>IF(#REF!="","",(#REF!/$AE$23))</f>
        <v>#REF!</v>
      </c>
      <c r="P32" s="9" t="e">
        <f>IF(#REF!="","",(#REF!/$AE$23))</f>
        <v>#REF!</v>
      </c>
      <c r="Q32" s="9" t="e">
        <f>IF(#REF!="","",(#REF!/$AE$23))</f>
        <v>#REF!</v>
      </c>
      <c r="R32" s="9" t="e">
        <f>IF(#REF!="","",(#REF!/$AE$23))</f>
        <v>#REF!</v>
      </c>
      <c r="S32" s="9" t="e">
        <f>IF(#REF!="","",(#REF!/$AE$23))</f>
        <v>#REF!</v>
      </c>
      <c r="T32" s="9" t="e">
        <f>IF(#REF!="","",(#REF!/$AE$23))</f>
        <v>#REF!</v>
      </c>
      <c r="U32" s="9" t="e">
        <f>IF(#REF!="","",(#REF!/$AE$23))</f>
        <v>#REF!</v>
      </c>
      <c r="V32" s="9" t="e">
        <f>IF(#REF!="","",(#REF!/$AE$23))</f>
        <v>#REF!</v>
      </c>
      <c r="W32" s="9" t="e">
        <f>IF(#REF!="","",(#REF!/$AE$23))</f>
        <v>#REF!</v>
      </c>
      <c r="X32" s="9" t="e">
        <f>IF(#REF!="","",(#REF!/$AE$23))</f>
        <v>#REF!</v>
      </c>
      <c r="Y32" s="9" t="e">
        <f>IF(#REF!="","",(#REF!/$AE$23))</f>
        <v>#REF!</v>
      </c>
      <c r="Z32" s="9" t="e">
        <f>IF(#REF!="","",(#REF!/$AE$23))</f>
        <v>#REF!</v>
      </c>
      <c r="AA32" s="9" t="e">
        <f>IF(#REF!="","",(#REF!/$AE$23))</f>
        <v>#REF!</v>
      </c>
      <c r="AB32" s="9" t="e">
        <f>IF(#REF!="","",(#REF!/$AE$23))</f>
        <v>#REF!</v>
      </c>
      <c r="AC32" s="9" t="e">
        <f>IF(#REF!="","",(#REF!/$AE$23))</f>
        <v>#REF!</v>
      </c>
      <c r="AD32" s="5"/>
      <c r="AE32" s="9">
        <f>IF(O9="","",(O9/$AE$23))</f>
        <v>1.1927319220208119</v>
      </c>
      <c r="AF32" s="9">
        <f>IF(P9="","",(P9/$AE$23))</f>
        <v>2.1477062754608167</v>
      </c>
      <c r="AG32" s="9">
        <f>IF(Q9="","",(Q9/$AE$23))</f>
        <v>0.23742503420470737</v>
      </c>
      <c r="AH32" s="9">
        <f>IF(R9="","",(R9/$AE$23))</f>
        <v>1.5560527215553679</v>
      </c>
      <c r="AI32" s="9">
        <f>IF(S9="","",(S9/$AE$23))</f>
        <v>2.2504734753743056</v>
      </c>
      <c r="AJ32" s="9">
        <f>IF(T9="","",(T9/$AE$23))</f>
        <v>2.4159434283170698</v>
      </c>
      <c r="AK32" s="9">
        <f>IF(U9="","",(U9/$AE$23))</f>
        <v>2.5250887141030991</v>
      </c>
      <c r="AL32" s="9">
        <f>IF(V9="","",(V9/$AE$23))</f>
        <v>1.7270806319186425</v>
      </c>
      <c r="AM32" s="9" t="str">
        <f>IF(W9="","",(W9/$AE$23))</f>
        <v/>
      </c>
      <c r="AN32" s="9" t="str">
        <f>IF(X9="","",(X9/$AE$23))</f>
        <v/>
      </c>
      <c r="AO32" s="9" t="str">
        <f>IF(Y9="","",(Y9/$AE$23))</f>
        <v/>
      </c>
      <c r="AP32" s="9" t="str">
        <f>IF(Z9="","",(Z9/$AE$23))</f>
        <v/>
      </c>
      <c r="AQ32" s="9" t="str">
        <f>IF(AA9="","",(AA9/$AE$23))</f>
        <v/>
      </c>
      <c r="AR32" s="9" t="str">
        <f>IF(AB9="","",(AB9/$AE$23))</f>
        <v/>
      </c>
      <c r="AS32" s="9" t="str">
        <f>IF(AC9="","",(AC9/$AE$23))</f>
        <v/>
      </c>
      <c r="AT32" s="9" t="str">
        <f>IF(AD9="","",(AD9/$AE$23))</f>
        <v/>
      </c>
      <c r="AU32" s="9" t="str">
        <f>IF(AE9="","",(AE9/$AE$23))</f>
        <v/>
      </c>
      <c r="AV32" s="9" t="str">
        <f>IF(AF9="","",(AF9/$AE$23))</f>
        <v/>
      </c>
      <c r="AW32" s="9" t="str">
        <f>IF(AG9="","",(AG9/$AE$23))</f>
        <v/>
      </c>
      <c r="AX32" s="9" t="str">
        <f>IF(AH9="","",(AH9/$AE$23))</f>
        <v/>
      </c>
      <c r="AY32" s="9" t="str">
        <f>IF(AI9="","",(AI9/$AE$23))</f>
        <v/>
      </c>
      <c r="AZ32" s="9" t="str">
        <f>IF(AJ9="","",(AJ9/$AE$23))</f>
        <v/>
      </c>
      <c r="BA32" s="9" t="str">
        <f>IF(AK9="","",(AK9/$AE$23))</f>
        <v/>
      </c>
    </row>
    <row r="33" spans="1:53" x14ac:dyDescent="0.25">
      <c r="A33" s="199"/>
      <c r="B33" s="9">
        <f t="shared" ref="B33:N33" si="13">IF(B10="","",(B10/$AE$23))</f>
        <v>4.5113283650811409E-2</v>
      </c>
      <c r="C33" s="9">
        <f t="shared" si="13"/>
        <v>5.5451371474001213E-2</v>
      </c>
      <c r="D33" s="9">
        <f t="shared" si="13"/>
        <v>2.9941488164181726E-2</v>
      </c>
      <c r="E33" s="9">
        <f t="shared" si="13"/>
        <v>0.19954153719284243</v>
      </c>
      <c r="F33" s="9">
        <f t="shared" si="13"/>
        <v>1.1480534069069401</v>
      </c>
      <c r="G33" s="9">
        <f t="shared" si="13"/>
        <v>1.3516435808810532</v>
      </c>
      <c r="H33" s="9">
        <f t="shared" si="13"/>
        <v>2.811156775702953</v>
      </c>
      <c r="I33" s="9">
        <f t="shared" si="13"/>
        <v>0.2243478089251188</v>
      </c>
      <c r="J33" s="9">
        <f t="shared" si="13"/>
        <v>8.0804623302106554E-2</v>
      </c>
      <c r="K33" s="9">
        <f t="shared" si="13"/>
        <v>0.10749115619838064</v>
      </c>
      <c r="L33" s="9">
        <f t="shared" si="13"/>
        <v>2.4558066871200598E-2</v>
      </c>
      <c r="M33" s="9">
        <f t="shared" si="13"/>
        <v>2.21906688147868</v>
      </c>
      <c r="N33" s="9" t="str">
        <f t="shared" si="13"/>
        <v/>
      </c>
      <c r="O33" s="9" t="e">
        <f>IF(#REF!="","",(#REF!/$AE$23))</f>
        <v>#REF!</v>
      </c>
      <c r="P33" s="9" t="e">
        <f>IF(#REF!="","",(#REF!/$AE$23))</f>
        <v>#REF!</v>
      </c>
      <c r="Q33" s="9" t="e">
        <f>IF(#REF!="","",(#REF!/$AE$23))</f>
        <v>#REF!</v>
      </c>
      <c r="R33" s="9" t="e">
        <f>IF(#REF!="","",(#REF!/$AE$23))</f>
        <v>#REF!</v>
      </c>
      <c r="S33" s="9" t="e">
        <f>IF(#REF!="","",(#REF!/$AE$23))</f>
        <v>#REF!</v>
      </c>
      <c r="T33" s="9" t="e">
        <f>IF(#REF!="","",(#REF!/$AE$23))</f>
        <v>#REF!</v>
      </c>
      <c r="U33" s="9" t="e">
        <f>IF(#REF!="","",(#REF!/$AE$23))</f>
        <v>#REF!</v>
      </c>
      <c r="V33" s="9" t="e">
        <f>IF(#REF!="","",(#REF!/$AE$23))</f>
        <v>#REF!</v>
      </c>
      <c r="W33" s="9" t="e">
        <f>IF(#REF!="","",(#REF!/$AE$23))</f>
        <v>#REF!</v>
      </c>
      <c r="X33" s="9" t="e">
        <f>IF(#REF!="","",(#REF!/$AE$23))</f>
        <v>#REF!</v>
      </c>
      <c r="Y33" s="9" t="e">
        <f>IF(#REF!="","",(#REF!/$AE$23))</f>
        <v>#REF!</v>
      </c>
      <c r="Z33" s="9" t="e">
        <f>IF(#REF!="","",(#REF!/$AE$23))</f>
        <v>#REF!</v>
      </c>
      <c r="AA33" s="9" t="e">
        <f>IF(#REF!="","",(#REF!/$AE$23))</f>
        <v>#REF!</v>
      </c>
      <c r="AB33" s="9" t="e">
        <f>IF(#REF!="","",(#REF!/$AE$23))</f>
        <v>#REF!</v>
      </c>
      <c r="AC33" s="9" t="e">
        <f>IF(#REF!="","",(#REF!/$AE$23))</f>
        <v>#REF!</v>
      </c>
      <c r="AD33" s="5"/>
      <c r="AE33" s="9">
        <f>IF(O10="","",(O10/$AE$23))</f>
        <v>1.0701873323455438</v>
      </c>
      <c r="AF33" s="9">
        <f>IF(P10="","",(P10/$AE$23))</f>
        <v>1.495569734577157</v>
      </c>
      <c r="AG33" s="9">
        <f>IF(Q10="","",(Q10/$AE$23))</f>
        <v>2.4005209677890233E-2</v>
      </c>
      <c r="AH33" s="9">
        <f>IF(R10="","",(R10/$AE$23))</f>
        <v>1.5437840755478742</v>
      </c>
      <c r="AI33" s="9">
        <f>IF(S10="","",(S10/$AE$23))</f>
        <v>1.1622967576681911</v>
      </c>
      <c r="AJ33" s="9">
        <f>IF(T10="","",(T10/$AE$23))</f>
        <v>1.9569391081310492</v>
      </c>
      <c r="AK33" s="9">
        <f>IF(U10="","",(U10/$AE$23))</f>
        <v>1.4005600299857717</v>
      </c>
      <c r="AL33" s="9">
        <f>IF(V10="","",(V10/$AE$23))</f>
        <v>2.2106815618012066</v>
      </c>
      <c r="AM33" s="9" t="str">
        <f>IF(W10="","",(W10/$AE$23))</f>
        <v/>
      </c>
      <c r="AN33" s="9" t="str">
        <f>IF(X10="","",(X10/$AE$23))</f>
        <v/>
      </c>
      <c r="AO33" s="9" t="str">
        <f>IF(Y10="","",(Y10/$AE$23))</f>
        <v/>
      </c>
      <c r="AP33" s="9" t="str">
        <f>IF(Z10="","",(Z10/$AE$23))</f>
        <v/>
      </c>
      <c r="AQ33" s="9" t="str">
        <f>IF(AA10="","",(AA10/$AE$23))</f>
        <v/>
      </c>
      <c r="AR33" s="9" t="str">
        <f>IF(AB10="","",(AB10/$AE$23))</f>
        <v/>
      </c>
      <c r="AS33" s="9" t="str">
        <f>IF(AC10="","",(AC10/$AE$23))</f>
        <v/>
      </c>
      <c r="AT33" s="9" t="str">
        <f>IF(AD10="","",(AD10/$AE$23))</f>
        <v/>
      </c>
      <c r="AU33" s="9" t="str">
        <f>IF(AE10="","",(AE10/$AE$23))</f>
        <v/>
      </c>
      <c r="AV33" s="9" t="str">
        <f>IF(AF10="","",(AF10/$AE$23))</f>
        <v/>
      </c>
      <c r="AW33" s="9" t="str">
        <f>IF(AG10="","",(AG10/$AE$23))</f>
        <v/>
      </c>
      <c r="AX33" s="9" t="str">
        <f>IF(AH10="","",(AH10/$AE$23))</f>
        <v/>
      </c>
      <c r="AY33" s="9" t="str">
        <f>IF(AI10="","",(AI10/$AE$23))</f>
        <v/>
      </c>
      <c r="AZ33" s="9" t="str">
        <f>IF(AJ10="","",(AJ10/$AE$23))</f>
        <v/>
      </c>
      <c r="BA33" s="9" t="str">
        <f>IF(AK10="","",(AK10/$AE$23))</f>
        <v/>
      </c>
    </row>
    <row r="34" spans="1:53" x14ac:dyDescent="0.25">
      <c r="A34" s="199"/>
      <c r="B34" s="9">
        <f t="shared" ref="B34:N34" si="14">IF(B11="","",(B11/$AE$23))</f>
        <v>9.1317247252825959E-2</v>
      </c>
      <c r="C34" s="9">
        <f t="shared" si="14"/>
        <v>2.7685776144801187E-2</v>
      </c>
      <c r="D34" s="9">
        <f t="shared" si="14"/>
        <v>5.7559199319546929E-2</v>
      </c>
      <c r="E34" s="9">
        <f t="shared" si="14"/>
        <v>0.30336989489344202</v>
      </c>
      <c r="F34" s="9">
        <f t="shared" si="14"/>
        <v>0.57887797407101138</v>
      </c>
      <c r="G34" s="9">
        <f t="shared" si="14"/>
        <v>1.661400513969943</v>
      </c>
      <c r="H34" s="9">
        <f t="shared" si="14"/>
        <v>2.2106193739092519</v>
      </c>
      <c r="I34" s="9">
        <f t="shared" si="14"/>
        <v>0.29353122367948731</v>
      </c>
      <c r="J34" s="9">
        <f t="shared" si="14"/>
        <v>0.16789733087927614</v>
      </c>
      <c r="K34" s="9">
        <f t="shared" si="14"/>
        <v>0.32577858420667005</v>
      </c>
      <c r="L34" s="9">
        <f t="shared" si="14"/>
        <v>0.26218852613438648</v>
      </c>
      <c r="M34" s="9">
        <f t="shared" si="14"/>
        <v>0.48608263680160818</v>
      </c>
      <c r="N34" s="9" t="str">
        <f t="shared" si="14"/>
        <v/>
      </c>
      <c r="O34" s="9" t="e">
        <f>IF(#REF!="","",(#REF!/$AE$23))</f>
        <v>#REF!</v>
      </c>
      <c r="P34" s="9" t="e">
        <f>IF(#REF!="","",(#REF!/$AE$23))</f>
        <v>#REF!</v>
      </c>
      <c r="Q34" s="9" t="e">
        <f>IF(#REF!="","",(#REF!/$AE$23))</f>
        <v>#REF!</v>
      </c>
      <c r="R34" s="9" t="e">
        <f>IF(#REF!="","",(#REF!/$AE$23))</f>
        <v>#REF!</v>
      </c>
      <c r="S34" s="9" t="e">
        <f>IF(#REF!="","",(#REF!/$AE$23))</f>
        <v>#REF!</v>
      </c>
      <c r="T34" s="9" t="e">
        <f>IF(#REF!="","",(#REF!/$AE$23))</f>
        <v>#REF!</v>
      </c>
      <c r="U34" s="9" t="e">
        <f>IF(#REF!="","",(#REF!/$AE$23))</f>
        <v>#REF!</v>
      </c>
      <c r="V34" s="9" t="e">
        <f>IF(#REF!="","",(#REF!/$AE$23))</f>
        <v>#REF!</v>
      </c>
      <c r="W34" s="9" t="e">
        <f>IF(#REF!="","",(#REF!/$AE$23))</f>
        <v>#REF!</v>
      </c>
      <c r="X34" s="9" t="e">
        <f>IF(#REF!="","",(#REF!/$AE$23))</f>
        <v>#REF!</v>
      </c>
      <c r="Y34" s="9" t="e">
        <f>IF(#REF!="","",(#REF!/$AE$23))</f>
        <v>#REF!</v>
      </c>
      <c r="Z34" s="9" t="e">
        <f>IF(#REF!="","",(#REF!/$AE$23))</f>
        <v>#REF!</v>
      </c>
      <c r="AA34" s="9" t="e">
        <f>IF(#REF!="","",(#REF!/$AE$23))</f>
        <v>#REF!</v>
      </c>
      <c r="AB34" s="9" t="e">
        <f>IF(#REF!="","",(#REF!/$AE$23))</f>
        <v>#REF!</v>
      </c>
      <c r="AC34" s="9" t="e">
        <f>IF(#REF!="","",(#REF!/$AE$23))</f>
        <v>#REF!</v>
      </c>
      <c r="AD34" s="5"/>
      <c r="AE34" s="9">
        <f>IF(O11="","",(O11/$AE$23))</f>
        <v>1.5269746200142125</v>
      </c>
      <c r="AF34" s="9">
        <f>IF(P11="","",(P11/$AE$23))</f>
        <v>2.1496485878400833</v>
      </c>
      <c r="AG34" s="9">
        <f>IF(Q11="","",(Q11/$AE$23))</f>
        <v>5.0406429992944209E-2</v>
      </c>
      <c r="AH34" s="9">
        <f>IF(R11="","",(R11/$AE$23))</f>
        <v>0.39155348743684315</v>
      </c>
      <c r="AI34" s="9">
        <f>IF(S11="","",(S11/$AE$23))</f>
        <v>2.2214425272896872</v>
      </c>
      <c r="AJ34" s="9">
        <f>IF(T11="","",(T11/$AE$23))</f>
        <v>1.503034331761989</v>
      </c>
      <c r="AK34" s="9">
        <f>IF(U11="","",(U11/$AE$23))</f>
        <v>1.1967495331944482</v>
      </c>
      <c r="AL34" s="9">
        <f>IF(V11="","",(V11/$AE$23))</f>
        <v>0.98633775750297614</v>
      </c>
      <c r="AM34" s="9" t="str">
        <f>IF(W11="","",(W11/$AE$23))</f>
        <v/>
      </c>
      <c r="AN34" s="9" t="str">
        <f>IF(X11="","",(X11/$AE$23))</f>
        <v/>
      </c>
      <c r="AO34" s="9" t="str">
        <f>IF(Y11="","",(Y11/$AE$23))</f>
        <v/>
      </c>
      <c r="AP34" s="9" t="str">
        <f>IF(Z11="","",(Z11/$AE$23))</f>
        <v/>
      </c>
      <c r="AQ34" s="9" t="str">
        <f>IF(AA11="","",(AA11/$AE$23))</f>
        <v/>
      </c>
      <c r="AR34" s="9" t="str">
        <f>IF(AB11="","",(AB11/$AE$23))</f>
        <v/>
      </c>
      <c r="AS34" s="9" t="str">
        <f>IF(AC11="","",(AC11/$AE$23))</f>
        <v/>
      </c>
      <c r="AT34" s="9" t="str">
        <f>IF(AD11="","",(AD11/$AE$23))</f>
        <v/>
      </c>
      <c r="AU34" s="9" t="str">
        <f>IF(AE11="","",(AE11/$AE$23))</f>
        <v/>
      </c>
      <c r="AV34" s="9" t="str">
        <f>IF(AF11="","",(AF11/$AE$23))</f>
        <v/>
      </c>
      <c r="AW34" s="9" t="str">
        <f>IF(AG11="","",(AG11/$AE$23))</f>
        <v/>
      </c>
      <c r="AX34" s="9" t="str">
        <f>IF(AH11="","",(AH11/$AE$23))</f>
        <v/>
      </c>
      <c r="AY34" s="9" t="str">
        <f>IF(AI11="","",(AI11/$AE$23))</f>
        <v/>
      </c>
      <c r="AZ34" s="9" t="str">
        <f>IF(AJ11="","",(AJ11/$AE$23))</f>
        <v/>
      </c>
      <c r="BA34" s="9" t="str">
        <f>IF(AK11="","",(AK11/$AE$23))</f>
        <v/>
      </c>
    </row>
    <row r="35" spans="1:53" x14ac:dyDescent="0.25">
      <c r="A35" s="199"/>
      <c r="B35" s="9">
        <f t="shared" ref="B35:N35" si="15">IF(B12="","",(B12/$AE$23))</f>
        <v>0.17429619160802967</v>
      </c>
      <c r="C35" s="9">
        <f t="shared" si="15"/>
        <v>2.7413789540428477E-2</v>
      </c>
      <c r="D35" s="9" t="str">
        <f t="shared" si="15"/>
        <v/>
      </c>
      <c r="E35" s="9">
        <f t="shared" si="15"/>
        <v>0.5383544301998181</v>
      </c>
      <c r="F35" s="9">
        <f t="shared" si="15"/>
        <v>1.3806582644400835</v>
      </c>
      <c r="G35" s="9">
        <f t="shared" si="15"/>
        <v>1.5779855026492864</v>
      </c>
      <c r="H35" s="9">
        <f t="shared" si="15"/>
        <v>2.4072963044483018</v>
      </c>
      <c r="I35" s="9">
        <f t="shared" si="15"/>
        <v>0.11870452151624525</v>
      </c>
      <c r="J35" s="9">
        <f t="shared" si="15"/>
        <v>0.15485564153794731</v>
      </c>
      <c r="K35" s="9">
        <f t="shared" si="15"/>
        <v>0.32503656648046936</v>
      </c>
      <c r="L35" s="9">
        <f t="shared" si="15"/>
        <v>0.71336168226475682</v>
      </c>
      <c r="M35" s="9">
        <f t="shared" si="15"/>
        <v>0.49539339431737711</v>
      </c>
      <c r="N35" s="9" t="str">
        <f t="shared" si="15"/>
        <v/>
      </c>
      <c r="O35" s="9" t="e">
        <f>IF(#REF!="","",(#REF!/$AE$23))</f>
        <v>#REF!</v>
      </c>
      <c r="P35" s="9" t="e">
        <f>IF(#REF!="","",(#REF!/$AE$23))</f>
        <v>#REF!</v>
      </c>
      <c r="Q35" s="9" t="e">
        <f>IF(#REF!="","",(#REF!/$AE$23))</f>
        <v>#REF!</v>
      </c>
      <c r="R35" s="9" t="e">
        <f>IF(#REF!="","",(#REF!/$AE$23))</f>
        <v>#REF!</v>
      </c>
      <c r="S35" s="9" t="e">
        <f>IF(#REF!="","",(#REF!/$AE$23))</f>
        <v>#REF!</v>
      </c>
      <c r="T35" s="9" t="e">
        <f>IF(#REF!="","",(#REF!/$AE$23))</f>
        <v>#REF!</v>
      </c>
      <c r="U35" s="9" t="e">
        <f>IF(#REF!="","",(#REF!/$AE$23))</f>
        <v>#REF!</v>
      </c>
      <c r="V35" s="9" t="e">
        <f>IF(#REF!="","",(#REF!/$AE$23))</f>
        <v>#REF!</v>
      </c>
      <c r="W35" s="9" t="e">
        <f>IF(#REF!="","",(#REF!/$AE$23))</f>
        <v>#REF!</v>
      </c>
      <c r="X35" s="9" t="e">
        <f>IF(#REF!="","",(#REF!/$AE$23))</f>
        <v>#REF!</v>
      </c>
      <c r="Y35" s="9" t="e">
        <f>IF(#REF!="","",(#REF!/$AE$23))</f>
        <v>#REF!</v>
      </c>
      <c r="Z35" s="9" t="e">
        <f>IF(#REF!="","",(#REF!/$AE$23))</f>
        <v>#REF!</v>
      </c>
      <c r="AA35" s="9" t="e">
        <f>IF(#REF!="","",(#REF!/$AE$23))</f>
        <v>#REF!</v>
      </c>
      <c r="AB35" s="9" t="e">
        <f>IF(#REF!="","",(#REF!/$AE$23))</f>
        <v>#REF!</v>
      </c>
      <c r="AC35" s="9" t="e">
        <f>IF(#REF!="","",(#REF!/$AE$23))</f>
        <v>#REF!</v>
      </c>
      <c r="AD35" s="5"/>
      <c r="AE35" s="9">
        <f>IF(O12="","",(O12/$AE$23))</f>
        <v>1.0163825049031397E-2</v>
      </c>
      <c r="AF35" s="9">
        <f>IF(P12="","",(P12/$AE$23))</f>
        <v>1.6674964308250322</v>
      </c>
      <c r="AG35" s="9">
        <f>IF(Q12="","",(Q12/$AE$23))</f>
        <v>2.4889097803758743E-2</v>
      </c>
      <c r="AH35" s="9">
        <f>IF(R12="","",(R12/$AE$23))</f>
        <v>1.5961963042405529</v>
      </c>
      <c r="AI35" s="9">
        <f>IF(S12="","",(S12/$AE$23))</f>
        <v>1.924538123009236</v>
      </c>
      <c r="AJ35" s="9">
        <f>IF(T12="","",(T12/$AE$23))</f>
        <v>1.0517518342831271</v>
      </c>
      <c r="AK35" s="9">
        <f>IF(U12="","",(U12/$AE$23))</f>
        <v>2.4444597886803496</v>
      </c>
      <c r="AL35" s="9">
        <f>IF(V12="","",(V12/$AE$23))</f>
        <v>1.886756450128154</v>
      </c>
      <c r="AM35" s="9" t="str">
        <f>IF(W12="","",(W12/$AE$23))</f>
        <v/>
      </c>
      <c r="AN35" s="9" t="str">
        <f>IF(X12="","",(X12/$AE$23))</f>
        <v/>
      </c>
      <c r="AO35" s="9" t="str">
        <f>IF(Y12="","",(Y12/$AE$23))</f>
        <v/>
      </c>
      <c r="AP35" s="9" t="str">
        <f>IF(Z12="","",(Z12/$AE$23))</f>
        <v/>
      </c>
      <c r="AQ35" s="9" t="str">
        <f>IF(AA12="","",(AA12/$AE$23))</f>
        <v/>
      </c>
      <c r="AR35" s="9" t="str">
        <f>IF(AB12="","",(AB12/$AE$23))</f>
        <v/>
      </c>
      <c r="AS35" s="9" t="str">
        <f>IF(AC12="","",(AC12/$AE$23))</f>
        <v/>
      </c>
      <c r="AT35" s="9" t="str">
        <f>IF(AD12="","",(AD12/$AE$23))</f>
        <v/>
      </c>
      <c r="AU35" s="9" t="str">
        <f>IF(AE12="","",(AE12/$AE$23))</f>
        <v/>
      </c>
      <c r="AV35" s="9" t="str">
        <f>IF(AF12="","",(AF12/$AE$23))</f>
        <v/>
      </c>
      <c r="AW35" s="9" t="str">
        <f>IF(AG12="","",(AG12/$AE$23))</f>
        <v/>
      </c>
      <c r="AX35" s="9" t="str">
        <f>IF(AH12="","",(AH12/$AE$23))</f>
        <v/>
      </c>
      <c r="AY35" s="9" t="str">
        <f>IF(AI12="","",(AI12/$AE$23))</f>
        <v/>
      </c>
      <c r="AZ35" s="9" t="str">
        <f>IF(AJ12="","",(AJ12/$AE$23))</f>
        <v/>
      </c>
      <c r="BA35" s="9" t="str">
        <f>IF(AK12="","",(AK12/$AE$23))</f>
        <v/>
      </c>
    </row>
    <row r="36" spans="1:53" x14ac:dyDescent="0.25">
      <c r="A36" s="199"/>
      <c r="B36" s="9" t="str">
        <f t="shared" ref="B36:N36" si="16">IF(B13="","",(B13/$AE$23))</f>
        <v/>
      </c>
      <c r="C36" s="9" t="str">
        <f t="shared" si="16"/>
        <v/>
      </c>
      <c r="D36" s="9" t="str">
        <f t="shared" si="16"/>
        <v/>
      </c>
      <c r="E36" s="9" t="str">
        <f t="shared" si="16"/>
        <v/>
      </c>
      <c r="F36" s="9" t="str">
        <f t="shared" si="16"/>
        <v/>
      </c>
      <c r="G36" s="9" t="str">
        <f t="shared" si="16"/>
        <v/>
      </c>
      <c r="H36" s="9" t="str">
        <f t="shared" si="16"/>
        <v/>
      </c>
      <c r="I36" s="9" t="str">
        <f t="shared" si="16"/>
        <v/>
      </c>
      <c r="J36" s="9" t="str">
        <f t="shared" si="16"/>
        <v/>
      </c>
      <c r="K36" s="9" t="str">
        <f t="shared" si="16"/>
        <v/>
      </c>
      <c r="L36" s="9" t="str">
        <f t="shared" si="16"/>
        <v/>
      </c>
      <c r="M36" s="9" t="str">
        <f t="shared" si="16"/>
        <v/>
      </c>
      <c r="N36" s="9" t="str">
        <f t="shared" si="16"/>
        <v/>
      </c>
      <c r="O36" s="9" t="e">
        <f>IF(#REF!="","",(#REF!/$AE$23))</f>
        <v>#REF!</v>
      </c>
      <c r="P36" s="9" t="e">
        <f>IF(#REF!="","",(#REF!/$AE$23))</f>
        <v>#REF!</v>
      </c>
      <c r="Q36" s="9" t="e">
        <f>IF(#REF!="","",(#REF!/$AE$23))</f>
        <v>#REF!</v>
      </c>
      <c r="R36" s="9" t="e">
        <f>IF(#REF!="","",(#REF!/$AE$23))</f>
        <v>#REF!</v>
      </c>
      <c r="S36" s="9" t="e">
        <f>IF(#REF!="","",(#REF!/$AE$23))</f>
        <v>#REF!</v>
      </c>
      <c r="T36" s="9" t="e">
        <f>IF(#REF!="","",(#REF!/$AE$23))</f>
        <v>#REF!</v>
      </c>
      <c r="U36" s="9" t="e">
        <f>IF(#REF!="","",(#REF!/$AE$23))</f>
        <v>#REF!</v>
      </c>
      <c r="V36" s="9" t="e">
        <f>IF(#REF!="","",(#REF!/$AE$23))</f>
        <v>#REF!</v>
      </c>
      <c r="W36" s="9" t="e">
        <f>IF(#REF!="","",(#REF!/$AE$23))</f>
        <v>#REF!</v>
      </c>
      <c r="X36" s="9" t="e">
        <f>IF(#REF!="","",(#REF!/$AE$23))</f>
        <v>#REF!</v>
      </c>
      <c r="Y36" s="9" t="e">
        <f>IF(#REF!="","",(#REF!/$AE$23))</f>
        <v>#REF!</v>
      </c>
      <c r="Z36" s="9" t="e">
        <f>IF(#REF!="","",(#REF!/$AE$23))</f>
        <v>#REF!</v>
      </c>
      <c r="AA36" s="9" t="e">
        <f>IF(#REF!="","",(#REF!/$AE$23))</f>
        <v>#REF!</v>
      </c>
      <c r="AB36" s="9" t="e">
        <f>IF(#REF!="","",(#REF!/$AE$23))</f>
        <v>#REF!</v>
      </c>
      <c r="AC36" s="9" t="e">
        <f>IF(#REF!="","",(#REF!/$AE$23))</f>
        <v>#REF!</v>
      </c>
      <c r="AD36" s="5"/>
      <c r="AE36" s="9">
        <f>IF(O13="","",(O13/$AE$23))</f>
        <v>1.4231360115621918</v>
      </c>
      <c r="AF36" s="9" t="str">
        <f>IF(P13="","",(P13/$AE$23))</f>
        <v/>
      </c>
      <c r="AG36" s="9" t="str">
        <f>IF(Q13="","",(Q13/$AE$23))</f>
        <v/>
      </c>
      <c r="AH36" s="9" t="str">
        <f>IF(R13="","",(R13/$AE$23))</f>
        <v/>
      </c>
      <c r="AI36" s="9" t="str">
        <f>IF(S13="","",(S13/$AE$23))</f>
        <v/>
      </c>
      <c r="AJ36" s="9" t="str">
        <f>IF(T13="","",(T13/$AE$23))</f>
        <v/>
      </c>
      <c r="AK36" s="9" t="str">
        <f>IF(U13="","",(U13/$AE$23))</f>
        <v/>
      </c>
      <c r="AL36" s="9" t="str">
        <f>IF(V13="","",(V13/$AE$23))</f>
        <v/>
      </c>
      <c r="AM36" s="9" t="str">
        <f>IF(W13="","",(W13/$AE$23))</f>
        <v/>
      </c>
      <c r="AN36" s="9" t="str">
        <f>IF(X13="","",(X13/$AE$23))</f>
        <v/>
      </c>
      <c r="AO36" s="9" t="str">
        <f>IF(Y13="","",(Y13/$AE$23))</f>
        <v/>
      </c>
      <c r="AP36" s="9" t="str">
        <f>IF(Z13="","",(Z13/$AE$23))</f>
        <v/>
      </c>
      <c r="AQ36" s="9" t="str">
        <f>IF(AA13="","",(AA13/$AE$23))</f>
        <v/>
      </c>
      <c r="AR36" s="9" t="str">
        <f>IF(AB13="","",(AB13/$AE$23))</f>
        <v/>
      </c>
      <c r="AS36" s="9" t="str">
        <f>IF(AC13="","",(AC13/$AE$23))</f>
        <v/>
      </c>
      <c r="AT36" s="9" t="str">
        <f>IF(AD13="","",(AD13/$AE$23))</f>
        <v/>
      </c>
      <c r="AU36" s="9" t="str">
        <f>IF(AE13="","",(AE13/$AE$23))</f>
        <v/>
      </c>
      <c r="AV36" s="9" t="str">
        <f>IF(AF13="","",(AF13/$AE$23))</f>
        <v/>
      </c>
      <c r="AW36" s="9" t="str">
        <f>IF(AG13="","",(AG13/$AE$23))</f>
        <v/>
      </c>
      <c r="AX36" s="9" t="str">
        <f>IF(AH13="","",(AH13/$AE$23))</f>
        <v/>
      </c>
      <c r="AY36" s="9" t="str">
        <f>IF(AI13="","",(AI13/$AE$23))</f>
        <v/>
      </c>
      <c r="AZ36" s="9" t="str">
        <f>IF(AJ13="","",(AJ13/$AE$23))</f>
        <v/>
      </c>
      <c r="BA36" s="9" t="str">
        <f>IF(AK13="","",(AK13/$AE$23))</f>
        <v/>
      </c>
    </row>
    <row r="37" spans="1:53" x14ac:dyDescent="0.25">
      <c r="A37" s="199"/>
      <c r="B37" s="9" t="str">
        <f t="shared" ref="B37:N37" si="17">IF(B14="","",(B14/$AE$23))</f>
        <v/>
      </c>
      <c r="C37" s="9" t="str">
        <f t="shared" si="17"/>
        <v/>
      </c>
      <c r="D37" s="9" t="str">
        <f t="shared" si="17"/>
        <v/>
      </c>
      <c r="E37" s="9" t="str">
        <f t="shared" si="17"/>
        <v/>
      </c>
      <c r="F37" s="9" t="str">
        <f t="shared" si="17"/>
        <v/>
      </c>
      <c r="G37" s="9" t="str">
        <f t="shared" si="17"/>
        <v/>
      </c>
      <c r="H37" s="9" t="str">
        <f t="shared" si="17"/>
        <v/>
      </c>
      <c r="I37" s="9" t="str">
        <f t="shared" si="17"/>
        <v/>
      </c>
      <c r="J37" s="9" t="str">
        <f t="shared" si="17"/>
        <v/>
      </c>
      <c r="K37" s="9" t="str">
        <f t="shared" si="17"/>
        <v/>
      </c>
      <c r="L37" s="9" t="str">
        <f t="shared" si="17"/>
        <v/>
      </c>
      <c r="M37" s="9" t="str">
        <f t="shared" si="17"/>
        <v/>
      </c>
      <c r="N37" s="9" t="str">
        <f t="shared" si="17"/>
        <v/>
      </c>
      <c r="O37" s="9" t="e">
        <f>IF(#REF!="","",(#REF!/$AE$23))</f>
        <v>#REF!</v>
      </c>
      <c r="P37" s="9" t="e">
        <f>IF(#REF!="","",(#REF!/$AE$23))</f>
        <v>#REF!</v>
      </c>
      <c r="Q37" s="9" t="e">
        <f>IF(#REF!="","",(#REF!/$AE$23))</f>
        <v>#REF!</v>
      </c>
      <c r="R37" s="9" t="e">
        <f>IF(#REF!="","",(#REF!/$AE$23))</f>
        <v>#REF!</v>
      </c>
      <c r="S37" s="9" t="e">
        <f>IF(#REF!="","",(#REF!/$AE$23))</f>
        <v>#REF!</v>
      </c>
      <c r="T37" s="9" t="e">
        <f>IF(#REF!="","",(#REF!/$AE$23))</f>
        <v>#REF!</v>
      </c>
      <c r="U37" s="9" t="e">
        <f>IF(#REF!="","",(#REF!/$AE$23))</f>
        <v>#REF!</v>
      </c>
      <c r="V37" s="9" t="e">
        <f>IF(#REF!="","",(#REF!/$AE$23))</f>
        <v>#REF!</v>
      </c>
      <c r="W37" s="9" t="e">
        <f>IF(#REF!="","",(#REF!/$AE$23))</f>
        <v>#REF!</v>
      </c>
      <c r="X37" s="9" t="e">
        <f>IF(#REF!="","",(#REF!/$AE$23))</f>
        <v>#REF!</v>
      </c>
      <c r="Y37" s="9" t="e">
        <f>IF(#REF!="","",(#REF!/$AE$23))</f>
        <v>#REF!</v>
      </c>
      <c r="Z37" s="9" t="e">
        <f>IF(#REF!="","",(#REF!/$AE$23))</f>
        <v>#REF!</v>
      </c>
      <c r="AA37" s="9" t="e">
        <f>IF(#REF!="","",(#REF!/$AE$23))</f>
        <v>#REF!</v>
      </c>
      <c r="AB37" s="9" t="e">
        <f>IF(#REF!="","",(#REF!/$AE$23))</f>
        <v>#REF!</v>
      </c>
      <c r="AC37" s="9" t="e">
        <f>IF(#REF!="","",(#REF!/$AE$23))</f>
        <v>#REF!</v>
      </c>
      <c r="AD37" s="5"/>
      <c r="AE37" s="9">
        <f>IF(O14="","",(O14/$AE$23))</f>
        <v>0.66657376752345465</v>
      </c>
      <c r="AF37" s="9" t="str">
        <f>IF(P14="","",(P14/$AE$23))</f>
        <v/>
      </c>
      <c r="AG37" s="9" t="str">
        <f>IF(Q14="","",(Q14/$AE$23))</f>
        <v/>
      </c>
      <c r="AH37" s="9" t="str">
        <f>IF(R14="","",(R14/$AE$23))</f>
        <v/>
      </c>
      <c r="AI37" s="9" t="str">
        <f>IF(S14="","",(S14/$AE$23))</f>
        <v/>
      </c>
      <c r="AJ37" s="9" t="str">
        <f>IF(T14="","",(T14/$AE$23))</f>
        <v/>
      </c>
      <c r="AK37" s="9" t="str">
        <f>IF(U14="","",(U14/$AE$23))</f>
        <v/>
      </c>
      <c r="AL37" s="9" t="str">
        <f>IF(V14="","",(V14/$AE$23))</f>
        <v/>
      </c>
      <c r="AM37" s="9" t="str">
        <f>IF(W14="","",(W14/$AE$23))</f>
        <v/>
      </c>
      <c r="AN37" s="9" t="str">
        <f>IF(X14="","",(X14/$AE$23))</f>
        <v/>
      </c>
      <c r="AO37" s="9" t="str">
        <f>IF(Y14="","",(Y14/$AE$23))</f>
        <v/>
      </c>
      <c r="AP37" s="9" t="str">
        <f>IF(Z14="","",(Z14/$AE$23))</f>
        <v/>
      </c>
      <c r="AQ37" s="9" t="str">
        <f>IF(AA14="","",(AA14/$AE$23))</f>
        <v/>
      </c>
      <c r="AR37" s="9" t="str">
        <f>IF(AB14="","",(AB14/$AE$23))</f>
        <v/>
      </c>
      <c r="AS37" s="9" t="str">
        <f>IF(AC14="","",(AC14/$AE$23))</f>
        <v/>
      </c>
      <c r="AT37" s="9" t="str">
        <f>IF(AD14="","",(AD14/$AE$23))</f>
        <v/>
      </c>
      <c r="AU37" s="9" t="str">
        <f>IF(AE14="","",(AE14/$AE$23))</f>
        <v/>
      </c>
      <c r="AV37" s="9" t="str">
        <f>IF(AF14="","",(AF14/$AE$23))</f>
        <v/>
      </c>
      <c r="AW37" s="9" t="str">
        <f>IF(AG14="","",(AG14/$AE$23))</f>
        <v/>
      </c>
      <c r="AX37" s="9" t="str">
        <f>IF(AH14="","",(AH14/$AE$23))</f>
        <v/>
      </c>
      <c r="AY37" s="9" t="str">
        <f>IF(AI14="","",(AI14/$AE$23))</f>
        <v/>
      </c>
      <c r="AZ37" s="9" t="str">
        <f>IF(AJ14="","",(AJ14/$AE$23))</f>
        <v/>
      </c>
      <c r="BA37" s="9" t="str">
        <f>IF(AK14="","",(AK14/$AE$23))</f>
        <v/>
      </c>
    </row>
    <row r="38" spans="1:53" x14ac:dyDescent="0.25">
      <c r="A38" s="199"/>
      <c r="B38" s="9" t="str">
        <f t="shared" ref="B38:J38" si="18">IF(B15="","",(B15/$AE$23))</f>
        <v/>
      </c>
      <c r="C38" s="9" t="str">
        <f t="shared" si="18"/>
        <v/>
      </c>
      <c r="D38" s="9" t="str">
        <f t="shared" si="18"/>
        <v/>
      </c>
      <c r="E38" s="9" t="str">
        <f t="shared" si="18"/>
        <v/>
      </c>
      <c r="F38" s="9" t="str">
        <f t="shared" si="18"/>
        <v/>
      </c>
      <c r="G38" s="9" t="str">
        <f t="shared" si="18"/>
        <v/>
      </c>
      <c r="H38" s="9" t="str">
        <f t="shared" si="18"/>
        <v/>
      </c>
      <c r="I38" s="9" t="str">
        <f t="shared" si="18"/>
        <v/>
      </c>
      <c r="J38" s="9" t="str">
        <f t="shared" si="18"/>
        <v/>
      </c>
      <c r="K38" s="9" t="str">
        <f t="shared" ref="K38:N38" si="19">IF(K15="","",(K15/$AE$23))</f>
        <v/>
      </c>
      <c r="L38" s="9" t="str">
        <f t="shared" si="19"/>
        <v/>
      </c>
      <c r="M38" s="9" t="str">
        <f t="shared" si="19"/>
        <v/>
      </c>
      <c r="N38" s="9" t="str">
        <f t="shared" si="19"/>
        <v/>
      </c>
      <c r="O38" s="9" t="e">
        <f>IF(#REF!="","",(#REF!/$AE$23))</f>
        <v>#REF!</v>
      </c>
      <c r="P38" s="9" t="e">
        <f>IF(#REF!="","",(#REF!/$AE$23))</f>
        <v>#REF!</v>
      </c>
      <c r="Q38" s="9" t="e">
        <f>IF(#REF!="","",(#REF!/$AE$23))</f>
        <v>#REF!</v>
      </c>
      <c r="R38" s="9" t="e">
        <f>IF(#REF!="","",(#REF!/$AE$23))</f>
        <v>#REF!</v>
      </c>
      <c r="S38" s="9" t="e">
        <f>IF(#REF!="","",(#REF!/$AE$23))</f>
        <v>#REF!</v>
      </c>
      <c r="T38" s="9" t="e">
        <f>IF(#REF!="","",(#REF!/$AE$23))</f>
        <v>#REF!</v>
      </c>
      <c r="U38" s="9" t="e">
        <f>IF(#REF!="","",(#REF!/$AE$23))</f>
        <v>#REF!</v>
      </c>
      <c r="V38" s="9" t="e">
        <f>IF(#REF!="","",(#REF!/$AE$23))</f>
        <v>#REF!</v>
      </c>
      <c r="W38" s="9" t="e">
        <f>IF(#REF!="","",(#REF!/$AE$23))</f>
        <v>#REF!</v>
      </c>
      <c r="X38" s="9" t="e">
        <f>IF(#REF!="","",(#REF!/$AE$23))</f>
        <v>#REF!</v>
      </c>
      <c r="Y38" s="9" t="e">
        <f>IF(#REF!="","",(#REF!/$AE$23))</f>
        <v>#REF!</v>
      </c>
      <c r="Z38" s="9" t="e">
        <f>IF(#REF!="","",(#REF!/$AE$23))</f>
        <v>#REF!</v>
      </c>
      <c r="AA38" s="9" t="e">
        <f>IF(#REF!="","",(#REF!/$AE$23))</f>
        <v>#REF!</v>
      </c>
      <c r="AB38" s="9" t="e">
        <f>IF(#REF!="","",(#REF!/$AE$23))</f>
        <v>#REF!</v>
      </c>
      <c r="AC38" s="9" t="e">
        <f>IF(#REF!="","",(#REF!/$AE$23))</f>
        <v>#REF!</v>
      </c>
      <c r="AD38" s="5"/>
      <c r="AE38" s="9">
        <f>IF(O15="","",(O15/$AE$23))</f>
        <v>1.6549143851774246</v>
      </c>
      <c r="AF38" s="9" t="str">
        <f>IF(P15="","",(P15/$AE$23))</f>
        <v/>
      </c>
      <c r="AG38" s="9" t="str">
        <f>IF(Q15="","",(Q15/$AE$23))</f>
        <v/>
      </c>
      <c r="AH38" s="9" t="str">
        <f>IF(R15="","",(R15/$AE$23))</f>
        <v/>
      </c>
      <c r="AI38" s="9" t="str">
        <f>IF(S15="","",(S15/$AE$23))</f>
        <v/>
      </c>
      <c r="AJ38" s="9" t="str">
        <f>IF(T15="","",(T15/$AE$23))</f>
        <v/>
      </c>
      <c r="AK38" s="9" t="str">
        <f>IF(U15="","",(U15/$AE$23))</f>
        <v/>
      </c>
      <c r="AL38" s="9" t="str">
        <f>IF(V15="","",(V15/$AE$23))</f>
        <v/>
      </c>
      <c r="AM38" s="9" t="str">
        <f>IF(W15="","",(W15/$AE$23))</f>
        <v/>
      </c>
      <c r="AN38" s="9" t="str">
        <f>IF(X15="","",(X15/$AE$23))</f>
        <v/>
      </c>
      <c r="AO38" s="9" t="str">
        <f>IF(Y15="","",(Y15/$AE$23))</f>
        <v/>
      </c>
      <c r="AP38" s="9" t="str">
        <f>IF(Z15="","",(Z15/$AE$23))</f>
        <v/>
      </c>
      <c r="AQ38" s="9" t="str">
        <f>IF(AA15="","",(AA15/$AE$23))</f>
        <v/>
      </c>
      <c r="AR38" s="9" t="str">
        <f>IF(AB15="","",(AB15/$AE$23))</f>
        <v/>
      </c>
      <c r="AS38" s="9" t="str">
        <f>IF(AC15="","",(AC15/$AE$23))</f>
        <v/>
      </c>
      <c r="AT38" s="9" t="str">
        <f>IF(AD15="","",(AD15/$AE$23))</f>
        <v/>
      </c>
      <c r="AU38" s="9" t="str">
        <f>IF(AE15="","",(AE15/$AE$23))</f>
        <v/>
      </c>
      <c r="AV38" s="9" t="str">
        <f>IF(AF15="","",(AF15/$AE$23))</f>
        <v/>
      </c>
      <c r="AW38" s="9" t="str">
        <f>IF(AG15="","",(AG15/$AE$23))</f>
        <v/>
      </c>
      <c r="AX38" s="9" t="str">
        <f>IF(AH15="","",(AH15/$AE$23))</f>
        <v/>
      </c>
      <c r="AY38" s="9" t="str">
        <f>IF(AI15="","",(AI15/$AE$23))</f>
        <v/>
      </c>
      <c r="AZ38" s="9" t="str">
        <f>IF(AJ15="","",(AJ15/$AE$23))</f>
        <v/>
      </c>
      <c r="BA38" s="9" t="str">
        <f>IF(AK15="","",(AK15/$AE$23))</f>
        <v/>
      </c>
    </row>
    <row r="39" spans="1:53" x14ac:dyDescent="0.25">
      <c r="A39" s="199"/>
      <c r="B39" s="9" t="str">
        <f t="shared" ref="B39:J39" si="20">IF(B16="","",(B16/$AE$23))</f>
        <v/>
      </c>
      <c r="C39" s="9" t="str">
        <f t="shared" si="20"/>
        <v/>
      </c>
      <c r="D39" s="9" t="str">
        <f t="shared" si="20"/>
        <v/>
      </c>
      <c r="E39" s="9" t="str">
        <f t="shared" si="20"/>
        <v/>
      </c>
      <c r="F39" s="9" t="str">
        <f t="shared" si="20"/>
        <v/>
      </c>
      <c r="G39" s="9" t="str">
        <f t="shared" si="20"/>
        <v/>
      </c>
      <c r="H39" s="9" t="str">
        <f t="shared" si="20"/>
        <v/>
      </c>
      <c r="I39" s="9" t="str">
        <f t="shared" si="20"/>
        <v/>
      </c>
      <c r="J39" s="9" t="str">
        <f t="shared" si="20"/>
        <v/>
      </c>
      <c r="K39" s="9" t="str">
        <f t="shared" ref="K39:AC39" si="21">IF(K16="","",(K16/$AE$23))</f>
        <v/>
      </c>
      <c r="L39" s="9" t="str">
        <f t="shared" si="21"/>
        <v/>
      </c>
      <c r="M39" s="9" t="str">
        <f t="shared" si="21"/>
        <v/>
      </c>
      <c r="N39" s="9" t="str">
        <f t="shared" si="21"/>
        <v/>
      </c>
      <c r="O39" s="9" t="str">
        <f t="shared" si="21"/>
        <v/>
      </c>
      <c r="P39" s="9" t="str">
        <f t="shared" si="21"/>
        <v/>
      </c>
      <c r="Q39" s="9" t="str">
        <f t="shared" si="21"/>
        <v/>
      </c>
      <c r="R39" s="9" t="str">
        <f t="shared" si="21"/>
        <v/>
      </c>
      <c r="S39" s="9" t="str">
        <f t="shared" si="21"/>
        <v/>
      </c>
      <c r="T39" s="9" t="str">
        <f t="shared" si="21"/>
        <v/>
      </c>
      <c r="U39" s="9" t="str">
        <f t="shared" si="21"/>
        <v/>
      </c>
      <c r="V39" s="9" t="str">
        <f t="shared" si="21"/>
        <v/>
      </c>
      <c r="W39" s="9" t="str">
        <f t="shared" si="21"/>
        <v/>
      </c>
      <c r="X39" s="9" t="str">
        <f t="shared" si="21"/>
        <v/>
      </c>
      <c r="Y39" s="9" t="str">
        <f t="shared" si="21"/>
        <v/>
      </c>
      <c r="Z39" s="9" t="str">
        <f t="shared" si="21"/>
        <v/>
      </c>
      <c r="AA39" s="9" t="str">
        <f t="shared" si="21"/>
        <v/>
      </c>
      <c r="AB39" s="9" t="str">
        <f t="shared" si="21"/>
        <v/>
      </c>
      <c r="AC39" s="9" t="str">
        <f t="shared" si="21"/>
        <v/>
      </c>
      <c r="AD39" s="5"/>
      <c r="AE39" s="9">
        <f t="shared" ref="AE39:BA39" si="22">IF(AE16="","",(AE16/$AE$23))</f>
        <v>1.031075521960062</v>
      </c>
      <c r="AF39" s="9" t="str">
        <f t="shared" si="22"/>
        <v/>
      </c>
      <c r="AG39" s="9" t="str">
        <f t="shared" si="22"/>
        <v/>
      </c>
      <c r="AH39" s="9" t="str">
        <f t="shared" si="22"/>
        <v/>
      </c>
      <c r="AI39" s="9" t="str">
        <f t="shared" si="22"/>
        <v/>
      </c>
      <c r="AJ39" s="9" t="str">
        <f t="shared" si="22"/>
        <v/>
      </c>
      <c r="AK39" s="9" t="str">
        <f t="shared" si="22"/>
        <v/>
      </c>
      <c r="AL39" s="9" t="str">
        <f t="shared" si="22"/>
        <v/>
      </c>
      <c r="AM39" s="9" t="str">
        <f t="shared" si="22"/>
        <v/>
      </c>
      <c r="AN39" s="9" t="str">
        <f t="shared" si="22"/>
        <v/>
      </c>
      <c r="AO39" s="9" t="str">
        <f t="shared" si="22"/>
        <v/>
      </c>
      <c r="AP39" s="9" t="str">
        <f t="shared" si="22"/>
        <v/>
      </c>
      <c r="AQ39" s="9" t="str">
        <f t="shared" si="22"/>
        <v/>
      </c>
      <c r="AR39" s="9" t="str">
        <f t="shared" si="22"/>
        <v/>
      </c>
      <c r="AS39" s="9" t="str">
        <f t="shared" si="22"/>
        <v/>
      </c>
      <c r="AT39" s="9" t="str">
        <f t="shared" si="22"/>
        <v/>
      </c>
      <c r="AU39" s="9" t="str">
        <f t="shared" si="22"/>
        <v/>
      </c>
      <c r="AV39" s="9" t="str">
        <f t="shared" si="22"/>
        <v/>
      </c>
      <c r="AW39" s="9" t="str">
        <f t="shared" si="22"/>
        <v/>
      </c>
      <c r="AX39" s="9" t="str">
        <f t="shared" si="22"/>
        <v/>
      </c>
      <c r="AY39" s="9" t="str">
        <f t="shared" si="22"/>
        <v/>
      </c>
      <c r="AZ39" s="9" t="str">
        <f t="shared" si="22"/>
        <v/>
      </c>
      <c r="BA39" s="9" t="str">
        <f t="shared" si="22"/>
        <v/>
      </c>
    </row>
    <row r="40" spans="1:53" x14ac:dyDescent="0.25">
      <c r="A40" s="199"/>
      <c r="B40" s="9" t="str">
        <f t="shared" ref="B40:J40" si="23">IF(B17="","",(B17/$AE$23))</f>
        <v/>
      </c>
      <c r="C40" s="9" t="str">
        <f t="shared" si="23"/>
        <v/>
      </c>
      <c r="D40" s="9" t="str">
        <f t="shared" si="23"/>
        <v/>
      </c>
      <c r="E40" s="9" t="str">
        <f t="shared" si="23"/>
        <v/>
      </c>
      <c r="F40" s="9" t="str">
        <f t="shared" si="23"/>
        <v/>
      </c>
      <c r="G40" s="9" t="str">
        <f t="shared" si="23"/>
        <v/>
      </c>
      <c r="H40" s="9" t="str">
        <f t="shared" si="23"/>
        <v/>
      </c>
      <c r="I40" s="9" t="str">
        <f t="shared" si="23"/>
        <v/>
      </c>
      <c r="J40" s="9" t="str">
        <f t="shared" si="23"/>
        <v/>
      </c>
      <c r="K40" s="9" t="str">
        <f t="shared" ref="K40:AC40" si="24">IF(K17="","",(K17/$AE$23))</f>
        <v/>
      </c>
      <c r="L40" s="9" t="str">
        <f t="shared" si="24"/>
        <v/>
      </c>
      <c r="M40" s="9" t="str">
        <f t="shared" si="24"/>
        <v/>
      </c>
      <c r="N40" s="9" t="str">
        <f t="shared" si="24"/>
        <v/>
      </c>
      <c r="O40" s="9" t="str">
        <f t="shared" si="24"/>
        <v/>
      </c>
      <c r="P40" s="9" t="str">
        <f t="shared" si="24"/>
        <v/>
      </c>
      <c r="Q40" s="9" t="str">
        <f t="shared" si="24"/>
        <v/>
      </c>
      <c r="R40" s="9" t="str">
        <f t="shared" si="24"/>
        <v/>
      </c>
      <c r="S40" s="9" t="str">
        <f t="shared" si="24"/>
        <v/>
      </c>
      <c r="T40" s="9" t="str">
        <f t="shared" si="24"/>
        <v/>
      </c>
      <c r="U40" s="9" t="str">
        <f t="shared" si="24"/>
        <v/>
      </c>
      <c r="V40" s="9" t="str">
        <f t="shared" si="24"/>
        <v/>
      </c>
      <c r="W40" s="9" t="str">
        <f t="shared" si="24"/>
        <v/>
      </c>
      <c r="X40" s="9" t="str">
        <f t="shared" si="24"/>
        <v/>
      </c>
      <c r="Y40" s="9" t="str">
        <f t="shared" si="24"/>
        <v/>
      </c>
      <c r="Z40" s="9" t="str">
        <f t="shared" si="24"/>
        <v/>
      </c>
      <c r="AA40" s="9" t="str">
        <f t="shared" si="24"/>
        <v/>
      </c>
      <c r="AB40" s="9" t="str">
        <f t="shared" si="24"/>
        <v/>
      </c>
      <c r="AC40" s="9" t="str">
        <f t="shared" si="24"/>
        <v/>
      </c>
      <c r="AD40" s="5"/>
      <c r="AE40" s="9">
        <f t="shared" ref="AE40:BA40" si="25">IF(AE17="","",(AE17/$AE$23))</f>
        <v>1.2616906403040302</v>
      </c>
      <c r="AF40" s="9" t="str">
        <f t="shared" si="25"/>
        <v/>
      </c>
      <c r="AG40" s="9" t="str">
        <f t="shared" si="25"/>
        <v/>
      </c>
      <c r="AH40" s="9" t="str">
        <f t="shared" si="25"/>
        <v/>
      </c>
      <c r="AI40" s="9" t="str">
        <f t="shared" si="25"/>
        <v/>
      </c>
      <c r="AJ40" s="9" t="str">
        <f t="shared" si="25"/>
        <v/>
      </c>
      <c r="AK40" s="9" t="str">
        <f t="shared" si="25"/>
        <v/>
      </c>
      <c r="AL40" s="9" t="str">
        <f t="shared" si="25"/>
        <v/>
      </c>
      <c r="AM40" s="9" t="str">
        <f t="shared" si="25"/>
        <v/>
      </c>
      <c r="AN40" s="9" t="str">
        <f t="shared" si="25"/>
        <v/>
      </c>
      <c r="AO40" s="9" t="str">
        <f t="shared" si="25"/>
        <v/>
      </c>
      <c r="AP40" s="9" t="str">
        <f t="shared" si="25"/>
        <v/>
      </c>
      <c r="AQ40" s="9" t="str">
        <f t="shared" si="25"/>
        <v/>
      </c>
      <c r="AR40" s="9" t="str">
        <f t="shared" si="25"/>
        <v/>
      </c>
      <c r="AS40" s="9" t="str">
        <f t="shared" si="25"/>
        <v/>
      </c>
      <c r="AT40" s="9" t="str">
        <f t="shared" si="25"/>
        <v/>
      </c>
      <c r="AU40" s="9" t="str">
        <f t="shared" si="25"/>
        <v/>
      </c>
      <c r="AV40" s="9" t="str">
        <f t="shared" si="25"/>
        <v/>
      </c>
      <c r="AW40" s="9" t="str">
        <f t="shared" si="25"/>
        <v/>
      </c>
      <c r="AX40" s="9" t="str">
        <f t="shared" si="25"/>
        <v/>
      </c>
      <c r="AY40" s="9" t="str">
        <f t="shared" si="25"/>
        <v/>
      </c>
      <c r="AZ40" s="9" t="str">
        <f t="shared" si="25"/>
        <v/>
      </c>
      <c r="BA40" s="9" t="str">
        <f t="shared" si="25"/>
        <v/>
      </c>
    </row>
    <row r="41" spans="1:53" x14ac:dyDescent="0.25">
      <c r="A41" s="199"/>
      <c r="B41" s="9" t="str">
        <f t="shared" ref="B41:J41" si="26">IF(B18="","",(B18/$AE$23))</f>
        <v/>
      </c>
      <c r="C41" s="9" t="str">
        <f t="shared" si="26"/>
        <v/>
      </c>
      <c r="D41" s="9" t="str">
        <f t="shared" si="26"/>
        <v/>
      </c>
      <c r="E41" s="9" t="str">
        <f t="shared" si="26"/>
        <v/>
      </c>
      <c r="F41" s="9" t="str">
        <f t="shared" si="26"/>
        <v/>
      </c>
      <c r="G41" s="9" t="str">
        <f t="shared" si="26"/>
        <v/>
      </c>
      <c r="H41" s="9" t="str">
        <f t="shared" si="26"/>
        <v/>
      </c>
      <c r="I41" s="9" t="str">
        <f t="shared" si="26"/>
        <v/>
      </c>
      <c r="J41" s="9" t="str">
        <f t="shared" si="26"/>
        <v/>
      </c>
      <c r="K41" s="9" t="str">
        <f t="shared" ref="K41:AC41" si="27">IF(K18="","",(K18/$AE$23))</f>
        <v/>
      </c>
      <c r="L41" s="9" t="str">
        <f t="shared" si="27"/>
        <v/>
      </c>
      <c r="M41" s="9" t="str">
        <f t="shared" si="27"/>
        <v/>
      </c>
      <c r="N41" s="9" t="str">
        <f t="shared" si="27"/>
        <v/>
      </c>
      <c r="O41" s="9" t="str">
        <f t="shared" si="27"/>
        <v/>
      </c>
      <c r="P41" s="9" t="str">
        <f t="shared" si="27"/>
        <v/>
      </c>
      <c r="Q41" s="9" t="str">
        <f t="shared" si="27"/>
        <v/>
      </c>
      <c r="R41" s="9" t="str">
        <f t="shared" si="27"/>
        <v/>
      </c>
      <c r="S41" s="9" t="str">
        <f t="shared" si="27"/>
        <v/>
      </c>
      <c r="T41" s="9" t="str">
        <f t="shared" si="27"/>
        <v/>
      </c>
      <c r="U41" s="9" t="str">
        <f t="shared" si="27"/>
        <v/>
      </c>
      <c r="V41" s="9" t="str">
        <f t="shared" si="27"/>
        <v/>
      </c>
      <c r="W41" s="9" t="str">
        <f t="shared" si="27"/>
        <v/>
      </c>
      <c r="X41" s="9" t="str">
        <f t="shared" si="27"/>
        <v/>
      </c>
      <c r="Y41" s="9" t="str">
        <f t="shared" si="27"/>
        <v/>
      </c>
      <c r="Z41" s="9" t="str">
        <f t="shared" si="27"/>
        <v/>
      </c>
      <c r="AA41" s="9" t="str">
        <f t="shared" si="27"/>
        <v/>
      </c>
      <c r="AB41" s="9" t="str">
        <f t="shared" si="27"/>
        <v/>
      </c>
      <c r="AC41" s="9" t="str">
        <f t="shared" si="27"/>
        <v/>
      </c>
      <c r="AD41" s="5"/>
      <c r="AE41" s="9">
        <f t="shared" ref="AE41:BA41" si="28">IF(AE18="","",(AE18/$AE$23))</f>
        <v>1.1982189442414888</v>
      </c>
      <c r="AF41" s="9" t="str">
        <f t="shared" si="28"/>
        <v/>
      </c>
      <c r="AG41" s="9" t="str">
        <f t="shared" si="28"/>
        <v/>
      </c>
      <c r="AH41" s="9" t="str">
        <f t="shared" si="28"/>
        <v/>
      </c>
      <c r="AI41" s="9" t="str">
        <f t="shared" si="28"/>
        <v/>
      </c>
      <c r="AJ41" s="9" t="str">
        <f t="shared" si="28"/>
        <v/>
      </c>
      <c r="AK41" s="9" t="str">
        <f t="shared" si="28"/>
        <v/>
      </c>
      <c r="AL41" s="9" t="str">
        <f t="shared" si="28"/>
        <v/>
      </c>
      <c r="AM41" s="9" t="str">
        <f t="shared" si="28"/>
        <v/>
      </c>
      <c r="AN41" s="9" t="str">
        <f t="shared" si="28"/>
        <v/>
      </c>
      <c r="AO41" s="9" t="str">
        <f t="shared" si="28"/>
        <v/>
      </c>
      <c r="AP41" s="9" t="str">
        <f t="shared" si="28"/>
        <v/>
      </c>
      <c r="AQ41" s="9" t="str">
        <f t="shared" si="28"/>
        <v/>
      </c>
      <c r="AR41" s="9" t="str">
        <f t="shared" si="28"/>
        <v/>
      </c>
      <c r="AS41" s="9" t="str">
        <f t="shared" si="28"/>
        <v/>
      </c>
      <c r="AT41" s="9" t="str">
        <f t="shared" si="28"/>
        <v/>
      </c>
      <c r="AU41" s="9" t="str">
        <f t="shared" si="28"/>
        <v/>
      </c>
      <c r="AV41" s="9" t="str">
        <f t="shared" si="28"/>
        <v/>
      </c>
      <c r="AW41" s="9" t="str">
        <f t="shared" si="28"/>
        <v/>
      </c>
      <c r="AX41" s="9" t="str">
        <f t="shared" si="28"/>
        <v/>
      </c>
      <c r="AY41" s="9" t="str">
        <f t="shared" si="28"/>
        <v/>
      </c>
      <c r="AZ41" s="9" t="str">
        <f t="shared" si="28"/>
        <v/>
      </c>
      <c r="BA41" s="9" t="str">
        <f t="shared" si="28"/>
        <v/>
      </c>
    </row>
    <row r="42" spans="1:53" x14ac:dyDescent="0.25">
      <c r="A42" s="199"/>
      <c r="B42" s="9" t="str">
        <f t="shared" ref="B42:J42" si="29">IF(B19="","",(B19/$AE$23))</f>
        <v/>
      </c>
      <c r="C42" s="9" t="str">
        <f t="shared" si="29"/>
        <v/>
      </c>
      <c r="D42" s="9" t="str">
        <f t="shared" si="29"/>
        <v/>
      </c>
      <c r="E42" s="9" t="str">
        <f t="shared" si="29"/>
        <v/>
      </c>
      <c r="F42" s="9" t="str">
        <f t="shared" si="29"/>
        <v/>
      </c>
      <c r="G42" s="9" t="str">
        <f t="shared" si="29"/>
        <v/>
      </c>
      <c r="H42" s="9" t="str">
        <f t="shared" si="29"/>
        <v/>
      </c>
      <c r="I42" s="9" t="str">
        <f t="shared" si="29"/>
        <v/>
      </c>
      <c r="J42" s="9" t="str">
        <f t="shared" si="29"/>
        <v/>
      </c>
      <c r="K42" s="9" t="str">
        <f t="shared" ref="K42:AC42" si="30">IF(K19="","",(K19/$AE$23))</f>
        <v/>
      </c>
      <c r="L42" s="9" t="str">
        <f t="shared" si="30"/>
        <v/>
      </c>
      <c r="M42" s="9" t="str">
        <f t="shared" si="30"/>
        <v/>
      </c>
      <c r="N42" s="9" t="str">
        <f t="shared" si="30"/>
        <v/>
      </c>
      <c r="O42" s="9" t="str">
        <f t="shared" si="30"/>
        <v/>
      </c>
      <c r="P42" s="9" t="str">
        <f t="shared" si="30"/>
        <v/>
      </c>
      <c r="Q42" s="9" t="str">
        <f t="shared" si="30"/>
        <v/>
      </c>
      <c r="R42" s="9" t="str">
        <f t="shared" si="30"/>
        <v/>
      </c>
      <c r="S42" s="9" t="str">
        <f t="shared" si="30"/>
        <v/>
      </c>
      <c r="T42" s="9" t="str">
        <f t="shared" si="30"/>
        <v/>
      </c>
      <c r="U42" s="9" t="str">
        <f t="shared" si="30"/>
        <v/>
      </c>
      <c r="V42" s="9" t="str">
        <f t="shared" si="30"/>
        <v/>
      </c>
      <c r="W42" s="9" t="str">
        <f t="shared" si="30"/>
        <v/>
      </c>
      <c r="X42" s="9" t="str">
        <f t="shared" si="30"/>
        <v/>
      </c>
      <c r="Y42" s="9" t="str">
        <f t="shared" si="30"/>
        <v/>
      </c>
      <c r="Z42" s="9" t="str">
        <f t="shared" si="30"/>
        <v/>
      </c>
      <c r="AA42" s="9" t="str">
        <f t="shared" si="30"/>
        <v/>
      </c>
      <c r="AB42" s="9" t="str">
        <f t="shared" si="30"/>
        <v/>
      </c>
      <c r="AC42" s="9" t="str">
        <f t="shared" si="30"/>
        <v/>
      </c>
      <c r="AD42" s="5"/>
      <c r="AE42" s="9">
        <f t="shared" ref="AE42:BA42" si="31">IF(AE19="","",(AE19/$AE$23))</f>
        <v>0.79117745980584708</v>
      </c>
      <c r="AF42" s="9" t="str">
        <f t="shared" si="31"/>
        <v/>
      </c>
      <c r="AG42" s="9" t="str">
        <f t="shared" si="31"/>
        <v/>
      </c>
      <c r="AH42" s="9" t="str">
        <f t="shared" si="31"/>
        <v/>
      </c>
      <c r="AI42" s="9" t="str">
        <f t="shared" si="31"/>
        <v/>
      </c>
      <c r="AJ42" s="9" t="str">
        <f t="shared" si="31"/>
        <v/>
      </c>
      <c r="AK42" s="9" t="str">
        <f t="shared" si="31"/>
        <v/>
      </c>
      <c r="AL42" s="9" t="str">
        <f t="shared" si="31"/>
        <v/>
      </c>
      <c r="AM42" s="9" t="str">
        <f t="shared" si="31"/>
        <v/>
      </c>
      <c r="AN42" s="9" t="str">
        <f t="shared" si="31"/>
        <v/>
      </c>
      <c r="AO42" s="9" t="str">
        <f t="shared" si="31"/>
        <v/>
      </c>
      <c r="AP42" s="9" t="str">
        <f t="shared" si="31"/>
        <v/>
      </c>
      <c r="AQ42" s="9" t="str">
        <f t="shared" si="31"/>
        <v/>
      </c>
      <c r="AR42" s="9" t="str">
        <f t="shared" si="31"/>
        <v/>
      </c>
      <c r="AS42" s="9" t="str">
        <f t="shared" si="31"/>
        <v/>
      </c>
      <c r="AT42" s="9" t="str">
        <f t="shared" si="31"/>
        <v/>
      </c>
      <c r="AU42" s="9" t="str">
        <f t="shared" si="31"/>
        <v/>
      </c>
      <c r="AV42" s="9" t="str">
        <f t="shared" si="31"/>
        <v/>
      </c>
      <c r="AW42" s="9" t="str">
        <f t="shared" si="31"/>
        <v/>
      </c>
      <c r="AX42" s="9" t="str">
        <f t="shared" si="31"/>
        <v/>
      </c>
      <c r="AY42" s="9" t="str">
        <f t="shared" si="31"/>
        <v/>
      </c>
      <c r="AZ42" s="9" t="str">
        <f t="shared" si="31"/>
        <v/>
      </c>
      <c r="BA42" s="9" t="str">
        <f t="shared" si="31"/>
        <v/>
      </c>
    </row>
    <row r="43" spans="1:53" x14ac:dyDescent="0.25">
      <c r="A43" s="199"/>
      <c r="B43" s="9" t="str">
        <f t="shared" ref="B43:J43" si="32">IF(B20="","",(B20/$AE$23))</f>
        <v/>
      </c>
      <c r="C43" s="9" t="str">
        <f t="shared" si="32"/>
        <v/>
      </c>
      <c r="D43" s="9" t="str">
        <f t="shared" si="32"/>
        <v/>
      </c>
      <c r="E43" s="9" t="str">
        <f t="shared" si="32"/>
        <v/>
      </c>
      <c r="F43" s="9" t="str">
        <f t="shared" si="32"/>
        <v/>
      </c>
      <c r="G43" s="9" t="str">
        <f t="shared" si="32"/>
        <v/>
      </c>
      <c r="H43" s="9" t="str">
        <f t="shared" si="32"/>
        <v/>
      </c>
      <c r="I43" s="9" t="str">
        <f t="shared" si="32"/>
        <v/>
      </c>
      <c r="J43" s="9" t="str">
        <f t="shared" si="32"/>
        <v/>
      </c>
      <c r="K43" s="9" t="str">
        <f t="shared" ref="K43:AC43" si="33">IF(K20="","",(K20/$AE$23))</f>
        <v/>
      </c>
      <c r="L43" s="9" t="str">
        <f t="shared" si="33"/>
        <v/>
      </c>
      <c r="M43" s="9" t="str">
        <f t="shared" si="33"/>
        <v/>
      </c>
      <c r="N43" s="9" t="str">
        <f t="shared" si="33"/>
        <v/>
      </c>
      <c r="O43" s="9" t="str">
        <f t="shared" si="33"/>
        <v/>
      </c>
      <c r="P43" s="9" t="str">
        <f t="shared" si="33"/>
        <v/>
      </c>
      <c r="Q43" s="9" t="str">
        <f t="shared" si="33"/>
        <v/>
      </c>
      <c r="R43" s="9" t="str">
        <f t="shared" si="33"/>
        <v/>
      </c>
      <c r="S43" s="9" t="str">
        <f t="shared" si="33"/>
        <v/>
      </c>
      <c r="T43" s="9" t="str">
        <f t="shared" si="33"/>
        <v/>
      </c>
      <c r="U43" s="9" t="str">
        <f t="shared" si="33"/>
        <v/>
      </c>
      <c r="V43" s="9" t="str">
        <f t="shared" si="33"/>
        <v/>
      </c>
      <c r="W43" s="9" t="str">
        <f t="shared" si="33"/>
        <v/>
      </c>
      <c r="X43" s="9" t="str">
        <f t="shared" si="33"/>
        <v/>
      </c>
      <c r="Y43" s="9" t="str">
        <f t="shared" si="33"/>
        <v/>
      </c>
      <c r="Z43" s="9" t="str">
        <f t="shared" si="33"/>
        <v/>
      </c>
      <c r="AA43" s="9" t="str">
        <f t="shared" si="33"/>
        <v/>
      </c>
      <c r="AB43" s="9" t="str">
        <f t="shared" si="33"/>
        <v/>
      </c>
      <c r="AC43" s="9" t="str">
        <f t="shared" si="33"/>
        <v/>
      </c>
      <c r="AD43" s="5"/>
      <c r="AE43" s="9">
        <f t="shared" ref="AE43:BA43" si="34">IF(AE20="","",(AE20/$AE$23))</f>
        <v>0.71783743368857256</v>
      </c>
      <c r="AF43" s="9" t="str">
        <f t="shared" si="34"/>
        <v/>
      </c>
      <c r="AG43" s="9" t="str">
        <f t="shared" si="34"/>
        <v/>
      </c>
      <c r="AH43" s="9" t="str">
        <f t="shared" si="34"/>
        <v/>
      </c>
      <c r="AI43" s="9" t="str">
        <f t="shared" si="34"/>
        <v/>
      </c>
      <c r="AJ43" s="9" t="str">
        <f t="shared" si="34"/>
        <v/>
      </c>
      <c r="AK43" s="9" t="str">
        <f t="shared" si="34"/>
        <v/>
      </c>
      <c r="AL43" s="9" t="str">
        <f t="shared" si="34"/>
        <v/>
      </c>
      <c r="AM43" s="9" t="str">
        <f t="shared" si="34"/>
        <v/>
      </c>
      <c r="AN43" s="9" t="str">
        <f t="shared" si="34"/>
        <v/>
      </c>
      <c r="AO43" s="9" t="str">
        <f t="shared" si="34"/>
        <v/>
      </c>
      <c r="AP43" s="9" t="str">
        <f t="shared" si="34"/>
        <v/>
      </c>
      <c r="AQ43" s="9" t="str">
        <f t="shared" si="34"/>
        <v/>
      </c>
      <c r="AR43" s="9" t="str">
        <f t="shared" si="34"/>
        <v/>
      </c>
      <c r="AS43" s="9" t="str">
        <f t="shared" si="34"/>
        <v/>
      </c>
      <c r="AT43" s="9" t="str">
        <f t="shared" si="34"/>
        <v/>
      </c>
      <c r="AU43" s="9" t="str">
        <f t="shared" si="34"/>
        <v/>
      </c>
      <c r="AV43" s="9" t="str">
        <f t="shared" si="34"/>
        <v/>
      </c>
      <c r="AW43" s="9" t="str">
        <f t="shared" si="34"/>
        <v/>
      </c>
      <c r="AX43" s="9" t="str">
        <f t="shared" si="34"/>
        <v/>
      </c>
      <c r="AY43" s="9" t="str">
        <f t="shared" si="34"/>
        <v/>
      </c>
      <c r="AZ43" s="9" t="str">
        <f t="shared" si="34"/>
        <v/>
      </c>
      <c r="BA43" s="9" t="str">
        <f t="shared" si="34"/>
        <v/>
      </c>
    </row>
    <row r="44" spans="1:53"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row>
    <row r="45" spans="1:53" x14ac:dyDescent="0.25">
      <c r="A45" s="2" t="str">
        <f>A4</f>
        <v>Noms des groupes</v>
      </c>
      <c r="B45" s="2" t="str">
        <f t="shared" ref="B45:J45" si="35">B4</f>
        <v>Témoin solvant</v>
      </c>
      <c r="C45" s="2" t="str">
        <f t="shared" si="35"/>
        <v>EE2-33,8ng/L</v>
      </c>
      <c r="D45" s="2" t="str">
        <f t="shared" si="35"/>
        <v>EE2-50,6ng/L</v>
      </c>
      <c r="E45" s="2" t="str">
        <f t="shared" si="35"/>
        <v>EE2-76ng/L</v>
      </c>
      <c r="F45" s="2" t="str">
        <f t="shared" si="35"/>
        <v>EE2-114ng/L</v>
      </c>
      <c r="G45" s="2" t="str">
        <f t="shared" si="35"/>
        <v>EE2-170,9ng/L</v>
      </c>
      <c r="H45" s="2" t="str">
        <f t="shared" si="35"/>
        <v>EE2-488ng/L</v>
      </c>
      <c r="I45" s="2" t="str">
        <f t="shared" si="35"/>
        <v>Triphénylphosphate-0,18mg/L</v>
      </c>
      <c r="J45" s="2" t="str">
        <f t="shared" si="35"/>
        <v>Triphénylphosphate-0,26mg/L</v>
      </c>
      <c r="K45" s="2" t="str">
        <f t="shared" ref="K45:N45" si="36">K4</f>
        <v>Triphénylphosphate-0,4mg/L</v>
      </c>
      <c r="L45" s="2" t="str">
        <f t="shared" si="36"/>
        <v>Triphénylphosphate-0,59mg/L</v>
      </c>
      <c r="M45" s="2" t="str">
        <f t="shared" si="36"/>
        <v>Triphénylphosphate-0,89mg/L</v>
      </c>
      <c r="N45" s="2" t="str">
        <f t="shared" si="36"/>
        <v xml:space="preserve"> </v>
      </c>
      <c r="O45" s="2" t="e">
        <f>#REF!</f>
        <v>#REF!</v>
      </c>
      <c r="P45" s="2" t="e">
        <f>#REF!</f>
        <v>#REF!</v>
      </c>
      <c r="Q45" s="2" t="e">
        <f>#REF!</f>
        <v>#REF!</v>
      </c>
      <c r="R45" s="2" t="e">
        <f>#REF!</f>
        <v>#REF!</v>
      </c>
      <c r="S45" s="2" t="e">
        <f>#REF!</f>
        <v>#REF!</v>
      </c>
      <c r="T45" s="2" t="e">
        <f>#REF!</f>
        <v>#REF!</v>
      </c>
      <c r="U45" s="2" t="e">
        <f>#REF!</f>
        <v>#REF!</v>
      </c>
      <c r="V45" s="2" t="e">
        <f>#REF!</f>
        <v>#REF!</v>
      </c>
      <c r="W45" s="2" t="e">
        <f>#REF!</f>
        <v>#REF!</v>
      </c>
      <c r="X45" s="2" t="e">
        <f>#REF!</f>
        <v>#REF!</v>
      </c>
      <c r="Y45" s="2" t="e">
        <f>#REF!</f>
        <v>#REF!</v>
      </c>
      <c r="Z45" s="2" t="e">
        <f>#REF!</f>
        <v>#REF!</v>
      </c>
      <c r="AA45" s="2" t="e">
        <f>#REF!</f>
        <v>#REF!</v>
      </c>
      <c r="AB45" s="2" t="e">
        <f>#REF!</f>
        <v>#REF!</v>
      </c>
      <c r="AC45" s="2" t="e">
        <f>#REF!</f>
        <v>#REF!</v>
      </c>
      <c r="AD45" s="2"/>
      <c r="AE45" s="2" t="str">
        <f>O4</f>
        <v>Testo -30µg/L</v>
      </c>
      <c r="AF45" s="2" t="str">
        <f>P4</f>
        <v>Testo 30µg/L + EE2 -64ng/L</v>
      </c>
      <c r="AG45" s="2" t="str">
        <f>Q4</f>
        <v>Testo 30µg/L + FAD-10mg/L</v>
      </c>
      <c r="AH45" s="2" t="str">
        <f>R4</f>
        <v>Triphénylphosphate-0,18mg/L + Testostérone</v>
      </c>
      <c r="AI45" s="2" t="str">
        <f>S4</f>
        <v>Triphénylphosphate-0,26mg/L + Testostérone</v>
      </c>
      <c r="AJ45" s="2" t="str">
        <f>T4</f>
        <v>Triphénylphosphate-0,4mg/L + Testostérone</v>
      </c>
      <c r="AK45" s="2" t="str">
        <f>U4</f>
        <v>Triphénylphosphate-0,59mg/L + Testostérone</v>
      </c>
      <c r="AL45" s="2" t="str">
        <f>V4</f>
        <v>Triphénylphosphate-0,89mg/L + Testostérone</v>
      </c>
      <c r="AM45" s="2" t="str">
        <f>W4</f>
        <v>0-00 + Testostérone</v>
      </c>
      <c r="AN45" s="2" t="str">
        <f>X4</f>
        <v>0-00 + Testostérone</v>
      </c>
      <c r="AO45" s="2" t="str">
        <f>Y4</f>
        <v>0-00 + Testostérone</v>
      </c>
      <c r="AP45" s="2" t="str">
        <f>Z4</f>
        <v>0-00 + Testostérone</v>
      </c>
      <c r="AQ45" s="2" t="str">
        <f>AA4</f>
        <v>0-00 + Testostérone</v>
      </c>
      <c r="AR45" s="2" t="str">
        <f>AB4</f>
        <v>0-00 + Testostérone</v>
      </c>
      <c r="AS45" s="2" t="str">
        <f>AC4</f>
        <v>0-00 + Testostérone</v>
      </c>
      <c r="AT45" s="2" t="str">
        <f>AD4</f>
        <v>0-00 + Testostérone</v>
      </c>
      <c r="AU45" s="2" t="str">
        <f>AE4</f>
        <v>0-00 + Testostérone</v>
      </c>
      <c r="AV45" s="2" t="str">
        <f>AF4</f>
        <v>0-00 + Testostérone</v>
      </c>
      <c r="AW45" s="2" t="str">
        <f>AG4</f>
        <v>0-00 + Testostérone</v>
      </c>
      <c r="AX45" s="2" t="str">
        <f>AH4</f>
        <v>0-00 + Testostérone</v>
      </c>
      <c r="AY45" s="2" t="str">
        <f>AI4</f>
        <v>0-00 + Testostérone</v>
      </c>
      <c r="AZ45" s="2" t="str">
        <f>AJ4</f>
        <v>0-00 + Testostérone</v>
      </c>
      <c r="BA45" s="2" t="str">
        <f>AK4</f>
        <v>0-00 + Testostérone</v>
      </c>
    </row>
    <row r="46" spans="1:53" x14ac:dyDescent="0.25">
      <c r="A46" s="6" t="s">
        <v>0</v>
      </c>
      <c r="B46" s="8">
        <f t="shared" ref="B46:H46" si="37">AVERAGE(B28:B43)</f>
        <v>0.1103116675364771</v>
      </c>
      <c r="C46" s="8">
        <f t="shared" si="37"/>
        <v>0.10120015045916261</v>
      </c>
      <c r="D46" s="8">
        <f t="shared" si="37"/>
        <v>7.2298910989847406E-2</v>
      </c>
      <c r="E46" s="8">
        <f t="shared" si="37"/>
        <v>0.31656212506168224</v>
      </c>
      <c r="F46" s="8">
        <f t="shared" si="37"/>
        <v>0.7422576962915024</v>
      </c>
      <c r="G46" s="8">
        <f t="shared" si="37"/>
        <v>1.5382322685782159</v>
      </c>
      <c r="H46" s="8">
        <f t="shared" si="37"/>
        <v>2.258894356616918</v>
      </c>
      <c r="I46" s="8">
        <f>AVERAGE(I28:I43)</f>
        <v>0.171629236526221</v>
      </c>
      <c r="J46" s="7">
        <f>AVERAGE(J28:J43)</f>
        <v>0.12435638558239351</v>
      </c>
      <c r="K46" s="7">
        <f t="shared" ref="K46:AC46" si="38">AVERAGE(K28:K43)</f>
        <v>0.16713731454203853</v>
      </c>
      <c r="L46" s="7">
        <f t="shared" si="38"/>
        <v>0.28297652893647718</v>
      </c>
      <c r="M46" s="7">
        <f t="shared" si="38"/>
        <v>1.1646437867981476</v>
      </c>
      <c r="N46" s="7" t="e">
        <f t="shared" si="38"/>
        <v>#DIV/0!</v>
      </c>
      <c r="O46" s="7" t="e">
        <f t="shared" si="38"/>
        <v>#REF!</v>
      </c>
      <c r="P46" s="7" t="e">
        <f t="shared" si="38"/>
        <v>#REF!</v>
      </c>
      <c r="Q46" s="7" t="e">
        <f t="shared" si="38"/>
        <v>#REF!</v>
      </c>
      <c r="R46" s="7" t="e">
        <f t="shared" si="38"/>
        <v>#REF!</v>
      </c>
      <c r="S46" s="7" t="e">
        <f t="shared" si="38"/>
        <v>#REF!</v>
      </c>
      <c r="T46" s="7" t="e">
        <f t="shared" si="38"/>
        <v>#REF!</v>
      </c>
      <c r="U46" s="7" t="e">
        <f t="shared" si="38"/>
        <v>#REF!</v>
      </c>
      <c r="V46" s="7" t="e">
        <f t="shared" si="38"/>
        <v>#REF!</v>
      </c>
      <c r="W46" s="7" t="e">
        <f t="shared" si="38"/>
        <v>#REF!</v>
      </c>
      <c r="X46" s="7" t="e">
        <f t="shared" si="38"/>
        <v>#REF!</v>
      </c>
      <c r="Y46" s="7" t="e">
        <f t="shared" si="38"/>
        <v>#REF!</v>
      </c>
      <c r="Z46" s="7" t="e">
        <f t="shared" si="38"/>
        <v>#REF!</v>
      </c>
      <c r="AA46" s="7" t="e">
        <f t="shared" si="38"/>
        <v>#REF!</v>
      </c>
      <c r="AB46" s="7" t="e">
        <f t="shared" si="38"/>
        <v>#REF!</v>
      </c>
      <c r="AC46" s="7" t="e">
        <f t="shared" si="38"/>
        <v>#REF!</v>
      </c>
      <c r="AD46" s="6" t="s">
        <v>0</v>
      </c>
      <c r="AE46" s="8">
        <f t="shared" ref="AE46:AH46" si="39">AVERAGE(AE28:AE43)</f>
        <v>1.0604337978932876</v>
      </c>
      <c r="AF46" s="8">
        <f t="shared" si="39"/>
        <v>1.6166139986475572</v>
      </c>
      <c r="AG46" s="8">
        <f t="shared" si="39"/>
        <v>0.12135582711755104</v>
      </c>
      <c r="AH46" s="8">
        <f t="shared" si="39"/>
        <v>1.3056511415346128</v>
      </c>
      <c r="AI46" s="8">
        <f t="shared" ref="AI46:BA46" si="40">AVERAGE(AI28:AI43)</f>
        <v>1.7596392223435551</v>
      </c>
      <c r="AJ46" s="8">
        <f t="shared" si="40"/>
        <v>1.5689983271867098</v>
      </c>
      <c r="AK46" s="8">
        <f t="shared" si="40"/>
        <v>1.5110586285167049</v>
      </c>
      <c r="AL46" s="8">
        <f t="shared" si="40"/>
        <v>1.7296515630865144</v>
      </c>
      <c r="AM46" s="8" t="e">
        <f t="shared" si="40"/>
        <v>#DIV/0!</v>
      </c>
      <c r="AN46" s="8" t="e">
        <f t="shared" si="40"/>
        <v>#DIV/0!</v>
      </c>
      <c r="AO46" s="8" t="e">
        <f t="shared" si="40"/>
        <v>#DIV/0!</v>
      </c>
      <c r="AP46" s="8" t="e">
        <f t="shared" si="40"/>
        <v>#DIV/0!</v>
      </c>
      <c r="AQ46" s="8" t="e">
        <f t="shared" si="40"/>
        <v>#DIV/0!</v>
      </c>
      <c r="AR46" s="8" t="e">
        <f t="shared" si="40"/>
        <v>#DIV/0!</v>
      </c>
      <c r="AS46" s="8" t="e">
        <f t="shared" si="40"/>
        <v>#DIV/0!</v>
      </c>
      <c r="AT46" s="8" t="e">
        <f t="shared" si="40"/>
        <v>#DIV/0!</v>
      </c>
      <c r="AU46" s="8" t="e">
        <f t="shared" si="40"/>
        <v>#DIV/0!</v>
      </c>
      <c r="AV46" s="8" t="e">
        <f t="shared" si="40"/>
        <v>#DIV/0!</v>
      </c>
      <c r="AW46" s="8" t="e">
        <f t="shared" si="40"/>
        <v>#DIV/0!</v>
      </c>
      <c r="AX46" s="8" t="e">
        <f t="shared" si="40"/>
        <v>#DIV/0!</v>
      </c>
      <c r="AY46" s="8" t="e">
        <f t="shared" si="40"/>
        <v>#DIV/0!</v>
      </c>
      <c r="AZ46" s="8" t="e">
        <f t="shared" si="40"/>
        <v>#DIV/0!</v>
      </c>
      <c r="BA46" s="8" t="e">
        <f t="shared" si="40"/>
        <v>#DIV/0!</v>
      </c>
    </row>
    <row r="47" spans="1:53" x14ac:dyDescent="0.25">
      <c r="A47" s="6" t="s">
        <v>1</v>
      </c>
      <c r="B47" s="6">
        <f t="shared" ref="B47:J47" si="41">STDEV(B28:B43)</f>
        <v>6.6928552699421148E-2</v>
      </c>
      <c r="C47" s="6">
        <f t="shared" si="41"/>
        <v>0.1182314419758335</v>
      </c>
      <c r="D47" s="6">
        <f t="shared" si="41"/>
        <v>6.9133115563219188E-2</v>
      </c>
      <c r="E47" s="6">
        <f t="shared" si="41"/>
        <v>0.17136882900496811</v>
      </c>
      <c r="F47" s="6">
        <f t="shared" si="41"/>
        <v>0.53740518342630661</v>
      </c>
      <c r="G47" s="6">
        <f t="shared" si="41"/>
        <v>0.1811436583571947</v>
      </c>
      <c r="H47" s="6">
        <f t="shared" si="41"/>
        <v>0.45683319899966918</v>
      </c>
      <c r="I47" s="6">
        <f t="shared" si="41"/>
        <v>6.2544432813511741E-2</v>
      </c>
      <c r="J47" s="6">
        <f t="shared" si="41"/>
        <v>0.10118114314165816</v>
      </c>
      <c r="K47" s="6">
        <f t="shared" ref="K47:AC47" si="42">STDEV(K28:K43)</f>
        <v>0.1151327130882652</v>
      </c>
      <c r="L47" s="6">
        <f t="shared" si="42"/>
        <v>0.22917749915674721</v>
      </c>
      <c r="M47" s="6">
        <f t="shared" si="42"/>
        <v>0.71955827145566409</v>
      </c>
      <c r="N47" s="6" t="e">
        <f t="shared" si="42"/>
        <v>#DIV/0!</v>
      </c>
      <c r="O47" s="6" t="e">
        <f t="shared" si="42"/>
        <v>#REF!</v>
      </c>
      <c r="P47" s="6" t="e">
        <f t="shared" si="42"/>
        <v>#REF!</v>
      </c>
      <c r="Q47" s="6" t="e">
        <f t="shared" si="42"/>
        <v>#REF!</v>
      </c>
      <c r="R47" s="6" t="e">
        <f t="shared" si="42"/>
        <v>#REF!</v>
      </c>
      <c r="S47" s="6" t="e">
        <f t="shared" si="42"/>
        <v>#REF!</v>
      </c>
      <c r="T47" s="6" t="e">
        <f t="shared" si="42"/>
        <v>#REF!</v>
      </c>
      <c r="U47" s="6" t="e">
        <f t="shared" si="42"/>
        <v>#REF!</v>
      </c>
      <c r="V47" s="6" t="e">
        <f t="shared" si="42"/>
        <v>#REF!</v>
      </c>
      <c r="W47" s="6" t="e">
        <f t="shared" si="42"/>
        <v>#REF!</v>
      </c>
      <c r="X47" s="6" t="e">
        <f t="shared" si="42"/>
        <v>#REF!</v>
      </c>
      <c r="Y47" s="6" t="e">
        <f t="shared" si="42"/>
        <v>#REF!</v>
      </c>
      <c r="Z47" s="6" t="e">
        <f t="shared" si="42"/>
        <v>#REF!</v>
      </c>
      <c r="AA47" s="6" t="e">
        <f t="shared" si="42"/>
        <v>#REF!</v>
      </c>
      <c r="AB47" s="6" t="e">
        <f t="shared" si="42"/>
        <v>#REF!</v>
      </c>
      <c r="AC47" s="6" t="e">
        <f t="shared" si="42"/>
        <v>#REF!</v>
      </c>
      <c r="AD47" s="6" t="s">
        <v>1</v>
      </c>
      <c r="AE47" s="6">
        <f t="shared" ref="AE47:AH47" si="43">STDEV(AE28:AE43)</f>
        <v>0.40830926401634565</v>
      </c>
      <c r="AF47" s="6">
        <f t="shared" si="43"/>
        <v>0.73675625818687429</v>
      </c>
      <c r="AG47" s="6">
        <f t="shared" si="43"/>
        <v>0.10333661997530616</v>
      </c>
      <c r="AH47" s="6">
        <f t="shared" si="43"/>
        <v>0.54646178687509694</v>
      </c>
      <c r="AI47" s="6">
        <f t="shared" ref="AI47:BA47" si="44">STDEV(AI28:AI43)</f>
        <v>0.64022076397263772</v>
      </c>
      <c r="AJ47" s="6">
        <f t="shared" si="44"/>
        <v>0.80109473686670096</v>
      </c>
      <c r="AK47" s="6">
        <f t="shared" si="44"/>
        <v>0.73746208240892186</v>
      </c>
      <c r="AL47" s="6">
        <f t="shared" si="44"/>
        <v>0.51302789513429281</v>
      </c>
      <c r="AM47" s="6" t="e">
        <f t="shared" si="44"/>
        <v>#DIV/0!</v>
      </c>
      <c r="AN47" s="6" t="e">
        <f t="shared" si="44"/>
        <v>#DIV/0!</v>
      </c>
      <c r="AO47" s="6" t="e">
        <f t="shared" si="44"/>
        <v>#DIV/0!</v>
      </c>
      <c r="AP47" s="6" t="e">
        <f t="shared" si="44"/>
        <v>#DIV/0!</v>
      </c>
      <c r="AQ47" s="6" t="e">
        <f t="shared" si="44"/>
        <v>#DIV/0!</v>
      </c>
      <c r="AR47" s="6" t="e">
        <f t="shared" si="44"/>
        <v>#DIV/0!</v>
      </c>
      <c r="AS47" s="6" t="e">
        <f t="shared" si="44"/>
        <v>#DIV/0!</v>
      </c>
      <c r="AT47" s="6" t="e">
        <f t="shared" si="44"/>
        <v>#DIV/0!</v>
      </c>
      <c r="AU47" s="6" t="e">
        <f t="shared" si="44"/>
        <v>#DIV/0!</v>
      </c>
      <c r="AV47" s="6" t="e">
        <f t="shared" si="44"/>
        <v>#DIV/0!</v>
      </c>
      <c r="AW47" s="6" t="e">
        <f t="shared" si="44"/>
        <v>#DIV/0!</v>
      </c>
      <c r="AX47" s="6" t="e">
        <f t="shared" si="44"/>
        <v>#DIV/0!</v>
      </c>
      <c r="AY47" s="6" t="e">
        <f t="shared" si="44"/>
        <v>#DIV/0!</v>
      </c>
      <c r="AZ47" s="6" t="e">
        <f t="shared" si="44"/>
        <v>#DIV/0!</v>
      </c>
      <c r="BA47" s="6" t="e">
        <f t="shared" si="44"/>
        <v>#DIV/0!</v>
      </c>
    </row>
    <row r="48" spans="1:53" x14ac:dyDescent="0.25">
      <c r="A48" s="6" t="s">
        <v>2</v>
      </c>
      <c r="B48" s="6">
        <f t="shared" ref="B48:J48" si="45" xml:space="preserve"> B47/SQRT(COUNT(B28:B43))</f>
        <v>2.3662816734380952E-2</v>
      </c>
      <c r="C48" s="6">
        <f t="shared" si="45"/>
        <v>4.1801127185287841E-2</v>
      </c>
      <c r="D48" s="6">
        <f t="shared" si="45"/>
        <v>2.6129861591338146E-2</v>
      </c>
      <c r="E48" s="6">
        <f t="shared" si="45"/>
        <v>6.0588030536705431E-2</v>
      </c>
      <c r="F48" s="6">
        <f t="shared" si="45"/>
        <v>0.1900014247227709</v>
      </c>
      <c r="G48" s="6">
        <f t="shared" si="45"/>
        <v>6.8465867369940592E-2</v>
      </c>
      <c r="H48" s="6">
        <f t="shared" si="45"/>
        <v>0.16151492644190479</v>
      </c>
      <c r="I48" s="6">
        <f t="shared" si="45"/>
        <v>2.2112796283950284E-2</v>
      </c>
      <c r="J48" s="6">
        <f t="shared" si="45"/>
        <v>3.824287744600801E-2</v>
      </c>
      <c r="K48" s="6">
        <f t="shared" ref="K48:AC48" si="46" xml:space="preserve"> K47/SQRT(COUNT(K28:K43))</f>
        <v>4.0705561080558748E-2</v>
      </c>
      <c r="L48" s="6">
        <f t="shared" si="46"/>
        <v>8.1026481874555106E-2</v>
      </c>
      <c r="M48" s="6">
        <f t="shared" si="46"/>
        <v>0.2544022666025853</v>
      </c>
      <c r="N48" s="6" t="e">
        <f t="shared" si="46"/>
        <v>#DIV/0!</v>
      </c>
      <c r="O48" s="6" t="e">
        <f t="shared" si="46"/>
        <v>#REF!</v>
      </c>
      <c r="P48" s="6" t="e">
        <f t="shared" si="46"/>
        <v>#REF!</v>
      </c>
      <c r="Q48" s="6" t="e">
        <f t="shared" si="46"/>
        <v>#REF!</v>
      </c>
      <c r="R48" s="6" t="e">
        <f t="shared" si="46"/>
        <v>#REF!</v>
      </c>
      <c r="S48" s="6" t="e">
        <f t="shared" si="46"/>
        <v>#REF!</v>
      </c>
      <c r="T48" s="6" t="e">
        <f t="shared" si="46"/>
        <v>#REF!</v>
      </c>
      <c r="U48" s="6" t="e">
        <f t="shared" si="46"/>
        <v>#REF!</v>
      </c>
      <c r="V48" s="6" t="e">
        <f t="shared" si="46"/>
        <v>#REF!</v>
      </c>
      <c r="W48" s="6" t="e">
        <f t="shared" si="46"/>
        <v>#REF!</v>
      </c>
      <c r="X48" s="6" t="e">
        <f t="shared" si="46"/>
        <v>#REF!</v>
      </c>
      <c r="Y48" s="6" t="e">
        <f t="shared" si="46"/>
        <v>#REF!</v>
      </c>
      <c r="Z48" s="6" t="e">
        <f t="shared" si="46"/>
        <v>#REF!</v>
      </c>
      <c r="AA48" s="6" t="e">
        <f t="shared" si="46"/>
        <v>#REF!</v>
      </c>
      <c r="AB48" s="6" t="e">
        <f t="shared" si="46"/>
        <v>#REF!</v>
      </c>
      <c r="AC48" s="6" t="e">
        <f t="shared" si="46"/>
        <v>#REF!</v>
      </c>
      <c r="AD48" s="6" t="s">
        <v>2</v>
      </c>
      <c r="AE48" s="6">
        <f t="shared" ref="AE48:AH48" si="47" xml:space="preserve"> AE47/SQRT(COUNT(AE28:AE43))</f>
        <v>0.10207731600408641</v>
      </c>
      <c r="AF48" s="6">
        <f t="shared" si="47"/>
        <v>0.26048267312278278</v>
      </c>
      <c r="AG48" s="6">
        <f t="shared" si="47"/>
        <v>3.6535012364718109E-2</v>
      </c>
      <c r="AH48" s="6">
        <f t="shared" si="47"/>
        <v>0.19320341757934945</v>
      </c>
      <c r="AI48" s="6">
        <f t="shared" ref="AI48:BA48" si="48" xml:space="preserve"> AI47/SQRT(COUNT(AI28:AI43))</f>
        <v>0.22635222183074211</v>
      </c>
      <c r="AJ48" s="6">
        <f t="shared" si="48"/>
        <v>0.28322976040564857</v>
      </c>
      <c r="AK48" s="6">
        <f t="shared" si="48"/>
        <v>0.2607322196696506</v>
      </c>
      <c r="AL48" s="6">
        <f t="shared" si="48"/>
        <v>0.1813827517936597</v>
      </c>
      <c r="AM48" s="6" t="e">
        <f t="shared" si="48"/>
        <v>#DIV/0!</v>
      </c>
      <c r="AN48" s="6" t="e">
        <f t="shared" si="48"/>
        <v>#DIV/0!</v>
      </c>
      <c r="AO48" s="6" t="e">
        <f t="shared" si="48"/>
        <v>#DIV/0!</v>
      </c>
      <c r="AP48" s="6" t="e">
        <f t="shared" si="48"/>
        <v>#DIV/0!</v>
      </c>
      <c r="AQ48" s="6" t="e">
        <f t="shared" si="48"/>
        <v>#DIV/0!</v>
      </c>
      <c r="AR48" s="6" t="e">
        <f t="shared" si="48"/>
        <v>#DIV/0!</v>
      </c>
      <c r="AS48" s="6" t="e">
        <f t="shared" si="48"/>
        <v>#DIV/0!</v>
      </c>
      <c r="AT48" s="6" t="e">
        <f t="shared" si="48"/>
        <v>#DIV/0!</v>
      </c>
      <c r="AU48" s="6" t="e">
        <f t="shared" si="48"/>
        <v>#DIV/0!</v>
      </c>
      <c r="AV48" s="6" t="e">
        <f t="shared" si="48"/>
        <v>#DIV/0!</v>
      </c>
      <c r="AW48" s="6" t="e">
        <f t="shared" si="48"/>
        <v>#DIV/0!</v>
      </c>
      <c r="AX48" s="6" t="e">
        <f t="shared" si="48"/>
        <v>#DIV/0!</v>
      </c>
      <c r="AY48" s="6" t="e">
        <f t="shared" si="48"/>
        <v>#DIV/0!</v>
      </c>
      <c r="AZ48" s="6" t="e">
        <f t="shared" si="48"/>
        <v>#DIV/0!</v>
      </c>
      <c r="BA48" s="6" t="e">
        <f t="shared" si="48"/>
        <v>#DIV/0!</v>
      </c>
    </row>
    <row r="49" spans="1:53" ht="15.75" thickBo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row>
    <row r="50" spans="1:53" ht="27" thickBot="1" x14ac:dyDescent="0.45">
      <c r="A50" s="188" t="s">
        <v>44</v>
      </c>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90"/>
    </row>
    <row r="51" spans="1:53" ht="15.75" thickBot="1" x14ac:dyDescent="0.3"/>
    <row r="52" spans="1:53" x14ac:dyDescent="0.25">
      <c r="A52" s="27" t="str">
        <f t="shared" ref="A52:H52" si="49">A27</f>
        <v>Noms des groupes</v>
      </c>
      <c r="B52" s="28" t="str">
        <f t="shared" si="49"/>
        <v>Témoin solvant</v>
      </c>
      <c r="C52" s="28" t="str">
        <f t="shared" si="49"/>
        <v>EE2-33,8ng/L</v>
      </c>
      <c r="D52" s="28" t="str">
        <f t="shared" si="49"/>
        <v>EE2-50,6ng/L</v>
      </c>
      <c r="E52" s="28" t="str">
        <f t="shared" si="49"/>
        <v>EE2-76ng/L</v>
      </c>
      <c r="F52" s="28" t="str">
        <f t="shared" si="49"/>
        <v>EE2-114ng/L</v>
      </c>
      <c r="G52" s="28" t="str">
        <f t="shared" si="49"/>
        <v>EE2-170,9ng/L</v>
      </c>
      <c r="H52" s="28" t="str">
        <f t="shared" si="49"/>
        <v>EE2-488ng/L</v>
      </c>
      <c r="I52" s="28" t="str">
        <f>I4</f>
        <v>Triphénylphosphate-0,18mg/L</v>
      </c>
      <c r="J52" s="28" t="str">
        <f>J4</f>
        <v>Triphénylphosphate-0,26mg/L</v>
      </c>
      <c r="K52" s="28" t="str">
        <f t="shared" ref="K52:N52" si="50">K4</f>
        <v>Triphénylphosphate-0,4mg/L</v>
      </c>
      <c r="L52" s="28" t="str">
        <f t="shared" si="50"/>
        <v>Triphénylphosphate-0,59mg/L</v>
      </c>
      <c r="M52" s="28" t="str">
        <f t="shared" si="50"/>
        <v>Triphénylphosphate-0,89mg/L</v>
      </c>
      <c r="N52" s="28" t="str">
        <f t="shared" si="50"/>
        <v xml:space="preserve"> </v>
      </c>
      <c r="O52" s="28" t="e">
        <f>#REF!</f>
        <v>#REF!</v>
      </c>
      <c r="P52" s="28" t="e">
        <f>#REF!</f>
        <v>#REF!</v>
      </c>
      <c r="Q52" s="28" t="e">
        <f>#REF!</f>
        <v>#REF!</v>
      </c>
      <c r="R52" s="28" t="e">
        <f>#REF!</f>
        <v>#REF!</v>
      </c>
      <c r="S52" s="28" t="e">
        <f>#REF!</f>
        <v>#REF!</v>
      </c>
      <c r="T52" s="28" t="e">
        <f>#REF!</f>
        <v>#REF!</v>
      </c>
      <c r="U52" s="28" t="e">
        <f>#REF!</f>
        <v>#REF!</v>
      </c>
      <c r="V52" s="28" t="e">
        <f>#REF!</f>
        <v>#REF!</v>
      </c>
      <c r="W52" s="28" t="e">
        <f>#REF!</f>
        <v>#REF!</v>
      </c>
      <c r="X52" s="28" t="e">
        <f>#REF!</f>
        <v>#REF!</v>
      </c>
      <c r="Y52" s="28" t="e">
        <f>#REF!</f>
        <v>#REF!</v>
      </c>
      <c r="Z52" s="28" t="e">
        <f>#REF!</f>
        <v>#REF!</v>
      </c>
      <c r="AA52" s="28" t="e">
        <f>#REF!</f>
        <v>#REF!</v>
      </c>
      <c r="AB52" s="28" t="e">
        <f>#REF!</f>
        <v>#REF!</v>
      </c>
      <c r="AC52" s="28" t="e">
        <f>#REF!</f>
        <v>#REF!</v>
      </c>
      <c r="AD52" s="29"/>
      <c r="AE52" s="28" t="str">
        <f>AE27</f>
        <v>Testo -30µg/L</v>
      </c>
      <c r="AF52" s="28" t="str">
        <f>AF27</f>
        <v>Testo 30µg/L + EE2 -64ng/L</v>
      </c>
      <c r="AG52" s="28" t="str">
        <f>AG27</f>
        <v>Testo 30µg/L + FAD-10mg/L</v>
      </c>
      <c r="AH52" s="28" t="str">
        <f>AH27</f>
        <v>Triphénylphosphate-0,18mg/L + Testostérone</v>
      </c>
      <c r="AI52" s="28" t="str">
        <f t="shared" ref="AI52:AS52" si="51">AI27</f>
        <v>Triphénylphosphate-0,26mg/L + Testostérone</v>
      </c>
      <c r="AJ52" s="28" t="str">
        <f t="shared" si="51"/>
        <v>Triphénylphosphate-0,4mg/L + Testostérone</v>
      </c>
      <c r="AK52" s="28" t="str">
        <f t="shared" si="51"/>
        <v>Triphénylphosphate-0,59mg/L + Testostérone</v>
      </c>
      <c r="AL52" s="28" t="str">
        <f t="shared" si="51"/>
        <v>Triphénylphosphate-0,89mg/L + Testostérone</v>
      </c>
      <c r="AM52" s="28" t="str">
        <f t="shared" si="51"/>
        <v>0-00 + Testostérone</v>
      </c>
      <c r="AN52" s="28" t="str">
        <f t="shared" si="51"/>
        <v>0-00 + Testostérone</v>
      </c>
      <c r="AO52" s="28" t="str">
        <f t="shared" si="51"/>
        <v>0-00 + Testostérone</v>
      </c>
      <c r="AP52" s="28" t="str">
        <f t="shared" si="51"/>
        <v>0-00 + Testostérone</v>
      </c>
      <c r="AQ52" s="28" t="str">
        <f t="shared" si="51"/>
        <v>0-00 + Testostérone</v>
      </c>
      <c r="AR52" s="28" t="str">
        <f t="shared" si="51"/>
        <v>0-00 + Testostérone</v>
      </c>
      <c r="AS52" s="28" t="str">
        <f t="shared" si="51"/>
        <v>0-00 + Testostérone</v>
      </c>
      <c r="AT52" s="28" t="str">
        <f t="shared" ref="AT52:BA52" si="52">AT27</f>
        <v>0-00 + Testostérone</v>
      </c>
      <c r="AU52" s="28" t="str">
        <f t="shared" si="52"/>
        <v>0-00 + Testostérone</v>
      </c>
      <c r="AV52" s="28" t="str">
        <f t="shared" si="52"/>
        <v>0-00 + Testostérone</v>
      </c>
      <c r="AW52" s="28" t="str">
        <f t="shared" si="52"/>
        <v>0-00 + Testostérone</v>
      </c>
      <c r="AX52" s="28" t="str">
        <f t="shared" si="52"/>
        <v>0-00 + Testostérone</v>
      </c>
      <c r="AY52" s="28" t="str">
        <f t="shared" si="52"/>
        <v>0-00 + Testostérone</v>
      </c>
      <c r="AZ52" s="28" t="str">
        <f t="shared" si="52"/>
        <v>0-00 + Testostérone</v>
      </c>
      <c r="BA52" s="28" t="str">
        <f t="shared" si="52"/>
        <v>0-00 + Testostérone</v>
      </c>
    </row>
    <row r="53" spans="1:53" s="2" customFormat="1" x14ac:dyDescent="0.25">
      <c r="A53" s="45" t="s">
        <v>32</v>
      </c>
      <c r="B53" s="117">
        <f t="shared" ref="B53" si="53">B46</f>
        <v>0.1103116675364771</v>
      </c>
      <c r="C53" s="117">
        <f t="shared" ref="C53:BA53" si="54">C46</f>
        <v>0.10120015045916261</v>
      </c>
      <c r="D53" s="117">
        <f t="shared" si="54"/>
        <v>7.2298910989847406E-2</v>
      </c>
      <c r="E53" s="117">
        <f t="shared" si="54"/>
        <v>0.31656212506168224</v>
      </c>
      <c r="F53" s="117">
        <f t="shared" si="54"/>
        <v>0.7422576962915024</v>
      </c>
      <c r="G53" s="117">
        <f t="shared" si="54"/>
        <v>1.5382322685782159</v>
      </c>
      <c r="H53" s="117">
        <f t="shared" si="54"/>
        <v>2.258894356616918</v>
      </c>
      <c r="I53" s="117">
        <f t="shared" si="54"/>
        <v>0.171629236526221</v>
      </c>
      <c r="J53" s="117">
        <f t="shared" si="54"/>
        <v>0.12435638558239351</v>
      </c>
      <c r="K53" s="117">
        <f t="shared" si="54"/>
        <v>0.16713731454203853</v>
      </c>
      <c r="L53" s="117">
        <f t="shared" si="54"/>
        <v>0.28297652893647718</v>
      </c>
      <c r="M53" s="117">
        <f t="shared" si="54"/>
        <v>1.1646437867981476</v>
      </c>
      <c r="N53" s="117" t="e">
        <f t="shared" si="54"/>
        <v>#DIV/0!</v>
      </c>
      <c r="O53" s="117" t="e">
        <f t="shared" si="54"/>
        <v>#REF!</v>
      </c>
      <c r="P53" s="117" t="e">
        <f t="shared" si="54"/>
        <v>#REF!</v>
      </c>
      <c r="Q53" s="117" t="e">
        <f t="shared" si="54"/>
        <v>#REF!</v>
      </c>
      <c r="R53" s="117" t="e">
        <f t="shared" si="54"/>
        <v>#REF!</v>
      </c>
      <c r="S53" s="117" t="e">
        <f t="shared" si="54"/>
        <v>#REF!</v>
      </c>
      <c r="T53" s="117" t="e">
        <f t="shared" si="54"/>
        <v>#REF!</v>
      </c>
      <c r="U53" s="117" t="e">
        <f t="shared" si="54"/>
        <v>#REF!</v>
      </c>
      <c r="V53" s="117" t="e">
        <f t="shared" si="54"/>
        <v>#REF!</v>
      </c>
      <c r="W53" s="117" t="e">
        <f t="shared" si="54"/>
        <v>#REF!</v>
      </c>
      <c r="X53" s="117" t="e">
        <f t="shared" si="54"/>
        <v>#REF!</v>
      </c>
      <c r="Y53" s="117" t="e">
        <f t="shared" si="54"/>
        <v>#REF!</v>
      </c>
      <c r="Z53" s="117" t="e">
        <f t="shared" si="54"/>
        <v>#REF!</v>
      </c>
      <c r="AA53" s="117" t="e">
        <f t="shared" si="54"/>
        <v>#REF!</v>
      </c>
      <c r="AB53" s="117" t="e">
        <f t="shared" si="54"/>
        <v>#REF!</v>
      </c>
      <c r="AC53" s="117" t="e">
        <f t="shared" si="54"/>
        <v>#REF!</v>
      </c>
      <c r="AD53" s="117"/>
      <c r="AE53" s="117">
        <f t="shared" si="54"/>
        <v>1.0604337978932876</v>
      </c>
      <c r="AF53" s="117">
        <f t="shared" si="54"/>
        <v>1.6166139986475572</v>
      </c>
      <c r="AG53" s="117">
        <f t="shared" si="54"/>
        <v>0.12135582711755104</v>
      </c>
      <c r="AH53" s="117">
        <f t="shared" si="54"/>
        <v>1.3056511415346128</v>
      </c>
      <c r="AI53" s="117">
        <f t="shared" si="54"/>
        <v>1.7596392223435551</v>
      </c>
      <c r="AJ53" s="117">
        <f t="shared" si="54"/>
        <v>1.5689983271867098</v>
      </c>
      <c r="AK53" s="117">
        <f t="shared" si="54"/>
        <v>1.5110586285167049</v>
      </c>
      <c r="AL53" s="117">
        <f t="shared" si="54"/>
        <v>1.7296515630865144</v>
      </c>
      <c r="AM53" s="117" t="e">
        <f t="shared" si="54"/>
        <v>#DIV/0!</v>
      </c>
      <c r="AN53" s="117" t="e">
        <f t="shared" si="54"/>
        <v>#DIV/0!</v>
      </c>
      <c r="AO53" s="117" t="e">
        <f t="shared" si="54"/>
        <v>#DIV/0!</v>
      </c>
      <c r="AP53" s="117" t="e">
        <f t="shared" si="54"/>
        <v>#DIV/0!</v>
      </c>
      <c r="AQ53" s="117" t="e">
        <f t="shared" si="54"/>
        <v>#DIV/0!</v>
      </c>
      <c r="AR53" s="117" t="e">
        <f t="shared" si="54"/>
        <v>#DIV/0!</v>
      </c>
      <c r="AS53" s="117" t="e">
        <f t="shared" si="54"/>
        <v>#DIV/0!</v>
      </c>
      <c r="AT53" s="117" t="e">
        <f t="shared" si="54"/>
        <v>#DIV/0!</v>
      </c>
      <c r="AU53" s="117" t="e">
        <f t="shared" si="54"/>
        <v>#DIV/0!</v>
      </c>
      <c r="AV53" s="117" t="e">
        <f t="shared" si="54"/>
        <v>#DIV/0!</v>
      </c>
      <c r="AW53" s="117" t="e">
        <f t="shared" si="54"/>
        <v>#DIV/0!</v>
      </c>
      <c r="AX53" s="117" t="e">
        <f t="shared" si="54"/>
        <v>#DIV/0!</v>
      </c>
      <c r="AY53" s="117" t="e">
        <f t="shared" si="54"/>
        <v>#DIV/0!</v>
      </c>
      <c r="AZ53" s="117" t="e">
        <f t="shared" si="54"/>
        <v>#DIV/0!</v>
      </c>
      <c r="BA53" s="117" t="e">
        <f t="shared" si="54"/>
        <v>#DIV/0!</v>
      </c>
    </row>
    <row r="54" spans="1:53" s="2" customFormat="1" x14ac:dyDescent="0.25">
      <c r="A54" s="45" t="s">
        <v>2</v>
      </c>
      <c r="B54" s="117">
        <f t="shared" ref="B54" si="55">B48</f>
        <v>2.3662816734380952E-2</v>
      </c>
      <c r="C54" s="117">
        <f t="shared" ref="C54:BA54" si="56">C48</f>
        <v>4.1801127185287841E-2</v>
      </c>
      <c r="D54" s="117">
        <f t="shared" si="56"/>
        <v>2.6129861591338146E-2</v>
      </c>
      <c r="E54" s="117">
        <f t="shared" si="56"/>
        <v>6.0588030536705431E-2</v>
      </c>
      <c r="F54" s="117">
        <f t="shared" si="56"/>
        <v>0.1900014247227709</v>
      </c>
      <c r="G54" s="117">
        <f t="shared" si="56"/>
        <v>6.8465867369940592E-2</v>
      </c>
      <c r="H54" s="117">
        <f t="shared" si="56"/>
        <v>0.16151492644190479</v>
      </c>
      <c r="I54" s="117">
        <f t="shared" si="56"/>
        <v>2.2112796283950284E-2</v>
      </c>
      <c r="J54" s="117">
        <f t="shared" si="56"/>
        <v>3.824287744600801E-2</v>
      </c>
      <c r="K54" s="117">
        <f t="shared" si="56"/>
        <v>4.0705561080558748E-2</v>
      </c>
      <c r="L54" s="117">
        <f t="shared" si="56"/>
        <v>8.1026481874555106E-2</v>
      </c>
      <c r="M54" s="117">
        <f t="shared" si="56"/>
        <v>0.2544022666025853</v>
      </c>
      <c r="N54" s="117" t="e">
        <f t="shared" si="56"/>
        <v>#DIV/0!</v>
      </c>
      <c r="O54" s="117" t="e">
        <f t="shared" si="56"/>
        <v>#REF!</v>
      </c>
      <c r="P54" s="117" t="e">
        <f t="shared" si="56"/>
        <v>#REF!</v>
      </c>
      <c r="Q54" s="117" t="e">
        <f t="shared" si="56"/>
        <v>#REF!</v>
      </c>
      <c r="R54" s="117" t="e">
        <f t="shared" si="56"/>
        <v>#REF!</v>
      </c>
      <c r="S54" s="117" t="e">
        <f t="shared" si="56"/>
        <v>#REF!</v>
      </c>
      <c r="T54" s="117" t="e">
        <f t="shared" si="56"/>
        <v>#REF!</v>
      </c>
      <c r="U54" s="117" t="e">
        <f t="shared" si="56"/>
        <v>#REF!</v>
      </c>
      <c r="V54" s="117" t="e">
        <f t="shared" si="56"/>
        <v>#REF!</v>
      </c>
      <c r="W54" s="117" t="e">
        <f t="shared" si="56"/>
        <v>#REF!</v>
      </c>
      <c r="X54" s="117" t="e">
        <f t="shared" si="56"/>
        <v>#REF!</v>
      </c>
      <c r="Y54" s="117" t="e">
        <f t="shared" si="56"/>
        <v>#REF!</v>
      </c>
      <c r="Z54" s="117" t="e">
        <f t="shared" si="56"/>
        <v>#REF!</v>
      </c>
      <c r="AA54" s="117" t="e">
        <f t="shared" si="56"/>
        <v>#REF!</v>
      </c>
      <c r="AB54" s="117" t="e">
        <f t="shared" si="56"/>
        <v>#REF!</v>
      </c>
      <c r="AC54" s="117" t="e">
        <f t="shared" si="56"/>
        <v>#REF!</v>
      </c>
      <c r="AD54" s="117"/>
      <c r="AE54" s="117">
        <f t="shared" si="56"/>
        <v>0.10207731600408641</v>
      </c>
      <c r="AF54" s="117">
        <f t="shared" si="56"/>
        <v>0.26048267312278278</v>
      </c>
      <c r="AG54" s="117">
        <f t="shared" si="56"/>
        <v>3.6535012364718109E-2</v>
      </c>
      <c r="AH54" s="117">
        <f t="shared" si="56"/>
        <v>0.19320341757934945</v>
      </c>
      <c r="AI54" s="117">
        <f t="shared" si="56"/>
        <v>0.22635222183074211</v>
      </c>
      <c r="AJ54" s="117">
        <f t="shared" si="56"/>
        <v>0.28322976040564857</v>
      </c>
      <c r="AK54" s="117">
        <f t="shared" si="56"/>
        <v>0.2607322196696506</v>
      </c>
      <c r="AL54" s="117">
        <f t="shared" si="56"/>
        <v>0.1813827517936597</v>
      </c>
      <c r="AM54" s="117" t="e">
        <f t="shared" si="56"/>
        <v>#DIV/0!</v>
      </c>
      <c r="AN54" s="117" t="e">
        <f t="shared" si="56"/>
        <v>#DIV/0!</v>
      </c>
      <c r="AO54" s="117" t="e">
        <f t="shared" si="56"/>
        <v>#DIV/0!</v>
      </c>
      <c r="AP54" s="117" t="e">
        <f t="shared" si="56"/>
        <v>#DIV/0!</v>
      </c>
      <c r="AQ54" s="117" t="e">
        <f t="shared" si="56"/>
        <v>#DIV/0!</v>
      </c>
      <c r="AR54" s="117" t="e">
        <f t="shared" si="56"/>
        <v>#DIV/0!</v>
      </c>
      <c r="AS54" s="117" t="e">
        <f t="shared" si="56"/>
        <v>#DIV/0!</v>
      </c>
      <c r="AT54" s="117" t="e">
        <f t="shared" si="56"/>
        <v>#DIV/0!</v>
      </c>
      <c r="AU54" s="117" t="e">
        <f t="shared" si="56"/>
        <v>#DIV/0!</v>
      </c>
      <c r="AV54" s="117" t="e">
        <f t="shared" si="56"/>
        <v>#DIV/0!</v>
      </c>
      <c r="AW54" s="117" t="e">
        <f t="shared" si="56"/>
        <v>#DIV/0!</v>
      </c>
      <c r="AX54" s="117" t="e">
        <f t="shared" si="56"/>
        <v>#DIV/0!</v>
      </c>
      <c r="AY54" s="117" t="e">
        <f t="shared" si="56"/>
        <v>#DIV/0!</v>
      </c>
      <c r="AZ54" s="117" t="e">
        <f t="shared" si="56"/>
        <v>#DIV/0!</v>
      </c>
      <c r="BA54" s="117" t="e">
        <f t="shared" si="56"/>
        <v>#DIV/0!</v>
      </c>
    </row>
    <row r="55" spans="1:53" s="2" customFormat="1" x14ac:dyDescent="0.25">
      <c r="A55" s="45" t="s">
        <v>79</v>
      </c>
      <c r="B55" s="117">
        <f>(B53*100/$B53)-100</f>
        <v>0</v>
      </c>
      <c r="C55" s="117">
        <f t="shared" ref="C55:AC55" si="57">(C53*100/$B53)-100</f>
        <v>-8.2597945265413983</v>
      </c>
      <c r="D55" s="117">
        <f t="shared" si="57"/>
        <v>-34.45941612120032</v>
      </c>
      <c r="E55" s="117">
        <f t="shared" si="57"/>
        <v>186.9706642382173</v>
      </c>
      <c r="F55" s="117">
        <f t="shared" si="57"/>
        <v>572.87324438827625</v>
      </c>
      <c r="G55" s="117">
        <f t="shared" si="57"/>
        <v>1294.4420412913837</v>
      </c>
      <c r="H55" s="117">
        <f t="shared" si="57"/>
        <v>1947.7383825876464</v>
      </c>
      <c r="I55" s="117">
        <f t="shared" si="57"/>
        <v>55.585751135044575</v>
      </c>
      <c r="J55" s="117">
        <f t="shared" si="57"/>
        <v>12.731851815468389</v>
      </c>
      <c r="K55" s="117">
        <f t="shared" si="57"/>
        <v>51.51372313973107</v>
      </c>
      <c r="L55" s="117">
        <f t="shared" si="57"/>
        <v>156.52456830362433</v>
      </c>
      <c r="M55" s="117">
        <f t="shared" si="57"/>
        <v>955.7757060585011</v>
      </c>
      <c r="N55" s="117" t="e">
        <f t="shared" si="57"/>
        <v>#DIV/0!</v>
      </c>
      <c r="O55" s="117" t="e">
        <f t="shared" si="57"/>
        <v>#REF!</v>
      </c>
      <c r="P55" s="117" t="e">
        <f t="shared" si="57"/>
        <v>#REF!</v>
      </c>
      <c r="Q55" s="117" t="e">
        <f t="shared" si="57"/>
        <v>#REF!</v>
      </c>
      <c r="R55" s="117" t="e">
        <f t="shared" si="57"/>
        <v>#REF!</v>
      </c>
      <c r="S55" s="117" t="e">
        <f t="shared" si="57"/>
        <v>#REF!</v>
      </c>
      <c r="T55" s="117" t="e">
        <f t="shared" si="57"/>
        <v>#REF!</v>
      </c>
      <c r="U55" s="117" t="e">
        <f t="shared" si="57"/>
        <v>#REF!</v>
      </c>
      <c r="V55" s="117" t="e">
        <f t="shared" si="57"/>
        <v>#REF!</v>
      </c>
      <c r="W55" s="117" t="e">
        <f t="shared" si="57"/>
        <v>#REF!</v>
      </c>
      <c r="X55" s="117" t="e">
        <f t="shared" si="57"/>
        <v>#REF!</v>
      </c>
      <c r="Y55" s="117" t="e">
        <f t="shared" si="57"/>
        <v>#REF!</v>
      </c>
      <c r="Z55" s="117" t="e">
        <f t="shared" si="57"/>
        <v>#REF!</v>
      </c>
      <c r="AA55" s="117" t="e">
        <f t="shared" si="57"/>
        <v>#REF!</v>
      </c>
      <c r="AB55" s="117" t="e">
        <f t="shared" si="57"/>
        <v>#REF!</v>
      </c>
      <c r="AC55" s="117" t="e">
        <f t="shared" si="57"/>
        <v>#REF!</v>
      </c>
      <c r="AD55" s="117"/>
      <c r="AE55" s="117">
        <f>(AE53*100/$AE53)-100</f>
        <v>0</v>
      </c>
      <c r="AF55" s="117">
        <f t="shared" ref="AF55:BA55" si="58">(AF53*100/$AE53)-100</f>
        <v>52.448366117640319</v>
      </c>
      <c r="AG55" s="117">
        <f t="shared" si="58"/>
        <v>-88.556020436292883</v>
      </c>
      <c r="AH55" s="117">
        <f t="shared" si="58"/>
        <v>23.124248220726898</v>
      </c>
      <c r="AI55" s="117">
        <f t="shared" si="58"/>
        <v>65.935792110676289</v>
      </c>
      <c r="AJ55" s="117">
        <f t="shared" si="58"/>
        <v>47.95815922726743</v>
      </c>
      <c r="AK55" s="117">
        <f t="shared" si="58"/>
        <v>42.494385931366168</v>
      </c>
      <c r="AL55" s="117">
        <f t="shared" si="58"/>
        <v>63.107924938145999</v>
      </c>
      <c r="AM55" s="117" t="e">
        <f t="shared" si="58"/>
        <v>#DIV/0!</v>
      </c>
      <c r="AN55" s="117" t="e">
        <f t="shared" si="58"/>
        <v>#DIV/0!</v>
      </c>
      <c r="AO55" s="117" t="e">
        <f t="shared" si="58"/>
        <v>#DIV/0!</v>
      </c>
      <c r="AP55" s="117" t="e">
        <f t="shared" si="58"/>
        <v>#DIV/0!</v>
      </c>
      <c r="AQ55" s="117" t="e">
        <f t="shared" si="58"/>
        <v>#DIV/0!</v>
      </c>
      <c r="AR55" s="117" t="e">
        <f t="shared" si="58"/>
        <v>#DIV/0!</v>
      </c>
      <c r="AS55" s="117" t="e">
        <f t="shared" si="58"/>
        <v>#DIV/0!</v>
      </c>
      <c r="AT55" s="117" t="e">
        <f t="shared" si="58"/>
        <v>#DIV/0!</v>
      </c>
      <c r="AU55" s="117" t="e">
        <f t="shared" si="58"/>
        <v>#DIV/0!</v>
      </c>
      <c r="AV55" s="117" t="e">
        <f t="shared" si="58"/>
        <v>#DIV/0!</v>
      </c>
      <c r="AW55" s="117" t="e">
        <f t="shared" si="58"/>
        <v>#DIV/0!</v>
      </c>
      <c r="AX55" s="117" t="e">
        <f t="shared" si="58"/>
        <v>#DIV/0!</v>
      </c>
      <c r="AY55" s="117" t="e">
        <f t="shared" si="58"/>
        <v>#DIV/0!</v>
      </c>
      <c r="AZ55" s="117" t="e">
        <f t="shared" si="58"/>
        <v>#DIV/0!</v>
      </c>
      <c r="BA55" s="117" t="e">
        <f t="shared" si="58"/>
        <v>#DIV/0!</v>
      </c>
    </row>
    <row r="56" spans="1:53" s="2" customFormat="1" x14ac:dyDescent="0.25">
      <c r="A56" s="45" t="s">
        <v>81</v>
      </c>
      <c r="B56" s="117" t="e">
        <f ca="1">[1]!SWTEST(B28:B43)</f>
        <v>#NAME?</v>
      </c>
      <c r="C56" s="117" t="e">
        <f ca="1">[1]!SWTEST(C28:C43)</f>
        <v>#NAME?</v>
      </c>
      <c r="D56" s="117" t="e">
        <f ca="1">[1]!SWTEST(D28:D43)</f>
        <v>#NAME?</v>
      </c>
      <c r="E56" s="117" t="e">
        <f ca="1">[1]!SWTEST(E28:E43)</f>
        <v>#NAME?</v>
      </c>
      <c r="F56" s="117" t="e">
        <f ca="1">[1]!SWTEST(F28:F43)</f>
        <v>#NAME?</v>
      </c>
      <c r="G56" s="117" t="e">
        <f ca="1">[1]!SWTEST(G28:G43)</f>
        <v>#NAME?</v>
      </c>
      <c r="H56" s="117" t="e">
        <f ca="1">[1]!SWTEST(H28:H43)</f>
        <v>#NAME?</v>
      </c>
      <c r="I56" s="117" t="e">
        <f ca="1">[1]!SWTEST(I28:I43)</f>
        <v>#NAME?</v>
      </c>
      <c r="J56" s="117" t="e">
        <f ca="1">[1]!SWTEST(J28:J43)</f>
        <v>#NAME?</v>
      </c>
      <c r="K56" s="117" t="e">
        <f ca="1">[1]!SWTEST(K28:K43)</f>
        <v>#NAME?</v>
      </c>
      <c r="L56" s="117" t="e">
        <f ca="1">[1]!SWTEST(L28:L43)</f>
        <v>#NAME?</v>
      </c>
      <c r="M56" s="117" t="e">
        <f ca="1">[1]!SWTEST(M28:M43)</f>
        <v>#NAME?</v>
      </c>
      <c r="N56" s="117" t="e">
        <f ca="1">[1]!SWTEST(N28:N43)</f>
        <v>#NAME?</v>
      </c>
      <c r="O56" s="117" t="e">
        <f ca="1">[1]!SWTEST(O28:O43)</f>
        <v>#NAME?</v>
      </c>
      <c r="P56" s="117" t="e">
        <f ca="1">[1]!SWTEST(P28:P43)</f>
        <v>#NAME?</v>
      </c>
      <c r="Q56" s="117" t="e">
        <f ca="1">[1]!SWTEST(Q28:Q43)</f>
        <v>#NAME?</v>
      </c>
      <c r="R56" s="117" t="e">
        <f ca="1">[1]!SWTEST(R28:R43)</f>
        <v>#NAME?</v>
      </c>
      <c r="S56" s="117" t="e">
        <f ca="1">[1]!SWTEST(S28:S43)</f>
        <v>#NAME?</v>
      </c>
      <c r="T56" s="117" t="e">
        <f ca="1">[1]!SWTEST(T28:T43)</f>
        <v>#NAME?</v>
      </c>
      <c r="U56" s="117" t="e">
        <f ca="1">[1]!SWTEST(U28:U43)</f>
        <v>#NAME?</v>
      </c>
      <c r="V56" s="117" t="e">
        <f ca="1">[1]!SWTEST(V28:V43)</f>
        <v>#NAME?</v>
      </c>
      <c r="W56" s="117" t="e">
        <f ca="1">[1]!SWTEST(W28:W43)</f>
        <v>#NAME?</v>
      </c>
      <c r="X56" s="117" t="e">
        <f ca="1">[1]!SWTEST(X28:X43)</f>
        <v>#NAME?</v>
      </c>
      <c r="Y56" s="117" t="e">
        <f ca="1">[1]!SWTEST(Y28:Y43)</f>
        <v>#NAME?</v>
      </c>
      <c r="Z56" s="117" t="e">
        <f ca="1">[1]!SWTEST(Z28:Z43)</f>
        <v>#NAME?</v>
      </c>
      <c r="AA56" s="117" t="e">
        <f ca="1">[1]!SWTEST(AA28:AA43)</f>
        <v>#NAME?</v>
      </c>
      <c r="AB56" s="117" t="e">
        <f ca="1">[1]!SWTEST(AB28:AB43)</f>
        <v>#NAME?</v>
      </c>
      <c r="AC56" s="117" t="e">
        <f ca="1">[1]!SWTEST(AC28:AC43)</f>
        <v>#NAME?</v>
      </c>
      <c r="AD56" s="117"/>
      <c r="AE56" s="117" t="e">
        <f ca="1">[1]!SWTEST(AE28:AE43)</f>
        <v>#NAME?</v>
      </c>
      <c r="AF56" s="117" t="e">
        <f ca="1">[1]!SWTEST(AF28:AF43)</f>
        <v>#NAME?</v>
      </c>
      <c r="AG56" s="117" t="e">
        <f ca="1">[1]!SWTEST(AG28:AG43)</f>
        <v>#NAME?</v>
      </c>
      <c r="AH56" s="117" t="e">
        <f ca="1">[1]!SWTEST(AH28:AH43)</f>
        <v>#NAME?</v>
      </c>
      <c r="AI56" s="117" t="e">
        <f ca="1">[1]!SWTEST(AI28:AI43)</f>
        <v>#NAME?</v>
      </c>
      <c r="AJ56" s="117" t="e">
        <f ca="1">[1]!SWTEST(AJ28:AJ43)</f>
        <v>#NAME?</v>
      </c>
      <c r="AK56" s="117" t="e">
        <f ca="1">[1]!SWTEST(AK28:AK43)</f>
        <v>#NAME?</v>
      </c>
      <c r="AL56" s="117" t="e">
        <f ca="1">[1]!SWTEST(AL28:AL43)</f>
        <v>#NAME?</v>
      </c>
      <c r="AM56" s="117" t="e">
        <f ca="1">[1]!SWTEST(AM28:AM43)</f>
        <v>#NAME?</v>
      </c>
      <c r="AN56" s="117" t="e">
        <f ca="1">[1]!SWTEST(AN28:AN43)</f>
        <v>#NAME?</v>
      </c>
      <c r="AO56" s="117" t="e">
        <f ca="1">[1]!SWTEST(AO28:AO43)</f>
        <v>#NAME?</v>
      </c>
      <c r="AP56" s="117" t="e">
        <f ca="1">[1]!SWTEST(AP28:AP43)</f>
        <v>#NAME?</v>
      </c>
      <c r="AQ56" s="117" t="e">
        <f ca="1">[1]!SWTEST(AQ28:AQ43)</f>
        <v>#NAME?</v>
      </c>
      <c r="AR56" s="117" t="e">
        <f ca="1">[1]!SWTEST(AR28:AR43)</f>
        <v>#NAME?</v>
      </c>
      <c r="AS56" s="117" t="e">
        <f ca="1">[1]!SWTEST(AS28:AS43)</f>
        <v>#NAME?</v>
      </c>
      <c r="AT56" s="117" t="e">
        <f ca="1">[1]!SWTEST(AT28:AT43)</f>
        <v>#NAME?</v>
      </c>
      <c r="AU56" s="117" t="e">
        <f ca="1">[1]!SWTEST(AU28:AU43)</f>
        <v>#NAME?</v>
      </c>
      <c r="AV56" s="117" t="e">
        <f ca="1">[1]!SWTEST(AV28:AV43)</f>
        <v>#NAME?</v>
      </c>
      <c r="AW56" s="117" t="e">
        <f ca="1">[1]!SWTEST(AW28:AW43)</f>
        <v>#NAME?</v>
      </c>
      <c r="AX56" s="117" t="e">
        <f ca="1">[1]!SWTEST(AX28:AX43)</f>
        <v>#NAME?</v>
      </c>
      <c r="AY56" s="117" t="e">
        <f ca="1">[1]!SWTEST(AY28:AY43)</f>
        <v>#NAME?</v>
      </c>
      <c r="AZ56" s="117" t="e">
        <f ca="1">[1]!SWTEST(AZ28:AZ43)</f>
        <v>#NAME?</v>
      </c>
      <c r="BA56" s="117" t="e">
        <f ca="1">[1]!SWTEST(BA28:BA43)</f>
        <v>#NAME?</v>
      </c>
    </row>
    <row r="57" spans="1:53" s="2" customFormat="1" x14ac:dyDescent="0.25">
      <c r="A57" s="45" t="s">
        <v>85</v>
      </c>
      <c r="B57" s="117" t="e">
        <f ca="1">IF(B56&gt;0.05,"Oui","Non")</f>
        <v>#NAME?</v>
      </c>
      <c r="C57" s="117" t="e">
        <f t="shared" ref="C57:BA57" ca="1" si="59">IF(C56&gt;0.05,"Oui","Non")</f>
        <v>#NAME?</v>
      </c>
      <c r="D57" s="117" t="e">
        <f t="shared" ca="1" si="59"/>
        <v>#NAME?</v>
      </c>
      <c r="E57" s="117" t="e">
        <f t="shared" ca="1" si="59"/>
        <v>#NAME?</v>
      </c>
      <c r="F57" s="117" t="e">
        <f t="shared" ca="1" si="59"/>
        <v>#NAME?</v>
      </c>
      <c r="G57" s="117" t="e">
        <f t="shared" ca="1" si="59"/>
        <v>#NAME?</v>
      </c>
      <c r="H57" s="117" t="e">
        <f t="shared" ca="1" si="59"/>
        <v>#NAME?</v>
      </c>
      <c r="I57" s="117" t="e">
        <f t="shared" ca="1" si="59"/>
        <v>#NAME?</v>
      </c>
      <c r="J57" s="117" t="e">
        <f t="shared" ca="1" si="59"/>
        <v>#NAME?</v>
      </c>
      <c r="K57" s="117" t="e">
        <f t="shared" ca="1" si="59"/>
        <v>#NAME?</v>
      </c>
      <c r="L57" s="117" t="e">
        <f t="shared" ca="1" si="59"/>
        <v>#NAME?</v>
      </c>
      <c r="M57" s="117" t="e">
        <f t="shared" ca="1" si="59"/>
        <v>#NAME?</v>
      </c>
      <c r="N57" s="117" t="e">
        <f t="shared" ca="1" si="59"/>
        <v>#NAME?</v>
      </c>
      <c r="O57" s="117" t="e">
        <f t="shared" ca="1" si="59"/>
        <v>#NAME?</v>
      </c>
      <c r="P57" s="117" t="e">
        <f t="shared" ca="1" si="59"/>
        <v>#NAME?</v>
      </c>
      <c r="Q57" s="117" t="e">
        <f t="shared" ca="1" si="59"/>
        <v>#NAME?</v>
      </c>
      <c r="R57" s="117" t="e">
        <f t="shared" ca="1" si="59"/>
        <v>#NAME?</v>
      </c>
      <c r="S57" s="117" t="e">
        <f t="shared" ca="1" si="59"/>
        <v>#NAME?</v>
      </c>
      <c r="T57" s="117" t="e">
        <f t="shared" ca="1" si="59"/>
        <v>#NAME?</v>
      </c>
      <c r="U57" s="117" t="e">
        <f t="shared" ca="1" si="59"/>
        <v>#NAME?</v>
      </c>
      <c r="V57" s="117" t="e">
        <f t="shared" ca="1" si="59"/>
        <v>#NAME?</v>
      </c>
      <c r="W57" s="117" t="e">
        <f t="shared" ca="1" si="59"/>
        <v>#NAME?</v>
      </c>
      <c r="X57" s="117" t="e">
        <f t="shared" ca="1" si="59"/>
        <v>#NAME?</v>
      </c>
      <c r="Y57" s="117" t="e">
        <f t="shared" ca="1" si="59"/>
        <v>#NAME?</v>
      </c>
      <c r="Z57" s="117" t="e">
        <f t="shared" ca="1" si="59"/>
        <v>#NAME?</v>
      </c>
      <c r="AA57" s="117" t="e">
        <f t="shared" ca="1" si="59"/>
        <v>#NAME?</v>
      </c>
      <c r="AB57" s="117" t="e">
        <f t="shared" ca="1" si="59"/>
        <v>#NAME?</v>
      </c>
      <c r="AC57" s="117" t="e">
        <f t="shared" ca="1" si="59"/>
        <v>#NAME?</v>
      </c>
      <c r="AD57" s="117"/>
      <c r="AE57" s="117" t="e">
        <f t="shared" ca="1" si="59"/>
        <v>#NAME?</v>
      </c>
      <c r="AF57" s="117" t="e">
        <f t="shared" ca="1" si="59"/>
        <v>#NAME?</v>
      </c>
      <c r="AG57" s="117" t="e">
        <f t="shared" ca="1" si="59"/>
        <v>#NAME?</v>
      </c>
      <c r="AH57" s="117" t="e">
        <f t="shared" ca="1" si="59"/>
        <v>#NAME?</v>
      </c>
      <c r="AI57" s="117" t="e">
        <f t="shared" ca="1" si="59"/>
        <v>#NAME?</v>
      </c>
      <c r="AJ57" s="117" t="e">
        <f t="shared" ca="1" si="59"/>
        <v>#NAME?</v>
      </c>
      <c r="AK57" s="117" t="e">
        <f t="shared" ca="1" si="59"/>
        <v>#NAME?</v>
      </c>
      <c r="AL57" s="117" t="e">
        <f t="shared" ca="1" si="59"/>
        <v>#NAME?</v>
      </c>
      <c r="AM57" s="117" t="e">
        <f t="shared" ca="1" si="59"/>
        <v>#NAME?</v>
      </c>
      <c r="AN57" s="117" t="e">
        <f t="shared" ca="1" si="59"/>
        <v>#NAME?</v>
      </c>
      <c r="AO57" s="117" t="e">
        <f t="shared" ca="1" si="59"/>
        <v>#NAME?</v>
      </c>
      <c r="AP57" s="117" t="e">
        <f t="shared" ca="1" si="59"/>
        <v>#NAME?</v>
      </c>
      <c r="AQ57" s="117" t="e">
        <f t="shared" ca="1" si="59"/>
        <v>#NAME?</v>
      </c>
      <c r="AR57" s="117" t="e">
        <f t="shared" ca="1" si="59"/>
        <v>#NAME?</v>
      </c>
      <c r="AS57" s="117" t="e">
        <f t="shared" ca="1" si="59"/>
        <v>#NAME?</v>
      </c>
      <c r="AT57" s="117" t="e">
        <f t="shared" ca="1" si="59"/>
        <v>#NAME?</v>
      </c>
      <c r="AU57" s="117" t="e">
        <f t="shared" ca="1" si="59"/>
        <v>#NAME?</v>
      </c>
      <c r="AV57" s="117" t="e">
        <f t="shared" ca="1" si="59"/>
        <v>#NAME?</v>
      </c>
      <c r="AW57" s="117" t="e">
        <f t="shared" ca="1" si="59"/>
        <v>#NAME?</v>
      </c>
      <c r="AX57" s="117" t="e">
        <f t="shared" ca="1" si="59"/>
        <v>#NAME?</v>
      </c>
      <c r="AY57" s="117" t="e">
        <f t="shared" ca="1" si="59"/>
        <v>#NAME?</v>
      </c>
      <c r="AZ57" s="117" t="e">
        <f t="shared" ca="1" si="59"/>
        <v>#NAME?</v>
      </c>
      <c r="BA57" s="117" t="e">
        <f t="shared" ca="1" si="59"/>
        <v>#NAME?</v>
      </c>
    </row>
    <row r="58" spans="1:53" s="2" customFormat="1" x14ac:dyDescent="0.25">
      <c r="A58" s="45"/>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24"/>
      <c r="AE58" s="125"/>
      <c r="AF58" s="117"/>
      <c r="AG58" s="117"/>
      <c r="AH58" s="117"/>
      <c r="AI58" s="117"/>
      <c r="AJ58" s="117"/>
      <c r="AK58" s="117"/>
      <c r="AL58" s="117"/>
      <c r="AM58" s="117"/>
      <c r="AN58" s="117"/>
      <c r="AO58" s="117"/>
      <c r="AP58" s="117"/>
      <c r="AQ58" s="117"/>
      <c r="AR58" s="117"/>
      <c r="AS58" s="117"/>
      <c r="AT58" s="117"/>
      <c r="AU58" s="126"/>
      <c r="AV58" s="126"/>
      <c r="AW58" s="126"/>
      <c r="AX58" s="126"/>
      <c r="AY58" s="126"/>
      <c r="AZ58" s="126"/>
      <c r="BA58" s="127"/>
    </row>
    <row r="59" spans="1:53" s="2" customFormat="1" x14ac:dyDescent="0.25">
      <c r="A59" s="45" t="s">
        <v>82</v>
      </c>
      <c r="B59" s="128"/>
      <c r="C59" s="128" t="e">
        <f t="shared" ref="C59:AE59" ca="1" si="60">IF($B57="Non",IF(C57="Non","MW",IF(C57="Oui","MW","")),IF($B57="Oui",IF(C57="Oui","T-Test Welch",IF(C57="Non","MW",""))))</f>
        <v>#NAME?</v>
      </c>
      <c r="D59" s="128" t="e">
        <f t="shared" ca="1" si="60"/>
        <v>#NAME?</v>
      </c>
      <c r="E59" s="128" t="e">
        <f t="shared" ca="1" si="60"/>
        <v>#NAME?</v>
      </c>
      <c r="F59" s="128" t="e">
        <f t="shared" ca="1" si="60"/>
        <v>#NAME?</v>
      </c>
      <c r="G59" s="128" t="e">
        <f t="shared" ca="1" si="60"/>
        <v>#NAME?</v>
      </c>
      <c r="H59" s="128" t="e">
        <f t="shared" ca="1" si="60"/>
        <v>#NAME?</v>
      </c>
      <c r="I59" s="128" t="e">
        <f t="shared" ca="1" si="60"/>
        <v>#NAME?</v>
      </c>
      <c r="J59" s="128" t="e">
        <f t="shared" ca="1" si="60"/>
        <v>#NAME?</v>
      </c>
      <c r="K59" s="128" t="e">
        <f t="shared" ca="1" si="60"/>
        <v>#NAME?</v>
      </c>
      <c r="L59" s="128" t="e">
        <f t="shared" ca="1" si="60"/>
        <v>#NAME?</v>
      </c>
      <c r="M59" s="128" t="e">
        <f t="shared" ca="1" si="60"/>
        <v>#NAME?</v>
      </c>
      <c r="N59" s="128" t="e">
        <f t="shared" ca="1" si="60"/>
        <v>#NAME?</v>
      </c>
      <c r="O59" s="128" t="e">
        <f t="shared" ca="1" si="60"/>
        <v>#NAME?</v>
      </c>
      <c r="P59" s="128" t="e">
        <f t="shared" ca="1" si="60"/>
        <v>#NAME?</v>
      </c>
      <c r="Q59" s="128" t="e">
        <f t="shared" ca="1" si="60"/>
        <v>#NAME?</v>
      </c>
      <c r="R59" s="128" t="e">
        <f t="shared" ca="1" si="60"/>
        <v>#NAME?</v>
      </c>
      <c r="S59" s="128" t="e">
        <f t="shared" ca="1" si="60"/>
        <v>#NAME?</v>
      </c>
      <c r="T59" s="128" t="e">
        <f t="shared" ca="1" si="60"/>
        <v>#NAME?</v>
      </c>
      <c r="U59" s="128" t="e">
        <f t="shared" ca="1" si="60"/>
        <v>#NAME?</v>
      </c>
      <c r="V59" s="128" t="e">
        <f t="shared" ca="1" si="60"/>
        <v>#NAME?</v>
      </c>
      <c r="W59" s="128" t="e">
        <f t="shared" ca="1" si="60"/>
        <v>#NAME?</v>
      </c>
      <c r="X59" s="128" t="e">
        <f t="shared" ca="1" si="60"/>
        <v>#NAME?</v>
      </c>
      <c r="Y59" s="128" t="e">
        <f t="shared" ca="1" si="60"/>
        <v>#NAME?</v>
      </c>
      <c r="Z59" s="128" t="e">
        <f t="shared" ca="1" si="60"/>
        <v>#NAME?</v>
      </c>
      <c r="AA59" s="128" t="e">
        <f t="shared" ca="1" si="60"/>
        <v>#NAME?</v>
      </c>
      <c r="AB59" s="128" t="e">
        <f t="shared" ca="1" si="60"/>
        <v>#NAME?</v>
      </c>
      <c r="AC59" s="128" t="e">
        <f t="shared" ca="1" si="60"/>
        <v>#NAME?</v>
      </c>
      <c r="AD59" s="128"/>
      <c r="AE59" s="128" t="e">
        <f t="shared" ca="1" si="60"/>
        <v>#NAME?</v>
      </c>
      <c r="AF59" s="128" t="e">
        <f ca="1">IF($AE57="Non",IF(AF57="Non","MW",IF(AF57="Oui","MW","")),IF($AE57="Oui",IF(AF57="Oui","T-Test Welch",IF(AF57="Non","MW",""))))</f>
        <v>#NAME?</v>
      </c>
      <c r="AG59" s="128" t="e">
        <f t="shared" ref="AG59:BA59" ca="1" si="61">IF($AE57="Non",IF(AG57="Non","MW",IF(AG57="Oui","MW","")),IF($AE57="Oui",IF(AG57="Oui","T-Test Welch",IF(AG57="Non","MW",""))))</f>
        <v>#NAME?</v>
      </c>
      <c r="AH59" s="128" t="e">
        <f t="shared" ca="1" si="61"/>
        <v>#NAME?</v>
      </c>
      <c r="AI59" s="128" t="e">
        <f t="shared" ca="1" si="61"/>
        <v>#NAME?</v>
      </c>
      <c r="AJ59" s="128" t="e">
        <f t="shared" ca="1" si="61"/>
        <v>#NAME?</v>
      </c>
      <c r="AK59" s="128" t="e">
        <f t="shared" ca="1" si="61"/>
        <v>#NAME?</v>
      </c>
      <c r="AL59" s="128" t="e">
        <f t="shared" ca="1" si="61"/>
        <v>#NAME?</v>
      </c>
      <c r="AM59" s="128" t="e">
        <f t="shared" ca="1" si="61"/>
        <v>#NAME?</v>
      </c>
      <c r="AN59" s="128" t="e">
        <f t="shared" ca="1" si="61"/>
        <v>#NAME?</v>
      </c>
      <c r="AO59" s="128" t="e">
        <f t="shared" ca="1" si="61"/>
        <v>#NAME?</v>
      </c>
      <c r="AP59" s="128" t="e">
        <f t="shared" ca="1" si="61"/>
        <v>#NAME?</v>
      </c>
      <c r="AQ59" s="128" t="e">
        <f t="shared" ca="1" si="61"/>
        <v>#NAME?</v>
      </c>
      <c r="AR59" s="128" t="e">
        <f t="shared" ca="1" si="61"/>
        <v>#NAME?</v>
      </c>
      <c r="AS59" s="128" t="e">
        <f t="shared" ca="1" si="61"/>
        <v>#NAME?</v>
      </c>
      <c r="AT59" s="128" t="e">
        <f t="shared" ca="1" si="61"/>
        <v>#NAME?</v>
      </c>
      <c r="AU59" s="128" t="e">
        <f t="shared" ca="1" si="61"/>
        <v>#NAME?</v>
      </c>
      <c r="AV59" s="128" t="e">
        <f t="shared" ca="1" si="61"/>
        <v>#NAME?</v>
      </c>
      <c r="AW59" s="128" t="e">
        <f t="shared" ca="1" si="61"/>
        <v>#NAME?</v>
      </c>
      <c r="AX59" s="128" t="e">
        <f t="shared" ca="1" si="61"/>
        <v>#NAME?</v>
      </c>
      <c r="AY59" s="128" t="e">
        <f t="shared" ca="1" si="61"/>
        <v>#NAME?</v>
      </c>
      <c r="AZ59" s="128" t="e">
        <f t="shared" ca="1" si="61"/>
        <v>#NAME?</v>
      </c>
      <c r="BA59" s="128" t="e">
        <f t="shared" ca="1" si="61"/>
        <v>#NAME?</v>
      </c>
    </row>
    <row r="60" spans="1:53" s="2" customFormat="1" x14ac:dyDescent="0.25">
      <c r="A60" s="45" t="s">
        <v>83</v>
      </c>
      <c r="B60" s="129"/>
      <c r="C60" s="129" t="e">
        <f ca="1">IF(C59="MW",[1]!MTEST($B28:$B43,C28:C43,2), IF(C59="T-Test Welch",_xlfn.T.TEST($B28:$B43,C28:C43,2,3),""))</f>
        <v>#NAME?</v>
      </c>
      <c r="D60" s="129" t="e">
        <f ca="1">IF(D59="MW",[1]!MTEST($B28:$B43,D28:D43,2), IF(D59="T-Test Welch",_xlfn.T.TEST($B28:$B43,D28:D43,2,3),""))</f>
        <v>#NAME?</v>
      </c>
      <c r="E60" s="129" t="e">
        <f ca="1">IF(E59="MW",[1]!MTEST($B28:$B43,E28:E43,2), IF(E59="T-Test Welch",_xlfn.T.TEST($B28:$B43,E28:E43,2,3),""))</f>
        <v>#NAME?</v>
      </c>
      <c r="F60" s="129" t="e">
        <f ca="1">IF(F59="MW",[1]!MTEST($B28:$B43,F28:F43,2), IF(F59="T-Test Welch",_xlfn.T.TEST($B28:$B43,F28:F43,2,3),""))</f>
        <v>#NAME?</v>
      </c>
      <c r="G60" s="129" t="e">
        <f ca="1">IF(G59="MW",[1]!MTEST($B28:$B43,G28:G43,2), IF(G59="T-Test Welch",_xlfn.T.TEST($B28:$B43,G28:G43,2,3),""))</f>
        <v>#NAME?</v>
      </c>
      <c r="H60" s="129" t="e">
        <f ca="1">IF(H59="MW",[1]!MTEST($B28:$B43,H28:H43,2), IF(H59="T-Test Welch",_xlfn.T.TEST($B28:$B43,H28:H43,2,3),""))</f>
        <v>#NAME?</v>
      </c>
      <c r="I60" s="129" t="e">
        <f ca="1">IF(I59="MW",[1]!MTEST($B28:$B43,I28:I43,2), IF(I59="T-Test Welch",_xlfn.T.TEST($B28:$B43,I28:I43,2,3),""))</f>
        <v>#NAME?</v>
      </c>
      <c r="J60" s="129" t="e">
        <f ca="1">IF(J59="MW",[1]!MTEST($B28:$B43,J28:J43,2), IF(J59="T-Test Welch",_xlfn.T.TEST($B28:$B43,J28:J43,2,3),""))</f>
        <v>#NAME?</v>
      </c>
      <c r="K60" s="129" t="e">
        <f ca="1">IF(K59="MW",[1]!MTEST($B28:$B43,K28:K43,2), IF(K59="T-Test Welch",_xlfn.T.TEST($B28:$B43,K28:K43,2,3),""))</f>
        <v>#NAME?</v>
      </c>
      <c r="L60" s="129" t="e">
        <f ca="1">IF(L59="MW",[1]!MTEST($B28:$B43,L28:L43,2), IF(L59="T-Test Welch",_xlfn.T.TEST($B28:$B43,L28:L43,2,3),""))</f>
        <v>#NAME?</v>
      </c>
      <c r="M60" s="129" t="e">
        <f ca="1">IF(M59="MW",[1]!MTEST($B28:$B43,M28:M43,2), IF(M59="T-Test Welch",_xlfn.T.TEST($B28:$B43,M28:M43,2,3),""))</f>
        <v>#NAME?</v>
      </c>
      <c r="N60" s="129" t="e">
        <f ca="1">IF(N59="MW",[1]!MTEST($B28:$B43,N28:N43,2), IF(N59="T-Test Welch",_xlfn.T.TEST($B28:$B43,N28:N43,2,3),""))</f>
        <v>#NAME?</v>
      </c>
      <c r="O60" s="129" t="e">
        <f ca="1">IF(O59="MW",[1]!MTEST($B28:$B43,O28:O43,2), IF(O59="T-Test Welch",_xlfn.T.TEST($B28:$B43,O28:O43,2,3),""))</f>
        <v>#NAME?</v>
      </c>
      <c r="P60" s="129" t="e">
        <f ca="1">IF(P59="MW",[1]!MTEST($B28:$B43,P28:P43,2), IF(P59="T-Test Welch",_xlfn.T.TEST($B28:$B43,P28:P43,2,3),""))</f>
        <v>#NAME?</v>
      </c>
      <c r="Q60" s="129" t="e">
        <f ca="1">IF(Q59="MW",[1]!MTEST($B28:$B43,Q28:Q43,2), IF(Q59="T-Test Welch",_xlfn.T.TEST($B28:$B43,Q28:Q43,2,3),""))</f>
        <v>#NAME?</v>
      </c>
      <c r="R60" s="129" t="e">
        <f ca="1">IF(R59="MW",[1]!MTEST($B28:$B43,R28:R43,2), IF(R59="T-Test Welch",_xlfn.T.TEST($B28:$B43,R28:R43,2,3),""))</f>
        <v>#NAME?</v>
      </c>
      <c r="S60" s="129" t="e">
        <f ca="1">IF(S59="MW",[1]!MTEST($B28:$B43,S28:S43,2), IF(S59="T-Test Welch",_xlfn.T.TEST($B28:$B43,S28:S43,2,3),""))</f>
        <v>#NAME?</v>
      </c>
      <c r="T60" s="129" t="e">
        <f ca="1">IF(T59="MW",[1]!MTEST($B28:$B43,T28:T43,2), IF(T59="T-Test Welch",_xlfn.T.TEST($B28:$B43,T28:T43,2,3),""))</f>
        <v>#NAME?</v>
      </c>
      <c r="U60" s="129" t="e">
        <f ca="1">IF(U59="MW",[1]!MTEST($B28:$B43,U28:U43,2), IF(U59="T-Test Welch",_xlfn.T.TEST($B28:$B43,U28:U43,2,3),""))</f>
        <v>#NAME?</v>
      </c>
      <c r="V60" s="129" t="e">
        <f ca="1">IF(V59="MW",[1]!MTEST($B28:$B43,V28:V43,2), IF(V59="T-Test Welch",_xlfn.T.TEST($B28:$B43,V28:V43,2,3),""))</f>
        <v>#NAME?</v>
      </c>
      <c r="W60" s="129" t="e">
        <f ca="1">IF(W59="MW",[1]!MTEST($B28:$B43,W28:W43,2), IF(W59="T-Test Welch",_xlfn.T.TEST($B28:$B43,W28:W43,2,3),""))</f>
        <v>#NAME?</v>
      </c>
      <c r="X60" s="129" t="e">
        <f ca="1">IF(X59="MW",[1]!MTEST($B28:$B43,X28:X43,2), IF(X59="T-Test Welch",_xlfn.T.TEST($B28:$B43,X28:X43,2,3),""))</f>
        <v>#NAME?</v>
      </c>
      <c r="Y60" s="129" t="e">
        <f ca="1">IF(Y59="MW",[1]!MTEST($B28:$B43,Y28:Y43,2), IF(Y59="T-Test Welch",_xlfn.T.TEST($B28:$B43,Y28:Y43,2,3),""))</f>
        <v>#NAME?</v>
      </c>
      <c r="Z60" s="129" t="e">
        <f ca="1">IF(Z59="MW",[1]!MTEST($B28:$B43,Z28:Z43,2), IF(Z59="T-Test Welch",_xlfn.T.TEST($B28:$B43,Z28:Z43,2,3),""))</f>
        <v>#NAME?</v>
      </c>
      <c r="AA60" s="129" t="e">
        <f ca="1">IF(AA59="MW",[1]!MTEST($B28:$B43,AA28:AA43,2), IF(AA59="T-Test Welch",_xlfn.T.TEST($B28:$B43,AA28:AA43,2,3),""))</f>
        <v>#NAME?</v>
      </c>
      <c r="AB60" s="129" t="e">
        <f ca="1">IF(AB59="MW",[1]!MTEST($B28:$B43,AB28:AB43,2), IF(AB59="T-Test Welch",_xlfn.T.TEST($B28:$B43,AB28:AB43,2,3),""))</f>
        <v>#NAME?</v>
      </c>
      <c r="AC60" s="129" t="e">
        <f ca="1">IF(AC59="MW",[1]!MTEST($B28:$B43,AC28:AC43,2), IF(AC59="T-Test Welch",_xlfn.T.TEST($B28:$B43,AC28:AC43,2,3),""))</f>
        <v>#NAME?</v>
      </c>
      <c r="AD60" s="129"/>
      <c r="AE60" s="129" t="e">
        <f ca="1">IF(AE59="MW",[1]!MTEST($B28:$B43,AE28:AE43,2), IF(AE59="T-Test Welch",_xlfn.T.TEST($B28:$B43,AE28:AE43,2,3),""))</f>
        <v>#NAME?</v>
      </c>
      <c r="AF60" s="129" t="e">
        <f ca="1">IF(AF59="MW",[1]!MTEST($AE28:$AE43,AF28:AF43,2), IF(AF59="T-Test Welch",_xlfn.T.TEST($AE28:$AE43,AF28:AF43,2,3),""))</f>
        <v>#NAME?</v>
      </c>
      <c r="AG60" s="129" t="e">
        <f ca="1">IF(AG59="MW",[1]!MTEST($AE28:$AE43,AG28:AG43,2), IF(AG59="T-Test Welch",_xlfn.T.TEST($AE28:$AE43,AG28:AG43,2,3),""))</f>
        <v>#NAME?</v>
      </c>
      <c r="AH60" s="129" t="e">
        <f ca="1">IF(AH59="MW",[1]!MTEST($AE28:$AE43,AH28:AH43,2), IF(AH59="T-Test Welch",_xlfn.T.TEST($AE28:$AE43,AH28:AH43,2,3),""))</f>
        <v>#NAME?</v>
      </c>
      <c r="AI60" s="129" t="e">
        <f ca="1">IF(AI59="MW",[1]!MTEST($AE28:$AE43,AI28:AI43,2), IF(AI59="T-Test Welch",_xlfn.T.TEST($AE28:$AE43,AI28:AI43,2,3),""))</f>
        <v>#NAME?</v>
      </c>
      <c r="AJ60" s="129" t="e">
        <f ca="1">IF(AJ59="MW",[1]!MTEST($AE28:$AE43,AJ28:AJ43,2), IF(AJ59="T-Test Welch",_xlfn.T.TEST($AE28:$AE43,AJ28:AJ43,2,3),""))</f>
        <v>#NAME?</v>
      </c>
      <c r="AK60" s="129" t="e">
        <f ca="1">IF(AK59="MW",[1]!MTEST($AE28:$AE43,AK28:AK43,2), IF(AK59="T-Test Welch",_xlfn.T.TEST($AE28:$AE43,AK28:AK43,2,3),""))</f>
        <v>#NAME?</v>
      </c>
      <c r="AL60" s="129" t="e">
        <f ca="1">IF(AL59="MW",[1]!MTEST($AE28:$AE43,AL28:AL43,2), IF(AL59="T-Test Welch",_xlfn.T.TEST($AE28:$AE43,AL28:AL43,2,3),""))</f>
        <v>#NAME?</v>
      </c>
      <c r="AM60" s="129" t="e">
        <f ca="1">IF(AM59="MW",[1]!MTEST($AE28:$AE43,AM28:AM43,2), IF(AM59="T-Test Welch",_xlfn.T.TEST($AE28:$AE43,AM28:AM43,2,3),""))</f>
        <v>#NAME?</v>
      </c>
      <c r="AN60" s="129" t="e">
        <f ca="1">IF(AN59="MW",[1]!MTEST($AE28:$AE43,AN28:AN43,2), IF(AN59="T-Test Welch",_xlfn.T.TEST($AE28:$AE43,AN28:AN43,2,3),""))</f>
        <v>#NAME?</v>
      </c>
      <c r="AO60" s="129" t="e">
        <f ca="1">IF(AO59="MW",[1]!MTEST($AE28:$AE43,AO28:AO43,2), IF(AO59="T-Test Welch",_xlfn.T.TEST($AE28:$AE43,AO28:AO43,2,3),""))</f>
        <v>#NAME?</v>
      </c>
      <c r="AP60" s="129" t="e">
        <f ca="1">IF(AP59="MW",[1]!MTEST($AE28:$AE43,AP28:AP43,2), IF(AP59="T-Test Welch",_xlfn.T.TEST($AE28:$AE43,AP28:AP43,2,3),""))</f>
        <v>#NAME?</v>
      </c>
      <c r="AQ60" s="129" t="e">
        <f ca="1">IF(AQ59="MW",[1]!MTEST($AE28:$AE43,AQ28:AQ43,2), IF(AQ59="T-Test Welch",_xlfn.T.TEST($AE28:$AE43,AQ28:AQ43,2,3),""))</f>
        <v>#NAME?</v>
      </c>
      <c r="AR60" s="129" t="e">
        <f ca="1">IF(AR59="MW",[1]!MTEST($AE28:$AE43,AR28:AR43,2), IF(AR59="T-Test Welch",_xlfn.T.TEST($AE28:$AE43,AR28:AR43,2,3),""))</f>
        <v>#NAME?</v>
      </c>
      <c r="AS60" s="129" t="e">
        <f ca="1">IF(AS59="MW",[1]!MTEST($AE28:$AE43,AS28:AS43,2), IF(AS59="T-Test Welch",_xlfn.T.TEST($AE28:$AE43,AS28:AS43,2,3),""))</f>
        <v>#NAME?</v>
      </c>
      <c r="AT60" s="129" t="e">
        <f ca="1">IF(AT59="MW",[1]!MTEST($AE28:$AE43,AT28:AT43,2), IF(AT59="T-Test Welch",_xlfn.T.TEST($AE28:$AE43,AT28:AT43,2,3),""))</f>
        <v>#NAME?</v>
      </c>
      <c r="AU60" s="129" t="e">
        <f ca="1">IF(AU59="MW",[1]!MTEST($AE28:$AE43,AU28:AU43,2), IF(AU59="T-Test Welch",_xlfn.T.TEST($AE28:$AE43,AU28:AU43,2,3),""))</f>
        <v>#NAME?</v>
      </c>
      <c r="AV60" s="129" t="e">
        <f ca="1">IF(AV59="MW",[1]!MTEST($AE28:$AE43,AV28:AV43,2), IF(AV59="T-Test Welch",_xlfn.T.TEST($AE28:$AE43,AV28:AV43,2,3),""))</f>
        <v>#NAME?</v>
      </c>
      <c r="AW60" s="129" t="e">
        <f ca="1">IF(AW59="MW",[1]!MTEST($AE28:$AE43,AW28:AW43,2), IF(AW59="T-Test Welch",_xlfn.T.TEST($AE28:$AE43,AW28:AW43,2,3),""))</f>
        <v>#NAME?</v>
      </c>
      <c r="AX60" s="129" t="e">
        <f ca="1">IF(AX59="MW",[1]!MTEST($AE28:$AE43,AX28:AX43,2), IF(AX59="T-Test Welch",_xlfn.T.TEST($AE28:$AE43,AX28:AX43,2,3),""))</f>
        <v>#NAME?</v>
      </c>
      <c r="AY60" s="129" t="e">
        <f ca="1">IF(AY59="MW",[1]!MTEST($AE28:$AE43,AY28:AY43,2), IF(AY59="T-Test Welch",_xlfn.T.TEST($AE28:$AE43,AY28:AY43,2,3),""))</f>
        <v>#NAME?</v>
      </c>
      <c r="AZ60" s="129" t="e">
        <f ca="1">IF(AZ59="MW",[1]!MTEST($AE28:$AE43,AZ28:AZ43,2), IF(AZ59="T-Test Welch",_xlfn.T.TEST($AE28:$AE43,AZ28:AZ43,2,3),""))</f>
        <v>#NAME?</v>
      </c>
      <c r="BA60" s="129" t="e">
        <f ca="1">IF(BA59="MW",[1]!MTEST($AE28:$AE43,BA28:BA43,2), IF(BA59="T-Test Welch",_xlfn.T.TEST($AE28:$AE43,BA28:BA43,2,3),""))</f>
        <v>#NAME?</v>
      </c>
    </row>
    <row r="61" spans="1:53" s="2" customFormat="1" ht="15.75" thickBot="1" x14ac:dyDescent="0.3">
      <c r="A61" s="46" t="s">
        <v>84</v>
      </c>
      <c r="B61" s="118"/>
      <c r="C61" s="118" t="e">
        <f t="shared" ref="C61:AE61" ca="1" si="62">IF(C60&gt;0.05,"NS",IF(C60&gt;0.01,"*",IF(C60&gt;0.001,"**","***")))</f>
        <v>#NAME?</v>
      </c>
      <c r="D61" s="118" t="e">
        <f t="shared" ca="1" si="62"/>
        <v>#NAME?</v>
      </c>
      <c r="E61" s="118" t="e">
        <f t="shared" ca="1" si="62"/>
        <v>#NAME?</v>
      </c>
      <c r="F61" s="118" t="e">
        <f t="shared" ca="1" si="62"/>
        <v>#NAME?</v>
      </c>
      <c r="G61" s="118" t="e">
        <f t="shared" ca="1" si="62"/>
        <v>#NAME?</v>
      </c>
      <c r="H61" s="118" t="e">
        <f t="shared" ca="1" si="62"/>
        <v>#NAME?</v>
      </c>
      <c r="I61" s="118" t="e">
        <f t="shared" ca="1" si="62"/>
        <v>#NAME?</v>
      </c>
      <c r="J61" s="118" t="e">
        <f t="shared" ca="1" si="62"/>
        <v>#NAME?</v>
      </c>
      <c r="K61" s="118" t="e">
        <f t="shared" ca="1" si="62"/>
        <v>#NAME?</v>
      </c>
      <c r="L61" s="118" t="e">
        <f t="shared" ca="1" si="62"/>
        <v>#NAME?</v>
      </c>
      <c r="M61" s="118" t="e">
        <f t="shared" ca="1" si="62"/>
        <v>#NAME?</v>
      </c>
      <c r="N61" s="118" t="e">
        <f t="shared" ca="1" si="62"/>
        <v>#NAME?</v>
      </c>
      <c r="O61" s="118" t="e">
        <f t="shared" ca="1" si="62"/>
        <v>#NAME?</v>
      </c>
      <c r="P61" s="118" t="e">
        <f t="shared" ca="1" si="62"/>
        <v>#NAME?</v>
      </c>
      <c r="Q61" s="118" t="e">
        <f t="shared" ca="1" si="62"/>
        <v>#NAME?</v>
      </c>
      <c r="R61" s="118" t="e">
        <f t="shared" ca="1" si="62"/>
        <v>#NAME?</v>
      </c>
      <c r="S61" s="118" t="e">
        <f t="shared" ca="1" si="62"/>
        <v>#NAME?</v>
      </c>
      <c r="T61" s="118" t="e">
        <f t="shared" ca="1" si="62"/>
        <v>#NAME?</v>
      </c>
      <c r="U61" s="118" t="e">
        <f t="shared" ca="1" si="62"/>
        <v>#NAME?</v>
      </c>
      <c r="V61" s="118" t="e">
        <f t="shared" ca="1" si="62"/>
        <v>#NAME?</v>
      </c>
      <c r="W61" s="118" t="e">
        <f t="shared" ca="1" si="62"/>
        <v>#NAME?</v>
      </c>
      <c r="X61" s="118" t="e">
        <f t="shared" ca="1" si="62"/>
        <v>#NAME?</v>
      </c>
      <c r="Y61" s="118" t="e">
        <f t="shared" ca="1" si="62"/>
        <v>#NAME?</v>
      </c>
      <c r="Z61" s="118" t="e">
        <f t="shared" ca="1" si="62"/>
        <v>#NAME?</v>
      </c>
      <c r="AA61" s="118" t="e">
        <f t="shared" ca="1" si="62"/>
        <v>#NAME?</v>
      </c>
      <c r="AB61" s="118" t="e">
        <f t="shared" ca="1" si="62"/>
        <v>#NAME?</v>
      </c>
      <c r="AC61" s="118" t="e">
        <f t="shared" ca="1" si="62"/>
        <v>#NAME?</v>
      </c>
      <c r="AD61" s="118"/>
      <c r="AE61" s="118" t="e">
        <f t="shared" ca="1" si="62"/>
        <v>#NAME?</v>
      </c>
      <c r="AF61" s="118" t="e">
        <f ca="1">IF(AF60&gt;0.05,"NS",IF(AF60&gt;0.01,"*",IF(AF60&gt;0.001,"**","***")))</f>
        <v>#NAME?</v>
      </c>
      <c r="AG61" s="118" t="e">
        <f t="shared" ref="AG61:BA61" ca="1" si="63">IF(AG60&gt;0.05,"NS",IF(AG60&gt;0.01,"*",IF(AG60&gt;0.001,"**","***")))</f>
        <v>#NAME?</v>
      </c>
      <c r="AH61" s="118" t="e">
        <f t="shared" ca="1" si="63"/>
        <v>#NAME?</v>
      </c>
      <c r="AI61" s="118" t="e">
        <f t="shared" ca="1" si="63"/>
        <v>#NAME?</v>
      </c>
      <c r="AJ61" s="118" t="e">
        <f t="shared" ca="1" si="63"/>
        <v>#NAME?</v>
      </c>
      <c r="AK61" s="118" t="e">
        <f t="shared" ca="1" si="63"/>
        <v>#NAME?</v>
      </c>
      <c r="AL61" s="118" t="e">
        <f t="shared" ca="1" si="63"/>
        <v>#NAME?</v>
      </c>
      <c r="AM61" s="118" t="e">
        <f t="shared" ca="1" si="63"/>
        <v>#NAME?</v>
      </c>
      <c r="AN61" s="118" t="e">
        <f t="shared" ca="1" si="63"/>
        <v>#NAME?</v>
      </c>
      <c r="AO61" s="118" t="e">
        <f t="shared" ca="1" si="63"/>
        <v>#NAME?</v>
      </c>
      <c r="AP61" s="118" t="e">
        <f t="shared" ca="1" si="63"/>
        <v>#NAME?</v>
      </c>
      <c r="AQ61" s="118" t="e">
        <f t="shared" ca="1" si="63"/>
        <v>#NAME?</v>
      </c>
      <c r="AR61" s="118" t="e">
        <f t="shared" ca="1" si="63"/>
        <v>#NAME?</v>
      </c>
      <c r="AS61" s="118" t="e">
        <f t="shared" ca="1" si="63"/>
        <v>#NAME?</v>
      </c>
      <c r="AT61" s="118" t="e">
        <f t="shared" ca="1" si="63"/>
        <v>#NAME?</v>
      </c>
      <c r="AU61" s="118" t="e">
        <f t="shared" ca="1" si="63"/>
        <v>#NAME?</v>
      </c>
      <c r="AV61" s="118" t="e">
        <f t="shared" ca="1" si="63"/>
        <v>#NAME?</v>
      </c>
      <c r="AW61" s="118" t="e">
        <f t="shared" ca="1" si="63"/>
        <v>#NAME?</v>
      </c>
      <c r="AX61" s="118" t="e">
        <f t="shared" ca="1" si="63"/>
        <v>#NAME?</v>
      </c>
      <c r="AY61" s="118" t="e">
        <f t="shared" ca="1" si="63"/>
        <v>#NAME?</v>
      </c>
      <c r="AZ61" s="118" t="e">
        <f t="shared" ca="1" si="63"/>
        <v>#NAME?</v>
      </c>
      <c r="BA61" s="118" t="e">
        <f t="shared" ca="1" si="63"/>
        <v>#NAME?</v>
      </c>
    </row>
    <row r="63" spans="1:53" x14ac:dyDescent="0.25">
      <c r="A63" s="1" t="s">
        <v>39</v>
      </c>
    </row>
    <row r="64" spans="1:53" x14ac:dyDescent="0.25">
      <c r="A64" t="s">
        <v>23</v>
      </c>
      <c r="B64">
        <f>B46+(3*B47)</f>
        <v>0.31109732563474052</v>
      </c>
    </row>
    <row r="65" spans="1:53" x14ac:dyDescent="0.25">
      <c r="A65" t="s">
        <v>24</v>
      </c>
      <c r="B65">
        <f>B46+(10*B47)</f>
        <v>0.77959719453068865</v>
      </c>
    </row>
    <row r="66" spans="1:53" ht="15.75" thickBot="1" x14ac:dyDescent="0.3"/>
    <row r="67" spans="1:53" ht="27" thickBot="1" x14ac:dyDescent="0.45">
      <c r="A67" s="188" t="s">
        <v>45</v>
      </c>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90"/>
    </row>
    <row r="68" spans="1:53" ht="16.5" x14ac:dyDescent="0.25">
      <c r="A68" s="10"/>
      <c r="B68" s="10"/>
      <c r="C68" s="10"/>
      <c r="D68" s="10"/>
      <c r="E68" s="10"/>
      <c r="F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row>
    <row r="69" spans="1:53" ht="16.5" x14ac:dyDescent="0.25">
      <c r="A69" s="10"/>
      <c r="B69" s="10"/>
      <c r="C69" s="10"/>
      <c r="D69" s="10"/>
      <c r="E69" s="10"/>
      <c r="F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row>
    <row r="70" spans="1:53" ht="16.5" x14ac:dyDescent="0.25">
      <c r="A70" s="10"/>
      <c r="B70" s="10"/>
      <c r="C70" s="10"/>
      <c r="D70" s="10"/>
      <c r="E70" s="10"/>
      <c r="F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row>
    <row r="71" spans="1:53" ht="16.5" x14ac:dyDescent="0.25">
      <c r="A71" s="10"/>
      <c r="B71" s="10"/>
      <c r="C71" s="10"/>
      <c r="D71" s="10"/>
      <c r="E71" s="10"/>
      <c r="F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row>
    <row r="72" spans="1:53" ht="16.5" x14ac:dyDescent="0.25">
      <c r="A72" s="10"/>
      <c r="B72" s="10"/>
      <c r="C72" s="10"/>
      <c r="D72" s="10"/>
      <c r="E72" s="10"/>
      <c r="F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row>
    <row r="73" spans="1:53" ht="16.5" x14ac:dyDescent="0.25">
      <c r="A73" s="10"/>
      <c r="B73" s="10"/>
      <c r="C73" s="10"/>
      <c r="D73" s="10"/>
      <c r="E73" s="10"/>
      <c r="F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row>
    <row r="74" spans="1:53" ht="16.5" x14ac:dyDescent="0.25">
      <c r="A74" s="10"/>
      <c r="B74" s="10"/>
      <c r="C74" s="10"/>
      <c r="D74" s="10"/>
      <c r="E74" s="10"/>
      <c r="F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row>
  </sheetData>
  <protectedRanges>
    <protectedRange sqref="AE51:BA51" name="Plage2"/>
    <protectedRange sqref="R5:AK15 AH16:BA20" name="Plage1"/>
    <protectedRange sqref="B51:J51" name="Plage2_1"/>
    <protectedRange sqref="O5:O15 B5:J20 AE16:AE20" name="Plage1_1"/>
  </protectedRanges>
  <mergeCells count="9">
    <mergeCell ref="A1:BA1"/>
    <mergeCell ref="A67:BA67"/>
    <mergeCell ref="A5:A20"/>
    <mergeCell ref="B3:AC3"/>
    <mergeCell ref="AE3:BA3"/>
    <mergeCell ref="B26:AC26"/>
    <mergeCell ref="AE26:BA26"/>
    <mergeCell ref="A28:A43"/>
    <mergeCell ref="A50:BA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30"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711"/>
  <sheetViews>
    <sheetView showGridLines="0" topLeftCell="K1" zoomScale="80" zoomScaleNormal="80" workbookViewId="0">
      <selection activeCell="Z5" sqref="Z5:AF12"/>
    </sheetView>
  </sheetViews>
  <sheetFormatPr defaultColWidth="11.42578125" defaultRowHeight="15" x14ac:dyDescent="0.25"/>
  <cols>
    <col min="1" max="2" width="15" customWidth="1"/>
    <col min="3" max="3" width="25.42578125" customWidth="1"/>
    <col min="4" max="4" width="14" customWidth="1"/>
    <col min="5" max="5" width="21.140625" customWidth="1"/>
    <col min="7" max="7" width="21.42578125" customWidth="1"/>
    <col min="8" max="8" width="12.28515625" customWidth="1"/>
    <col min="9" max="9" width="17.140625" customWidth="1"/>
    <col min="11" max="11" width="37.42578125" bestFit="1" customWidth="1"/>
    <col min="12" max="12" width="38.42578125" bestFit="1" customWidth="1"/>
    <col min="13" max="14" width="12.85546875" customWidth="1"/>
    <col min="15" max="25" width="12.28515625" customWidth="1"/>
  </cols>
  <sheetData>
    <row r="1" spans="1:32" x14ac:dyDescent="0.25">
      <c r="A1" t="s">
        <v>107</v>
      </c>
      <c r="B1" t="s">
        <v>108</v>
      </c>
      <c r="C1" t="s">
        <v>109</v>
      </c>
      <c r="D1" t="s">
        <v>110</v>
      </c>
      <c r="E1" t="s">
        <v>111</v>
      </c>
      <c r="F1" t="s">
        <v>112</v>
      </c>
      <c r="G1" t="s">
        <v>113</v>
      </c>
      <c r="H1" t="s">
        <v>117</v>
      </c>
      <c r="I1" t="s">
        <v>118</v>
      </c>
      <c r="K1" s="96" t="s">
        <v>112</v>
      </c>
      <c r="L1" t="s">
        <v>119</v>
      </c>
    </row>
    <row r="2" spans="1:32" x14ac:dyDescent="0.25">
      <c r="A2" t="str">
        <f t="shared" ref="A2:A65" si="0">IFERROR(LEFT(RIGHT(C2,LEN(C2)-SEARCH("@",C2)),SEARCH("/",RIGHT(C2,LEN(C2)-SEARCH("@",C2)-1))),"")</f>
        <v>01 TS</v>
      </c>
      <c r="B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30" t="s">
        <v>3072</v>
      </c>
      <c r="D2" t="s">
        <v>677</v>
      </c>
      <c r="E2" t="s">
        <v>3073</v>
      </c>
      <c r="F2" t="s">
        <v>112</v>
      </c>
      <c r="G2">
        <v>290944</v>
      </c>
      <c r="K2" s="133" t="s">
        <v>120</v>
      </c>
      <c r="L2" s="133" t="s">
        <v>121</v>
      </c>
    </row>
    <row r="3" spans="1:32" x14ac:dyDescent="0.25">
      <c r="A3" t="str">
        <f t="shared" si="0"/>
        <v>01 TS</v>
      </c>
      <c r="B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t="s">
        <v>3074</v>
      </c>
      <c r="D3" t="s">
        <v>1255</v>
      </c>
      <c r="E3" t="s">
        <v>3075</v>
      </c>
      <c r="F3" t="s">
        <v>112</v>
      </c>
      <c r="G3">
        <v>172542</v>
      </c>
      <c r="K3" s="96" t="s">
        <v>154</v>
      </c>
      <c r="L3" s="96" t="s">
        <v>114</v>
      </c>
    </row>
    <row r="4" spans="1:32" x14ac:dyDescent="0.25">
      <c r="A4" t="str">
        <f t="shared" si="0"/>
        <v>01 TS</v>
      </c>
      <c r="B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t="s">
        <v>3076</v>
      </c>
      <c r="D4" t="s">
        <v>3077</v>
      </c>
      <c r="E4" t="s">
        <v>3078</v>
      </c>
      <c r="F4" t="s">
        <v>112</v>
      </c>
      <c r="G4">
        <v>149246</v>
      </c>
      <c r="K4" s="96" t="s">
        <v>100</v>
      </c>
      <c r="L4" t="s">
        <v>1643</v>
      </c>
      <c r="M4" t="s">
        <v>1644</v>
      </c>
      <c r="N4" t="s">
        <v>1645</v>
      </c>
      <c r="O4" t="s">
        <v>1646</v>
      </c>
      <c r="P4" t="s">
        <v>1647</v>
      </c>
      <c r="Q4" t="s">
        <v>1648</v>
      </c>
      <c r="R4" t="s">
        <v>1649</v>
      </c>
      <c r="S4" t="s">
        <v>1650</v>
      </c>
      <c r="T4" t="s">
        <v>4394</v>
      </c>
      <c r="U4" t="s">
        <v>1652</v>
      </c>
      <c r="V4" t="s">
        <v>1653</v>
      </c>
      <c r="W4" t="s">
        <v>1654</v>
      </c>
      <c r="X4" t="s">
        <v>3063</v>
      </c>
      <c r="Y4" t="s">
        <v>3064</v>
      </c>
      <c r="Z4" t="s">
        <v>3065</v>
      </c>
      <c r="AA4" t="s">
        <v>3066</v>
      </c>
      <c r="AB4" t="s">
        <v>4395</v>
      </c>
      <c r="AC4" t="s">
        <v>4396</v>
      </c>
      <c r="AD4" t="s">
        <v>4397</v>
      </c>
      <c r="AE4" t="s">
        <v>4398</v>
      </c>
      <c r="AF4" t="s">
        <v>4399</v>
      </c>
    </row>
    <row r="5" spans="1:32" x14ac:dyDescent="0.25">
      <c r="A5" t="str">
        <f t="shared" si="0"/>
        <v>01 TS</v>
      </c>
      <c r="B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t="s">
        <v>3079</v>
      </c>
      <c r="D5" t="s">
        <v>282</v>
      </c>
      <c r="E5" t="s">
        <v>3080</v>
      </c>
      <c r="F5" t="s">
        <v>112</v>
      </c>
      <c r="G5">
        <v>95972</v>
      </c>
      <c r="K5" s="121" t="s">
        <v>164</v>
      </c>
      <c r="L5">
        <v>204244</v>
      </c>
      <c r="M5">
        <v>185339.33333333334</v>
      </c>
      <c r="N5">
        <v>122404</v>
      </c>
      <c r="O5">
        <v>227406</v>
      </c>
      <c r="P5">
        <v>1183955.3333333333</v>
      </c>
      <c r="Q5">
        <v>4699808.333333333</v>
      </c>
      <c r="R5">
        <v>5769068</v>
      </c>
      <c r="S5">
        <v>294649.66666666669</v>
      </c>
      <c r="T5">
        <v>23670.333333333332</v>
      </c>
      <c r="U5">
        <v>524179</v>
      </c>
      <c r="V5">
        <v>473976</v>
      </c>
      <c r="W5">
        <v>2948803.5</v>
      </c>
      <c r="X5">
        <v>3510023.5</v>
      </c>
      <c r="Y5">
        <v>1038581</v>
      </c>
      <c r="Z5">
        <v>5733068.333333333</v>
      </c>
      <c r="AA5">
        <v>251245.66666666666</v>
      </c>
      <c r="AB5">
        <v>2806572.6666666665</v>
      </c>
      <c r="AC5">
        <v>5402924.333333333</v>
      </c>
      <c r="AD5">
        <v>6702751.333333333</v>
      </c>
      <c r="AE5">
        <v>4082253</v>
      </c>
      <c r="AF5">
        <v>1273820.3333333333</v>
      </c>
    </row>
    <row r="6" spans="1:32" x14ac:dyDescent="0.25">
      <c r="A6" t="str">
        <f t="shared" si="0"/>
        <v>01 TS</v>
      </c>
      <c r="B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t="s">
        <v>3081</v>
      </c>
      <c r="D6" t="s">
        <v>3082</v>
      </c>
      <c r="E6" t="s">
        <v>3083</v>
      </c>
      <c r="F6" t="s">
        <v>112</v>
      </c>
      <c r="G6">
        <v>104299</v>
      </c>
      <c r="K6" s="121" t="s">
        <v>1664</v>
      </c>
      <c r="L6">
        <v>100135.5</v>
      </c>
      <c r="M6">
        <v>216331.5</v>
      </c>
      <c r="N6">
        <v>224529</v>
      </c>
      <c r="O6">
        <v>313943.33333333331</v>
      </c>
      <c r="P6">
        <v>1078402</v>
      </c>
      <c r="Q6">
        <v>3764978.6666666665</v>
      </c>
      <c r="R6">
        <v>5658005.666666667</v>
      </c>
      <c r="S6">
        <v>2410544</v>
      </c>
      <c r="T6">
        <v>206327.66666666666</v>
      </c>
      <c r="U6">
        <v>264548</v>
      </c>
      <c r="V6">
        <v>1449412.3333333333</v>
      </c>
      <c r="W6">
        <v>403613.66666666669</v>
      </c>
      <c r="X6">
        <v>3402101.3333333335</v>
      </c>
      <c r="Y6">
        <v>1777544.5</v>
      </c>
      <c r="Z6">
        <v>5213302</v>
      </c>
      <c r="AA6">
        <v>168821</v>
      </c>
      <c r="AB6">
        <v>3935018.6666666665</v>
      </c>
      <c r="AC6">
        <v>5492392.666666667</v>
      </c>
      <c r="AD6">
        <v>7422990.666666667</v>
      </c>
      <c r="AE6">
        <v>4825608</v>
      </c>
      <c r="AF6">
        <v>5437214.666666667</v>
      </c>
    </row>
    <row r="7" spans="1:32" x14ac:dyDescent="0.25">
      <c r="A7" t="str">
        <f t="shared" si="0"/>
        <v>01 TS</v>
      </c>
      <c r="B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 t="s">
        <v>3084</v>
      </c>
      <c r="D7" t="s">
        <v>3085</v>
      </c>
      <c r="E7" t="s">
        <v>3086</v>
      </c>
      <c r="F7" t="s">
        <v>112</v>
      </c>
      <c r="G7">
        <v>718805</v>
      </c>
      <c r="K7" s="121" t="s">
        <v>1665</v>
      </c>
      <c r="L7">
        <v>689236.66666666663</v>
      </c>
      <c r="M7">
        <v>92749</v>
      </c>
      <c r="N7">
        <v>344001.5</v>
      </c>
      <c r="O7">
        <v>623229.33333333337</v>
      </c>
      <c r="P7">
        <v>325624</v>
      </c>
      <c r="Q7">
        <v>4774806.333333333</v>
      </c>
      <c r="R7">
        <v>5538193.5</v>
      </c>
      <c r="S7">
        <v>278427</v>
      </c>
      <c r="T7">
        <v>51594.666666666664</v>
      </c>
      <c r="U7">
        <v>684398.66666666663</v>
      </c>
      <c r="V7">
        <v>1097003.6666666667</v>
      </c>
      <c r="W7">
        <v>3427747.3333333335</v>
      </c>
      <c r="X7">
        <v>2115511.6666666665</v>
      </c>
      <c r="Y7">
        <v>1539731.3333333333</v>
      </c>
      <c r="Z7">
        <v>4502861.333333333</v>
      </c>
      <c r="AA7">
        <v>269501.33333333331</v>
      </c>
      <c r="AB7">
        <v>2097422</v>
      </c>
      <c r="AC7">
        <v>5803048.333333333</v>
      </c>
      <c r="AD7">
        <v>5529394</v>
      </c>
      <c r="AE7">
        <v>5028835</v>
      </c>
      <c r="AF7">
        <v>3298342.6666666665</v>
      </c>
    </row>
    <row r="8" spans="1:32" x14ac:dyDescent="0.25">
      <c r="A8" t="str">
        <f t="shared" si="0"/>
        <v>01 TS</v>
      </c>
      <c r="B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t="s">
        <v>3087</v>
      </c>
      <c r="D8" t="s">
        <v>2307</v>
      </c>
      <c r="E8" t="s">
        <v>3088</v>
      </c>
      <c r="F8" t="s">
        <v>112</v>
      </c>
      <c r="G8">
        <v>589631</v>
      </c>
      <c r="K8" s="121" t="s">
        <v>1666</v>
      </c>
      <c r="L8">
        <v>71908.5</v>
      </c>
      <c r="M8">
        <v>425059.5</v>
      </c>
      <c r="N8">
        <v>252616</v>
      </c>
      <c r="O8">
        <v>499081</v>
      </c>
      <c r="P8">
        <v>617793</v>
      </c>
      <c r="Q8">
        <v>2826890.3333333335</v>
      </c>
      <c r="R8">
        <v>5427859.5</v>
      </c>
      <c r="S8">
        <v>148467.66666666666</v>
      </c>
      <c r="T8">
        <v>343079</v>
      </c>
      <c r="U8">
        <v>568873.33333333337</v>
      </c>
      <c r="V8">
        <v>2454863</v>
      </c>
      <c r="W8">
        <v>1785836</v>
      </c>
      <c r="X8">
        <v>4309634</v>
      </c>
      <c r="Y8">
        <v>2838696.5</v>
      </c>
      <c r="Z8">
        <v>3621615.6666666665</v>
      </c>
      <c r="AA8">
        <v>523011</v>
      </c>
      <c r="AB8">
        <v>3918418</v>
      </c>
      <c r="AC8">
        <v>4467186</v>
      </c>
      <c r="AD8">
        <v>3629806.3333333335</v>
      </c>
      <c r="AE8">
        <v>6418880</v>
      </c>
      <c r="AF8">
        <v>2907469</v>
      </c>
    </row>
    <row r="9" spans="1:32" x14ac:dyDescent="0.25">
      <c r="A9" t="str">
        <f t="shared" si="0"/>
        <v>01 TS</v>
      </c>
      <c r="B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t="s">
        <v>3089</v>
      </c>
      <c r="D9" t="s">
        <v>854</v>
      </c>
      <c r="E9" t="s">
        <v>3090</v>
      </c>
      <c r="F9" t="s">
        <v>112</v>
      </c>
      <c r="G9">
        <v>759274</v>
      </c>
      <c r="K9" s="121" t="s">
        <v>1667</v>
      </c>
      <c r="L9">
        <v>296062.66666666669</v>
      </c>
      <c r="M9">
        <v>270820.66666666669</v>
      </c>
      <c r="N9">
        <v>557932.5</v>
      </c>
      <c r="O9">
        <v>187369</v>
      </c>
      <c r="P9">
        <v>1347232.3333333333</v>
      </c>
      <c r="Q9">
        <v>4240822</v>
      </c>
      <c r="R9">
        <v>5717732.666666667</v>
      </c>
      <c r="S9">
        <v>1110835.5</v>
      </c>
      <c r="T9">
        <v>595374</v>
      </c>
      <c r="U9">
        <v>191092.66666666666</v>
      </c>
      <c r="V9">
        <v>1603063.6666666667</v>
      </c>
      <c r="X9">
        <v>3345647.5</v>
      </c>
      <c r="Y9">
        <v>1249450.5</v>
      </c>
      <c r="Z9">
        <v>5112225.333333333</v>
      </c>
      <c r="AA9">
        <v>142072.66666666666</v>
      </c>
      <c r="AB9">
        <v>4028027</v>
      </c>
      <c r="AC9">
        <v>6111519.666666667</v>
      </c>
      <c r="AD9">
        <v>5196409.333333333</v>
      </c>
      <c r="AE9">
        <v>3908378</v>
      </c>
      <c r="AF9">
        <v>6423429.666666667</v>
      </c>
    </row>
    <row r="10" spans="1:32" x14ac:dyDescent="0.25">
      <c r="A10" t="str">
        <f t="shared" si="0"/>
        <v>01 TS</v>
      </c>
      <c r="B1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0" t="s">
        <v>3091</v>
      </c>
      <c r="D10" t="s">
        <v>3092</v>
      </c>
      <c r="E10" t="s">
        <v>3093</v>
      </c>
      <c r="F10" t="s">
        <v>112</v>
      </c>
      <c r="G10">
        <v>40210</v>
      </c>
      <c r="K10" s="121" t="s">
        <v>1668</v>
      </c>
      <c r="L10">
        <v>117515</v>
      </c>
      <c r="M10">
        <v>243141.5</v>
      </c>
      <c r="N10">
        <v>279739.5</v>
      </c>
      <c r="O10">
        <v>412850</v>
      </c>
      <c r="P10">
        <v>2269437.3333333335</v>
      </c>
      <c r="Q10">
        <v>4152521.6666666665</v>
      </c>
      <c r="R10">
        <v>4167244.3333333335</v>
      </c>
      <c r="S10">
        <v>585499.5</v>
      </c>
      <c r="T10">
        <v>270817.5</v>
      </c>
      <c r="U10">
        <v>436412</v>
      </c>
      <c r="V10">
        <v>1645764.5</v>
      </c>
      <c r="W10">
        <v>4543943.5</v>
      </c>
      <c r="X10">
        <v>1687095.6666666667</v>
      </c>
      <c r="Y10">
        <v>3793458</v>
      </c>
      <c r="Z10">
        <v>3615466</v>
      </c>
      <c r="AA10">
        <v>1556920</v>
      </c>
      <c r="AB10">
        <v>6191651</v>
      </c>
      <c r="AC10">
        <v>4826051.5</v>
      </c>
      <c r="AD10">
        <v>4618573.666666667</v>
      </c>
      <c r="AE10">
        <v>5219553.333333333</v>
      </c>
      <c r="AF10">
        <v>5566907.666666667</v>
      </c>
    </row>
    <row r="11" spans="1:32" x14ac:dyDescent="0.25">
      <c r="A11" t="str">
        <f t="shared" si="0"/>
        <v>01 TS</v>
      </c>
      <c r="B1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t="s">
        <v>3094</v>
      </c>
      <c r="K11" s="121" t="s">
        <v>1669</v>
      </c>
      <c r="L11">
        <v>126600</v>
      </c>
      <c r="M11">
        <v>835873</v>
      </c>
      <c r="N11">
        <v>187344</v>
      </c>
      <c r="O11">
        <v>145461</v>
      </c>
      <c r="P11">
        <v>890430.66666666663</v>
      </c>
      <c r="Q11">
        <v>863379</v>
      </c>
      <c r="R11">
        <v>8409638</v>
      </c>
      <c r="S11">
        <v>794812</v>
      </c>
      <c r="T11">
        <v>105748.66666666667</v>
      </c>
      <c r="U11">
        <v>1193480</v>
      </c>
      <c r="V11">
        <v>876335</v>
      </c>
      <c r="X11">
        <v>2179969</v>
      </c>
      <c r="Y11">
        <v>2754387</v>
      </c>
      <c r="Z11">
        <v>2289084.6666666665</v>
      </c>
      <c r="AA11">
        <v>304779.66666666669</v>
      </c>
      <c r="AB11">
        <v>3280620.3333333335</v>
      </c>
      <c r="AC11">
        <v>3413983</v>
      </c>
      <c r="AD11">
        <v>4886618.333333333</v>
      </c>
      <c r="AE11">
        <v>6184801.666666667</v>
      </c>
      <c r="AF11">
        <v>7016766.333333333</v>
      </c>
    </row>
    <row r="12" spans="1:32" x14ac:dyDescent="0.25">
      <c r="A12" t="str">
        <f t="shared" si="0"/>
        <v>01 TS</v>
      </c>
      <c r="B1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t="s">
        <v>3095</v>
      </c>
      <c r="D12" t="s">
        <v>824</v>
      </c>
      <c r="E12" t="s">
        <v>3096</v>
      </c>
      <c r="F12" t="s">
        <v>112</v>
      </c>
      <c r="G12">
        <v>103607</v>
      </c>
      <c r="K12" s="121" t="s">
        <v>1670</v>
      </c>
      <c r="L12">
        <v>670116</v>
      </c>
      <c r="M12">
        <v>299152.5</v>
      </c>
      <c r="N12">
        <v>300100.66666666669</v>
      </c>
      <c r="O12">
        <v>358894</v>
      </c>
      <c r="P12">
        <v>1815779.3333333333</v>
      </c>
      <c r="Q12">
        <v>6091101</v>
      </c>
      <c r="R12">
        <v>6856042.333333333</v>
      </c>
      <c r="S12">
        <v>39179</v>
      </c>
      <c r="T12">
        <v>275709.33333333331</v>
      </c>
      <c r="U12">
        <v>237597</v>
      </c>
      <c r="V12">
        <v>1812988.6666666667</v>
      </c>
      <c r="W12">
        <v>2302578</v>
      </c>
      <c r="X12">
        <v>2160646.3333333335</v>
      </c>
      <c r="Y12">
        <v>3717667</v>
      </c>
      <c r="Z12">
        <v>5128368.666666667</v>
      </c>
      <c r="AA12">
        <v>616776.33333333337</v>
      </c>
      <c r="AB12">
        <v>2809384.6666666665</v>
      </c>
      <c r="AC12">
        <v>5127316</v>
      </c>
      <c r="AD12">
        <v>4248464.666666667</v>
      </c>
      <c r="AE12">
        <v>4366722.666666667</v>
      </c>
      <c r="AF12">
        <v>5836726</v>
      </c>
    </row>
    <row r="13" spans="1:32" x14ac:dyDescent="0.25">
      <c r="A13" t="str">
        <f t="shared" si="0"/>
        <v>01 TS</v>
      </c>
      <c r="B1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3" t="s">
        <v>3097</v>
      </c>
      <c r="D13" t="s">
        <v>1708</v>
      </c>
      <c r="E13" t="s">
        <v>3098</v>
      </c>
      <c r="F13" t="s">
        <v>112</v>
      </c>
      <c r="G13">
        <v>160515</v>
      </c>
    </row>
    <row r="14" spans="1:32" x14ac:dyDescent="0.25">
      <c r="A14" t="str">
        <f t="shared" si="0"/>
        <v>01 TS</v>
      </c>
      <c r="B1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t="s">
        <v>3099</v>
      </c>
      <c r="D14" t="s">
        <v>1270</v>
      </c>
      <c r="E14" t="s">
        <v>3100</v>
      </c>
      <c r="F14" t="s">
        <v>112</v>
      </c>
      <c r="G14">
        <v>416635</v>
      </c>
    </row>
    <row r="15" spans="1:32" x14ac:dyDescent="0.25">
      <c r="A15" t="str">
        <f t="shared" si="0"/>
        <v>01 TS</v>
      </c>
      <c r="B1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t="s">
        <v>3101</v>
      </c>
      <c r="D15" t="s">
        <v>193</v>
      </c>
      <c r="E15" t="s">
        <v>3102</v>
      </c>
      <c r="F15" t="s">
        <v>112</v>
      </c>
      <c r="G15">
        <v>311038</v>
      </c>
    </row>
    <row r="16" spans="1:32" x14ac:dyDescent="0.25">
      <c r="A16" t="str">
        <f t="shared" si="0"/>
        <v>01 TS</v>
      </c>
      <c r="B1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6" t="s">
        <v>3103</v>
      </c>
    </row>
    <row r="17" spans="1:9" x14ac:dyDescent="0.25">
      <c r="A17" t="str">
        <f t="shared" si="0"/>
        <v>01 TS</v>
      </c>
      <c r="B1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t="s">
        <v>3104</v>
      </c>
    </row>
    <row r="18" spans="1:9" x14ac:dyDescent="0.25">
      <c r="A18" t="str">
        <f t="shared" si="0"/>
        <v>01 TS</v>
      </c>
      <c r="B1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t="s">
        <v>3105</v>
      </c>
      <c r="D18" t="s">
        <v>1931</v>
      </c>
      <c r="E18" t="s">
        <v>1932</v>
      </c>
      <c r="F18" t="s">
        <v>112</v>
      </c>
      <c r="G18">
        <v>117515</v>
      </c>
    </row>
    <row r="19" spans="1:9" x14ac:dyDescent="0.25">
      <c r="A19" t="str">
        <f t="shared" si="0"/>
        <v>01 TS</v>
      </c>
      <c r="B1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9" t="s">
        <v>3106</v>
      </c>
      <c r="D19" t="s">
        <v>3107</v>
      </c>
      <c r="E19" t="s">
        <v>3108</v>
      </c>
      <c r="F19" t="s">
        <v>112</v>
      </c>
      <c r="G19">
        <v>126600</v>
      </c>
    </row>
    <row r="20" spans="1:9" x14ac:dyDescent="0.25">
      <c r="A20" t="str">
        <f t="shared" si="0"/>
        <v>01 TS</v>
      </c>
      <c r="B2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t="s">
        <v>3109</v>
      </c>
    </row>
    <row r="21" spans="1:9" x14ac:dyDescent="0.25">
      <c r="A21" t="str">
        <f t="shared" si="0"/>
        <v>01 TS</v>
      </c>
      <c r="B2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t="s">
        <v>3110</v>
      </c>
    </row>
    <row r="22" spans="1:9" x14ac:dyDescent="0.25">
      <c r="A22" t="str">
        <f t="shared" si="0"/>
        <v>01 TS</v>
      </c>
      <c r="B2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 t="s">
        <v>3111</v>
      </c>
      <c r="D22" t="s">
        <v>354</v>
      </c>
      <c r="E22" t="s">
        <v>3112</v>
      </c>
      <c r="F22" t="s">
        <v>112</v>
      </c>
      <c r="G22">
        <v>584829</v>
      </c>
    </row>
    <row r="23" spans="1:9" x14ac:dyDescent="0.25">
      <c r="A23" t="str">
        <f t="shared" si="0"/>
        <v>01 TS</v>
      </c>
      <c r="B2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t="s">
        <v>3113</v>
      </c>
      <c r="D23" t="s">
        <v>836</v>
      </c>
      <c r="E23" t="s">
        <v>3114</v>
      </c>
      <c r="F23" t="s">
        <v>112</v>
      </c>
      <c r="G23">
        <v>624542</v>
      </c>
    </row>
    <row r="24" spans="1:9" x14ac:dyDescent="0.25">
      <c r="A24" t="str">
        <f t="shared" si="0"/>
        <v>01 TS</v>
      </c>
      <c r="B2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t="s">
        <v>3115</v>
      </c>
      <c r="D24" t="s">
        <v>2673</v>
      </c>
      <c r="E24" t="s">
        <v>3116</v>
      </c>
      <c r="F24" t="s">
        <v>112</v>
      </c>
      <c r="G24">
        <v>800977</v>
      </c>
    </row>
    <row r="25" spans="1:9" x14ac:dyDescent="0.25">
      <c r="A25" t="str">
        <f t="shared" si="0"/>
        <v/>
      </c>
      <c r="B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 t="s">
        <v>112</v>
      </c>
    </row>
    <row r="26" spans="1:9" x14ac:dyDescent="0.25">
      <c r="A26" t="str">
        <f t="shared" si="0"/>
        <v/>
      </c>
      <c r="B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t="s">
        <v>234</v>
      </c>
      <c r="D26" t="s">
        <v>112</v>
      </c>
      <c r="E26" t="s">
        <v>235</v>
      </c>
      <c r="F26" t="s">
        <v>236</v>
      </c>
      <c r="G26" t="s">
        <v>237</v>
      </c>
      <c r="H26" t="s">
        <v>238</v>
      </c>
      <c r="I26" t="s">
        <v>239</v>
      </c>
    </row>
    <row r="27" spans="1:9" x14ac:dyDescent="0.25">
      <c r="A27" t="str">
        <f t="shared" si="0"/>
        <v>01 TS</v>
      </c>
      <c r="B2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7" t="s">
        <v>3117</v>
      </c>
      <c r="D27" t="s">
        <v>112</v>
      </c>
      <c r="E27" t="s">
        <v>3118</v>
      </c>
      <c r="F27" t="s">
        <v>3119</v>
      </c>
      <c r="G27" t="s">
        <v>3120</v>
      </c>
      <c r="H27" t="s">
        <v>3121</v>
      </c>
      <c r="I27">
        <v>23</v>
      </c>
    </row>
    <row r="28" spans="1:9" x14ac:dyDescent="0.25">
      <c r="A28" t="str">
        <f t="shared" si="0"/>
        <v/>
      </c>
      <c r="B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 t="s">
        <v>112</v>
      </c>
    </row>
    <row r="29" spans="1:9" x14ac:dyDescent="0.25">
      <c r="A29" t="str">
        <f t="shared" si="0"/>
        <v/>
      </c>
      <c r="B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t="s">
        <v>112</v>
      </c>
    </row>
    <row r="30" spans="1:9" x14ac:dyDescent="0.25">
      <c r="A30" t="str">
        <f t="shared" si="0"/>
        <v/>
      </c>
      <c r="B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t="s">
        <v>112</v>
      </c>
    </row>
    <row r="31" spans="1:9" x14ac:dyDescent="0.25">
      <c r="A31" t="str">
        <f t="shared" si="0"/>
        <v/>
      </c>
      <c r="B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t="s">
        <v>112</v>
      </c>
    </row>
    <row r="32" spans="1:9" x14ac:dyDescent="0.25">
      <c r="A32" t="str">
        <f t="shared" si="0"/>
        <v/>
      </c>
      <c r="B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t="s">
        <v>112</v>
      </c>
    </row>
    <row r="33" spans="1:7" x14ac:dyDescent="0.25">
      <c r="A33" t="str">
        <f t="shared" si="0"/>
        <v/>
      </c>
      <c r="B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t="s">
        <v>246</v>
      </c>
      <c r="D33" t="s">
        <v>110</v>
      </c>
      <c r="E33" t="s">
        <v>111</v>
      </c>
      <c r="F33" t="s">
        <v>112</v>
      </c>
      <c r="G33" t="s">
        <v>113</v>
      </c>
    </row>
    <row r="34" spans="1:7" x14ac:dyDescent="0.25">
      <c r="A34" t="str">
        <f t="shared" si="0"/>
        <v>02 EE2 34</v>
      </c>
      <c r="B3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4" t="s">
        <v>3122</v>
      </c>
      <c r="D34" t="s">
        <v>288</v>
      </c>
      <c r="E34" t="s">
        <v>3123</v>
      </c>
      <c r="F34" t="s">
        <v>112</v>
      </c>
      <c r="G34">
        <v>134451</v>
      </c>
    </row>
    <row r="35" spans="1:7" x14ac:dyDescent="0.25">
      <c r="A35" t="str">
        <f t="shared" si="0"/>
        <v>02 EE2 34</v>
      </c>
      <c r="B3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t="s">
        <v>3124</v>
      </c>
      <c r="D35" t="s">
        <v>3125</v>
      </c>
      <c r="E35" t="s">
        <v>3126</v>
      </c>
      <c r="F35" t="s">
        <v>112</v>
      </c>
      <c r="G35">
        <v>323432</v>
      </c>
    </row>
    <row r="36" spans="1:7" x14ac:dyDescent="0.25">
      <c r="A36" t="str">
        <f t="shared" si="0"/>
        <v>02 EE2 34</v>
      </c>
      <c r="B3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t="s">
        <v>3127</v>
      </c>
      <c r="D36" t="s">
        <v>3128</v>
      </c>
      <c r="E36" t="s">
        <v>3129</v>
      </c>
      <c r="F36" t="s">
        <v>112</v>
      </c>
      <c r="G36">
        <v>98135</v>
      </c>
    </row>
    <row r="37" spans="1:7" x14ac:dyDescent="0.25">
      <c r="A37" t="str">
        <f t="shared" si="0"/>
        <v>02 EE2 34</v>
      </c>
      <c r="B3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 t="s">
        <v>3130</v>
      </c>
    </row>
    <row r="38" spans="1:7" x14ac:dyDescent="0.25">
      <c r="A38" t="str">
        <f t="shared" si="0"/>
        <v>02 EE2 34</v>
      </c>
      <c r="B3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t="s">
        <v>3131</v>
      </c>
      <c r="D38" t="s">
        <v>3132</v>
      </c>
      <c r="E38" t="s">
        <v>3133</v>
      </c>
      <c r="F38" t="s">
        <v>112</v>
      </c>
      <c r="G38">
        <v>162592</v>
      </c>
    </row>
    <row r="39" spans="1:7" x14ac:dyDescent="0.25">
      <c r="A39" t="str">
        <f t="shared" si="0"/>
        <v>02 EE2 34</v>
      </c>
      <c r="B3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t="s">
        <v>3134</v>
      </c>
      <c r="D39" t="s">
        <v>3135</v>
      </c>
      <c r="E39" t="s">
        <v>3136</v>
      </c>
      <c r="F39" t="s">
        <v>112</v>
      </c>
      <c r="G39">
        <v>270071</v>
      </c>
    </row>
    <row r="40" spans="1:7" x14ac:dyDescent="0.25">
      <c r="A40" t="str">
        <f t="shared" si="0"/>
        <v>02 EE2 34</v>
      </c>
      <c r="B4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 t="s">
        <v>3137</v>
      </c>
      <c r="D40" t="s">
        <v>1819</v>
      </c>
      <c r="E40" t="s">
        <v>3138</v>
      </c>
      <c r="F40" t="s">
        <v>112</v>
      </c>
      <c r="G40">
        <v>38220</v>
      </c>
    </row>
    <row r="41" spans="1:7" x14ac:dyDescent="0.25">
      <c r="A41" t="str">
        <f t="shared" si="0"/>
        <v>02 EE2 34</v>
      </c>
      <c r="B4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t="s">
        <v>3139</v>
      </c>
    </row>
    <row r="42" spans="1:7" x14ac:dyDescent="0.25">
      <c r="A42" t="str">
        <f t="shared" si="0"/>
        <v>02 EE2 34</v>
      </c>
      <c r="B4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t="s">
        <v>3140</v>
      </c>
      <c r="D42" t="s">
        <v>1249</v>
      </c>
      <c r="E42" t="s">
        <v>3141</v>
      </c>
      <c r="F42" t="s">
        <v>112</v>
      </c>
      <c r="G42">
        <v>147278</v>
      </c>
    </row>
    <row r="43" spans="1:7" x14ac:dyDescent="0.25">
      <c r="A43" t="str">
        <f t="shared" si="0"/>
        <v>02 EE2 34</v>
      </c>
      <c r="B4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3" t="s">
        <v>3142</v>
      </c>
    </row>
    <row r="44" spans="1:7" x14ac:dyDescent="0.25">
      <c r="A44" t="str">
        <f t="shared" si="0"/>
        <v>02 EE2 34</v>
      </c>
      <c r="B4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t="s">
        <v>3143</v>
      </c>
      <c r="D44" t="s">
        <v>3144</v>
      </c>
      <c r="E44" t="s">
        <v>3145</v>
      </c>
      <c r="F44" t="s">
        <v>112</v>
      </c>
      <c r="G44">
        <v>807184</v>
      </c>
    </row>
    <row r="45" spans="1:7" x14ac:dyDescent="0.25">
      <c r="A45" t="str">
        <f t="shared" si="0"/>
        <v>02 EE2 34</v>
      </c>
      <c r="B4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t="s">
        <v>3146</v>
      </c>
      <c r="D45" t="s">
        <v>1230</v>
      </c>
      <c r="E45" t="s">
        <v>3147</v>
      </c>
      <c r="F45" t="s">
        <v>112</v>
      </c>
      <c r="G45">
        <v>42935</v>
      </c>
    </row>
    <row r="46" spans="1:7" x14ac:dyDescent="0.25">
      <c r="A46" t="str">
        <f t="shared" si="0"/>
        <v>02 EE2 34</v>
      </c>
      <c r="B4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6" t="s">
        <v>3148</v>
      </c>
      <c r="D46" t="s">
        <v>3149</v>
      </c>
      <c r="E46" t="s">
        <v>3150</v>
      </c>
      <c r="F46" t="s">
        <v>112</v>
      </c>
      <c r="G46">
        <v>361414</v>
      </c>
    </row>
    <row r="47" spans="1:7" x14ac:dyDescent="0.25">
      <c r="A47" t="str">
        <f t="shared" si="0"/>
        <v>02 EE2 34</v>
      </c>
      <c r="B4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t="s">
        <v>3151</v>
      </c>
      <c r="D47" t="s">
        <v>3152</v>
      </c>
      <c r="E47" t="s">
        <v>3153</v>
      </c>
      <c r="F47" t="s">
        <v>112</v>
      </c>
      <c r="G47">
        <v>301088</v>
      </c>
    </row>
    <row r="48" spans="1:7" x14ac:dyDescent="0.25">
      <c r="A48" t="str">
        <f t="shared" si="0"/>
        <v>02 EE2 34</v>
      </c>
      <c r="B4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t="s">
        <v>3154</v>
      </c>
      <c r="D48" t="s">
        <v>767</v>
      </c>
      <c r="E48" t="s">
        <v>3155</v>
      </c>
      <c r="F48" t="s">
        <v>112</v>
      </c>
      <c r="G48">
        <v>149960</v>
      </c>
    </row>
    <row r="49" spans="1:9" x14ac:dyDescent="0.25">
      <c r="A49" t="str">
        <f t="shared" si="0"/>
        <v>02 EE2 34</v>
      </c>
      <c r="B4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9" t="s">
        <v>3156</v>
      </c>
      <c r="D49" t="s">
        <v>336</v>
      </c>
      <c r="E49" t="s">
        <v>3157</v>
      </c>
      <c r="F49" t="s">
        <v>112</v>
      </c>
      <c r="G49">
        <v>145266</v>
      </c>
    </row>
    <row r="50" spans="1:9" x14ac:dyDescent="0.25">
      <c r="A50" t="str">
        <f t="shared" si="0"/>
        <v>02 EE2 34</v>
      </c>
      <c r="B5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t="s">
        <v>3158</v>
      </c>
      <c r="D50" t="s">
        <v>3159</v>
      </c>
      <c r="E50" t="s">
        <v>3160</v>
      </c>
      <c r="F50" t="s">
        <v>112</v>
      </c>
      <c r="G50">
        <v>341017</v>
      </c>
    </row>
    <row r="51" spans="1:9" x14ac:dyDescent="0.25">
      <c r="A51" t="str">
        <f t="shared" si="0"/>
        <v>02 EE2 34</v>
      </c>
      <c r="B5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t="s">
        <v>3161</v>
      </c>
    </row>
    <row r="52" spans="1:9" x14ac:dyDescent="0.25">
      <c r="A52" t="str">
        <f t="shared" si="0"/>
        <v>02 EE2 34</v>
      </c>
      <c r="B5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2" t="s">
        <v>3162</v>
      </c>
      <c r="D52" t="s">
        <v>3163</v>
      </c>
      <c r="E52" t="s">
        <v>3164</v>
      </c>
      <c r="F52" t="s">
        <v>112</v>
      </c>
      <c r="G52">
        <v>837683</v>
      </c>
    </row>
    <row r="53" spans="1:9" x14ac:dyDescent="0.25">
      <c r="A53" t="str">
        <f t="shared" si="0"/>
        <v>02 EE2 34</v>
      </c>
      <c r="B5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t="s">
        <v>3165</v>
      </c>
      <c r="D53" t="s">
        <v>2587</v>
      </c>
      <c r="E53" t="s">
        <v>3166</v>
      </c>
      <c r="F53" t="s">
        <v>112</v>
      </c>
      <c r="G53">
        <v>987772</v>
      </c>
    </row>
    <row r="54" spans="1:9" x14ac:dyDescent="0.25">
      <c r="A54" t="str">
        <f t="shared" si="0"/>
        <v>02 EE2 34</v>
      </c>
      <c r="B5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t="s">
        <v>3167</v>
      </c>
      <c r="D54" t="s">
        <v>3168</v>
      </c>
      <c r="E54" t="s">
        <v>3169</v>
      </c>
      <c r="F54" t="s">
        <v>112</v>
      </c>
      <c r="G54">
        <v>682164</v>
      </c>
    </row>
    <row r="55" spans="1:9" x14ac:dyDescent="0.25">
      <c r="A55" t="str">
        <f t="shared" si="0"/>
        <v>02 EE2 34</v>
      </c>
      <c r="B5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 t="s">
        <v>3170</v>
      </c>
    </row>
    <row r="56" spans="1:9" x14ac:dyDescent="0.25">
      <c r="A56" t="str">
        <f t="shared" si="0"/>
        <v>02 EE2 34</v>
      </c>
      <c r="B5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t="s">
        <v>3171</v>
      </c>
      <c r="D56" t="s">
        <v>3172</v>
      </c>
      <c r="E56" t="s">
        <v>3173</v>
      </c>
      <c r="F56" t="s">
        <v>112</v>
      </c>
      <c r="G56">
        <v>246538</v>
      </c>
    </row>
    <row r="57" spans="1:9" x14ac:dyDescent="0.25">
      <c r="A57" t="str">
        <f t="shared" si="0"/>
        <v>02 EE2 34</v>
      </c>
      <c r="B5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t="s">
        <v>3174</v>
      </c>
      <c r="D57" t="s">
        <v>2665</v>
      </c>
      <c r="E57" t="s">
        <v>3175</v>
      </c>
      <c r="F57" t="s">
        <v>112</v>
      </c>
      <c r="G57">
        <v>351767</v>
      </c>
    </row>
    <row r="58" spans="1:9" x14ac:dyDescent="0.25">
      <c r="A58" t="str">
        <f t="shared" si="0"/>
        <v/>
      </c>
      <c r="B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 t="s">
        <v>112</v>
      </c>
    </row>
    <row r="59" spans="1:9" x14ac:dyDescent="0.25">
      <c r="A59" t="str">
        <f t="shared" si="0"/>
        <v/>
      </c>
      <c r="B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t="s">
        <v>234</v>
      </c>
      <c r="D59" t="s">
        <v>112</v>
      </c>
      <c r="E59" t="s">
        <v>235</v>
      </c>
      <c r="F59" t="s">
        <v>236</v>
      </c>
      <c r="G59" t="s">
        <v>237</v>
      </c>
      <c r="H59" t="s">
        <v>238</v>
      </c>
      <c r="I59" t="s">
        <v>239</v>
      </c>
    </row>
    <row r="60" spans="1:9" x14ac:dyDescent="0.25">
      <c r="A60" t="str">
        <f t="shared" si="0"/>
        <v>02 EE2 34</v>
      </c>
      <c r="B6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0" t="s">
        <v>3176</v>
      </c>
      <c r="D60" t="s">
        <v>112</v>
      </c>
      <c r="E60" t="s">
        <v>3177</v>
      </c>
      <c r="F60" t="s">
        <v>3178</v>
      </c>
      <c r="G60" t="s">
        <v>3179</v>
      </c>
      <c r="H60" t="s">
        <v>3180</v>
      </c>
      <c r="I60">
        <v>24</v>
      </c>
    </row>
    <row r="61" spans="1:9" x14ac:dyDescent="0.25">
      <c r="A61" t="str">
        <f t="shared" si="0"/>
        <v/>
      </c>
      <c r="B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 t="s">
        <v>112</v>
      </c>
    </row>
    <row r="62" spans="1:9" x14ac:dyDescent="0.25">
      <c r="A62" t="str">
        <f t="shared" si="0"/>
        <v/>
      </c>
      <c r="B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t="s">
        <v>112</v>
      </c>
    </row>
    <row r="63" spans="1:9" x14ac:dyDescent="0.25">
      <c r="A63" t="str">
        <f t="shared" si="0"/>
        <v/>
      </c>
      <c r="B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t="s">
        <v>112</v>
      </c>
    </row>
    <row r="64" spans="1:9" x14ac:dyDescent="0.25">
      <c r="A64" t="str">
        <f t="shared" si="0"/>
        <v/>
      </c>
      <c r="B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t="s">
        <v>112</v>
      </c>
    </row>
    <row r="65" spans="1:7" x14ac:dyDescent="0.25">
      <c r="A65" t="str">
        <f t="shared" si="0"/>
        <v/>
      </c>
      <c r="B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t="s">
        <v>112</v>
      </c>
    </row>
    <row r="66" spans="1:7" x14ac:dyDescent="0.25">
      <c r="A66" t="str">
        <f t="shared" ref="A66:A129" si="1">IFERROR(LEFT(RIGHT(C66,LEN(C66)-SEARCH("@",C66)),SEARCH("/",RIGHT(C66,LEN(C66)-SEARCH("@",C66)-1))),"")</f>
        <v/>
      </c>
      <c r="B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t="s">
        <v>246</v>
      </c>
      <c r="D66" t="s">
        <v>110</v>
      </c>
      <c r="E66" t="s">
        <v>111</v>
      </c>
      <c r="F66" t="s">
        <v>112</v>
      </c>
      <c r="G66" t="s">
        <v>113</v>
      </c>
    </row>
    <row r="67" spans="1:7" x14ac:dyDescent="0.25">
      <c r="A67" t="str">
        <f t="shared" si="1"/>
        <v>03 EE2 51</v>
      </c>
      <c r="B6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7" t="s">
        <v>3181</v>
      </c>
      <c r="D67" t="s">
        <v>3107</v>
      </c>
      <c r="E67" t="s">
        <v>3182</v>
      </c>
      <c r="F67" t="s">
        <v>112</v>
      </c>
      <c r="G67">
        <v>122404</v>
      </c>
    </row>
    <row r="68" spans="1:7" x14ac:dyDescent="0.25">
      <c r="A68" t="str">
        <f t="shared" si="1"/>
        <v>03 EE2 51</v>
      </c>
      <c r="B6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t="s">
        <v>3183</v>
      </c>
    </row>
    <row r="69" spans="1:7" x14ac:dyDescent="0.25">
      <c r="A69" t="str">
        <f t="shared" si="1"/>
        <v>03 EE2 51</v>
      </c>
      <c r="B6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t="s">
        <v>3184</v>
      </c>
    </row>
    <row r="70" spans="1:7" x14ac:dyDescent="0.25">
      <c r="A70" t="str">
        <f t="shared" si="1"/>
        <v>03 EE2 51</v>
      </c>
      <c r="B7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0" t="s">
        <v>3185</v>
      </c>
    </row>
    <row r="71" spans="1:7" x14ac:dyDescent="0.25">
      <c r="A71" t="str">
        <f t="shared" si="1"/>
        <v>03 EE2 51</v>
      </c>
      <c r="B7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t="s">
        <v>3186</v>
      </c>
      <c r="D71" t="s">
        <v>3187</v>
      </c>
      <c r="E71" t="s">
        <v>3188</v>
      </c>
      <c r="F71" t="s">
        <v>112</v>
      </c>
      <c r="G71">
        <v>211562</v>
      </c>
    </row>
    <row r="72" spans="1:7" x14ac:dyDescent="0.25">
      <c r="A72" t="str">
        <f t="shared" si="1"/>
        <v>03 EE2 51</v>
      </c>
      <c r="B7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t="s">
        <v>3189</v>
      </c>
      <c r="D72" t="s">
        <v>2258</v>
      </c>
      <c r="E72" t="s">
        <v>3190</v>
      </c>
      <c r="F72" t="s">
        <v>112</v>
      </c>
      <c r="G72">
        <v>237496</v>
      </c>
    </row>
    <row r="73" spans="1:7" x14ac:dyDescent="0.25">
      <c r="A73" t="str">
        <f t="shared" si="1"/>
        <v>03 EE2 51</v>
      </c>
      <c r="B7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3" t="s">
        <v>3191</v>
      </c>
      <c r="D73" t="s">
        <v>432</v>
      </c>
      <c r="E73" t="s">
        <v>3192</v>
      </c>
      <c r="F73" t="s">
        <v>112</v>
      </c>
      <c r="G73">
        <v>258066</v>
      </c>
    </row>
    <row r="74" spans="1:7" x14ac:dyDescent="0.25">
      <c r="A74" t="str">
        <f t="shared" si="1"/>
        <v>03 EE2 51</v>
      </c>
      <c r="B7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t="s">
        <v>3193</v>
      </c>
    </row>
    <row r="75" spans="1:7" x14ac:dyDescent="0.25">
      <c r="A75" t="str">
        <f t="shared" si="1"/>
        <v>03 EE2 51</v>
      </c>
      <c r="B7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t="s">
        <v>3194</v>
      </c>
      <c r="D75" t="s">
        <v>203</v>
      </c>
      <c r="E75" t="s">
        <v>3195</v>
      </c>
      <c r="F75" t="s">
        <v>112</v>
      </c>
      <c r="G75">
        <v>429937</v>
      </c>
    </row>
    <row r="76" spans="1:7" x14ac:dyDescent="0.25">
      <c r="A76" t="str">
        <f t="shared" si="1"/>
        <v>03 EE2 51</v>
      </c>
      <c r="B7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6" t="s">
        <v>3196</v>
      </c>
    </row>
    <row r="77" spans="1:7" x14ac:dyDescent="0.25">
      <c r="A77" t="str">
        <f t="shared" si="1"/>
        <v>03 EE2 51</v>
      </c>
      <c r="B7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t="s">
        <v>3197</v>
      </c>
      <c r="D77" t="s">
        <v>3198</v>
      </c>
      <c r="E77" t="s">
        <v>3199</v>
      </c>
      <c r="F77" t="s">
        <v>112</v>
      </c>
      <c r="G77">
        <v>252616</v>
      </c>
    </row>
    <row r="78" spans="1:7" x14ac:dyDescent="0.25">
      <c r="A78" t="str">
        <f t="shared" si="1"/>
        <v>03 EE2 51</v>
      </c>
      <c r="B7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t="s">
        <v>3200</v>
      </c>
    </row>
    <row r="79" spans="1:7" x14ac:dyDescent="0.25">
      <c r="A79" t="str">
        <f t="shared" si="1"/>
        <v>03 EE2 51</v>
      </c>
      <c r="B7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79" t="s">
        <v>3201</v>
      </c>
      <c r="D79" t="s">
        <v>781</v>
      </c>
      <c r="E79" t="s">
        <v>3202</v>
      </c>
      <c r="F79" t="s">
        <v>112</v>
      </c>
      <c r="G79">
        <v>660988</v>
      </c>
    </row>
    <row r="80" spans="1:7" x14ac:dyDescent="0.25">
      <c r="A80" t="str">
        <f t="shared" si="1"/>
        <v>03 EE2 51</v>
      </c>
      <c r="B8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t="s">
        <v>3203</v>
      </c>
    </row>
    <row r="81" spans="1:9" x14ac:dyDescent="0.25">
      <c r="A81" t="str">
        <f t="shared" si="1"/>
        <v>03 EE2 51</v>
      </c>
      <c r="B8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t="s">
        <v>3204</v>
      </c>
      <c r="D81" t="s">
        <v>2660</v>
      </c>
      <c r="E81" t="s">
        <v>3205</v>
      </c>
      <c r="F81" t="s">
        <v>112</v>
      </c>
      <c r="G81">
        <v>454877</v>
      </c>
    </row>
    <row r="82" spans="1:9" x14ac:dyDescent="0.25">
      <c r="A82" t="str">
        <f t="shared" si="1"/>
        <v>03 EE2 51</v>
      </c>
      <c r="B8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2" t="s">
        <v>3206</v>
      </c>
      <c r="D82" t="s">
        <v>798</v>
      </c>
      <c r="E82" t="s">
        <v>3207</v>
      </c>
      <c r="F82" t="s">
        <v>112</v>
      </c>
      <c r="G82">
        <v>465346</v>
      </c>
    </row>
    <row r="83" spans="1:9" x14ac:dyDescent="0.25">
      <c r="A83" t="str">
        <f t="shared" si="1"/>
        <v>03 EE2 51</v>
      </c>
      <c r="B8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t="s">
        <v>3208</v>
      </c>
      <c r="D83" t="s">
        <v>2214</v>
      </c>
      <c r="E83" t="s">
        <v>3209</v>
      </c>
      <c r="F83" t="s">
        <v>112</v>
      </c>
      <c r="G83">
        <v>94133</v>
      </c>
    </row>
    <row r="84" spans="1:9" x14ac:dyDescent="0.25">
      <c r="A84" t="str">
        <f t="shared" si="1"/>
        <v>03 EE2 51</v>
      </c>
      <c r="B8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t="s">
        <v>3210</v>
      </c>
    </row>
    <row r="85" spans="1:9" x14ac:dyDescent="0.25">
      <c r="A85" t="str">
        <f t="shared" si="1"/>
        <v>03 EE2 51</v>
      </c>
      <c r="B8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5" t="s">
        <v>3211</v>
      </c>
      <c r="D85" t="s">
        <v>1762</v>
      </c>
      <c r="E85" t="s">
        <v>3212</v>
      </c>
      <c r="F85" t="s">
        <v>112</v>
      </c>
      <c r="G85">
        <v>83232</v>
      </c>
    </row>
    <row r="86" spans="1:9" x14ac:dyDescent="0.25">
      <c r="A86" t="str">
        <f t="shared" si="1"/>
        <v>03 EE2 51</v>
      </c>
      <c r="B8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t="s">
        <v>3213</v>
      </c>
      <c r="D86" t="s">
        <v>3214</v>
      </c>
      <c r="E86" t="s">
        <v>3215</v>
      </c>
      <c r="F86" t="s">
        <v>112</v>
      </c>
      <c r="G86">
        <v>309697</v>
      </c>
    </row>
    <row r="87" spans="1:9" x14ac:dyDescent="0.25">
      <c r="A87" t="str">
        <f t="shared" si="1"/>
        <v>03 EE2 51</v>
      </c>
      <c r="B8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t="s">
        <v>3216</v>
      </c>
      <c r="D87" t="s">
        <v>3132</v>
      </c>
      <c r="E87" t="s">
        <v>3217</v>
      </c>
      <c r="F87" t="s">
        <v>112</v>
      </c>
      <c r="G87">
        <v>169103</v>
      </c>
    </row>
    <row r="88" spans="1:9" x14ac:dyDescent="0.25">
      <c r="A88" t="str">
        <f t="shared" si="1"/>
        <v>03 EE2 51</v>
      </c>
      <c r="B8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8" t="s">
        <v>3218</v>
      </c>
      <c r="D88" t="s">
        <v>713</v>
      </c>
      <c r="E88" t="s">
        <v>3219</v>
      </c>
      <c r="F88" t="s">
        <v>112</v>
      </c>
      <c r="G88">
        <v>343764</v>
      </c>
    </row>
    <row r="89" spans="1:9" x14ac:dyDescent="0.25">
      <c r="A89" t="str">
        <f t="shared" si="1"/>
        <v>03 EE2 51</v>
      </c>
      <c r="B8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t="s">
        <v>3220</v>
      </c>
      <c r="D89" t="s">
        <v>3152</v>
      </c>
      <c r="E89" t="s">
        <v>3221</v>
      </c>
      <c r="F89" t="s">
        <v>112</v>
      </c>
      <c r="G89">
        <v>288846</v>
      </c>
    </row>
    <row r="90" spans="1:9" x14ac:dyDescent="0.25">
      <c r="A90" t="str">
        <f t="shared" si="1"/>
        <v>03 EE2 51</v>
      </c>
      <c r="B9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t="s">
        <v>3222</v>
      </c>
      <c r="D90" t="s">
        <v>3135</v>
      </c>
      <c r="E90" t="s">
        <v>3223</v>
      </c>
      <c r="F90" t="s">
        <v>112</v>
      </c>
      <c r="G90">
        <v>267692</v>
      </c>
    </row>
    <row r="91" spans="1:9" x14ac:dyDescent="0.25">
      <c r="A91" t="str">
        <f t="shared" si="1"/>
        <v/>
      </c>
      <c r="B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1" t="s">
        <v>112</v>
      </c>
    </row>
    <row r="92" spans="1:9" x14ac:dyDescent="0.25">
      <c r="A92" t="str">
        <f t="shared" si="1"/>
        <v/>
      </c>
      <c r="B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t="s">
        <v>234</v>
      </c>
      <c r="D92" t="s">
        <v>112</v>
      </c>
      <c r="E92" t="s">
        <v>235</v>
      </c>
      <c r="F92" t="s">
        <v>236</v>
      </c>
      <c r="G92" t="s">
        <v>237</v>
      </c>
      <c r="H92" t="s">
        <v>238</v>
      </c>
      <c r="I92" t="s">
        <v>239</v>
      </c>
    </row>
    <row r="93" spans="1:9" x14ac:dyDescent="0.25">
      <c r="A93" t="str">
        <f t="shared" si="1"/>
        <v>03 EE2 51</v>
      </c>
      <c r="B9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3" t="s">
        <v>3224</v>
      </c>
      <c r="D93" t="s">
        <v>112</v>
      </c>
      <c r="E93" t="s">
        <v>3225</v>
      </c>
      <c r="F93" t="s">
        <v>3226</v>
      </c>
      <c r="G93" t="s">
        <v>3227</v>
      </c>
      <c r="H93" t="s">
        <v>3228</v>
      </c>
      <c r="I93">
        <v>24</v>
      </c>
    </row>
    <row r="94" spans="1:9" x14ac:dyDescent="0.25">
      <c r="A94" t="str">
        <f t="shared" si="1"/>
        <v/>
      </c>
      <c r="B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4" t="s">
        <v>112</v>
      </c>
    </row>
    <row r="95" spans="1:9" x14ac:dyDescent="0.25">
      <c r="A95" t="str">
        <f t="shared" si="1"/>
        <v/>
      </c>
      <c r="B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t="s">
        <v>112</v>
      </c>
    </row>
    <row r="96" spans="1:9" x14ac:dyDescent="0.25">
      <c r="A96" t="str">
        <f t="shared" si="1"/>
        <v/>
      </c>
      <c r="B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t="s">
        <v>112</v>
      </c>
    </row>
    <row r="97" spans="1:7" x14ac:dyDescent="0.25">
      <c r="A97" t="str">
        <f t="shared" si="1"/>
        <v/>
      </c>
      <c r="B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t="s">
        <v>112</v>
      </c>
    </row>
    <row r="98" spans="1:7" x14ac:dyDescent="0.25">
      <c r="A98" t="str">
        <f t="shared" si="1"/>
        <v/>
      </c>
      <c r="B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t="s">
        <v>112</v>
      </c>
    </row>
    <row r="99" spans="1:7" x14ac:dyDescent="0.25">
      <c r="A99" t="str">
        <f t="shared" si="1"/>
        <v/>
      </c>
      <c r="B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t="s">
        <v>246</v>
      </c>
      <c r="D99" t="s">
        <v>110</v>
      </c>
      <c r="E99" t="s">
        <v>111</v>
      </c>
      <c r="F99" t="s">
        <v>112</v>
      </c>
      <c r="G99" t="s">
        <v>113</v>
      </c>
    </row>
    <row r="100" spans="1:7" x14ac:dyDescent="0.25">
      <c r="A100" t="str">
        <f t="shared" si="1"/>
        <v>04 EE2 76</v>
      </c>
      <c r="B10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0" t="s">
        <v>3229</v>
      </c>
    </row>
    <row r="101" spans="1:7" x14ac:dyDescent="0.25">
      <c r="A101" t="str">
        <f t="shared" si="1"/>
        <v>04 EE2 76</v>
      </c>
      <c r="B10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t="s">
        <v>3230</v>
      </c>
      <c r="D101" t="s">
        <v>1252</v>
      </c>
      <c r="E101" t="s">
        <v>3231</v>
      </c>
      <c r="F101" t="s">
        <v>112</v>
      </c>
      <c r="G101">
        <v>216364</v>
      </c>
    </row>
    <row r="102" spans="1:7" x14ac:dyDescent="0.25">
      <c r="A102" t="str">
        <f t="shared" si="1"/>
        <v>04 EE2 76</v>
      </c>
      <c r="B10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t="s">
        <v>3232</v>
      </c>
      <c r="D102" t="s">
        <v>2258</v>
      </c>
      <c r="E102" t="s">
        <v>3233</v>
      </c>
      <c r="F102" t="s">
        <v>112</v>
      </c>
      <c r="G102">
        <v>238448</v>
      </c>
    </row>
    <row r="103" spans="1:7" x14ac:dyDescent="0.25">
      <c r="A103" t="str">
        <f t="shared" si="1"/>
        <v>04 EE2 76</v>
      </c>
      <c r="B10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3" t="s">
        <v>3234</v>
      </c>
      <c r="D103" t="s">
        <v>3235</v>
      </c>
      <c r="E103" t="s">
        <v>3236</v>
      </c>
      <c r="F103" t="s">
        <v>112</v>
      </c>
      <c r="G103">
        <v>415921</v>
      </c>
    </row>
    <row r="104" spans="1:7" x14ac:dyDescent="0.25">
      <c r="A104" t="str">
        <f t="shared" si="1"/>
        <v>04 EE2 76</v>
      </c>
      <c r="B10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t="s">
        <v>3237</v>
      </c>
      <c r="D104" t="s">
        <v>1826</v>
      </c>
      <c r="E104" t="s">
        <v>3238</v>
      </c>
      <c r="F104" t="s">
        <v>112</v>
      </c>
      <c r="G104">
        <v>254324</v>
      </c>
    </row>
    <row r="105" spans="1:7" x14ac:dyDescent="0.25">
      <c r="A105" t="str">
        <f t="shared" si="1"/>
        <v>04 EE2 76</v>
      </c>
      <c r="B10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t="s">
        <v>3239</v>
      </c>
      <c r="D105" t="s">
        <v>416</v>
      </c>
      <c r="E105" t="s">
        <v>3240</v>
      </c>
      <c r="F105" t="s">
        <v>112</v>
      </c>
      <c r="G105">
        <v>271585</v>
      </c>
    </row>
    <row r="106" spans="1:7" x14ac:dyDescent="0.25">
      <c r="A106" t="str">
        <f t="shared" si="1"/>
        <v>04 EE2 76</v>
      </c>
      <c r="B10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6" t="s">
        <v>3241</v>
      </c>
      <c r="D106" t="s">
        <v>781</v>
      </c>
      <c r="E106" t="s">
        <v>3242</v>
      </c>
      <c r="F106" t="s">
        <v>112</v>
      </c>
      <c r="G106">
        <v>664146</v>
      </c>
    </row>
    <row r="107" spans="1:7" x14ac:dyDescent="0.25">
      <c r="A107" t="str">
        <f t="shared" si="1"/>
        <v>04 EE2 76</v>
      </c>
      <c r="B10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t="s">
        <v>3243</v>
      </c>
      <c r="D107" t="s">
        <v>3244</v>
      </c>
      <c r="E107" t="s">
        <v>3245</v>
      </c>
      <c r="F107" t="s">
        <v>112</v>
      </c>
      <c r="G107">
        <v>769332</v>
      </c>
    </row>
    <row r="108" spans="1:7" x14ac:dyDescent="0.25">
      <c r="A108" t="str">
        <f t="shared" si="1"/>
        <v>04 EE2 76</v>
      </c>
      <c r="B10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t="s">
        <v>3246</v>
      </c>
      <c r="D108" t="s">
        <v>300</v>
      </c>
      <c r="E108" t="s">
        <v>3247</v>
      </c>
      <c r="F108" t="s">
        <v>112</v>
      </c>
      <c r="G108">
        <v>436210</v>
      </c>
    </row>
    <row r="109" spans="1:7" x14ac:dyDescent="0.25">
      <c r="A109" t="str">
        <f t="shared" si="1"/>
        <v>04 EE2 76</v>
      </c>
      <c r="B10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09" t="s">
        <v>3248</v>
      </c>
      <c r="D109" t="s">
        <v>2154</v>
      </c>
      <c r="E109" t="s">
        <v>3249</v>
      </c>
      <c r="F109" t="s">
        <v>112</v>
      </c>
      <c r="G109">
        <v>327087</v>
      </c>
    </row>
    <row r="110" spans="1:7" x14ac:dyDescent="0.25">
      <c r="A110" t="str">
        <f t="shared" si="1"/>
        <v>04 EE2 76</v>
      </c>
      <c r="B11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t="s">
        <v>3250</v>
      </c>
      <c r="D110" t="s">
        <v>3251</v>
      </c>
      <c r="E110" t="s">
        <v>3252</v>
      </c>
      <c r="F110" t="s">
        <v>112</v>
      </c>
      <c r="G110">
        <v>523725</v>
      </c>
    </row>
    <row r="111" spans="1:7" x14ac:dyDescent="0.25">
      <c r="A111" t="str">
        <f t="shared" si="1"/>
        <v>04 EE2 76</v>
      </c>
      <c r="B11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t="s">
        <v>3253</v>
      </c>
      <c r="D111" t="s">
        <v>830</v>
      </c>
      <c r="E111" t="s">
        <v>3254</v>
      </c>
      <c r="F111" t="s">
        <v>112</v>
      </c>
      <c r="G111">
        <v>646431</v>
      </c>
    </row>
    <row r="112" spans="1:7" x14ac:dyDescent="0.25">
      <c r="A112" t="str">
        <f t="shared" si="1"/>
        <v>04 EE2 76</v>
      </c>
      <c r="B11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2" t="s">
        <v>3255</v>
      </c>
      <c r="D112" t="s">
        <v>804</v>
      </c>
      <c r="E112" t="s">
        <v>3256</v>
      </c>
      <c r="F112" t="s">
        <v>112</v>
      </c>
      <c r="G112">
        <v>246451</v>
      </c>
    </row>
    <row r="113" spans="1:9" x14ac:dyDescent="0.25">
      <c r="A113" t="str">
        <f t="shared" si="1"/>
        <v>04 EE2 76</v>
      </c>
      <c r="B11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t="s">
        <v>3257</v>
      </c>
      <c r="D113" t="s">
        <v>3258</v>
      </c>
      <c r="E113" t="s">
        <v>3259</v>
      </c>
      <c r="F113" t="s">
        <v>112</v>
      </c>
      <c r="G113">
        <v>128287</v>
      </c>
    </row>
    <row r="114" spans="1:9" x14ac:dyDescent="0.25">
      <c r="A114" t="str">
        <f t="shared" si="1"/>
        <v>04 EE2 76</v>
      </c>
      <c r="B11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t="s">
        <v>3260</v>
      </c>
    </row>
    <row r="115" spans="1:9" x14ac:dyDescent="0.25">
      <c r="A115" t="str">
        <f t="shared" si="1"/>
        <v>04 EE2 76</v>
      </c>
      <c r="B11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5" t="s">
        <v>3261</v>
      </c>
      <c r="D115" t="s">
        <v>3262</v>
      </c>
      <c r="E115" t="s">
        <v>3263</v>
      </c>
      <c r="F115" t="s">
        <v>112</v>
      </c>
      <c r="G115">
        <v>456845</v>
      </c>
    </row>
    <row r="116" spans="1:9" x14ac:dyDescent="0.25">
      <c r="A116" t="str">
        <f t="shared" si="1"/>
        <v>04 EE2 76</v>
      </c>
      <c r="B11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t="s">
        <v>3264</v>
      </c>
      <c r="D116" t="s">
        <v>3265</v>
      </c>
      <c r="E116" t="s">
        <v>3266</v>
      </c>
      <c r="F116" t="s">
        <v>112</v>
      </c>
      <c r="G116">
        <v>312812</v>
      </c>
    </row>
    <row r="117" spans="1:9" x14ac:dyDescent="0.25">
      <c r="A117" t="str">
        <f t="shared" si="1"/>
        <v>04 EE2 76</v>
      </c>
      <c r="B11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t="s">
        <v>3267</v>
      </c>
      <c r="D117" t="s">
        <v>3268</v>
      </c>
      <c r="E117" t="s">
        <v>3269</v>
      </c>
      <c r="F117" t="s">
        <v>112</v>
      </c>
      <c r="G117">
        <v>468893</v>
      </c>
    </row>
    <row r="118" spans="1:9" x14ac:dyDescent="0.25">
      <c r="A118" t="str">
        <f t="shared" si="1"/>
        <v>04 EE2 76</v>
      </c>
      <c r="B11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8" t="s">
        <v>3270</v>
      </c>
      <c r="D118" t="s">
        <v>3271</v>
      </c>
      <c r="E118" t="s">
        <v>3272</v>
      </c>
      <c r="F118" t="s">
        <v>112</v>
      </c>
      <c r="G118">
        <v>176997</v>
      </c>
    </row>
    <row r="119" spans="1:9" x14ac:dyDescent="0.25">
      <c r="A119" t="str">
        <f t="shared" si="1"/>
        <v>04 EE2 76</v>
      </c>
      <c r="B11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t="s">
        <v>3273</v>
      </c>
    </row>
    <row r="120" spans="1:9" x14ac:dyDescent="0.25">
      <c r="A120" t="str">
        <f t="shared" si="1"/>
        <v>04 EE2 76</v>
      </c>
      <c r="B12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t="s">
        <v>3274</v>
      </c>
      <c r="D120" t="s">
        <v>3275</v>
      </c>
      <c r="E120" t="s">
        <v>3276</v>
      </c>
      <c r="F120" t="s">
        <v>112</v>
      </c>
      <c r="G120">
        <v>113925</v>
      </c>
    </row>
    <row r="121" spans="1:9" x14ac:dyDescent="0.25">
      <c r="A121" t="str">
        <f t="shared" si="1"/>
        <v>04 EE2 76</v>
      </c>
      <c r="B12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1" t="s">
        <v>3277</v>
      </c>
    </row>
    <row r="122" spans="1:9" x14ac:dyDescent="0.25">
      <c r="A122" t="str">
        <f t="shared" si="1"/>
        <v>04 EE2 76</v>
      </c>
      <c r="B12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t="s">
        <v>3278</v>
      </c>
      <c r="D122" t="s">
        <v>1832</v>
      </c>
      <c r="E122" t="s">
        <v>3279</v>
      </c>
      <c r="F122" t="s">
        <v>112</v>
      </c>
      <c r="G122">
        <v>263798</v>
      </c>
    </row>
    <row r="123" spans="1:9" x14ac:dyDescent="0.25">
      <c r="A123" t="str">
        <f t="shared" si="1"/>
        <v>04 EE2 76</v>
      </c>
      <c r="B12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t="s">
        <v>3280</v>
      </c>
      <c r="D123" t="s">
        <v>1682</v>
      </c>
      <c r="E123" t="s">
        <v>3281</v>
      </c>
      <c r="F123" t="s">
        <v>112</v>
      </c>
      <c r="G123">
        <v>453990</v>
      </c>
    </row>
    <row r="124" spans="1:9" x14ac:dyDescent="0.25">
      <c r="A124" t="str">
        <f t="shared" si="1"/>
        <v/>
      </c>
      <c r="B1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4" t="s">
        <v>112</v>
      </c>
    </row>
    <row r="125" spans="1:9" x14ac:dyDescent="0.25">
      <c r="A125" t="str">
        <f t="shared" si="1"/>
        <v/>
      </c>
      <c r="B1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t="s">
        <v>234</v>
      </c>
      <c r="D125" t="s">
        <v>112</v>
      </c>
      <c r="E125" t="s">
        <v>235</v>
      </c>
      <c r="F125" t="s">
        <v>236</v>
      </c>
      <c r="G125" t="s">
        <v>237</v>
      </c>
      <c r="H125" t="s">
        <v>238</v>
      </c>
      <c r="I125" t="s">
        <v>239</v>
      </c>
    </row>
    <row r="126" spans="1:9" x14ac:dyDescent="0.25">
      <c r="A126" t="str">
        <f t="shared" si="1"/>
        <v>04 EE2 76</v>
      </c>
      <c r="B12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6" t="s">
        <v>3282</v>
      </c>
      <c r="D126" t="s">
        <v>112</v>
      </c>
      <c r="E126" t="s">
        <v>3283</v>
      </c>
      <c r="F126" t="s">
        <v>3284</v>
      </c>
      <c r="G126" t="s">
        <v>3285</v>
      </c>
      <c r="H126" t="s">
        <v>3286</v>
      </c>
      <c r="I126">
        <v>24</v>
      </c>
    </row>
    <row r="127" spans="1:9" x14ac:dyDescent="0.25">
      <c r="A127" t="str">
        <f t="shared" si="1"/>
        <v/>
      </c>
      <c r="B1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7" t="s">
        <v>112</v>
      </c>
    </row>
    <row r="128" spans="1:9" x14ac:dyDescent="0.25">
      <c r="A128" t="str">
        <f t="shared" si="1"/>
        <v/>
      </c>
      <c r="B1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t="s">
        <v>112</v>
      </c>
    </row>
    <row r="129" spans="1:7" x14ac:dyDescent="0.25">
      <c r="A129" t="str">
        <f t="shared" si="1"/>
        <v/>
      </c>
      <c r="B1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t="s">
        <v>112</v>
      </c>
    </row>
    <row r="130" spans="1:7" x14ac:dyDescent="0.25">
      <c r="A130" t="str">
        <f t="shared" ref="A130:A193" si="2">IFERROR(LEFT(RIGHT(C130,LEN(C130)-SEARCH("@",C130)),SEARCH("/",RIGHT(C130,LEN(C130)-SEARCH("@",C130)-1))),"")</f>
        <v/>
      </c>
      <c r="B1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t="s">
        <v>112</v>
      </c>
    </row>
    <row r="131" spans="1:7" x14ac:dyDescent="0.25">
      <c r="A131" t="str">
        <f t="shared" si="2"/>
        <v/>
      </c>
      <c r="B1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t="s">
        <v>112</v>
      </c>
    </row>
    <row r="132" spans="1:7" x14ac:dyDescent="0.25">
      <c r="A132" t="str">
        <f t="shared" si="2"/>
        <v/>
      </c>
      <c r="B1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t="s">
        <v>246</v>
      </c>
      <c r="D132" t="s">
        <v>110</v>
      </c>
      <c r="E132" t="s">
        <v>111</v>
      </c>
      <c r="F132" t="s">
        <v>112</v>
      </c>
      <c r="G132" t="s">
        <v>113</v>
      </c>
    </row>
    <row r="133" spans="1:7" x14ac:dyDescent="0.25">
      <c r="A133" t="str">
        <f t="shared" si="2"/>
        <v>05 EE2 114</v>
      </c>
      <c r="B13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3" t="s">
        <v>3287</v>
      </c>
      <c r="D133" t="s">
        <v>3288</v>
      </c>
      <c r="E133" t="s">
        <v>3289</v>
      </c>
      <c r="F133" t="s">
        <v>112</v>
      </c>
      <c r="G133">
        <v>1586336</v>
      </c>
    </row>
    <row r="134" spans="1:7" x14ac:dyDescent="0.25">
      <c r="A134" t="str">
        <f t="shared" si="2"/>
        <v>05 EE2 114</v>
      </c>
      <c r="B13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t="s">
        <v>3290</v>
      </c>
      <c r="D134" t="s">
        <v>3291</v>
      </c>
      <c r="E134" t="s">
        <v>3292</v>
      </c>
      <c r="F134" t="s">
        <v>112</v>
      </c>
      <c r="G134">
        <v>1073773</v>
      </c>
    </row>
    <row r="135" spans="1:7" x14ac:dyDescent="0.25">
      <c r="A135" t="str">
        <f t="shared" si="2"/>
        <v>05 EE2 114</v>
      </c>
      <c r="B13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t="s">
        <v>3293</v>
      </c>
      <c r="D135" t="s">
        <v>3294</v>
      </c>
      <c r="E135" t="s">
        <v>3295</v>
      </c>
      <c r="F135" t="s">
        <v>112</v>
      </c>
      <c r="G135">
        <v>891757</v>
      </c>
    </row>
    <row r="136" spans="1:7" x14ac:dyDescent="0.25">
      <c r="A136" t="str">
        <f t="shared" si="2"/>
        <v>05 EE2 114</v>
      </c>
      <c r="B13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6" t="s">
        <v>3296</v>
      </c>
    </row>
    <row r="137" spans="1:7" x14ac:dyDescent="0.25">
      <c r="A137" t="str">
        <f t="shared" si="2"/>
        <v>05 EE2 114</v>
      </c>
      <c r="B13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t="s">
        <v>3297</v>
      </c>
      <c r="D137" t="s">
        <v>3298</v>
      </c>
      <c r="E137" t="s">
        <v>3299</v>
      </c>
      <c r="F137" t="s">
        <v>112</v>
      </c>
      <c r="G137">
        <v>1078402</v>
      </c>
    </row>
    <row r="138" spans="1:7" x14ac:dyDescent="0.25">
      <c r="A138" t="str">
        <f t="shared" si="2"/>
        <v>05 EE2 114</v>
      </c>
      <c r="B13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t="s">
        <v>3300</v>
      </c>
    </row>
    <row r="139" spans="1:7" x14ac:dyDescent="0.25">
      <c r="A139" t="str">
        <f t="shared" si="2"/>
        <v>05 EE2 114</v>
      </c>
      <c r="B13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39" t="s">
        <v>3301</v>
      </c>
      <c r="D139" t="s">
        <v>3302</v>
      </c>
      <c r="E139" t="s">
        <v>3303</v>
      </c>
      <c r="F139" t="s">
        <v>112</v>
      </c>
      <c r="G139">
        <v>82778</v>
      </c>
    </row>
    <row r="140" spans="1:7" x14ac:dyDescent="0.25">
      <c r="A140" t="str">
        <f t="shared" si="2"/>
        <v>05 EE2 114</v>
      </c>
      <c r="B14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t="s">
        <v>3304</v>
      </c>
      <c r="D140" t="s">
        <v>3305</v>
      </c>
      <c r="E140" t="s">
        <v>3306</v>
      </c>
      <c r="F140" t="s">
        <v>112</v>
      </c>
      <c r="G140">
        <v>565341</v>
      </c>
    </row>
    <row r="141" spans="1:7" x14ac:dyDescent="0.25">
      <c r="A141" t="str">
        <f t="shared" si="2"/>
        <v>05 EE2 114</v>
      </c>
      <c r="B14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t="s">
        <v>3307</v>
      </c>
      <c r="D141" t="s">
        <v>3125</v>
      </c>
      <c r="E141" t="s">
        <v>3308</v>
      </c>
      <c r="F141" t="s">
        <v>112</v>
      </c>
      <c r="G141">
        <v>328753</v>
      </c>
    </row>
    <row r="142" spans="1:7" x14ac:dyDescent="0.25">
      <c r="A142" t="str">
        <f t="shared" si="2"/>
        <v>05 EE2 114</v>
      </c>
      <c r="B14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2" t="s">
        <v>3309</v>
      </c>
    </row>
    <row r="143" spans="1:7" x14ac:dyDescent="0.25">
      <c r="A143" t="str">
        <f t="shared" si="2"/>
        <v>05 EE2 114</v>
      </c>
      <c r="B14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t="s">
        <v>3310</v>
      </c>
      <c r="D143" t="s">
        <v>781</v>
      </c>
      <c r="E143" t="s">
        <v>3311</v>
      </c>
      <c r="F143" t="s">
        <v>112</v>
      </c>
      <c r="G143">
        <v>617793</v>
      </c>
    </row>
    <row r="144" spans="1:7" x14ac:dyDescent="0.25">
      <c r="A144" t="str">
        <f t="shared" si="2"/>
        <v>05 EE2 114</v>
      </c>
      <c r="B14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t="s">
        <v>3312</v>
      </c>
    </row>
    <row r="145" spans="1:9" x14ac:dyDescent="0.25">
      <c r="A145" t="str">
        <f t="shared" si="2"/>
        <v>05 EE2 114</v>
      </c>
      <c r="B14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5" t="s">
        <v>3313</v>
      </c>
      <c r="D145" t="s">
        <v>3314</v>
      </c>
      <c r="E145" t="s">
        <v>3315</v>
      </c>
      <c r="F145" t="s">
        <v>112</v>
      </c>
      <c r="G145">
        <v>1155685</v>
      </c>
    </row>
    <row r="146" spans="1:9" x14ac:dyDescent="0.25">
      <c r="A146" t="str">
        <f t="shared" si="2"/>
        <v>05 EE2 114</v>
      </c>
      <c r="B14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t="s">
        <v>3316</v>
      </c>
      <c r="D146" t="s">
        <v>3317</v>
      </c>
      <c r="E146" t="s">
        <v>3318</v>
      </c>
      <c r="F146" t="s">
        <v>112</v>
      </c>
      <c r="G146">
        <v>1541217</v>
      </c>
    </row>
    <row r="147" spans="1:9" x14ac:dyDescent="0.25">
      <c r="A147" t="str">
        <f t="shared" si="2"/>
        <v>05 EE2 114</v>
      </c>
      <c r="B14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t="s">
        <v>3319</v>
      </c>
      <c r="D147" t="s">
        <v>3320</v>
      </c>
      <c r="E147" t="s">
        <v>3321</v>
      </c>
      <c r="F147" t="s">
        <v>112</v>
      </c>
      <c r="G147">
        <v>1344795</v>
      </c>
    </row>
    <row r="148" spans="1:9" x14ac:dyDescent="0.25">
      <c r="A148" t="str">
        <f t="shared" si="2"/>
        <v>05 EE2 114</v>
      </c>
      <c r="B14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8" t="s">
        <v>3322</v>
      </c>
      <c r="D148" t="s">
        <v>3323</v>
      </c>
      <c r="E148" t="s">
        <v>3324</v>
      </c>
      <c r="F148" t="s">
        <v>112</v>
      </c>
      <c r="G148">
        <v>2321666</v>
      </c>
    </row>
    <row r="149" spans="1:9" x14ac:dyDescent="0.25">
      <c r="A149" t="str">
        <f t="shared" si="2"/>
        <v>05 EE2 114</v>
      </c>
      <c r="B14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t="s">
        <v>3325</v>
      </c>
      <c r="D149" t="s">
        <v>3326</v>
      </c>
      <c r="E149" t="s">
        <v>3327</v>
      </c>
      <c r="F149" t="s">
        <v>112</v>
      </c>
      <c r="G149">
        <v>2104827</v>
      </c>
    </row>
    <row r="150" spans="1:9" x14ac:dyDescent="0.25">
      <c r="A150" t="str">
        <f t="shared" si="2"/>
        <v>05 EE2 114</v>
      </c>
      <c r="B15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t="s">
        <v>3328</v>
      </c>
      <c r="D150" t="s">
        <v>3329</v>
      </c>
      <c r="E150" t="s">
        <v>3330</v>
      </c>
      <c r="F150" t="s">
        <v>112</v>
      </c>
      <c r="G150">
        <v>2381819</v>
      </c>
    </row>
    <row r="151" spans="1:9" x14ac:dyDescent="0.25">
      <c r="A151" t="str">
        <f t="shared" si="2"/>
        <v>05 EE2 114</v>
      </c>
      <c r="B15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1" t="s">
        <v>3331</v>
      </c>
      <c r="D151" t="s">
        <v>410</v>
      </c>
      <c r="E151" t="s">
        <v>3332</v>
      </c>
      <c r="F151" t="s">
        <v>112</v>
      </c>
      <c r="G151">
        <v>843479</v>
      </c>
    </row>
    <row r="152" spans="1:9" x14ac:dyDescent="0.25">
      <c r="A152" t="str">
        <f t="shared" si="2"/>
        <v>05 EE2 114</v>
      </c>
      <c r="B15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t="s">
        <v>3333</v>
      </c>
      <c r="D152" t="s">
        <v>2433</v>
      </c>
      <c r="E152" t="s">
        <v>3334</v>
      </c>
      <c r="F152" t="s">
        <v>112</v>
      </c>
      <c r="G152">
        <v>791438</v>
      </c>
    </row>
    <row r="153" spans="1:9" x14ac:dyDescent="0.25">
      <c r="A153" t="str">
        <f t="shared" si="2"/>
        <v>05 EE2 114</v>
      </c>
      <c r="B15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t="s">
        <v>3335</v>
      </c>
      <c r="D153" t="s">
        <v>1806</v>
      </c>
      <c r="E153" t="s">
        <v>3336</v>
      </c>
      <c r="F153" t="s">
        <v>112</v>
      </c>
      <c r="G153">
        <v>1036375</v>
      </c>
    </row>
    <row r="154" spans="1:9" x14ac:dyDescent="0.25">
      <c r="A154" t="str">
        <f t="shared" si="2"/>
        <v>05 EE2 114</v>
      </c>
      <c r="B15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4" t="s">
        <v>3337</v>
      </c>
      <c r="D154" t="s">
        <v>3338</v>
      </c>
      <c r="E154" t="s">
        <v>3339</v>
      </c>
      <c r="F154" t="s">
        <v>112</v>
      </c>
      <c r="G154">
        <v>2345200</v>
      </c>
    </row>
    <row r="155" spans="1:9" x14ac:dyDescent="0.25">
      <c r="A155" t="str">
        <f t="shared" si="2"/>
        <v>05 EE2 114</v>
      </c>
      <c r="B15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t="s">
        <v>3340</v>
      </c>
      <c r="D155" t="s">
        <v>3341</v>
      </c>
      <c r="E155" t="s">
        <v>3342</v>
      </c>
      <c r="F155" t="s">
        <v>112</v>
      </c>
      <c r="G155">
        <v>1979157</v>
      </c>
    </row>
    <row r="156" spans="1:9" x14ac:dyDescent="0.25">
      <c r="A156" t="str">
        <f t="shared" si="2"/>
        <v>05 EE2 114</v>
      </c>
      <c r="B15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t="s">
        <v>3343</v>
      </c>
      <c r="D156" t="s">
        <v>3344</v>
      </c>
      <c r="E156" t="s">
        <v>3345</v>
      </c>
      <c r="F156" t="s">
        <v>112</v>
      </c>
      <c r="G156">
        <v>1122981</v>
      </c>
    </row>
    <row r="157" spans="1:9" x14ac:dyDescent="0.25">
      <c r="A157" t="str">
        <f t="shared" si="2"/>
        <v/>
      </c>
      <c r="B1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7" t="s">
        <v>112</v>
      </c>
    </row>
    <row r="158" spans="1:9" x14ac:dyDescent="0.25">
      <c r="A158" t="str">
        <f t="shared" si="2"/>
        <v/>
      </c>
      <c r="B1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t="s">
        <v>234</v>
      </c>
      <c r="D158" t="s">
        <v>112</v>
      </c>
      <c r="E158" t="s">
        <v>235</v>
      </c>
      <c r="F158" t="s">
        <v>236</v>
      </c>
      <c r="G158" t="s">
        <v>237</v>
      </c>
      <c r="H158" t="s">
        <v>238</v>
      </c>
      <c r="I158" t="s">
        <v>239</v>
      </c>
    </row>
    <row r="159" spans="1:9" x14ac:dyDescent="0.25">
      <c r="A159" t="str">
        <f t="shared" si="2"/>
        <v>05 EE2 114</v>
      </c>
      <c r="B15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59" t="s">
        <v>3346</v>
      </c>
      <c r="D159" t="s">
        <v>112</v>
      </c>
      <c r="E159" t="s">
        <v>3347</v>
      </c>
      <c r="F159" t="s">
        <v>3348</v>
      </c>
      <c r="G159" t="s">
        <v>3349</v>
      </c>
      <c r="H159" t="s">
        <v>3350</v>
      </c>
      <c r="I159">
        <v>24</v>
      </c>
    </row>
    <row r="160" spans="1:9" x14ac:dyDescent="0.25">
      <c r="A160" t="str">
        <f t="shared" si="2"/>
        <v/>
      </c>
      <c r="B1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0" t="s">
        <v>112</v>
      </c>
    </row>
    <row r="161" spans="1:7" x14ac:dyDescent="0.25">
      <c r="A161" t="str">
        <f t="shared" si="2"/>
        <v/>
      </c>
      <c r="B1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t="s">
        <v>112</v>
      </c>
    </row>
    <row r="162" spans="1:7" x14ac:dyDescent="0.25">
      <c r="A162" t="str">
        <f t="shared" si="2"/>
        <v/>
      </c>
      <c r="B1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t="s">
        <v>112</v>
      </c>
    </row>
    <row r="163" spans="1:7" x14ac:dyDescent="0.25">
      <c r="A163" t="str">
        <f t="shared" si="2"/>
        <v/>
      </c>
      <c r="B1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t="s">
        <v>112</v>
      </c>
    </row>
    <row r="164" spans="1:7" x14ac:dyDescent="0.25">
      <c r="A164" t="str">
        <f t="shared" si="2"/>
        <v/>
      </c>
      <c r="B1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t="s">
        <v>112</v>
      </c>
    </row>
    <row r="165" spans="1:7" x14ac:dyDescent="0.25">
      <c r="A165" t="str">
        <f t="shared" si="2"/>
        <v/>
      </c>
      <c r="B1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t="s">
        <v>246</v>
      </c>
      <c r="D165" t="s">
        <v>110</v>
      </c>
      <c r="E165" t="s">
        <v>111</v>
      </c>
      <c r="F165" t="s">
        <v>112</v>
      </c>
      <c r="G165" t="s">
        <v>113</v>
      </c>
    </row>
    <row r="166" spans="1:7" x14ac:dyDescent="0.25">
      <c r="A166" t="str">
        <f t="shared" si="2"/>
        <v>06 EE2 171</v>
      </c>
      <c r="B16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6" t="s">
        <v>3351</v>
      </c>
      <c r="D166" t="s">
        <v>618</v>
      </c>
      <c r="E166" t="s">
        <v>3352</v>
      </c>
      <c r="F166" t="s">
        <v>112</v>
      </c>
      <c r="G166">
        <v>4795737</v>
      </c>
    </row>
    <row r="167" spans="1:7" x14ac:dyDescent="0.25">
      <c r="A167" t="str">
        <f t="shared" si="2"/>
        <v>06 EE2 171</v>
      </c>
      <c r="B16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t="s">
        <v>3353</v>
      </c>
      <c r="D167" t="s">
        <v>2110</v>
      </c>
      <c r="E167" t="s">
        <v>3354</v>
      </c>
      <c r="F167" t="s">
        <v>112</v>
      </c>
      <c r="G167">
        <v>4802529</v>
      </c>
    </row>
    <row r="168" spans="1:7" x14ac:dyDescent="0.25">
      <c r="A168" t="str">
        <f t="shared" si="2"/>
        <v>06 EE2 171</v>
      </c>
      <c r="B16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t="s">
        <v>3355</v>
      </c>
      <c r="D168" t="s">
        <v>3356</v>
      </c>
      <c r="E168" t="s">
        <v>3357</v>
      </c>
      <c r="F168" t="s">
        <v>112</v>
      </c>
      <c r="G168">
        <v>4501159</v>
      </c>
    </row>
    <row r="169" spans="1:7" x14ac:dyDescent="0.25">
      <c r="A169" t="str">
        <f t="shared" si="2"/>
        <v>06 EE2 171</v>
      </c>
      <c r="B16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69" t="s">
        <v>3358</v>
      </c>
      <c r="D169" t="s">
        <v>1138</v>
      </c>
      <c r="E169" t="s">
        <v>3359</v>
      </c>
      <c r="F169" t="s">
        <v>112</v>
      </c>
      <c r="G169">
        <v>4097178</v>
      </c>
    </row>
    <row r="170" spans="1:7" x14ac:dyDescent="0.25">
      <c r="A170" t="str">
        <f t="shared" si="2"/>
        <v>06 EE2 171</v>
      </c>
      <c r="B17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t="s">
        <v>3360</v>
      </c>
      <c r="D170" t="s">
        <v>1017</v>
      </c>
      <c r="E170" t="s">
        <v>3361</v>
      </c>
      <c r="F170" t="s">
        <v>112</v>
      </c>
      <c r="G170">
        <v>3606287</v>
      </c>
    </row>
    <row r="171" spans="1:7" x14ac:dyDescent="0.25">
      <c r="A171" t="str">
        <f t="shared" si="2"/>
        <v>06 EE2 171</v>
      </c>
      <c r="B17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t="s">
        <v>3362</v>
      </c>
      <c r="D171" t="s">
        <v>3363</v>
      </c>
      <c r="E171" t="s">
        <v>3364</v>
      </c>
      <c r="F171" t="s">
        <v>112</v>
      </c>
      <c r="G171">
        <v>3591471</v>
      </c>
    </row>
    <row r="172" spans="1:7" x14ac:dyDescent="0.25">
      <c r="A172" t="str">
        <f t="shared" si="2"/>
        <v>06 EE2 171</v>
      </c>
      <c r="B17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2" t="s">
        <v>3365</v>
      </c>
      <c r="D172" t="s">
        <v>3366</v>
      </c>
      <c r="E172" t="s">
        <v>3367</v>
      </c>
      <c r="F172" t="s">
        <v>112</v>
      </c>
      <c r="G172">
        <v>4630593</v>
      </c>
    </row>
    <row r="173" spans="1:7" x14ac:dyDescent="0.25">
      <c r="A173" t="str">
        <f t="shared" si="2"/>
        <v>06 EE2 171</v>
      </c>
      <c r="B17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t="s">
        <v>3368</v>
      </c>
      <c r="D173" t="s">
        <v>3369</v>
      </c>
      <c r="E173" t="s">
        <v>955</v>
      </c>
      <c r="F173" t="s">
        <v>112</v>
      </c>
      <c r="G173">
        <v>4703096</v>
      </c>
    </row>
    <row r="174" spans="1:7" x14ac:dyDescent="0.25">
      <c r="A174" t="str">
        <f t="shared" si="2"/>
        <v>06 EE2 171</v>
      </c>
      <c r="B17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t="s">
        <v>3370</v>
      </c>
      <c r="D174" t="s">
        <v>3371</v>
      </c>
      <c r="E174" t="s">
        <v>3372</v>
      </c>
      <c r="F174" t="s">
        <v>112</v>
      </c>
      <c r="G174">
        <v>4990730</v>
      </c>
    </row>
    <row r="175" spans="1:7" x14ac:dyDescent="0.25">
      <c r="A175" t="str">
        <f t="shared" si="2"/>
        <v>06 EE2 171</v>
      </c>
      <c r="B17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5" t="s">
        <v>3373</v>
      </c>
      <c r="D175" t="s">
        <v>3374</v>
      </c>
      <c r="E175" t="s">
        <v>3375</v>
      </c>
      <c r="F175" t="s">
        <v>112</v>
      </c>
      <c r="G175">
        <v>2951529</v>
      </c>
    </row>
    <row r="176" spans="1:7" x14ac:dyDescent="0.25">
      <c r="A176" t="str">
        <f t="shared" si="2"/>
        <v>06 EE2 171</v>
      </c>
      <c r="B17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t="s">
        <v>3376</v>
      </c>
      <c r="D176" t="s">
        <v>3377</v>
      </c>
      <c r="E176" t="s">
        <v>3378</v>
      </c>
      <c r="F176" t="s">
        <v>112</v>
      </c>
      <c r="G176">
        <v>2831245</v>
      </c>
    </row>
    <row r="177" spans="1:9" x14ac:dyDescent="0.25">
      <c r="A177" t="str">
        <f t="shared" si="2"/>
        <v>06 EE2 171</v>
      </c>
      <c r="B17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t="s">
        <v>3379</v>
      </c>
      <c r="D177" t="s">
        <v>3380</v>
      </c>
      <c r="E177" t="s">
        <v>720</v>
      </c>
      <c r="F177" t="s">
        <v>112</v>
      </c>
      <c r="G177">
        <v>2697897</v>
      </c>
    </row>
    <row r="178" spans="1:9" x14ac:dyDescent="0.25">
      <c r="A178" t="str">
        <f t="shared" si="2"/>
        <v>06 EE2 171</v>
      </c>
      <c r="B17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8" t="s">
        <v>3381</v>
      </c>
      <c r="D178" t="s">
        <v>3382</v>
      </c>
      <c r="E178" t="s">
        <v>3383</v>
      </c>
      <c r="F178" t="s">
        <v>112</v>
      </c>
      <c r="G178">
        <v>4356066</v>
      </c>
    </row>
    <row r="179" spans="1:9" x14ac:dyDescent="0.25">
      <c r="A179" t="str">
        <f t="shared" si="2"/>
        <v>06 EE2 171</v>
      </c>
      <c r="B17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t="s">
        <v>3384</v>
      </c>
      <c r="D179" t="s">
        <v>3385</v>
      </c>
      <c r="E179" t="s">
        <v>3386</v>
      </c>
      <c r="F179" t="s">
        <v>112</v>
      </c>
      <c r="G179">
        <v>4125578</v>
      </c>
    </row>
    <row r="180" spans="1:9" x14ac:dyDescent="0.25">
      <c r="A180" t="str">
        <f t="shared" si="2"/>
        <v>06 EE2 171</v>
      </c>
      <c r="B18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t="s">
        <v>3387</v>
      </c>
    </row>
    <row r="181" spans="1:9" x14ac:dyDescent="0.25">
      <c r="A181" t="str">
        <f t="shared" si="2"/>
        <v>06 EE2 171</v>
      </c>
      <c r="B18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1" t="s">
        <v>3388</v>
      </c>
      <c r="D181" t="s">
        <v>3389</v>
      </c>
      <c r="E181" t="s">
        <v>3390</v>
      </c>
      <c r="F181" t="s">
        <v>112</v>
      </c>
      <c r="G181">
        <v>4154151</v>
      </c>
    </row>
    <row r="182" spans="1:9" x14ac:dyDescent="0.25">
      <c r="A182" t="str">
        <f t="shared" si="2"/>
        <v>06 EE2 171</v>
      </c>
      <c r="B18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t="s">
        <v>3391</v>
      </c>
      <c r="D182" t="s">
        <v>2033</v>
      </c>
      <c r="E182" t="s">
        <v>3392</v>
      </c>
      <c r="F182" t="s">
        <v>112</v>
      </c>
      <c r="G182">
        <v>4201456</v>
      </c>
    </row>
    <row r="183" spans="1:9" x14ac:dyDescent="0.25">
      <c r="A183" t="str">
        <f t="shared" si="2"/>
        <v>06 EE2 171</v>
      </c>
      <c r="B18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t="s">
        <v>3393</v>
      </c>
      <c r="D183" t="s">
        <v>3394</v>
      </c>
      <c r="E183" t="s">
        <v>3395</v>
      </c>
      <c r="F183" t="s">
        <v>112</v>
      </c>
      <c r="G183">
        <v>4101958</v>
      </c>
    </row>
    <row r="184" spans="1:9" x14ac:dyDescent="0.25">
      <c r="A184" t="str">
        <f t="shared" si="2"/>
        <v>06 EE2 171</v>
      </c>
      <c r="B18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4" t="s">
        <v>3396</v>
      </c>
    </row>
    <row r="185" spans="1:9" x14ac:dyDescent="0.25">
      <c r="A185" t="str">
        <f t="shared" si="2"/>
        <v>06 EE2 171</v>
      </c>
      <c r="B18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t="s">
        <v>3397</v>
      </c>
      <c r="D185" t="s">
        <v>348</v>
      </c>
      <c r="E185" t="s">
        <v>3398</v>
      </c>
      <c r="F185" t="s">
        <v>112</v>
      </c>
      <c r="G185">
        <v>768575</v>
      </c>
    </row>
    <row r="186" spans="1:9" x14ac:dyDescent="0.25">
      <c r="A186" t="str">
        <f t="shared" si="2"/>
        <v>06 EE2 171</v>
      </c>
      <c r="B18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t="s">
        <v>3399</v>
      </c>
      <c r="D186" t="s">
        <v>3400</v>
      </c>
      <c r="E186" t="s">
        <v>3401</v>
      </c>
      <c r="F186" t="s">
        <v>112</v>
      </c>
      <c r="G186">
        <v>958183</v>
      </c>
    </row>
    <row r="187" spans="1:9" x14ac:dyDescent="0.25">
      <c r="A187" t="str">
        <f t="shared" si="2"/>
        <v>06 EE2 171</v>
      </c>
      <c r="B18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7" t="s">
        <v>3402</v>
      </c>
      <c r="D187" t="s">
        <v>3403</v>
      </c>
      <c r="E187" t="s">
        <v>3404</v>
      </c>
      <c r="F187" t="s">
        <v>112</v>
      </c>
      <c r="G187">
        <v>6211327</v>
      </c>
    </row>
    <row r="188" spans="1:9" x14ac:dyDescent="0.25">
      <c r="A188" t="str">
        <f t="shared" si="2"/>
        <v>06 EE2 171</v>
      </c>
      <c r="B18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t="s">
        <v>3405</v>
      </c>
      <c r="D188" t="s">
        <v>3406</v>
      </c>
      <c r="E188" t="s">
        <v>3407</v>
      </c>
      <c r="F188" t="s">
        <v>112</v>
      </c>
      <c r="G188">
        <v>6101707</v>
      </c>
    </row>
    <row r="189" spans="1:9" x14ac:dyDescent="0.25">
      <c r="A189" t="str">
        <f t="shared" si="2"/>
        <v>06 EE2 171</v>
      </c>
      <c r="B18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t="s">
        <v>3408</v>
      </c>
      <c r="D189" t="s">
        <v>3409</v>
      </c>
      <c r="E189" t="s">
        <v>3410</v>
      </c>
      <c r="F189" t="s">
        <v>112</v>
      </c>
      <c r="G189">
        <v>5960269</v>
      </c>
    </row>
    <row r="190" spans="1:9" x14ac:dyDescent="0.25">
      <c r="A190" t="str">
        <f t="shared" si="2"/>
        <v/>
      </c>
      <c r="B1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0" t="s">
        <v>112</v>
      </c>
    </row>
    <row r="191" spans="1:9" x14ac:dyDescent="0.25">
      <c r="A191" t="str">
        <f t="shared" si="2"/>
        <v/>
      </c>
      <c r="B1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t="s">
        <v>234</v>
      </c>
      <c r="D191" t="s">
        <v>112</v>
      </c>
      <c r="E191" t="s">
        <v>235</v>
      </c>
      <c r="F191" t="s">
        <v>236</v>
      </c>
      <c r="G191" t="s">
        <v>237</v>
      </c>
      <c r="H191" t="s">
        <v>238</v>
      </c>
      <c r="I191" t="s">
        <v>239</v>
      </c>
    </row>
    <row r="192" spans="1:9" x14ac:dyDescent="0.25">
      <c r="A192" t="str">
        <f t="shared" si="2"/>
        <v>06 EE2 171</v>
      </c>
      <c r="B19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2" t="s">
        <v>3411</v>
      </c>
      <c r="D192" t="s">
        <v>112</v>
      </c>
      <c r="E192" t="s">
        <v>3412</v>
      </c>
      <c r="F192" t="s">
        <v>3413</v>
      </c>
      <c r="G192" t="s">
        <v>3414</v>
      </c>
      <c r="H192" t="s">
        <v>3415</v>
      </c>
      <c r="I192">
        <v>24</v>
      </c>
    </row>
    <row r="193" spans="1:7" x14ac:dyDescent="0.25">
      <c r="A193" t="str">
        <f t="shared" si="2"/>
        <v/>
      </c>
      <c r="B1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3" t="s">
        <v>112</v>
      </c>
    </row>
    <row r="194" spans="1:7" x14ac:dyDescent="0.25">
      <c r="A194" t="str">
        <f t="shared" ref="A194:A257" si="3">IFERROR(LEFT(RIGHT(C194,LEN(C194)-SEARCH("@",C194)),SEARCH("/",RIGHT(C194,LEN(C194)-SEARCH("@",C194)-1))),"")</f>
        <v/>
      </c>
      <c r="B1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t="s">
        <v>112</v>
      </c>
    </row>
    <row r="195" spans="1:7" x14ac:dyDescent="0.25">
      <c r="A195" t="str">
        <f t="shared" si="3"/>
        <v/>
      </c>
      <c r="B1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t="s">
        <v>112</v>
      </c>
    </row>
    <row r="196" spans="1:7" x14ac:dyDescent="0.25">
      <c r="A196" t="str">
        <f t="shared" si="3"/>
        <v/>
      </c>
      <c r="B1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t="s">
        <v>112</v>
      </c>
    </row>
    <row r="197" spans="1:7" x14ac:dyDescent="0.25">
      <c r="A197" t="str">
        <f t="shared" si="3"/>
        <v/>
      </c>
      <c r="B1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t="s">
        <v>112</v>
      </c>
    </row>
    <row r="198" spans="1:7" x14ac:dyDescent="0.25">
      <c r="A198" t="str">
        <f t="shared" si="3"/>
        <v/>
      </c>
      <c r="B1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t="s">
        <v>246</v>
      </c>
      <c r="D198" t="s">
        <v>110</v>
      </c>
      <c r="E198" t="s">
        <v>111</v>
      </c>
      <c r="F198" t="s">
        <v>112</v>
      </c>
      <c r="G198" t="s">
        <v>113</v>
      </c>
    </row>
    <row r="199" spans="1:7" x14ac:dyDescent="0.25">
      <c r="A199" t="str">
        <f t="shared" si="3"/>
        <v>07 EE2 488</v>
      </c>
      <c r="B19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99" t="s">
        <v>3416</v>
      </c>
      <c r="D199" t="s">
        <v>1336</v>
      </c>
      <c r="E199" t="s">
        <v>3417</v>
      </c>
      <c r="F199" t="s">
        <v>112</v>
      </c>
      <c r="G199">
        <v>5669001</v>
      </c>
    </row>
    <row r="200" spans="1:7" x14ac:dyDescent="0.25">
      <c r="A200" t="str">
        <f t="shared" si="3"/>
        <v>07 EE2 488</v>
      </c>
      <c r="B20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t="s">
        <v>3418</v>
      </c>
      <c r="D200" t="s">
        <v>3419</v>
      </c>
      <c r="E200" t="s">
        <v>3420</v>
      </c>
      <c r="F200" t="s">
        <v>112</v>
      </c>
      <c r="G200">
        <v>5621869</v>
      </c>
    </row>
    <row r="201" spans="1:7" x14ac:dyDescent="0.25">
      <c r="A201" t="str">
        <f t="shared" si="3"/>
        <v>07 EE2 488</v>
      </c>
      <c r="B20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t="s">
        <v>3421</v>
      </c>
      <c r="D201" t="s">
        <v>3422</v>
      </c>
      <c r="E201" t="s">
        <v>3423</v>
      </c>
      <c r="F201" t="s">
        <v>112</v>
      </c>
      <c r="G201">
        <v>6016334</v>
      </c>
    </row>
    <row r="202" spans="1:7" x14ac:dyDescent="0.25">
      <c r="A202" t="str">
        <f t="shared" si="3"/>
        <v>07 EE2 488</v>
      </c>
      <c r="B20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2" t="s">
        <v>3424</v>
      </c>
      <c r="D202" t="s">
        <v>3394</v>
      </c>
      <c r="E202" t="s">
        <v>3425</v>
      </c>
      <c r="F202" t="s">
        <v>112</v>
      </c>
      <c r="G202">
        <v>5590960</v>
      </c>
    </row>
    <row r="203" spans="1:7" x14ac:dyDescent="0.25">
      <c r="A203" t="str">
        <f t="shared" si="3"/>
        <v>07 EE2 488</v>
      </c>
      <c r="B20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t="s">
        <v>3426</v>
      </c>
      <c r="D203" t="s">
        <v>3427</v>
      </c>
      <c r="E203" t="s">
        <v>3428</v>
      </c>
      <c r="F203" t="s">
        <v>112</v>
      </c>
      <c r="G203">
        <v>5791729</v>
      </c>
    </row>
    <row r="204" spans="1:7" x14ac:dyDescent="0.25">
      <c r="A204" t="str">
        <f t="shared" si="3"/>
        <v>07 EE2 488</v>
      </c>
      <c r="B20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t="s">
        <v>3429</v>
      </c>
      <c r="D204" t="s">
        <v>3430</v>
      </c>
      <c r="E204" t="s">
        <v>3431</v>
      </c>
      <c r="F204" t="s">
        <v>112</v>
      </c>
      <c r="G204">
        <v>5591328</v>
      </c>
    </row>
    <row r="205" spans="1:7" x14ac:dyDescent="0.25">
      <c r="A205" t="str">
        <f t="shared" si="3"/>
        <v>07 EE2 488</v>
      </c>
      <c r="B20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5" t="s">
        <v>3432</v>
      </c>
      <c r="D205" t="s">
        <v>2018</v>
      </c>
      <c r="E205" t="s">
        <v>3433</v>
      </c>
      <c r="F205" t="s">
        <v>112</v>
      </c>
      <c r="G205">
        <v>5594680</v>
      </c>
    </row>
    <row r="206" spans="1:7" x14ac:dyDescent="0.25">
      <c r="A206" t="str">
        <f t="shared" si="3"/>
        <v>07 EE2 488</v>
      </c>
      <c r="B20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t="s">
        <v>3434</v>
      </c>
      <c r="D206" t="s">
        <v>3435</v>
      </c>
      <c r="E206" t="s">
        <v>3436</v>
      </c>
      <c r="F206" t="s">
        <v>112</v>
      </c>
      <c r="G206">
        <v>5481707</v>
      </c>
    </row>
    <row r="207" spans="1:7" x14ac:dyDescent="0.25">
      <c r="A207" t="str">
        <f t="shared" si="3"/>
        <v>07 EE2 488</v>
      </c>
      <c r="B20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t="s">
        <v>3437</v>
      </c>
    </row>
    <row r="208" spans="1:7" x14ac:dyDescent="0.25">
      <c r="A208" t="str">
        <f t="shared" si="3"/>
        <v>07 EE2 488</v>
      </c>
      <c r="B20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8" t="s">
        <v>3438</v>
      </c>
      <c r="D208" t="s">
        <v>1209</v>
      </c>
      <c r="E208" t="s">
        <v>3439</v>
      </c>
      <c r="F208" t="s">
        <v>112</v>
      </c>
      <c r="G208">
        <v>5474591</v>
      </c>
    </row>
    <row r="209" spans="1:9" x14ac:dyDescent="0.25">
      <c r="A209" t="str">
        <f t="shared" si="3"/>
        <v>07 EE2 488</v>
      </c>
      <c r="B20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t="s">
        <v>3440</v>
      </c>
      <c r="D209" t="s">
        <v>1135</v>
      </c>
      <c r="E209" t="s">
        <v>3441</v>
      </c>
      <c r="F209" t="s">
        <v>112</v>
      </c>
      <c r="G209">
        <v>5381128</v>
      </c>
    </row>
    <row r="210" spans="1:9" x14ac:dyDescent="0.25">
      <c r="A210" t="str">
        <f t="shared" si="3"/>
        <v>07 EE2 488</v>
      </c>
      <c r="B21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t="s">
        <v>3442</v>
      </c>
    </row>
    <row r="211" spans="1:9" x14ac:dyDescent="0.25">
      <c r="A211" t="str">
        <f t="shared" si="3"/>
        <v>07 EE2 488</v>
      </c>
      <c r="B21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1" t="s">
        <v>3443</v>
      </c>
      <c r="D211" t="s">
        <v>2834</v>
      </c>
      <c r="E211" t="s">
        <v>3444</v>
      </c>
      <c r="F211" t="s">
        <v>112</v>
      </c>
      <c r="G211">
        <v>5518413</v>
      </c>
    </row>
    <row r="212" spans="1:9" x14ac:dyDescent="0.25">
      <c r="A212" t="str">
        <f t="shared" si="3"/>
        <v>07 EE2 488</v>
      </c>
      <c r="B21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t="s">
        <v>3445</v>
      </c>
      <c r="D212" t="s">
        <v>3446</v>
      </c>
      <c r="E212" t="s">
        <v>3447</v>
      </c>
      <c r="F212" t="s">
        <v>112</v>
      </c>
      <c r="G212">
        <v>5850324</v>
      </c>
    </row>
    <row r="213" spans="1:9" x14ac:dyDescent="0.25">
      <c r="A213" t="str">
        <f t="shared" si="3"/>
        <v>07 EE2 488</v>
      </c>
      <c r="B21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t="s">
        <v>3448</v>
      </c>
      <c r="D213" t="s">
        <v>3449</v>
      </c>
      <c r="E213" t="s">
        <v>3450</v>
      </c>
      <c r="F213" t="s">
        <v>112</v>
      </c>
      <c r="G213">
        <v>5784461</v>
      </c>
    </row>
    <row r="214" spans="1:9" x14ac:dyDescent="0.25">
      <c r="A214" t="str">
        <f t="shared" si="3"/>
        <v>07 EE2 488</v>
      </c>
      <c r="B21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4" t="s">
        <v>3451</v>
      </c>
      <c r="D214" t="s">
        <v>3452</v>
      </c>
      <c r="E214" t="s">
        <v>3453</v>
      </c>
      <c r="F214" t="s">
        <v>112</v>
      </c>
      <c r="G214">
        <v>4370104</v>
      </c>
    </row>
    <row r="215" spans="1:9" x14ac:dyDescent="0.25">
      <c r="A215" t="str">
        <f t="shared" si="3"/>
        <v>07 EE2 488</v>
      </c>
      <c r="B21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t="s">
        <v>3454</v>
      </c>
      <c r="D215" t="s">
        <v>1362</v>
      </c>
      <c r="E215" t="s">
        <v>3455</v>
      </c>
      <c r="F215" t="s">
        <v>112</v>
      </c>
      <c r="G215">
        <v>4082145</v>
      </c>
    </row>
    <row r="216" spans="1:9" x14ac:dyDescent="0.25">
      <c r="A216" t="str">
        <f t="shared" si="3"/>
        <v>07 EE2 488</v>
      </c>
      <c r="B21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t="s">
        <v>3456</v>
      </c>
      <c r="D216" t="s">
        <v>3457</v>
      </c>
      <c r="E216" t="s">
        <v>3458</v>
      </c>
      <c r="F216" t="s">
        <v>112</v>
      </c>
      <c r="G216">
        <v>4049484</v>
      </c>
    </row>
    <row r="217" spans="1:9" x14ac:dyDescent="0.25">
      <c r="A217" t="str">
        <f t="shared" si="3"/>
        <v>07 EE2 488</v>
      </c>
      <c r="B21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7" t="s">
        <v>3459</v>
      </c>
      <c r="D217" t="s">
        <v>3460</v>
      </c>
      <c r="E217" t="s">
        <v>3461</v>
      </c>
      <c r="F217" t="s">
        <v>112</v>
      </c>
      <c r="G217">
        <v>8529273</v>
      </c>
    </row>
    <row r="218" spans="1:9" x14ac:dyDescent="0.25">
      <c r="A218" t="str">
        <f t="shared" si="3"/>
        <v>07 EE2 488</v>
      </c>
      <c r="B21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t="s">
        <v>3462</v>
      </c>
      <c r="D218" t="s">
        <v>3463</v>
      </c>
      <c r="E218" t="s">
        <v>3464</v>
      </c>
      <c r="F218" t="s">
        <v>112</v>
      </c>
      <c r="G218">
        <v>8076862</v>
      </c>
    </row>
    <row r="219" spans="1:9" x14ac:dyDescent="0.25">
      <c r="A219" t="str">
        <f t="shared" si="3"/>
        <v>07 EE2 488</v>
      </c>
      <c r="B21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t="s">
        <v>3465</v>
      </c>
      <c r="D219" t="s">
        <v>3466</v>
      </c>
      <c r="E219" t="s">
        <v>3467</v>
      </c>
      <c r="F219" t="s">
        <v>112</v>
      </c>
      <c r="G219">
        <v>8622779</v>
      </c>
    </row>
    <row r="220" spans="1:9" x14ac:dyDescent="0.25">
      <c r="A220" t="str">
        <f t="shared" si="3"/>
        <v>07 EE2 488</v>
      </c>
      <c r="B22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0" t="s">
        <v>3468</v>
      </c>
      <c r="D220" t="s">
        <v>1163</v>
      </c>
      <c r="E220" t="s">
        <v>3469</v>
      </c>
      <c r="F220" t="s">
        <v>112</v>
      </c>
      <c r="G220">
        <v>6754151</v>
      </c>
    </row>
    <row r="221" spans="1:9" x14ac:dyDescent="0.25">
      <c r="A221" t="str">
        <f t="shared" si="3"/>
        <v>07 EE2 488</v>
      </c>
      <c r="B22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t="s">
        <v>3470</v>
      </c>
      <c r="D221" t="s">
        <v>3471</v>
      </c>
      <c r="E221" t="s">
        <v>3472</v>
      </c>
      <c r="F221" t="s">
        <v>112</v>
      </c>
      <c r="G221">
        <v>6518515</v>
      </c>
    </row>
    <row r="222" spans="1:9" x14ac:dyDescent="0.25">
      <c r="A222" t="str">
        <f t="shared" si="3"/>
        <v>07 EE2 488</v>
      </c>
      <c r="B22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t="s">
        <v>3473</v>
      </c>
      <c r="D222" t="s">
        <v>3474</v>
      </c>
      <c r="E222" t="s">
        <v>3475</v>
      </c>
      <c r="F222" t="s">
        <v>112</v>
      </c>
      <c r="G222">
        <v>7295461</v>
      </c>
    </row>
    <row r="223" spans="1:9" x14ac:dyDescent="0.25">
      <c r="A223" t="str">
        <f t="shared" si="3"/>
        <v/>
      </c>
      <c r="B2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3" t="s">
        <v>112</v>
      </c>
    </row>
    <row r="224" spans="1:9" x14ac:dyDescent="0.25">
      <c r="A224" t="str">
        <f t="shared" si="3"/>
        <v/>
      </c>
      <c r="B2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t="s">
        <v>234</v>
      </c>
      <c r="D224" t="s">
        <v>112</v>
      </c>
      <c r="E224" t="s">
        <v>235</v>
      </c>
      <c r="F224" t="s">
        <v>236</v>
      </c>
      <c r="G224" t="s">
        <v>237</v>
      </c>
      <c r="H224" t="s">
        <v>238</v>
      </c>
      <c r="I224" t="s">
        <v>239</v>
      </c>
    </row>
    <row r="225" spans="1:9" x14ac:dyDescent="0.25">
      <c r="A225" t="str">
        <f t="shared" si="3"/>
        <v>07 EE2 488</v>
      </c>
      <c r="B22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5" t="s">
        <v>3476</v>
      </c>
      <c r="D225" t="s">
        <v>112</v>
      </c>
      <c r="E225" t="s">
        <v>3477</v>
      </c>
      <c r="F225" t="s">
        <v>3478</v>
      </c>
      <c r="G225" t="s">
        <v>3479</v>
      </c>
      <c r="H225" t="s">
        <v>3480</v>
      </c>
      <c r="I225">
        <v>24</v>
      </c>
    </row>
    <row r="226" spans="1:9" x14ac:dyDescent="0.25">
      <c r="A226" t="str">
        <f t="shared" si="3"/>
        <v/>
      </c>
      <c r="B2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6" t="s">
        <v>112</v>
      </c>
    </row>
    <row r="227" spans="1:9" x14ac:dyDescent="0.25">
      <c r="A227" t="str">
        <f t="shared" si="3"/>
        <v/>
      </c>
      <c r="B2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t="s">
        <v>112</v>
      </c>
    </row>
    <row r="228" spans="1:9" x14ac:dyDescent="0.25">
      <c r="A228" t="str">
        <f t="shared" si="3"/>
        <v/>
      </c>
      <c r="B2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t="s">
        <v>112</v>
      </c>
    </row>
    <row r="229" spans="1:9" x14ac:dyDescent="0.25">
      <c r="A229" t="str">
        <f t="shared" si="3"/>
        <v/>
      </c>
      <c r="B2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t="s">
        <v>112</v>
      </c>
    </row>
    <row r="230" spans="1:9" x14ac:dyDescent="0.25">
      <c r="A230" t="str">
        <f t="shared" si="3"/>
        <v/>
      </c>
      <c r="B2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t="s">
        <v>112</v>
      </c>
    </row>
    <row r="231" spans="1:9" x14ac:dyDescent="0.25">
      <c r="A231" t="str">
        <f t="shared" si="3"/>
        <v/>
      </c>
      <c r="B2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t="s">
        <v>246</v>
      </c>
      <c r="D231" t="s">
        <v>110</v>
      </c>
      <c r="E231" t="s">
        <v>111</v>
      </c>
      <c r="F231" t="s">
        <v>112</v>
      </c>
      <c r="G231" t="s">
        <v>113</v>
      </c>
    </row>
    <row r="232" spans="1:9" x14ac:dyDescent="0.25">
      <c r="A232" t="str">
        <f t="shared" si="3"/>
        <v>08 TRIPHENYLP 0.18</v>
      </c>
      <c r="B23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2" t="s">
        <v>3481</v>
      </c>
      <c r="D232" t="s">
        <v>3482</v>
      </c>
      <c r="E232" t="s">
        <v>3483</v>
      </c>
      <c r="F232" t="s">
        <v>112</v>
      </c>
      <c r="G232">
        <v>147927</v>
      </c>
    </row>
    <row r="233" spans="1:9" x14ac:dyDescent="0.25">
      <c r="A233" t="str">
        <f t="shared" si="3"/>
        <v>08 TRIPHENYLP 0.18</v>
      </c>
      <c r="B23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t="s">
        <v>3484</v>
      </c>
      <c r="D233" t="s">
        <v>326</v>
      </c>
      <c r="E233" t="s">
        <v>3485</v>
      </c>
      <c r="F233" t="s">
        <v>112</v>
      </c>
      <c r="G233">
        <v>648702</v>
      </c>
    </row>
    <row r="234" spans="1:9" x14ac:dyDescent="0.25">
      <c r="A234" t="str">
        <f t="shared" si="3"/>
        <v>08 TRIPHENYLP 0.18</v>
      </c>
      <c r="B23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t="s">
        <v>3486</v>
      </c>
      <c r="D234" t="s">
        <v>761</v>
      </c>
      <c r="E234" t="s">
        <v>3487</v>
      </c>
      <c r="F234" t="s">
        <v>112</v>
      </c>
      <c r="G234">
        <v>87320</v>
      </c>
    </row>
    <row r="235" spans="1:9" x14ac:dyDescent="0.25">
      <c r="A235" t="str">
        <f t="shared" si="3"/>
        <v>08 TRIPHENYLP 0.18</v>
      </c>
      <c r="B23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5" t="s">
        <v>3488</v>
      </c>
      <c r="D235" t="s">
        <v>3489</v>
      </c>
      <c r="E235" t="s">
        <v>3490</v>
      </c>
      <c r="F235" t="s">
        <v>112</v>
      </c>
      <c r="G235">
        <v>2410544</v>
      </c>
    </row>
    <row r="236" spans="1:9" x14ac:dyDescent="0.25">
      <c r="A236" t="str">
        <f t="shared" si="3"/>
        <v>08 TRIPHENYLP 0.18</v>
      </c>
      <c r="B23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t="s">
        <v>3491</v>
      </c>
    </row>
    <row r="237" spans="1:9" x14ac:dyDescent="0.25">
      <c r="A237" t="str">
        <f t="shared" si="3"/>
        <v>08 TRIPHENYLP 0.18</v>
      </c>
      <c r="B23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t="s">
        <v>3492</v>
      </c>
    </row>
    <row r="238" spans="1:9" x14ac:dyDescent="0.25">
      <c r="A238" t="str">
        <f t="shared" si="3"/>
        <v>08 TRIPHENYLP 0.18</v>
      </c>
      <c r="B23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8" t="s">
        <v>3493</v>
      </c>
      <c r="D238" t="s">
        <v>2652</v>
      </c>
      <c r="E238" t="s">
        <v>3494</v>
      </c>
      <c r="F238" t="s">
        <v>112</v>
      </c>
      <c r="G238">
        <v>197870</v>
      </c>
    </row>
    <row r="239" spans="1:9" x14ac:dyDescent="0.25">
      <c r="A239" t="str">
        <f t="shared" si="3"/>
        <v>08 TRIPHENYLP 0.18</v>
      </c>
      <c r="B23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t="s">
        <v>3495</v>
      </c>
      <c r="D239" t="s">
        <v>1267</v>
      </c>
      <c r="E239" t="s">
        <v>3496</v>
      </c>
      <c r="F239" t="s">
        <v>112</v>
      </c>
      <c r="G239">
        <v>345559</v>
      </c>
    </row>
    <row r="240" spans="1:9" x14ac:dyDescent="0.25">
      <c r="A240" t="str">
        <f t="shared" si="3"/>
        <v>08 TRIPHENYLP 0.18</v>
      </c>
      <c r="B24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t="s">
        <v>3497</v>
      </c>
      <c r="D240" t="s">
        <v>1222</v>
      </c>
      <c r="E240" t="s">
        <v>3498</v>
      </c>
      <c r="F240" t="s">
        <v>112</v>
      </c>
      <c r="G240">
        <v>291852</v>
      </c>
    </row>
    <row r="241" spans="1:7" x14ac:dyDescent="0.25">
      <c r="A241" t="str">
        <f t="shared" si="3"/>
        <v>08 TRIPHENYLP 0.18</v>
      </c>
      <c r="B24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1" t="s">
        <v>3499</v>
      </c>
      <c r="D241" t="s">
        <v>3500</v>
      </c>
      <c r="E241" t="s">
        <v>3501</v>
      </c>
      <c r="F241" t="s">
        <v>112</v>
      </c>
      <c r="G241">
        <v>225903</v>
      </c>
    </row>
    <row r="242" spans="1:7" x14ac:dyDescent="0.25">
      <c r="A242" t="str">
        <f t="shared" si="3"/>
        <v>08 TRIPHENYLP 0.18</v>
      </c>
      <c r="B24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t="s">
        <v>3502</v>
      </c>
      <c r="D242" t="s">
        <v>824</v>
      </c>
      <c r="E242" t="s">
        <v>3503</v>
      </c>
      <c r="F242" t="s">
        <v>112</v>
      </c>
      <c r="G242">
        <v>101617</v>
      </c>
    </row>
    <row r="243" spans="1:7" x14ac:dyDescent="0.25">
      <c r="A243" t="str">
        <f t="shared" si="3"/>
        <v>08 TRIPHENYLP 0.18</v>
      </c>
      <c r="B24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t="s">
        <v>3504</v>
      </c>
      <c r="D243" t="s">
        <v>1931</v>
      </c>
      <c r="E243" t="s">
        <v>3505</v>
      </c>
      <c r="F243" t="s">
        <v>112</v>
      </c>
      <c r="G243">
        <v>117883</v>
      </c>
    </row>
    <row r="244" spans="1:7" x14ac:dyDescent="0.25">
      <c r="A244" t="str">
        <f t="shared" si="3"/>
        <v>08 TRIPHENYLP 0.18</v>
      </c>
      <c r="B24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4" t="s">
        <v>3506</v>
      </c>
      <c r="D244" t="s">
        <v>3507</v>
      </c>
      <c r="E244" t="s">
        <v>3508</v>
      </c>
      <c r="F244" t="s">
        <v>112</v>
      </c>
      <c r="G244">
        <v>1236797</v>
      </c>
    </row>
    <row r="245" spans="1:7" x14ac:dyDescent="0.25">
      <c r="A245" t="str">
        <f t="shared" si="3"/>
        <v>08 TRIPHENYLP 0.18</v>
      </c>
      <c r="B24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t="s">
        <v>3509</v>
      </c>
      <c r="D245" t="s">
        <v>3510</v>
      </c>
      <c r="E245" t="s">
        <v>3511</v>
      </c>
      <c r="F245" t="s">
        <v>112</v>
      </c>
      <c r="G245">
        <v>984874</v>
      </c>
    </row>
    <row r="246" spans="1:7" x14ac:dyDescent="0.25">
      <c r="A246" t="str">
        <f t="shared" si="3"/>
        <v>08 TRIPHENYLP 0.18</v>
      </c>
      <c r="B24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t="s">
        <v>3512</v>
      </c>
    </row>
    <row r="247" spans="1:7" x14ac:dyDescent="0.25">
      <c r="A247" t="str">
        <f t="shared" si="3"/>
        <v>08 TRIPHENYLP 0.18</v>
      </c>
      <c r="B24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7" t="s">
        <v>3513</v>
      </c>
    </row>
    <row r="248" spans="1:7" x14ac:dyDescent="0.25">
      <c r="A248" t="str">
        <f t="shared" si="3"/>
        <v>08 TRIPHENYLP 0.18</v>
      </c>
      <c r="B24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t="s">
        <v>3514</v>
      </c>
      <c r="D248" t="s">
        <v>778</v>
      </c>
      <c r="E248" t="s">
        <v>3515</v>
      </c>
      <c r="F248" t="s">
        <v>112</v>
      </c>
      <c r="G248">
        <v>568325</v>
      </c>
    </row>
    <row r="249" spans="1:7" x14ac:dyDescent="0.25">
      <c r="A249" t="str">
        <f t="shared" si="3"/>
        <v>08 TRIPHENYLP 0.18</v>
      </c>
      <c r="B24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t="s">
        <v>3516</v>
      </c>
      <c r="D249" t="s">
        <v>3517</v>
      </c>
      <c r="E249" t="s">
        <v>3518</v>
      </c>
      <c r="F249" t="s">
        <v>112</v>
      </c>
      <c r="G249">
        <v>602674</v>
      </c>
    </row>
    <row r="250" spans="1:7" x14ac:dyDescent="0.25">
      <c r="A250" t="str">
        <f t="shared" si="3"/>
        <v>08 TRIPHENYLP 0.18</v>
      </c>
      <c r="B25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0" t="s">
        <v>3519</v>
      </c>
      <c r="D250" t="s">
        <v>276</v>
      </c>
      <c r="E250" t="s">
        <v>3520</v>
      </c>
      <c r="F250" t="s">
        <v>112</v>
      </c>
      <c r="G250">
        <v>702604</v>
      </c>
    </row>
    <row r="251" spans="1:7" x14ac:dyDescent="0.25">
      <c r="A251" t="str">
        <f t="shared" si="3"/>
        <v>08 TRIPHENYLP 0.18</v>
      </c>
      <c r="B25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t="s">
        <v>3521</v>
      </c>
      <c r="D251" t="s">
        <v>3522</v>
      </c>
      <c r="E251" t="s">
        <v>3523</v>
      </c>
      <c r="F251" t="s">
        <v>112</v>
      </c>
      <c r="G251">
        <v>1017124</v>
      </c>
    </row>
    <row r="252" spans="1:7" x14ac:dyDescent="0.25">
      <c r="A252" t="str">
        <f t="shared" si="3"/>
        <v>08 TRIPHENYLP 0.18</v>
      </c>
      <c r="B25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t="s">
        <v>3524</v>
      </c>
      <c r="D252" t="s">
        <v>854</v>
      </c>
      <c r="E252" t="s">
        <v>3525</v>
      </c>
      <c r="F252" t="s">
        <v>112</v>
      </c>
      <c r="G252">
        <v>664708</v>
      </c>
    </row>
    <row r="253" spans="1:7" x14ac:dyDescent="0.25">
      <c r="A253" t="str">
        <f t="shared" si="3"/>
        <v>08 TRIPHENYLP 0.18</v>
      </c>
      <c r="B25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3" t="s">
        <v>3526</v>
      </c>
      <c r="D253" t="s">
        <v>1848</v>
      </c>
      <c r="E253" t="s">
        <v>3527</v>
      </c>
      <c r="F253" t="s">
        <v>112</v>
      </c>
      <c r="G253">
        <v>61083</v>
      </c>
    </row>
    <row r="254" spans="1:7" x14ac:dyDescent="0.25">
      <c r="A254" t="str">
        <f t="shared" si="3"/>
        <v>08 TRIPHENYLP 0.18</v>
      </c>
      <c r="B25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t="s">
        <v>3528</v>
      </c>
      <c r="D254" t="s">
        <v>3529</v>
      </c>
      <c r="E254" t="s">
        <v>3530</v>
      </c>
      <c r="F254" t="s">
        <v>112</v>
      </c>
      <c r="G254">
        <v>30412</v>
      </c>
    </row>
    <row r="255" spans="1:7" x14ac:dyDescent="0.25">
      <c r="A255" t="str">
        <f t="shared" si="3"/>
        <v>08 TRIPHENYLP 0.18</v>
      </c>
      <c r="B25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t="s">
        <v>3531</v>
      </c>
      <c r="D255" t="s">
        <v>692</v>
      </c>
      <c r="E255" t="s">
        <v>3532</v>
      </c>
      <c r="F255" t="s">
        <v>112</v>
      </c>
      <c r="G255">
        <v>26042</v>
      </c>
    </row>
    <row r="256" spans="1:7" x14ac:dyDescent="0.25">
      <c r="A256" t="str">
        <f t="shared" si="3"/>
        <v/>
      </c>
      <c r="B2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6" t="s">
        <v>112</v>
      </c>
    </row>
    <row r="257" spans="1:9" x14ac:dyDescent="0.25">
      <c r="A257" t="str">
        <f t="shared" si="3"/>
        <v/>
      </c>
      <c r="B2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t="s">
        <v>234</v>
      </c>
      <c r="D257" t="s">
        <v>112</v>
      </c>
      <c r="E257" t="s">
        <v>235</v>
      </c>
      <c r="F257" t="s">
        <v>236</v>
      </c>
      <c r="G257" t="s">
        <v>237</v>
      </c>
      <c r="H257" t="s">
        <v>238</v>
      </c>
      <c r="I257" t="s">
        <v>239</v>
      </c>
    </row>
    <row r="258" spans="1:9" x14ac:dyDescent="0.25">
      <c r="A258" t="str">
        <f t="shared" ref="A258:A321" si="4">IFERROR(LEFT(RIGHT(C258,LEN(C258)-SEARCH("@",C258)),SEARCH("/",RIGHT(C258,LEN(C258)-SEARCH("@",C258)-1))),"")</f>
        <v>08 TRIPHENYLP 0.18</v>
      </c>
      <c r="B25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8" t="s">
        <v>3533</v>
      </c>
      <c r="D258" t="s">
        <v>112</v>
      </c>
      <c r="E258" t="s">
        <v>3534</v>
      </c>
      <c r="F258" t="s">
        <v>3535</v>
      </c>
      <c r="G258" t="s">
        <v>3536</v>
      </c>
      <c r="H258" t="s">
        <v>3537</v>
      </c>
      <c r="I258">
        <v>24</v>
      </c>
    </row>
    <row r="259" spans="1:9" x14ac:dyDescent="0.25">
      <c r="A259" t="str">
        <f t="shared" si="4"/>
        <v/>
      </c>
      <c r="B2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9" t="s">
        <v>112</v>
      </c>
    </row>
    <row r="260" spans="1:9" x14ac:dyDescent="0.25">
      <c r="A260" t="str">
        <f t="shared" si="4"/>
        <v/>
      </c>
      <c r="B2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t="s">
        <v>112</v>
      </c>
    </row>
    <row r="261" spans="1:9" x14ac:dyDescent="0.25">
      <c r="A261" t="str">
        <f t="shared" si="4"/>
        <v/>
      </c>
      <c r="B2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t="s">
        <v>112</v>
      </c>
    </row>
    <row r="262" spans="1:9" x14ac:dyDescent="0.25">
      <c r="A262" t="str">
        <f t="shared" si="4"/>
        <v/>
      </c>
      <c r="B2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t="s">
        <v>112</v>
      </c>
    </row>
    <row r="263" spans="1:9" x14ac:dyDescent="0.25">
      <c r="A263" t="str">
        <f t="shared" si="4"/>
        <v/>
      </c>
      <c r="B2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t="s">
        <v>112</v>
      </c>
    </row>
    <row r="264" spans="1:9" x14ac:dyDescent="0.25">
      <c r="A264" t="str">
        <f t="shared" si="4"/>
        <v/>
      </c>
      <c r="B2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t="s">
        <v>246</v>
      </c>
      <c r="D264" t="s">
        <v>110</v>
      </c>
      <c r="E264" t="s">
        <v>111</v>
      </c>
      <c r="F264" t="s">
        <v>112</v>
      </c>
      <c r="G264" t="s">
        <v>113</v>
      </c>
    </row>
    <row r="265" spans="1:9" x14ac:dyDescent="0.25">
      <c r="A265" t="str">
        <f t="shared" si="4"/>
        <v>09 TRIPHENY P 0.26</v>
      </c>
      <c r="B26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5" t="s">
        <v>3538</v>
      </c>
      <c r="D265" t="s">
        <v>2499</v>
      </c>
      <c r="E265" t="s">
        <v>1790</v>
      </c>
      <c r="F265" t="s">
        <v>112</v>
      </c>
      <c r="G265">
        <v>20981</v>
      </c>
    </row>
    <row r="266" spans="1:9" x14ac:dyDescent="0.25">
      <c r="A266" t="str">
        <f t="shared" si="4"/>
        <v>09 TRIPHENY P 0.26</v>
      </c>
      <c r="B26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t="s">
        <v>3539</v>
      </c>
      <c r="D266" t="s">
        <v>3540</v>
      </c>
      <c r="E266" t="s">
        <v>3541</v>
      </c>
      <c r="F266" t="s">
        <v>112</v>
      </c>
      <c r="G266">
        <v>16893</v>
      </c>
    </row>
    <row r="267" spans="1:9" x14ac:dyDescent="0.25">
      <c r="A267" t="str">
        <f t="shared" si="4"/>
        <v>09 TRIPHENY P 0.26</v>
      </c>
      <c r="B26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t="s">
        <v>3542</v>
      </c>
      <c r="D267" t="s">
        <v>3543</v>
      </c>
      <c r="E267" t="s">
        <v>3544</v>
      </c>
      <c r="F267" t="s">
        <v>112</v>
      </c>
      <c r="G267">
        <v>33137</v>
      </c>
    </row>
    <row r="268" spans="1:9" x14ac:dyDescent="0.25">
      <c r="A268" t="str">
        <f t="shared" si="4"/>
        <v>09 TRIPHENY P 0.26</v>
      </c>
      <c r="B26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8" t="s">
        <v>3545</v>
      </c>
      <c r="D268" t="s">
        <v>264</v>
      </c>
      <c r="E268" t="s">
        <v>3546</v>
      </c>
      <c r="F268" t="s">
        <v>112</v>
      </c>
      <c r="G268">
        <v>383909</v>
      </c>
    </row>
    <row r="269" spans="1:9" x14ac:dyDescent="0.25">
      <c r="A269" t="str">
        <f t="shared" si="4"/>
        <v>09 TRIPHENY P 0.26</v>
      </c>
      <c r="B26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t="s">
        <v>3547</v>
      </c>
      <c r="D269" t="s">
        <v>282</v>
      </c>
      <c r="E269" t="s">
        <v>3548</v>
      </c>
      <c r="F269" t="s">
        <v>112</v>
      </c>
      <c r="G269">
        <v>91019</v>
      </c>
    </row>
    <row r="270" spans="1:9" x14ac:dyDescent="0.25">
      <c r="A270" t="str">
        <f t="shared" si="4"/>
        <v>09 TRIPHENY P 0.26</v>
      </c>
      <c r="B27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t="s">
        <v>3549</v>
      </c>
      <c r="D270" t="s">
        <v>336</v>
      </c>
      <c r="E270" t="s">
        <v>3550</v>
      </c>
      <c r="F270" t="s">
        <v>112</v>
      </c>
      <c r="G270">
        <v>144055</v>
      </c>
    </row>
    <row r="271" spans="1:9" x14ac:dyDescent="0.25">
      <c r="A271" t="str">
        <f t="shared" si="4"/>
        <v>09 TRIPHENY P 0.26</v>
      </c>
      <c r="B27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1" t="s">
        <v>3551</v>
      </c>
      <c r="D271" t="s">
        <v>1819</v>
      </c>
      <c r="E271" t="s">
        <v>3552</v>
      </c>
      <c r="F271" t="s">
        <v>112</v>
      </c>
      <c r="G271">
        <v>37939</v>
      </c>
    </row>
    <row r="272" spans="1:9" x14ac:dyDescent="0.25">
      <c r="A272" t="str">
        <f t="shared" si="4"/>
        <v>09 TRIPHENY P 0.26</v>
      </c>
      <c r="B27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t="s">
        <v>3553</v>
      </c>
      <c r="D272" t="s">
        <v>2244</v>
      </c>
      <c r="E272" t="s">
        <v>3554</v>
      </c>
      <c r="F272" t="s">
        <v>112</v>
      </c>
      <c r="G272">
        <v>71898</v>
      </c>
    </row>
    <row r="273" spans="1:7" x14ac:dyDescent="0.25">
      <c r="A273" t="str">
        <f t="shared" si="4"/>
        <v>09 TRIPHENY P 0.26</v>
      </c>
      <c r="B27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t="s">
        <v>3555</v>
      </c>
      <c r="D273" t="s">
        <v>688</v>
      </c>
      <c r="E273" t="s">
        <v>3556</v>
      </c>
      <c r="F273" t="s">
        <v>112</v>
      </c>
      <c r="G273">
        <v>44947</v>
      </c>
    </row>
    <row r="274" spans="1:7" x14ac:dyDescent="0.25">
      <c r="A274" t="str">
        <f t="shared" si="4"/>
        <v>09 TRIPHENY P 0.26</v>
      </c>
      <c r="B27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4" t="s">
        <v>3557</v>
      </c>
      <c r="D274" t="s">
        <v>3558</v>
      </c>
      <c r="E274" t="s">
        <v>3559</v>
      </c>
      <c r="F274" t="s">
        <v>112</v>
      </c>
      <c r="G274">
        <v>440666</v>
      </c>
    </row>
    <row r="275" spans="1:7" x14ac:dyDescent="0.25">
      <c r="A275" t="str">
        <f t="shared" si="4"/>
        <v>09 TRIPHENY P 0.26</v>
      </c>
      <c r="B27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t="s">
        <v>3560</v>
      </c>
      <c r="D275" t="s">
        <v>1711</v>
      </c>
      <c r="E275" t="s">
        <v>765</v>
      </c>
      <c r="F275" t="s">
        <v>112</v>
      </c>
      <c r="G275">
        <v>124372</v>
      </c>
    </row>
    <row r="276" spans="1:7" x14ac:dyDescent="0.25">
      <c r="A276" t="str">
        <f t="shared" si="4"/>
        <v>09 TRIPHENY P 0.26</v>
      </c>
      <c r="B27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t="s">
        <v>3561</v>
      </c>
      <c r="D276" t="s">
        <v>3562</v>
      </c>
      <c r="E276" t="s">
        <v>3563</v>
      </c>
      <c r="F276" t="s">
        <v>112</v>
      </c>
      <c r="G276">
        <v>464199</v>
      </c>
    </row>
    <row r="277" spans="1:7" x14ac:dyDescent="0.25">
      <c r="A277" t="str">
        <f t="shared" si="4"/>
        <v>09 TRIPHENY P 0.26</v>
      </c>
      <c r="B27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7" t="s">
        <v>3564</v>
      </c>
      <c r="D277" t="s">
        <v>3565</v>
      </c>
      <c r="E277" t="s">
        <v>3566</v>
      </c>
      <c r="F277" t="s">
        <v>112</v>
      </c>
      <c r="G277">
        <v>605767</v>
      </c>
    </row>
    <row r="278" spans="1:7" x14ac:dyDescent="0.25">
      <c r="A278" t="str">
        <f t="shared" si="4"/>
        <v>09 TRIPHENY P 0.26</v>
      </c>
      <c r="B27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t="s">
        <v>3567</v>
      </c>
    </row>
    <row r="279" spans="1:7" x14ac:dyDescent="0.25">
      <c r="A279" t="str">
        <f t="shared" si="4"/>
        <v>09 TRIPHENY P 0.26</v>
      </c>
      <c r="B27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t="s">
        <v>3568</v>
      </c>
      <c r="D279" t="s">
        <v>574</v>
      </c>
      <c r="E279" t="s">
        <v>3569</v>
      </c>
      <c r="F279" t="s">
        <v>112</v>
      </c>
      <c r="G279">
        <v>584981</v>
      </c>
    </row>
    <row r="280" spans="1:7" x14ac:dyDescent="0.25">
      <c r="A280" t="str">
        <f t="shared" si="4"/>
        <v>09 TRIPHENY P 0.26</v>
      </c>
      <c r="B28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0" t="s">
        <v>3570</v>
      </c>
      <c r="D280" t="s">
        <v>3571</v>
      </c>
      <c r="E280" t="s">
        <v>3572</v>
      </c>
      <c r="F280" t="s">
        <v>112</v>
      </c>
      <c r="G280">
        <v>155779</v>
      </c>
    </row>
    <row r="281" spans="1:7" x14ac:dyDescent="0.25">
      <c r="A281" t="str">
        <f t="shared" si="4"/>
        <v>09 TRIPHENY P 0.26</v>
      </c>
      <c r="B28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t="s">
        <v>3573</v>
      </c>
      <c r="D281" t="s">
        <v>3574</v>
      </c>
      <c r="E281" t="s">
        <v>3575</v>
      </c>
      <c r="F281" t="s">
        <v>112</v>
      </c>
      <c r="G281">
        <v>385856</v>
      </c>
    </row>
    <row r="282" spans="1:7" x14ac:dyDescent="0.25">
      <c r="A282" t="str">
        <f t="shared" si="4"/>
        <v>09 TRIPHENY P 0.26</v>
      </c>
      <c r="B28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t="s">
        <v>3576</v>
      </c>
    </row>
    <row r="283" spans="1:7" x14ac:dyDescent="0.25">
      <c r="A283" t="str">
        <f t="shared" si="4"/>
        <v>09 TRIPHENY P 0.26</v>
      </c>
      <c r="B28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3" t="s">
        <v>3577</v>
      </c>
      <c r="D283" t="s">
        <v>3578</v>
      </c>
      <c r="E283" t="s">
        <v>3579</v>
      </c>
      <c r="F283" t="s">
        <v>112</v>
      </c>
      <c r="G283">
        <v>170963</v>
      </c>
    </row>
    <row r="284" spans="1:7" x14ac:dyDescent="0.25">
      <c r="A284" t="str">
        <f t="shared" si="4"/>
        <v>09 TRIPHENY P 0.26</v>
      </c>
      <c r="B28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t="s">
        <v>3580</v>
      </c>
      <c r="D284" t="s">
        <v>3128</v>
      </c>
      <c r="E284" t="s">
        <v>3581</v>
      </c>
      <c r="F284" t="s">
        <v>112</v>
      </c>
      <c r="G284">
        <v>96729</v>
      </c>
    </row>
    <row r="285" spans="1:7" x14ac:dyDescent="0.25">
      <c r="A285" t="str">
        <f t="shared" si="4"/>
        <v>09 TRIPHENY P 0.26</v>
      </c>
      <c r="B28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t="s">
        <v>3582</v>
      </c>
      <c r="D285" t="s">
        <v>3583</v>
      </c>
      <c r="E285" t="s">
        <v>3584</v>
      </c>
      <c r="F285" t="s">
        <v>112</v>
      </c>
      <c r="G285">
        <v>49554</v>
      </c>
    </row>
    <row r="286" spans="1:7" x14ac:dyDescent="0.25">
      <c r="A286" t="str">
        <f t="shared" si="4"/>
        <v>09 TRIPHENY P 0.26</v>
      </c>
      <c r="B28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6" t="s">
        <v>3585</v>
      </c>
      <c r="D286" t="s">
        <v>3586</v>
      </c>
      <c r="E286" t="s">
        <v>3587</v>
      </c>
      <c r="F286" t="s">
        <v>112</v>
      </c>
      <c r="G286">
        <v>322394</v>
      </c>
    </row>
    <row r="287" spans="1:7" x14ac:dyDescent="0.25">
      <c r="A287" t="str">
        <f t="shared" si="4"/>
        <v>09 TRIPHENY P 0.26</v>
      </c>
      <c r="B28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t="s">
        <v>3588</v>
      </c>
      <c r="D287" t="s">
        <v>3589</v>
      </c>
      <c r="E287" t="s">
        <v>3590</v>
      </c>
      <c r="F287" t="s">
        <v>112</v>
      </c>
      <c r="G287">
        <v>285839</v>
      </c>
    </row>
    <row r="288" spans="1:7" x14ac:dyDescent="0.25">
      <c r="A288" t="str">
        <f t="shared" si="4"/>
        <v>09 TRIPHENY P 0.26</v>
      </c>
      <c r="B28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t="s">
        <v>3591</v>
      </c>
      <c r="D288" t="s">
        <v>490</v>
      </c>
      <c r="E288" t="s">
        <v>3592</v>
      </c>
      <c r="F288" t="s">
        <v>112</v>
      </c>
      <c r="G288">
        <v>218895</v>
      </c>
    </row>
    <row r="289" spans="1:9" x14ac:dyDescent="0.25">
      <c r="A289" t="str">
        <f t="shared" si="4"/>
        <v/>
      </c>
      <c r="B2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9" t="s">
        <v>112</v>
      </c>
    </row>
    <row r="290" spans="1:9" x14ac:dyDescent="0.25">
      <c r="A290" t="str">
        <f t="shared" si="4"/>
        <v/>
      </c>
      <c r="B2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t="s">
        <v>234</v>
      </c>
      <c r="D290" t="s">
        <v>112</v>
      </c>
      <c r="E290" t="s">
        <v>235</v>
      </c>
      <c r="F290" t="s">
        <v>236</v>
      </c>
      <c r="G290" t="s">
        <v>237</v>
      </c>
      <c r="H290" t="s">
        <v>238</v>
      </c>
      <c r="I290" t="s">
        <v>239</v>
      </c>
    </row>
    <row r="291" spans="1:9" x14ac:dyDescent="0.25">
      <c r="A291" t="str">
        <f t="shared" si="4"/>
        <v>09 TRIPHENY P 0.26</v>
      </c>
      <c r="B29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1" t="s">
        <v>3593</v>
      </c>
      <c r="D291" t="s">
        <v>112</v>
      </c>
      <c r="E291" t="s">
        <v>3594</v>
      </c>
      <c r="F291" t="s">
        <v>3595</v>
      </c>
      <c r="G291" t="s">
        <v>3596</v>
      </c>
      <c r="H291" t="s">
        <v>3597</v>
      </c>
      <c r="I291">
        <v>24</v>
      </c>
    </row>
    <row r="292" spans="1:9" x14ac:dyDescent="0.25">
      <c r="A292" t="str">
        <f t="shared" si="4"/>
        <v/>
      </c>
      <c r="B2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2" t="s">
        <v>112</v>
      </c>
    </row>
    <row r="293" spans="1:9" x14ac:dyDescent="0.25">
      <c r="A293" t="str">
        <f t="shared" si="4"/>
        <v/>
      </c>
      <c r="B2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t="s">
        <v>112</v>
      </c>
    </row>
    <row r="294" spans="1:9" x14ac:dyDescent="0.25">
      <c r="A294" t="str">
        <f t="shared" si="4"/>
        <v/>
      </c>
      <c r="B2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t="s">
        <v>112</v>
      </c>
    </row>
    <row r="295" spans="1:9" x14ac:dyDescent="0.25">
      <c r="A295" t="str">
        <f t="shared" si="4"/>
        <v/>
      </c>
      <c r="B2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t="s">
        <v>112</v>
      </c>
    </row>
    <row r="296" spans="1:9" x14ac:dyDescent="0.25">
      <c r="A296" t="str">
        <f t="shared" si="4"/>
        <v/>
      </c>
      <c r="B2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t="s">
        <v>112</v>
      </c>
    </row>
    <row r="297" spans="1:9" x14ac:dyDescent="0.25">
      <c r="A297" t="str">
        <f t="shared" si="4"/>
        <v/>
      </c>
      <c r="B2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t="s">
        <v>246</v>
      </c>
      <c r="D297" t="s">
        <v>110</v>
      </c>
      <c r="E297" t="s">
        <v>111</v>
      </c>
      <c r="F297" t="s">
        <v>112</v>
      </c>
      <c r="G297" t="s">
        <v>113</v>
      </c>
    </row>
    <row r="298" spans="1:9" x14ac:dyDescent="0.25">
      <c r="A298" t="str">
        <f t="shared" si="4"/>
        <v>10 TRIPHENYLP 0.4</v>
      </c>
      <c r="B29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8" t="s">
        <v>3598</v>
      </c>
      <c r="D298" t="s">
        <v>857</v>
      </c>
      <c r="E298" t="s">
        <v>3599</v>
      </c>
      <c r="F298" t="s">
        <v>112</v>
      </c>
      <c r="G298">
        <v>524179</v>
      </c>
    </row>
    <row r="299" spans="1:9" x14ac:dyDescent="0.25">
      <c r="A299" t="str">
        <f t="shared" si="4"/>
        <v>10 TRIPHENYLP 0.4</v>
      </c>
      <c r="B29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t="s">
        <v>3600</v>
      </c>
    </row>
    <row r="300" spans="1:9" x14ac:dyDescent="0.25">
      <c r="A300" t="str">
        <f t="shared" si="4"/>
        <v>10 TRIPHENYLP 0.4</v>
      </c>
      <c r="B30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t="s">
        <v>3601</v>
      </c>
    </row>
    <row r="301" spans="1:9" x14ac:dyDescent="0.25">
      <c r="A301" t="str">
        <f t="shared" si="4"/>
        <v>10 TRIPHENYLP 0.4</v>
      </c>
      <c r="B30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1" t="s">
        <v>3602</v>
      </c>
      <c r="D301" t="s">
        <v>804</v>
      </c>
      <c r="E301" t="s">
        <v>3603</v>
      </c>
      <c r="F301" t="s">
        <v>112</v>
      </c>
      <c r="G301">
        <v>237129</v>
      </c>
    </row>
    <row r="302" spans="1:9" x14ac:dyDescent="0.25">
      <c r="A302" t="str">
        <f t="shared" si="4"/>
        <v>10 TRIPHENYLP 0.4</v>
      </c>
      <c r="B30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t="s">
        <v>3604</v>
      </c>
      <c r="D302" t="s">
        <v>2665</v>
      </c>
      <c r="E302" t="s">
        <v>3605</v>
      </c>
      <c r="F302" t="s">
        <v>112</v>
      </c>
      <c r="G302">
        <v>325573</v>
      </c>
    </row>
    <row r="303" spans="1:9" x14ac:dyDescent="0.25">
      <c r="A303" t="str">
        <f t="shared" si="4"/>
        <v>10 TRIPHENYLP 0.4</v>
      </c>
      <c r="B30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t="s">
        <v>3606</v>
      </c>
      <c r="D303" t="s">
        <v>3607</v>
      </c>
      <c r="E303" t="s">
        <v>3608</v>
      </c>
      <c r="F303" t="s">
        <v>112</v>
      </c>
      <c r="G303">
        <v>230942</v>
      </c>
    </row>
    <row r="304" spans="1:9" x14ac:dyDescent="0.25">
      <c r="A304" t="str">
        <f t="shared" si="4"/>
        <v>10 TRIPHENYLP 0.4</v>
      </c>
      <c r="B30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4" t="s">
        <v>3609</v>
      </c>
      <c r="D304" t="s">
        <v>3610</v>
      </c>
      <c r="E304" t="s">
        <v>3611</v>
      </c>
      <c r="F304" t="s">
        <v>112</v>
      </c>
      <c r="G304">
        <v>396800</v>
      </c>
    </row>
    <row r="305" spans="1:7" x14ac:dyDescent="0.25">
      <c r="A305" t="str">
        <f t="shared" si="4"/>
        <v>10 TRIPHENYLP 0.4</v>
      </c>
      <c r="B30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t="s">
        <v>3612</v>
      </c>
      <c r="D305" t="s">
        <v>3613</v>
      </c>
      <c r="E305" t="s">
        <v>3614</v>
      </c>
      <c r="F305" t="s">
        <v>112</v>
      </c>
      <c r="G305">
        <v>696807</v>
      </c>
    </row>
    <row r="306" spans="1:7" x14ac:dyDescent="0.25">
      <c r="A306" t="str">
        <f t="shared" si="4"/>
        <v>10 TRIPHENYLP 0.4</v>
      </c>
      <c r="B30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t="s">
        <v>3615</v>
      </c>
      <c r="D306" t="s">
        <v>3616</v>
      </c>
      <c r="E306" t="s">
        <v>3617</v>
      </c>
      <c r="F306" t="s">
        <v>112</v>
      </c>
      <c r="G306">
        <v>959589</v>
      </c>
    </row>
    <row r="307" spans="1:7" x14ac:dyDescent="0.25">
      <c r="A307" t="str">
        <f t="shared" si="4"/>
        <v>10 TRIPHENYLP 0.4</v>
      </c>
      <c r="B30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7" t="s">
        <v>3618</v>
      </c>
      <c r="D307" t="s">
        <v>3619</v>
      </c>
      <c r="E307" t="s">
        <v>3620</v>
      </c>
      <c r="F307" t="s">
        <v>112</v>
      </c>
      <c r="G307">
        <v>562745</v>
      </c>
    </row>
    <row r="308" spans="1:7" x14ac:dyDescent="0.25">
      <c r="A308" t="str">
        <f t="shared" si="4"/>
        <v>10 TRIPHENYLP 0.4</v>
      </c>
      <c r="B30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t="s">
        <v>3621</v>
      </c>
      <c r="D308" t="s">
        <v>3622</v>
      </c>
      <c r="E308" t="s">
        <v>3623</v>
      </c>
      <c r="F308" t="s">
        <v>112</v>
      </c>
      <c r="G308">
        <v>627851</v>
      </c>
    </row>
    <row r="309" spans="1:7" x14ac:dyDescent="0.25">
      <c r="A309" t="str">
        <f t="shared" si="4"/>
        <v>10 TRIPHENYLP 0.4</v>
      </c>
      <c r="B30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t="s">
        <v>3624</v>
      </c>
      <c r="D309" t="s">
        <v>3625</v>
      </c>
      <c r="E309" t="s">
        <v>3626</v>
      </c>
      <c r="F309" t="s">
        <v>112</v>
      </c>
      <c r="G309">
        <v>516024</v>
      </c>
    </row>
    <row r="310" spans="1:7" x14ac:dyDescent="0.25">
      <c r="A310" t="str">
        <f t="shared" si="4"/>
        <v>10 TRIPHENYLP 0.4</v>
      </c>
      <c r="B31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0" t="s">
        <v>3627</v>
      </c>
      <c r="D310" t="s">
        <v>267</v>
      </c>
      <c r="E310" t="s">
        <v>3628</v>
      </c>
      <c r="F310" t="s">
        <v>112</v>
      </c>
      <c r="G310">
        <v>111437</v>
      </c>
    </row>
    <row r="311" spans="1:7" x14ac:dyDescent="0.25">
      <c r="A311" t="str">
        <f t="shared" si="4"/>
        <v>10 TRIPHENYLP 0.4</v>
      </c>
      <c r="B31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t="s">
        <v>3629</v>
      </c>
      <c r="D311" t="s">
        <v>3132</v>
      </c>
      <c r="E311" t="s">
        <v>3630</v>
      </c>
      <c r="F311" t="s">
        <v>112</v>
      </c>
      <c r="G311">
        <v>167177</v>
      </c>
    </row>
    <row r="312" spans="1:7" x14ac:dyDescent="0.25">
      <c r="A312" t="str">
        <f t="shared" si="4"/>
        <v>10 TRIPHENYLP 0.4</v>
      </c>
      <c r="B31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t="s">
        <v>3631</v>
      </c>
      <c r="D312" t="s">
        <v>2324</v>
      </c>
      <c r="E312" t="s">
        <v>3632</v>
      </c>
      <c r="F312" t="s">
        <v>112</v>
      </c>
      <c r="G312">
        <v>294664</v>
      </c>
    </row>
    <row r="313" spans="1:7" x14ac:dyDescent="0.25">
      <c r="A313" t="str">
        <f t="shared" si="4"/>
        <v>10 TRIPHENYLP 0.4</v>
      </c>
      <c r="B31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3" t="s">
        <v>3633</v>
      </c>
      <c r="D313" t="s">
        <v>1708</v>
      </c>
      <c r="E313" t="s">
        <v>3634</v>
      </c>
      <c r="F313" t="s">
        <v>112</v>
      </c>
      <c r="G313">
        <v>161489</v>
      </c>
    </row>
    <row r="314" spans="1:7" x14ac:dyDescent="0.25">
      <c r="A314" t="str">
        <f t="shared" si="4"/>
        <v>10 TRIPHENYLP 0.4</v>
      </c>
      <c r="B31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t="s">
        <v>3635</v>
      </c>
      <c r="D314" t="s">
        <v>3636</v>
      </c>
      <c r="E314" t="s">
        <v>3637</v>
      </c>
      <c r="F314" t="s">
        <v>112</v>
      </c>
      <c r="G314">
        <v>387889</v>
      </c>
    </row>
    <row r="315" spans="1:7" x14ac:dyDescent="0.25">
      <c r="A315" t="str">
        <f t="shared" si="4"/>
        <v>10 TRIPHENYLP 0.4</v>
      </c>
      <c r="B31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t="s">
        <v>3638</v>
      </c>
      <c r="D315" t="s">
        <v>1874</v>
      </c>
      <c r="E315" t="s">
        <v>3639</v>
      </c>
      <c r="F315" t="s">
        <v>112</v>
      </c>
      <c r="G315">
        <v>759858</v>
      </c>
    </row>
    <row r="316" spans="1:7" x14ac:dyDescent="0.25">
      <c r="A316" t="str">
        <f t="shared" si="4"/>
        <v>10 TRIPHENYLP 0.4</v>
      </c>
      <c r="B31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6" t="s">
        <v>3640</v>
      </c>
      <c r="D316" t="s">
        <v>3641</v>
      </c>
      <c r="E316" t="s">
        <v>3642</v>
      </c>
      <c r="F316" t="s">
        <v>112</v>
      </c>
      <c r="G316">
        <v>1291521</v>
      </c>
    </row>
    <row r="317" spans="1:7" x14ac:dyDescent="0.25">
      <c r="A317" t="str">
        <f t="shared" si="4"/>
        <v>10 TRIPHENYLP 0.4</v>
      </c>
      <c r="B31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t="s">
        <v>3643</v>
      </c>
      <c r="D317" t="s">
        <v>3644</v>
      </c>
      <c r="E317" t="s">
        <v>3645</v>
      </c>
      <c r="F317" t="s">
        <v>112</v>
      </c>
      <c r="G317">
        <v>1073773</v>
      </c>
    </row>
    <row r="318" spans="1:7" x14ac:dyDescent="0.25">
      <c r="A318" t="str">
        <f t="shared" si="4"/>
        <v>10 TRIPHENYLP 0.4</v>
      </c>
      <c r="B31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t="s">
        <v>3646</v>
      </c>
      <c r="D318" t="s">
        <v>848</v>
      </c>
      <c r="E318" t="s">
        <v>3647</v>
      </c>
      <c r="F318" t="s">
        <v>112</v>
      </c>
      <c r="G318">
        <v>1215146</v>
      </c>
    </row>
    <row r="319" spans="1:7" x14ac:dyDescent="0.25">
      <c r="A319" t="str">
        <f t="shared" si="4"/>
        <v>10 TRIPHENYLP 0.4</v>
      </c>
      <c r="B31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19" t="s">
        <v>3648</v>
      </c>
      <c r="D319" t="s">
        <v>3649</v>
      </c>
      <c r="E319" t="s">
        <v>3650</v>
      </c>
      <c r="F319" t="s">
        <v>112</v>
      </c>
      <c r="G319">
        <v>368941</v>
      </c>
    </row>
    <row r="320" spans="1:7" x14ac:dyDescent="0.25">
      <c r="A320" t="str">
        <f t="shared" si="4"/>
        <v>10 TRIPHENYLP 0.4</v>
      </c>
      <c r="B32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t="s">
        <v>3651</v>
      </c>
      <c r="D320" t="s">
        <v>435</v>
      </c>
      <c r="E320" t="s">
        <v>3652</v>
      </c>
      <c r="F320" t="s">
        <v>112</v>
      </c>
      <c r="G320">
        <v>194236</v>
      </c>
    </row>
    <row r="321" spans="1:9" x14ac:dyDescent="0.25">
      <c r="A321" t="str">
        <f t="shared" si="4"/>
        <v>10 TRIPHENYLP 0.4</v>
      </c>
      <c r="B32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t="s">
        <v>3653</v>
      </c>
      <c r="D321" t="s">
        <v>3654</v>
      </c>
      <c r="E321" t="s">
        <v>3655</v>
      </c>
      <c r="F321" t="s">
        <v>112</v>
      </c>
      <c r="G321">
        <v>149614</v>
      </c>
    </row>
    <row r="322" spans="1:9" x14ac:dyDescent="0.25">
      <c r="A322" t="str">
        <f t="shared" ref="A322:A385" si="5">IFERROR(LEFT(RIGHT(C322,LEN(C322)-SEARCH("@",C322)),SEARCH("/",RIGHT(C322,LEN(C322)-SEARCH("@",C322)-1))),"")</f>
        <v/>
      </c>
      <c r="B3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2" t="s">
        <v>112</v>
      </c>
    </row>
    <row r="323" spans="1:9" x14ac:dyDescent="0.25">
      <c r="A323" t="str">
        <f t="shared" si="5"/>
        <v/>
      </c>
      <c r="B3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t="s">
        <v>234</v>
      </c>
      <c r="D323" t="s">
        <v>112</v>
      </c>
      <c r="E323" t="s">
        <v>235</v>
      </c>
      <c r="F323" t="s">
        <v>236</v>
      </c>
      <c r="G323" t="s">
        <v>237</v>
      </c>
      <c r="H323" t="s">
        <v>238</v>
      </c>
      <c r="I323" t="s">
        <v>239</v>
      </c>
    </row>
    <row r="324" spans="1:9" x14ac:dyDescent="0.25">
      <c r="A324" t="str">
        <f t="shared" si="5"/>
        <v>10 TRIPHENYLP 0.4</v>
      </c>
      <c r="B32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4" t="s">
        <v>3656</v>
      </c>
      <c r="D324" t="s">
        <v>112</v>
      </c>
      <c r="E324" t="s">
        <v>414</v>
      </c>
      <c r="F324" t="s">
        <v>3657</v>
      </c>
      <c r="G324">
        <v>506436</v>
      </c>
      <c r="H324" t="s">
        <v>3658</v>
      </c>
      <c r="I324">
        <v>24</v>
      </c>
    </row>
    <row r="325" spans="1:9" x14ac:dyDescent="0.25">
      <c r="A325" t="str">
        <f t="shared" si="5"/>
        <v/>
      </c>
      <c r="B3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t="s">
        <v>112</v>
      </c>
    </row>
    <row r="326" spans="1:9" x14ac:dyDescent="0.25">
      <c r="A326" t="str">
        <f t="shared" si="5"/>
        <v/>
      </c>
      <c r="B3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t="s">
        <v>112</v>
      </c>
    </row>
    <row r="327" spans="1:9" x14ac:dyDescent="0.25">
      <c r="A327" t="str">
        <f t="shared" si="5"/>
        <v/>
      </c>
      <c r="B3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t="s">
        <v>112</v>
      </c>
    </row>
    <row r="328" spans="1:9" x14ac:dyDescent="0.25">
      <c r="A328" t="str">
        <f t="shared" si="5"/>
        <v/>
      </c>
      <c r="B3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t="s">
        <v>112</v>
      </c>
    </row>
    <row r="329" spans="1:9" x14ac:dyDescent="0.25">
      <c r="A329" t="str">
        <f t="shared" si="5"/>
        <v/>
      </c>
      <c r="B3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t="s">
        <v>112</v>
      </c>
    </row>
    <row r="330" spans="1:9" x14ac:dyDescent="0.25">
      <c r="A330" t="str">
        <f t="shared" si="5"/>
        <v/>
      </c>
      <c r="B3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t="s">
        <v>246</v>
      </c>
      <c r="D330" t="s">
        <v>110</v>
      </c>
      <c r="E330" t="s">
        <v>111</v>
      </c>
      <c r="F330" t="s">
        <v>112</v>
      </c>
      <c r="G330" t="s">
        <v>113</v>
      </c>
    </row>
    <row r="331" spans="1:9" x14ac:dyDescent="0.25">
      <c r="A331" t="str">
        <f t="shared" si="5"/>
        <v>11 TRIPHENYLP 0.59</v>
      </c>
      <c r="B33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1" t="s">
        <v>3659</v>
      </c>
    </row>
    <row r="332" spans="1:9" x14ac:dyDescent="0.25">
      <c r="A332" t="str">
        <f t="shared" si="5"/>
        <v>11 TRIPHENYLP 0.59</v>
      </c>
      <c r="B33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t="s">
        <v>3660</v>
      </c>
      <c r="D332" t="s">
        <v>251</v>
      </c>
      <c r="E332" t="s">
        <v>3661</v>
      </c>
      <c r="F332" t="s">
        <v>112</v>
      </c>
      <c r="G332">
        <v>473976</v>
      </c>
    </row>
    <row r="333" spans="1:9" x14ac:dyDescent="0.25">
      <c r="A333" t="str">
        <f t="shared" si="5"/>
        <v>11 TRIPHENYLP 0.59</v>
      </c>
      <c r="B33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t="s">
        <v>3662</v>
      </c>
    </row>
    <row r="334" spans="1:9" x14ac:dyDescent="0.25">
      <c r="A334" t="str">
        <f t="shared" si="5"/>
        <v>11 TRIPHENYLP 0.59</v>
      </c>
      <c r="B33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4" t="s">
        <v>3663</v>
      </c>
      <c r="D334" t="s">
        <v>3664</v>
      </c>
      <c r="E334" t="s">
        <v>3665</v>
      </c>
      <c r="F334" t="s">
        <v>112</v>
      </c>
      <c r="G334">
        <v>1353015</v>
      </c>
    </row>
    <row r="335" spans="1:9" x14ac:dyDescent="0.25">
      <c r="A335" t="str">
        <f t="shared" si="5"/>
        <v>11 TRIPHENYLP 0.59</v>
      </c>
      <c r="B33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t="s">
        <v>3666</v>
      </c>
      <c r="D335" t="s">
        <v>3667</v>
      </c>
      <c r="E335" t="s">
        <v>3668</v>
      </c>
      <c r="F335" t="s">
        <v>112</v>
      </c>
      <c r="G335">
        <v>1884332</v>
      </c>
    </row>
    <row r="336" spans="1:9" x14ac:dyDescent="0.25">
      <c r="A336" t="str">
        <f t="shared" si="5"/>
        <v>11 TRIPHENYLP 0.59</v>
      </c>
      <c r="B33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t="s">
        <v>3669</v>
      </c>
      <c r="D336" t="s">
        <v>905</v>
      </c>
      <c r="E336" t="s">
        <v>3670</v>
      </c>
      <c r="F336" t="s">
        <v>112</v>
      </c>
      <c r="G336">
        <v>1110890</v>
      </c>
    </row>
    <row r="337" spans="1:7" x14ac:dyDescent="0.25">
      <c r="A337" t="str">
        <f t="shared" si="5"/>
        <v>11 TRIPHENYLP 0.59</v>
      </c>
      <c r="B33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7" t="s">
        <v>3671</v>
      </c>
      <c r="D337" t="s">
        <v>902</v>
      </c>
      <c r="E337" t="s">
        <v>3672</v>
      </c>
      <c r="F337" t="s">
        <v>112</v>
      </c>
      <c r="G337">
        <v>739267</v>
      </c>
    </row>
    <row r="338" spans="1:7" x14ac:dyDescent="0.25">
      <c r="A338" t="str">
        <f t="shared" si="5"/>
        <v>11 TRIPHENYLP 0.59</v>
      </c>
      <c r="B33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t="s">
        <v>3673</v>
      </c>
      <c r="D338" t="s">
        <v>789</v>
      </c>
      <c r="E338" t="s">
        <v>3674</v>
      </c>
      <c r="F338" t="s">
        <v>112</v>
      </c>
      <c r="G338">
        <v>1240691</v>
      </c>
    </row>
    <row r="339" spans="1:7" x14ac:dyDescent="0.25">
      <c r="A339" t="str">
        <f t="shared" si="5"/>
        <v>11 TRIPHENYLP 0.59</v>
      </c>
      <c r="B33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t="s">
        <v>3675</v>
      </c>
      <c r="D339" t="s">
        <v>937</v>
      </c>
      <c r="E339" t="s">
        <v>3676</v>
      </c>
      <c r="F339" t="s">
        <v>112</v>
      </c>
      <c r="G339">
        <v>1311053</v>
      </c>
    </row>
    <row r="340" spans="1:7" x14ac:dyDescent="0.25">
      <c r="A340" t="str">
        <f t="shared" si="5"/>
        <v>11 TRIPHENYLP 0.59</v>
      </c>
      <c r="B34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0" t="s">
        <v>3677</v>
      </c>
    </row>
    <row r="341" spans="1:7" x14ac:dyDescent="0.25">
      <c r="A341" t="str">
        <f t="shared" si="5"/>
        <v>11 TRIPHENYLP 0.59</v>
      </c>
      <c r="B34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t="s">
        <v>3678</v>
      </c>
      <c r="D341" t="s">
        <v>3679</v>
      </c>
      <c r="E341" t="s">
        <v>3680</v>
      </c>
      <c r="F341" t="s">
        <v>112</v>
      </c>
      <c r="G341">
        <v>2446211</v>
      </c>
    </row>
    <row r="342" spans="1:7" x14ac:dyDescent="0.25">
      <c r="A342" t="str">
        <f t="shared" si="5"/>
        <v>11 TRIPHENYLP 0.59</v>
      </c>
      <c r="B34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t="s">
        <v>3681</v>
      </c>
      <c r="D342" t="s">
        <v>2409</v>
      </c>
      <c r="E342" t="s">
        <v>3682</v>
      </c>
      <c r="F342" t="s">
        <v>112</v>
      </c>
      <c r="G342">
        <v>2463515</v>
      </c>
    </row>
    <row r="343" spans="1:7" x14ac:dyDescent="0.25">
      <c r="A343" t="str">
        <f t="shared" si="5"/>
        <v>11 TRIPHENYLP 0.59</v>
      </c>
      <c r="B34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3" t="s">
        <v>3683</v>
      </c>
      <c r="D343" t="s">
        <v>3684</v>
      </c>
      <c r="E343" t="s">
        <v>3685</v>
      </c>
      <c r="F343" t="s">
        <v>112</v>
      </c>
      <c r="G343">
        <v>1167582</v>
      </c>
    </row>
    <row r="344" spans="1:7" x14ac:dyDescent="0.25">
      <c r="A344" t="str">
        <f t="shared" si="5"/>
        <v>11 TRIPHENYLP 0.59</v>
      </c>
      <c r="B34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t="s">
        <v>3686</v>
      </c>
      <c r="D344" t="s">
        <v>3687</v>
      </c>
      <c r="E344" t="s">
        <v>3688</v>
      </c>
      <c r="F344" t="s">
        <v>112</v>
      </c>
      <c r="G344">
        <v>1678610</v>
      </c>
    </row>
    <row r="345" spans="1:7" x14ac:dyDescent="0.25">
      <c r="A345" t="str">
        <f t="shared" si="5"/>
        <v>11 TRIPHENYLP 0.59</v>
      </c>
      <c r="B34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t="s">
        <v>3689</v>
      </c>
      <c r="D345" t="s">
        <v>3690</v>
      </c>
      <c r="E345" t="s">
        <v>3691</v>
      </c>
      <c r="F345" t="s">
        <v>112</v>
      </c>
      <c r="G345">
        <v>1962999</v>
      </c>
    </row>
    <row r="346" spans="1:7" x14ac:dyDescent="0.25">
      <c r="A346" t="str">
        <f t="shared" si="5"/>
        <v>11 TRIPHENYLP 0.59</v>
      </c>
      <c r="B34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6" t="s">
        <v>3692</v>
      </c>
    </row>
    <row r="347" spans="1:7" x14ac:dyDescent="0.25">
      <c r="A347" t="str">
        <f t="shared" si="5"/>
        <v>11 TRIPHENYLP 0.59</v>
      </c>
      <c r="B34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t="s">
        <v>3693</v>
      </c>
      <c r="D347" t="s">
        <v>3694</v>
      </c>
      <c r="E347" t="s">
        <v>3695</v>
      </c>
      <c r="F347" t="s">
        <v>112</v>
      </c>
      <c r="G347">
        <v>1431207</v>
      </c>
    </row>
    <row r="348" spans="1:7" x14ac:dyDescent="0.25">
      <c r="A348" t="str">
        <f t="shared" si="5"/>
        <v>11 TRIPHENYLP 0.59</v>
      </c>
      <c r="B34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t="s">
        <v>3696</v>
      </c>
      <c r="D348" t="s">
        <v>3697</v>
      </c>
      <c r="E348" t="s">
        <v>3698</v>
      </c>
      <c r="F348" t="s">
        <v>112</v>
      </c>
      <c r="G348">
        <v>1860322</v>
      </c>
    </row>
    <row r="349" spans="1:7" x14ac:dyDescent="0.25">
      <c r="A349" t="str">
        <f t="shared" si="5"/>
        <v>11 TRIPHENYLP 0.59</v>
      </c>
      <c r="B34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49" t="s">
        <v>3699</v>
      </c>
    </row>
    <row r="350" spans="1:7" x14ac:dyDescent="0.25">
      <c r="A350" t="str">
        <f t="shared" si="5"/>
        <v>11 TRIPHENYLP 0.59</v>
      </c>
      <c r="B35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t="s">
        <v>3700</v>
      </c>
      <c r="D350" t="s">
        <v>3244</v>
      </c>
      <c r="E350" t="s">
        <v>3701</v>
      </c>
      <c r="F350" t="s">
        <v>112</v>
      </c>
      <c r="G350">
        <v>796607</v>
      </c>
    </row>
    <row r="351" spans="1:7" x14ac:dyDescent="0.25">
      <c r="A351" t="str">
        <f t="shared" si="5"/>
        <v>11 TRIPHENYLP 0.59</v>
      </c>
      <c r="B35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t="s">
        <v>3702</v>
      </c>
      <c r="D351" t="s">
        <v>3703</v>
      </c>
      <c r="E351" t="s">
        <v>3704</v>
      </c>
      <c r="F351" t="s">
        <v>112</v>
      </c>
      <c r="G351">
        <v>956063</v>
      </c>
    </row>
    <row r="352" spans="1:7" x14ac:dyDescent="0.25">
      <c r="A352" t="str">
        <f t="shared" si="5"/>
        <v>11 TRIPHENYLP 0.59</v>
      </c>
      <c r="B35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2" t="s">
        <v>3705</v>
      </c>
      <c r="D352" t="s">
        <v>3706</v>
      </c>
      <c r="E352" t="s">
        <v>3707</v>
      </c>
      <c r="F352" t="s">
        <v>112</v>
      </c>
      <c r="G352">
        <v>1776333</v>
      </c>
    </row>
    <row r="353" spans="1:9" x14ac:dyDescent="0.25">
      <c r="A353" t="str">
        <f t="shared" si="5"/>
        <v>11 TRIPHENYLP 0.59</v>
      </c>
      <c r="B35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t="s">
        <v>3708</v>
      </c>
      <c r="D353" t="s">
        <v>2557</v>
      </c>
      <c r="E353" t="s">
        <v>3709</v>
      </c>
      <c r="F353" t="s">
        <v>112</v>
      </c>
      <c r="G353">
        <v>1879378</v>
      </c>
    </row>
    <row r="354" spans="1:9" x14ac:dyDescent="0.25">
      <c r="A354" t="str">
        <f t="shared" si="5"/>
        <v>11 TRIPHENYLP 0.59</v>
      </c>
      <c r="B35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t="s">
        <v>3710</v>
      </c>
      <c r="D354" t="s">
        <v>3711</v>
      </c>
      <c r="E354" t="s">
        <v>3712</v>
      </c>
      <c r="F354" t="s">
        <v>112</v>
      </c>
      <c r="G354">
        <v>1783255</v>
      </c>
    </row>
    <row r="355" spans="1:9" x14ac:dyDescent="0.25">
      <c r="A355" t="str">
        <f t="shared" si="5"/>
        <v/>
      </c>
      <c r="B3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5" t="s">
        <v>112</v>
      </c>
    </row>
    <row r="356" spans="1:9" x14ac:dyDescent="0.25">
      <c r="A356" t="str">
        <f t="shared" si="5"/>
        <v/>
      </c>
      <c r="B3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t="s">
        <v>234</v>
      </c>
      <c r="D356" t="s">
        <v>112</v>
      </c>
      <c r="E356" t="s">
        <v>235</v>
      </c>
      <c r="F356" t="s">
        <v>236</v>
      </c>
      <c r="G356" t="s">
        <v>237</v>
      </c>
      <c r="H356" t="s">
        <v>238</v>
      </c>
      <c r="I356" t="s">
        <v>239</v>
      </c>
    </row>
    <row r="357" spans="1:9" x14ac:dyDescent="0.25">
      <c r="A357" t="str">
        <f t="shared" si="5"/>
        <v>11 TRIPHENYLP 0.59</v>
      </c>
      <c r="B35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7" t="s">
        <v>3713</v>
      </c>
      <c r="D357" t="s">
        <v>112</v>
      </c>
      <c r="E357" t="s">
        <v>3714</v>
      </c>
      <c r="F357" t="s">
        <v>3715</v>
      </c>
      <c r="G357" t="s">
        <v>3716</v>
      </c>
      <c r="H357" t="s">
        <v>3717</v>
      </c>
      <c r="I357">
        <v>24</v>
      </c>
    </row>
    <row r="358" spans="1:9" x14ac:dyDescent="0.25">
      <c r="A358" t="str">
        <f t="shared" si="5"/>
        <v/>
      </c>
      <c r="B3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8" t="s">
        <v>112</v>
      </c>
    </row>
    <row r="359" spans="1:9" x14ac:dyDescent="0.25">
      <c r="A359" t="str">
        <f t="shared" si="5"/>
        <v/>
      </c>
      <c r="B3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t="s">
        <v>112</v>
      </c>
    </row>
    <row r="360" spans="1:9" x14ac:dyDescent="0.25">
      <c r="A360" t="str">
        <f t="shared" si="5"/>
        <v/>
      </c>
      <c r="B3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t="s">
        <v>112</v>
      </c>
    </row>
    <row r="361" spans="1:9" x14ac:dyDescent="0.25">
      <c r="A361" t="str">
        <f t="shared" si="5"/>
        <v/>
      </c>
      <c r="B3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t="s">
        <v>112</v>
      </c>
    </row>
    <row r="362" spans="1:9" x14ac:dyDescent="0.25">
      <c r="A362" t="str">
        <f t="shared" si="5"/>
        <v/>
      </c>
      <c r="B3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t="s">
        <v>112</v>
      </c>
    </row>
    <row r="363" spans="1:9" x14ac:dyDescent="0.25">
      <c r="A363" t="str">
        <f t="shared" si="5"/>
        <v/>
      </c>
      <c r="B3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t="s">
        <v>246</v>
      </c>
      <c r="D363" t="s">
        <v>110</v>
      </c>
      <c r="E363" t="s">
        <v>111</v>
      </c>
      <c r="F363" t="s">
        <v>112</v>
      </c>
      <c r="G363" t="s">
        <v>113</v>
      </c>
    </row>
    <row r="364" spans="1:9" x14ac:dyDescent="0.25">
      <c r="A364" t="str">
        <f t="shared" si="5"/>
        <v>12 TRIPHENYLP 0.89</v>
      </c>
      <c r="B36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4" t="s">
        <v>3718</v>
      </c>
    </row>
    <row r="365" spans="1:9" x14ac:dyDescent="0.25">
      <c r="A365" t="str">
        <f t="shared" si="5"/>
        <v>12 TRIPHENYLP 0.89</v>
      </c>
      <c r="B36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t="s">
        <v>3719</v>
      </c>
      <c r="D365" t="s">
        <v>1200</v>
      </c>
      <c r="E365" t="s">
        <v>3720</v>
      </c>
      <c r="F365" t="s">
        <v>112</v>
      </c>
      <c r="G365">
        <v>3150827</v>
      </c>
    </row>
    <row r="366" spans="1:9" x14ac:dyDescent="0.25">
      <c r="A366" t="str">
        <f t="shared" si="5"/>
        <v>12 TRIPHENYLP 0.89</v>
      </c>
      <c r="B36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t="s">
        <v>3721</v>
      </c>
      <c r="D366" t="s">
        <v>3722</v>
      </c>
      <c r="E366" t="s">
        <v>3723</v>
      </c>
      <c r="F366" t="s">
        <v>112</v>
      </c>
      <c r="G366">
        <v>2746780</v>
      </c>
    </row>
    <row r="367" spans="1:9" x14ac:dyDescent="0.25">
      <c r="A367" t="str">
        <f t="shared" si="5"/>
        <v>12 TRIPHENYLP 0.89</v>
      </c>
      <c r="B36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7" t="s">
        <v>3724</v>
      </c>
      <c r="D367" t="s">
        <v>282</v>
      </c>
      <c r="E367" t="s">
        <v>3725</v>
      </c>
      <c r="F367" t="s">
        <v>112</v>
      </c>
      <c r="G367">
        <v>89699</v>
      </c>
    </row>
    <row r="368" spans="1:9" x14ac:dyDescent="0.25">
      <c r="A368" t="str">
        <f t="shared" si="5"/>
        <v>12 TRIPHENYLP 0.89</v>
      </c>
      <c r="B36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t="s">
        <v>3726</v>
      </c>
      <c r="D368" t="s">
        <v>3482</v>
      </c>
      <c r="E368" t="s">
        <v>3727</v>
      </c>
      <c r="F368" t="s">
        <v>112</v>
      </c>
      <c r="G368">
        <v>142779</v>
      </c>
    </row>
    <row r="369" spans="1:7" x14ac:dyDescent="0.25">
      <c r="A369" t="str">
        <f t="shared" si="5"/>
        <v>12 TRIPHENYLP 0.89</v>
      </c>
      <c r="B36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t="s">
        <v>3728</v>
      </c>
      <c r="D369" t="s">
        <v>3729</v>
      </c>
      <c r="E369" t="s">
        <v>3730</v>
      </c>
      <c r="F369" t="s">
        <v>112</v>
      </c>
      <c r="G369">
        <v>978363</v>
      </c>
    </row>
    <row r="370" spans="1:7" x14ac:dyDescent="0.25">
      <c r="A370" t="str">
        <f t="shared" si="5"/>
        <v>12 TRIPHENYLP 0.89</v>
      </c>
      <c r="B37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0" t="s">
        <v>3731</v>
      </c>
      <c r="D370" t="s">
        <v>3732</v>
      </c>
      <c r="E370" t="s">
        <v>3733</v>
      </c>
      <c r="F370" t="s">
        <v>112</v>
      </c>
      <c r="G370">
        <v>3873092</v>
      </c>
    </row>
    <row r="371" spans="1:7" x14ac:dyDescent="0.25">
      <c r="A371" t="str">
        <f t="shared" si="5"/>
        <v>12 TRIPHENYLP 0.89</v>
      </c>
      <c r="B37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t="s">
        <v>3734</v>
      </c>
      <c r="D371" t="s">
        <v>3735</v>
      </c>
      <c r="E371" t="s">
        <v>3736</v>
      </c>
      <c r="F371" t="s">
        <v>112</v>
      </c>
      <c r="G371">
        <v>3139969</v>
      </c>
    </row>
    <row r="372" spans="1:7" x14ac:dyDescent="0.25">
      <c r="A372" t="str">
        <f t="shared" si="5"/>
        <v>12 TRIPHENYLP 0.89</v>
      </c>
      <c r="B37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t="s">
        <v>3737</v>
      </c>
      <c r="D372" t="s">
        <v>3738</v>
      </c>
      <c r="E372" t="s">
        <v>3739</v>
      </c>
      <c r="F372" t="s">
        <v>112</v>
      </c>
      <c r="G372">
        <v>3270181</v>
      </c>
    </row>
    <row r="373" spans="1:7" x14ac:dyDescent="0.25">
      <c r="A373" t="str">
        <f t="shared" si="5"/>
        <v>12 TRIPHENYLP 0.89</v>
      </c>
      <c r="B37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3" t="s">
        <v>3740</v>
      </c>
      <c r="D373" t="s">
        <v>921</v>
      </c>
      <c r="E373" t="s">
        <v>3741</v>
      </c>
      <c r="F373" t="s">
        <v>112</v>
      </c>
      <c r="G373">
        <v>2042489</v>
      </c>
    </row>
    <row r="374" spans="1:7" x14ac:dyDescent="0.25">
      <c r="A374" t="str">
        <f t="shared" si="5"/>
        <v>12 TRIPHENYLP 0.89</v>
      </c>
      <c r="B37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t="s">
        <v>3742</v>
      </c>
      <c r="D374" t="s">
        <v>3743</v>
      </c>
      <c r="E374" t="s">
        <v>3744</v>
      </c>
      <c r="F374" t="s">
        <v>112</v>
      </c>
      <c r="G374">
        <v>1762858</v>
      </c>
    </row>
    <row r="375" spans="1:7" x14ac:dyDescent="0.25">
      <c r="A375" t="str">
        <f t="shared" si="5"/>
        <v>12 TRIPHENYLP 0.89</v>
      </c>
      <c r="B37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t="s">
        <v>3745</v>
      </c>
      <c r="D375" t="s">
        <v>3746</v>
      </c>
      <c r="E375" t="s">
        <v>3747</v>
      </c>
      <c r="F375" t="s">
        <v>112</v>
      </c>
      <c r="G375">
        <v>1552161</v>
      </c>
    </row>
    <row r="376" spans="1:7" x14ac:dyDescent="0.25">
      <c r="A376" t="str">
        <f t="shared" si="5"/>
        <v>12 TRIPHENYLP 0.89</v>
      </c>
      <c r="B37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6" t="s">
        <v>3748</v>
      </c>
    </row>
    <row r="377" spans="1:7" x14ac:dyDescent="0.25">
      <c r="A377" t="str">
        <f t="shared" si="5"/>
        <v>12 TRIPHENYLP 0.89</v>
      </c>
      <c r="B37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t="s">
        <v>3749</v>
      </c>
    </row>
    <row r="378" spans="1:7" x14ac:dyDescent="0.25">
      <c r="A378" t="str">
        <f t="shared" si="5"/>
        <v>12 TRIPHENYLP 0.89</v>
      </c>
      <c r="B37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t="s">
        <v>3750</v>
      </c>
    </row>
    <row r="379" spans="1:7" x14ac:dyDescent="0.25">
      <c r="A379" t="str">
        <f t="shared" si="5"/>
        <v>12 TRIPHENYLP 0.89</v>
      </c>
      <c r="B37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79" t="s">
        <v>3751</v>
      </c>
      <c r="D379" t="s">
        <v>1308</v>
      </c>
      <c r="E379" t="s">
        <v>3752</v>
      </c>
      <c r="F379" t="s">
        <v>112</v>
      </c>
      <c r="G379">
        <v>4438995</v>
      </c>
    </row>
    <row r="380" spans="1:7" x14ac:dyDescent="0.25">
      <c r="A380" t="str">
        <f t="shared" si="5"/>
        <v>12 TRIPHENYLP 0.89</v>
      </c>
      <c r="B38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t="s">
        <v>3753</v>
      </c>
    </row>
    <row r="381" spans="1:7" x14ac:dyDescent="0.25">
      <c r="A381" t="str">
        <f t="shared" si="5"/>
        <v>12 TRIPHENYLP 0.89</v>
      </c>
      <c r="B38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t="s">
        <v>3754</v>
      </c>
      <c r="D381" t="s">
        <v>3755</v>
      </c>
      <c r="E381" t="s">
        <v>3756</v>
      </c>
      <c r="F381" t="s">
        <v>112</v>
      </c>
      <c r="G381">
        <v>4648892</v>
      </c>
    </row>
    <row r="382" spans="1:7" x14ac:dyDescent="0.25">
      <c r="A382" t="str">
        <f t="shared" si="5"/>
        <v>12 TRIPHENYLP 0.89</v>
      </c>
      <c r="B38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2" t="s">
        <v>3757</v>
      </c>
    </row>
    <row r="383" spans="1:7" x14ac:dyDescent="0.25">
      <c r="A383" t="str">
        <f t="shared" si="5"/>
        <v>12 TRIPHENYLP 0.89</v>
      </c>
      <c r="B38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t="s">
        <v>3758</v>
      </c>
    </row>
    <row r="384" spans="1:7" x14ac:dyDescent="0.25">
      <c r="A384" t="str">
        <f t="shared" si="5"/>
        <v>12 TRIPHENYLP 0.89</v>
      </c>
      <c r="B38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t="s">
        <v>3759</v>
      </c>
    </row>
    <row r="385" spans="1:9" x14ac:dyDescent="0.25">
      <c r="A385" t="str">
        <f t="shared" si="5"/>
        <v>12 TRIPHENYLP 0.89</v>
      </c>
      <c r="B38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5" t="s">
        <v>3760</v>
      </c>
    </row>
    <row r="386" spans="1:9" x14ac:dyDescent="0.25">
      <c r="A386" t="str">
        <f t="shared" ref="A386:A449" si="6">IFERROR(LEFT(RIGHT(C386,LEN(C386)-SEARCH("@",C386)),SEARCH("/",RIGHT(C386,LEN(C386)-SEARCH("@",C386)-1))),"")</f>
        <v>12 TRIPHENYLP 0.89</v>
      </c>
      <c r="B38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t="s">
        <v>3761</v>
      </c>
      <c r="D386" t="s">
        <v>3762</v>
      </c>
      <c r="E386" t="s">
        <v>3763</v>
      </c>
      <c r="F386" t="s">
        <v>112</v>
      </c>
      <c r="G386">
        <v>2226300</v>
      </c>
    </row>
    <row r="387" spans="1:9" x14ac:dyDescent="0.25">
      <c r="A387" t="str">
        <f t="shared" si="6"/>
        <v>12 TRIPHENYLP 0.89</v>
      </c>
      <c r="B38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t="s">
        <v>3764</v>
      </c>
      <c r="D387" t="s">
        <v>2806</v>
      </c>
      <c r="E387" t="s">
        <v>3765</v>
      </c>
      <c r="F387" t="s">
        <v>112</v>
      </c>
      <c r="G387">
        <v>2378856</v>
      </c>
    </row>
    <row r="388" spans="1:9" x14ac:dyDescent="0.25">
      <c r="A388" t="str">
        <f t="shared" si="6"/>
        <v/>
      </c>
      <c r="B3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8" t="s">
        <v>112</v>
      </c>
    </row>
    <row r="389" spans="1:9" x14ac:dyDescent="0.25">
      <c r="A389" t="str">
        <f t="shared" si="6"/>
        <v/>
      </c>
      <c r="B3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t="s">
        <v>234</v>
      </c>
      <c r="D389" t="s">
        <v>112</v>
      </c>
      <c r="E389" t="s">
        <v>235</v>
      </c>
      <c r="F389" t="s">
        <v>236</v>
      </c>
      <c r="G389" t="s">
        <v>237</v>
      </c>
      <c r="H389" t="s">
        <v>238</v>
      </c>
      <c r="I389" t="s">
        <v>239</v>
      </c>
    </row>
    <row r="390" spans="1:9" x14ac:dyDescent="0.25">
      <c r="A390" t="str">
        <f t="shared" si="6"/>
        <v>12 TRIPHENYLP 0.89</v>
      </c>
      <c r="B39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0" t="s">
        <v>3766</v>
      </c>
      <c r="D390" t="s">
        <v>112</v>
      </c>
      <c r="E390" t="s">
        <v>3767</v>
      </c>
      <c r="F390" t="s">
        <v>3768</v>
      </c>
      <c r="G390" t="s">
        <v>3769</v>
      </c>
      <c r="H390" t="s">
        <v>3770</v>
      </c>
      <c r="I390">
        <v>24</v>
      </c>
    </row>
    <row r="391" spans="1:9" x14ac:dyDescent="0.25">
      <c r="A391" t="str">
        <f t="shared" si="6"/>
        <v/>
      </c>
      <c r="B3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1" t="s">
        <v>112</v>
      </c>
    </row>
    <row r="392" spans="1:9" x14ac:dyDescent="0.25">
      <c r="A392" t="str">
        <f t="shared" si="6"/>
        <v/>
      </c>
      <c r="B3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t="s">
        <v>112</v>
      </c>
    </row>
    <row r="393" spans="1:9" x14ac:dyDescent="0.25">
      <c r="A393" t="str">
        <f t="shared" si="6"/>
        <v/>
      </c>
      <c r="B3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t="s">
        <v>112</v>
      </c>
    </row>
    <row r="394" spans="1:9" x14ac:dyDescent="0.25">
      <c r="A394" t="str">
        <f t="shared" si="6"/>
        <v/>
      </c>
      <c r="B3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t="s">
        <v>112</v>
      </c>
    </row>
    <row r="395" spans="1:9" x14ac:dyDescent="0.25">
      <c r="A395" t="str">
        <f t="shared" si="6"/>
        <v/>
      </c>
      <c r="B3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t="s">
        <v>112</v>
      </c>
    </row>
    <row r="396" spans="1:9" x14ac:dyDescent="0.25">
      <c r="A396" t="str">
        <f t="shared" si="6"/>
        <v/>
      </c>
      <c r="B3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t="s">
        <v>246</v>
      </c>
      <c r="D396" t="s">
        <v>110</v>
      </c>
      <c r="E396" t="s">
        <v>111</v>
      </c>
      <c r="F396" t="s">
        <v>112</v>
      </c>
      <c r="G396" t="s">
        <v>113</v>
      </c>
    </row>
    <row r="397" spans="1:9" x14ac:dyDescent="0.25">
      <c r="A397" t="str">
        <f t="shared" si="6"/>
        <v>13 TESTO</v>
      </c>
      <c r="B39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7" t="s">
        <v>3771</v>
      </c>
      <c r="D397" t="s">
        <v>3772</v>
      </c>
      <c r="E397" t="s">
        <v>3773</v>
      </c>
      <c r="F397" t="s">
        <v>112</v>
      </c>
      <c r="G397">
        <v>3624089</v>
      </c>
    </row>
    <row r="398" spans="1:9" x14ac:dyDescent="0.25">
      <c r="A398" t="str">
        <f t="shared" si="6"/>
        <v>13 TESTO</v>
      </c>
      <c r="B39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t="s">
        <v>3774</v>
      </c>
      <c r="D398" t="s">
        <v>2406</v>
      </c>
      <c r="E398" t="s">
        <v>3775</v>
      </c>
      <c r="F398" t="s">
        <v>112</v>
      </c>
      <c r="G398">
        <v>3395958</v>
      </c>
    </row>
    <row r="399" spans="1:9" x14ac:dyDescent="0.25">
      <c r="A399" t="str">
        <f t="shared" si="6"/>
        <v>13 TESTO</v>
      </c>
      <c r="B39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t="s">
        <v>3776</v>
      </c>
    </row>
    <row r="400" spans="1:9" x14ac:dyDescent="0.25">
      <c r="A400" t="str">
        <f t="shared" si="6"/>
        <v>13 TESTO</v>
      </c>
      <c r="B40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0" t="s">
        <v>3777</v>
      </c>
      <c r="D400" t="s">
        <v>1988</v>
      </c>
      <c r="E400" t="s">
        <v>3778</v>
      </c>
      <c r="F400" t="s">
        <v>112</v>
      </c>
      <c r="G400">
        <v>3237995</v>
      </c>
    </row>
    <row r="401" spans="1:7" x14ac:dyDescent="0.25">
      <c r="A401" t="str">
        <f t="shared" si="6"/>
        <v>13 TESTO</v>
      </c>
      <c r="B40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t="s">
        <v>3779</v>
      </c>
      <c r="D401" t="s">
        <v>3780</v>
      </c>
      <c r="E401" t="s">
        <v>3781</v>
      </c>
      <c r="F401" t="s">
        <v>112</v>
      </c>
      <c r="G401">
        <v>3723262</v>
      </c>
    </row>
    <row r="402" spans="1:7" x14ac:dyDescent="0.25">
      <c r="A402" t="str">
        <f t="shared" si="6"/>
        <v>13 TESTO</v>
      </c>
      <c r="B40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t="s">
        <v>3782</v>
      </c>
      <c r="D402" t="s">
        <v>586</v>
      </c>
      <c r="E402" t="s">
        <v>3783</v>
      </c>
      <c r="F402" t="s">
        <v>112</v>
      </c>
      <c r="G402">
        <v>3245047</v>
      </c>
    </row>
    <row r="403" spans="1:7" x14ac:dyDescent="0.25">
      <c r="A403" t="str">
        <f t="shared" si="6"/>
        <v>13 TESTO</v>
      </c>
      <c r="B40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3" t="s">
        <v>3784</v>
      </c>
      <c r="D403" t="s">
        <v>3785</v>
      </c>
      <c r="E403" t="s">
        <v>3786</v>
      </c>
      <c r="F403" t="s">
        <v>112</v>
      </c>
      <c r="G403">
        <v>1925082</v>
      </c>
    </row>
    <row r="404" spans="1:7" x14ac:dyDescent="0.25">
      <c r="A404" t="str">
        <f t="shared" si="6"/>
        <v>13 TESTO</v>
      </c>
      <c r="B40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t="s">
        <v>3787</v>
      </c>
      <c r="D404" t="s">
        <v>3788</v>
      </c>
      <c r="E404" t="s">
        <v>3789</v>
      </c>
      <c r="F404" t="s">
        <v>112</v>
      </c>
      <c r="G404">
        <v>2271723</v>
      </c>
    </row>
    <row r="405" spans="1:7" x14ac:dyDescent="0.25">
      <c r="A405" t="str">
        <f t="shared" si="6"/>
        <v>13 TESTO</v>
      </c>
      <c r="B40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t="s">
        <v>3790</v>
      </c>
      <c r="D405" t="s">
        <v>3791</v>
      </c>
      <c r="E405" t="s">
        <v>3792</v>
      </c>
      <c r="F405" t="s">
        <v>112</v>
      </c>
      <c r="G405">
        <v>2149730</v>
      </c>
    </row>
    <row r="406" spans="1:7" x14ac:dyDescent="0.25">
      <c r="A406" t="str">
        <f t="shared" si="6"/>
        <v>13 TESTO</v>
      </c>
      <c r="B40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6" t="s">
        <v>3793</v>
      </c>
      <c r="D406" t="s">
        <v>3017</v>
      </c>
      <c r="E406" t="s">
        <v>3794</v>
      </c>
      <c r="F406" t="s">
        <v>112</v>
      </c>
      <c r="G406">
        <v>4555234</v>
      </c>
    </row>
    <row r="407" spans="1:7" x14ac:dyDescent="0.25">
      <c r="A407" t="str">
        <f t="shared" si="6"/>
        <v>13 TESTO</v>
      </c>
      <c r="B40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t="s">
        <v>3795</v>
      </c>
      <c r="D407" t="s">
        <v>3796</v>
      </c>
      <c r="E407" t="s">
        <v>3797</v>
      </c>
      <c r="F407" t="s">
        <v>112</v>
      </c>
      <c r="G407">
        <v>4471916</v>
      </c>
    </row>
    <row r="408" spans="1:7" x14ac:dyDescent="0.25">
      <c r="A408" t="str">
        <f t="shared" si="6"/>
        <v>13 TESTO</v>
      </c>
      <c r="B40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t="s">
        <v>3798</v>
      </c>
      <c r="D408" t="s">
        <v>3799</v>
      </c>
      <c r="E408" t="s">
        <v>3800</v>
      </c>
      <c r="F408" t="s">
        <v>112</v>
      </c>
      <c r="G408">
        <v>3901752</v>
      </c>
    </row>
    <row r="409" spans="1:7" x14ac:dyDescent="0.25">
      <c r="A409" t="str">
        <f t="shared" si="6"/>
        <v>13 TESTO</v>
      </c>
      <c r="B40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09" t="s">
        <v>3801</v>
      </c>
      <c r="D409" t="s">
        <v>3802</v>
      </c>
      <c r="E409" t="s">
        <v>3803</v>
      </c>
      <c r="F409" t="s">
        <v>112</v>
      </c>
      <c r="G409">
        <v>3532919</v>
      </c>
    </row>
    <row r="410" spans="1:7" x14ac:dyDescent="0.25">
      <c r="A410" t="str">
        <f t="shared" si="6"/>
        <v>13 TESTO</v>
      </c>
      <c r="B41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t="s">
        <v>3804</v>
      </c>
      <c r="D410" t="s">
        <v>3805</v>
      </c>
      <c r="E410" t="s">
        <v>3806</v>
      </c>
      <c r="F410" t="s">
        <v>112</v>
      </c>
      <c r="G410">
        <v>3158376</v>
      </c>
    </row>
    <row r="411" spans="1:7" x14ac:dyDescent="0.25">
      <c r="A411" t="str">
        <f t="shared" si="6"/>
        <v>13 TESTO</v>
      </c>
      <c r="B41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t="s">
        <v>3807</v>
      </c>
    </row>
    <row r="412" spans="1:7" x14ac:dyDescent="0.25">
      <c r="A412" t="str">
        <f t="shared" si="6"/>
        <v>13 TESTO</v>
      </c>
      <c r="B41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2" t="s">
        <v>3808</v>
      </c>
      <c r="D412" t="s">
        <v>3809</v>
      </c>
      <c r="E412" t="s">
        <v>3810</v>
      </c>
      <c r="F412" t="s">
        <v>112</v>
      </c>
      <c r="G412">
        <v>1483508</v>
      </c>
    </row>
    <row r="413" spans="1:7" x14ac:dyDescent="0.25">
      <c r="A413" t="str">
        <f t="shared" si="6"/>
        <v>13 TESTO</v>
      </c>
      <c r="B41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t="s">
        <v>3811</v>
      </c>
      <c r="D413" t="s">
        <v>3812</v>
      </c>
      <c r="E413" t="s">
        <v>3813</v>
      </c>
      <c r="F413" t="s">
        <v>112</v>
      </c>
      <c r="G413">
        <v>1834431</v>
      </c>
    </row>
    <row r="414" spans="1:7" x14ac:dyDescent="0.25">
      <c r="A414" t="str">
        <f t="shared" si="6"/>
        <v>13 TESTO</v>
      </c>
      <c r="B41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t="s">
        <v>3814</v>
      </c>
      <c r="D414" t="s">
        <v>2392</v>
      </c>
      <c r="E414" t="s">
        <v>3815</v>
      </c>
      <c r="F414" t="s">
        <v>112</v>
      </c>
      <c r="G414">
        <v>1743348</v>
      </c>
    </row>
    <row r="415" spans="1:7" x14ac:dyDescent="0.25">
      <c r="A415" t="str">
        <f t="shared" si="6"/>
        <v>13 TESTO</v>
      </c>
      <c r="B41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5" t="s">
        <v>3816</v>
      </c>
      <c r="D415" t="s">
        <v>3817</v>
      </c>
      <c r="E415" t="s">
        <v>3818</v>
      </c>
      <c r="F415" t="s">
        <v>112</v>
      </c>
      <c r="G415">
        <v>2133594</v>
      </c>
    </row>
    <row r="416" spans="1:7" x14ac:dyDescent="0.25">
      <c r="A416" t="str">
        <f t="shared" si="6"/>
        <v>13 TESTO</v>
      </c>
      <c r="B41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t="s">
        <v>3819</v>
      </c>
      <c r="D416" t="s">
        <v>3820</v>
      </c>
      <c r="E416" t="s">
        <v>3821</v>
      </c>
      <c r="F416" t="s">
        <v>112</v>
      </c>
      <c r="G416">
        <v>2437192</v>
      </c>
    </row>
    <row r="417" spans="1:9" x14ac:dyDescent="0.25">
      <c r="A417" t="str">
        <f t="shared" si="6"/>
        <v>13 TESTO</v>
      </c>
      <c r="B41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t="s">
        <v>3822</v>
      </c>
      <c r="D417" t="s">
        <v>3690</v>
      </c>
      <c r="E417" t="s">
        <v>3823</v>
      </c>
      <c r="F417" t="s">
        <v>112</v>
      </c>
      <c r="G417">
        <v>1969121</v>
      </c>
    </row>
    <row r="418" spans="1:9" x14ac:dyDescent="0.25">
      <c r="A418" t="str">
        <f t="shared" si="6"/>
        <v>13 TESTO</v>
      </c>
      <c r="B41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8" t="s">
        <v>3824</v>
      </c>
      <c r="D418" t="s">
        <v>499</v>
      </c>
      <c r="E418" t="s">
        <v>3825</v>
      </c>
      <c r="F418" t="s">
        <v>112</v>
      </c>
      <c r="G418">
        <v>2253402</v>
      </c>
    </row>
    <row r="419" spans="1:9" x14ac:dyDescent="0.25">
      <c r="A419" t="str">
        <f t="shared" si="6"/>
        <v>13 TESTO</v>
      </c>
      <c r="B41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t="s">
        <v>3826</v>
      </c>
      <c r="D419" t="s">
        <v>3827</v>
      </c>
      <c r="E419" t="s">
        <v>3828</v>
      </c>
      <c r="F419" t="s">
        <v>112</v>
      </c>
      <c r="G419">
        <v>1882277</v>
      </c>
    </row>
    <row r="420" spans="1:9" x14ac:dyDescent="0.25">
      <c r="A420" t="str">
        <f t="shared" si="6"/>
        <v>13 TESTO</v>
      </c>
      <c r="B42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t="s">
        <v>3829</v>
      </c>
      <c r="D420" t="s">
        <v>3830</v>
      </c>
      <c r="E420" t="s">
        <v>3831</v>
      </c>
      <c r="F420" t="s">
        <v>112</v>
      </c>
      <c r="G420">
        <v>2346260</v>
      </c>
    </row>
    <row r="421" spans="1:9" x14ac:dyDescent="0.25">
      <c r="A421" t="str">
        <f t="shared" si="6"/>
        <v/>
      </c>
      <c r="B4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1" t="s">
        <v>112</v>
      </c>
    </row>
    <row r="422" spans="1:9" x14ac:dyDescent="0.25">
      <c r="A422" t="str">
        <f t="shared" si="6"/>
        <v/>
      </c>
      <c r="B4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t="s">
        <v>234</v>
      </c>
      <c r="D422" t="s">
        <v>112</v>
      </c>
      <c r="E422" t="s">
        <v>235</v>
      </c>
      <c r="F422" t="s">
        <v>236</v>
      </c>
      <c r="G422" t="s">
        <v>237</v>
      </c>
      <c r="H422" t="s">
        <v>238</v>
      </c>
      <c r="I422" t="s">
        <v>239</v>
      </c>
    </row>
    <row r="423" spans="1:9" x14ac:dyDescent="0.25">
      <c r="A423" t="str">
        <f t="shared" si="6"/>
        <v>13 TESTO</v>
      </c>
      <c r="B42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3" t="s">
        <v>3832</v>
      </c>
      <c r="D423" t="s">
        <v>112</v>
      </c>
      <c r="E423" t="s">
        <v>3833</v>
      </c>
      <c r="F423" t="s">
        <v>3834</v>
      </c>
      <c r="G423" t="s">
        <v>3835</v>
      </c>
      <c r="H423" t="s">
        <v>3836</v>
      </c>
      <c r="I423">
        <v>24</v>
      </c>
    </row>
    <row r="424" spans="1:9" x14ac:dyDescent="0.25">
      <c r="A424" t="str">
        <f t="shared" si="6"/>
        <v/>
      </c>
      <c r="B4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4" t="s">
        <v>112</v>
      </c>
    </row>
    <row r="425" spans="1:9" x14ac:dyDescent="0.25">
      <c r="A425" t="str">
        <f t="shared" si="6"/>
        <v/>
      </c>
      <c r="B4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t="s">
        <v>112</v>
      </c>
    </row>
    <row r="426" spans="1:9" x14ac:dyDescent="0.25">
      <c r="A426" t="str">
        <f t="shared" si="6"/>
        <v/>
      </c>
      <c r="B4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t="s">
        <v>112</v>
      </c>
    </row>
    <row r="427" spans="1:9" x14ac:dyDescent="0.25">
      <c r="A427" t="str">
        <f t="shared" si="6"/>
        <v/>
      </c>
      <c r="B4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t="s">
        <v>112</v>
      </c>
    </row>
    <row r="428" spans="1:9" x14ac:dyDescent="0.25">
      <c r="A428" t="str">
        <f t="shared" si="6"/>
        <v/>
      </c>
      <c r="B4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t="s">
        <v>112</v>
      </c>
    </row>
    <row r="429" spans="1:9" x14ac:dyDescent="0.25">
      <c r="A429" t="str">
        <f t="shared" si="6"/>
        <v/>
      </c>
      <c r="B4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t="s">
        <v>246</v>
      </c>
      <c r="D429" t="s">
        <v>110</v>
      </c>
      <c r="E429" t="s">
        <v>111</v>
      </c>
      <c r="F429" t="s">
        <v>112</v>
      </c>
      <c r="G429" t="s">
        <v>113</v>
      </c>
    </row>
    <row r="430" spans="1:9" x14ac:dyDescent="0.25">
      <c r="A430" t="str">
        <f t="shared" si="6"/>
        <v>14 TESTO</v>
      </c>
      <c r="B43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0" t="s">
        <v>3837</v>
      </c>
      <c r="D430" t="s">
        <v>3838</v>
      </c>
      <c r="E430" t="s">
        <v>3839</v>
      </c>
      <c r="F430" t="s">
        <v>112</v>
      </c>
      <c r="G430">
        <v>1059281</v>
      </c>
    </row>
    <row r="431" spans="1:9" x14ac:dyDescent="0.25">
      <c r="A431" t="str">
        <f t="shared" si="6"/>
        <v>14 TESTO</v>
      </c>
      <c r="B43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t="s">
        <v>3840</v>
      </c>
      <c r="D431" t="s">
        <v>3841</v>
      </c>
      <c r="E431" t="s">
        <v>3842</v>
      </c>
      <c r="F431" t="s">
        <v>112</v>
      </c>
      <c r="G431">
        <v>989373</v>
      </c>
    </row>
    <row r="432" spans="1:9" x14ac:dyDescent="0.25">
      <c r="A432" t="str">
        <f t="shared" si="6"/>
        <v>14 TESTO</v>
      </c>
      <c r="B43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t="s">
        <v>3843</v>
      </c>
      <c r="D432" t="s">
        <v>3314</v>
      </c>
      <c r="E432" t="s">
        <v>3844</v>
      </c>
      <c r="F432" t="s">
        <v>112</v>
      </c>
      <c r="G432">
        <v>1067089</v>
      </c>
    </row>
    <row r="433" spans="1:7" x14ac:dyDescent="0.25">
      <c r="A433" t="str">
        <f t="shared" si="6"/>
        <v>14 TESTO</v>
      </c>
      <c r="B43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3" t="s">
        <v>3845</v>
      </c>
    </row>
    <row r="434" spans="1:7" x14ac:dyDescent="0.25">
      <c r="A434" t="str">
        <f t="shared" si="6"/>
        <v>14 TESTO</v>
      </c>
      <c r="B43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t="s">
        <v>3846</v>
      </c>
      <c r="D434" t="s">
        <v>3847</v>
      </c>
      <c r="E434" t="s">
        <v>3848</v>
      </c>
      <c r="F434" t="s">
        <v>112</v>
      </c>
      <c r="G434">
        <v>1720074</v>
      </c>
    </row>
    <row r="435" spans="1:7" x14ac:dyDescent="0.25">
      <c r="A435" t="str">
        <f t="shared" si="6"/>
        <v>14 TESTO</v>
      </c>
      <c r="B43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t="s">
        <v>3849</v>
      </c>
      <c r="D435" t="s">
        <v>3850</v>
      </c>
      <c r="E435" t="s">
        <v>3851</v>
      </c>
      <c r="F435" t="s">
        <v>112</v>
      </c>
      <c r="G435">
        <v>1835015</v>
      </c>
    </row>
    <row r="436" spans="1:7" x14ac:dyDescent="0.25">
      <c r="A436" t="str">
        <f t="shared" si="6"/>
        <v>14 TESTO</v>
      </c>
      <c r="B43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6" t="s">
        <v>3852</v>
      </c>
      <c r="D436" t="s">
        <v>3853</v>
      </c>
      <c r="E436" t="s">
        <v>3854</v>
      </c>
      <c r="F436" t="s">
        <v>112</v>
      </c>
      <c r="G436">
        <v>1162282</v>
      </c>
    </row>
    <row r="437" spans="1:7" x14ac:dyDescent="0.25">
      <c r="A437" t="str">
        <f t="shared" si="6"/>
        <v>14 TESTO</v>
      </c>
      <c r="B43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t="s">
        <v>3855</v>
      </c>
      <c r="D437" t="s">
        <v>3856</v>
      </c>
      <c r="E437" t="s">
        <v>3857</v>
      </c>
      <c r="F437" t="s">
        <v>112</v>
      </c>
      <c r="G437">
        <v>1782931</v>
      </c>
    </row>
    <row r="438" spans="1:7" x14ac:dyDescent="0.25">
      <c r="A438" t="str">
        <f t="shared" si="6"/>
        <v>14 TESTO</v>
      </c>
      <c r="B43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t="s">
        <v>3858</v>
      </c>
      <c r="D438" t="s">
        <v>3859</v>
      </c>
      <c r="E438" t="s">
        <v>3860</v>
      </c>
      <c r="F438" t="s">
        <v>112</v>
      </c>
      <c r="G438">
        <v>1673981</v>
      </c>
    </row>
    <row r="439" spans="1:7" x14ac:dyDescent="0.25">
      <c r="A439" t="str">
        <f t="shared" si="6"/>
        <v>14 TESTO</v>
      </c>
      <c r="B43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39" t="s">
        <v>3861</v>
      </c>
    </row>
    <row r="440" spans="1:7" x14ac:dyDescent="0.25">
      <c r="A440" t="str">
        <f t="shared" si="6"/>
        <v>14 TESTO</v>
      </c>
      <c r="B44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t="s">
        <v>3862</v>
      </c>
      <c r="D440" t="s">
        <v>3863</v>
      </c>
      <c r="E440" t="s">
        <v>3864</v>
      </c>
      <c r="F440" t="s">
        <v>112</v>
      </c>
      <c r="G440">
        <v>3047566</v>
      </c>
    </row>
    <row r="441" spans="1:7" x14ac:dyDescent="0.25">
      <c r="A441" t="str">
        <f t="shared" si="6"/>
        <v>14 TESTO</v>
      </c>
      <c r="B44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t="s">
        <v>3865</v>
      </c>
      <c r="D441" t="s">
        <v>3866</v>
      </c>
      <c r="E441" t="s">
        <v>3867</v>
      </c>
      <c r="F441" t="s">
        <v>112</v>
      </c>
      <c r="G441">
        <v>2629827</v>
      </c>
    </row>
    <row r="442" spans="1:7" x14ac:dyDescent="0.25">
      <c r="A442" t="str">
        <f t="shared" si="6"/>
        <v>14 TESTO</v>
      </c>
      <c r="B44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2" t="s">
        <v>3868</v>
      </c>
    </row>
    <row r="443" spans="1:7" x14ac:dyDescent="0.25">
      <c r="A443" t="str">
        <f t="shared" si="6"/>
        <v>14 TESTO</v>
      </c>
      <c r="B44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t="s">
        <v>3869</v>
      </c>
      <c r="D443" t="s">
        <v>3870</v>
      </c>
      <c r="E443" t="s">
        <v>3871</v>
      </c>
      <c r="F443" t="s">
        <v>112</v>
      </c>
      <c r="G443">
        <v>1210322</v>
      </c>
    </row>
    <row r="444" spans="1:7" x14ac:dyDescent="0.25">
      <c r="A444" t="str">
        <f t="shared" si="6"/>
        <v>14 TESTO</v>
      </c>
      <c r="B44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t="s">
        <v>3872</v>
      </c>
      <c r="D444" t="s">
        <v>3873</v>
      </c>
      <c r="E444" t="s">
        <v>3874</v>
      </c>
      <c r="F444" t="s">
        <v>112</v>
      </c>
      <c r="G444">
        <v>1288579</v>
      </c>
    </row>
    <row r="445" spans="1:7" x14ac:dyDescent="0.25">
      <c r="A445" t="str">
        <f t="shared" si="6"/>
        <v>14 TESTO</v>
      </c>
      <c r="B44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5" t="s">
        <v>3875</v>
      </c>
      <c r="D445" t="s">
        <v>3876</v>
      </c>
      <c r="E445" t="s">
        <v>3877</v>
      </c>
      <c r="F445" t="s">
        <v>112</v>
      </c>
      <c r="G445">
        <v>3617362</v>
      </c>
    </row>
    <row r="446" spans="1:7" x14ac:dyDescent="0.25">
      <c r="A446" t="str">
        <f t="shared" si="6"/>
        <v>14 TESTO</v>
      </c>
      <c r="B44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t="s">
        <v>3878</v>
      </c>
      <c r="D446" t="s">
        <v>3879</v>
      </c>
      <c r="E446" t="s">
        <v>3880</v>
      </c>
      <c r="F446" t="s">
        <v>112</v>
      </c>
      <c r="G446">
        <v>3757826</v>
      </c>
    </row>
    <row r="447" spans="1:7" x14ac:dyDescent="0.25">
      <c r="A447" t="str">
        <f t="shared" si="6"/>
        <v>14 TESTO</v>
      </c>
      <c r="B44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t="s">
        <v>3881</v>
      </c>
      <c r="D447" t="s">
        <v>3882</v>
      </c>
      <c r="E447" t="s">
        <v>3883</v>
      </c>
      <c r="F447" t="s">
        <v>112</v>
      </c>
      <c r="G447">
        <v>4005186</v>
      </c>
    </row>
    <row r="448" spans="1:7" x14ac:dyDescent="0.25">
      <c r="A448" t="str">
        <f t="shared" si="6"/>
        <v>14 TESTO</v>
      </c>
      <c r="B44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8" t="s">
        <v>3884</v>
      </c>
      <c r="D448" t="s">
        <v>3885</v>
      </c>
      <c r="E448" t="s">
        <v>3886</v>
      </c>
      <c r="F448" t="s">
        <v>112</v>
      </c>
      <c r="G448">
        <v>2795599</v>
      </c>
    </row>
    <row r="449" spans="1:9" x14ac:dyDescent="0.25">
      <c r="A449" t="str">
        <f t="shared" si="6"/>
        <v>14 TESTO</v>
      </c>
      <c r="B44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t="s">
        <v>3887</v>
      </c>
      <c r="D449" t="s">
        <v>3888</v>
      </c>
      <c r="E449" t="s">
        <v>3889</v>
      </c>
      <c r="F449" t="s">
        <v>112</v>
      </c>
      <c r="G449">
        <v>2539869</v>
      </c>
    </row>
    <row r="450" spans="1:9" x14ac:dyDescent="0.25">
      <c r="A450" t="str">
        <f t="shared" ref="A450:A513" si="7">IFERROR(LEFT(RIGHT(C450,LEN(C450)-SEARCH("@",C450)),SEARCH("/",RIGHT(C450,LEN(C450)-SEARCH("@",C450)-1))),"")</f>
        <v>14 TESTO</v>
      </c>
      <c r="B45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t="s">
        <v>3890</v>
      </c>
      <c r="D450" t="s">
        <v>1503</v>
      </c>
      <c r="E450" t="s">
        <v>3891</v>
      </c>
      <c r="F450" t="s">
        <v>112</v>
      </c>
      <c r="G450">
        <v>2927693</v>
      </c>
    </row>
    <row r="451" spans="1:9" x14ac:dyDescent="0.25">
      <c r="A451" t="str">
        <f t="shared" si="7"/>
        <v>14 TESTO</v>
      </c>
      <c r="B45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1" t="s">
        <v>3892</v>
      </c>
      <c r="D451" t="s">
        <v>1539</v>
      </c>
      <c r="E451" t="s">
        <v>3893</v>
      </c>
      <c r="F451" t="s">
        <v>112</v>
      </c>
      <c r="G451">
        <v>3390313</v>
      </c>
    </row>
    <row r="452" spans="1:9" x14ac:dyDescent="0.25">
      <c r="A452" t="str">
        <f t="shared" si="7"/>
        <v>14 TESTO</v>
      </c>
      <c r="B45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t="s">
        <v>3894</v>
      </c>
      <c r="D452" t="s">
        <v>3895</v>
      </c>
      <c r="E452" t="s">
        <v>3896</v>
      </c>
      <c r="F452" t="s">
        <v>112</v>
      </c>
      <c r="G452">
        <v>4146710</v>
      </c>
    </row>
    <row r="453" spans="1:9" x14ac:dyDescent="0.25">
      <c r="A453" t="str">
        <f t="shared" si="7"/>
        <v>14 TESTO</v>
      </c>
      <c r="B45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t="s">
        <v>3897</v>
      </c>
      <c r="D453" t="s">
        <v>3898</v>
      </c>
      <c r="E453" t="s">
        <v>3899</v>
      </c>
      <c r="F453" t="s">
        <v>112</v>
      </c>
      <c r="G453">
        <v>3615978</v>
      </c>
    </row>
    <row r="454" spans="1:9" x14ac:dyDescent="0.25">
      <c r="A454" t="str">
        <f t="shared" si="7"/>
        <v/>
      </c>
      <c r="B4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4" t="s">
        <v>112</v>
      </c>
    </row>
    <row r="455" spans="1:9" x14ac:dyDescent="0.25">
      <c r="A455" t="str">
        <f t="shared" si="7"/>
        <v/>
      </c>
      <c r="B4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t="s">
        <v>234</v>
      </c>
      <c r="D455" t="s">
        <v>112</v>
      </c>
      <c r="E455" t="s">
        <v>235</v>
      </c>
      <c r="F455" t="s">
        <v>236</v>
      </c>
      <c r="G455" t="s">
        <v>237</v>
      </c>
      <c r="H455" t="s">
        <v>238</v>
      </c>
      <c r="I455" t="s">
        <v>239</v>
      </c>
    </row>
    <row r="456" spans="1:9" x14ac:dyDescent="0.25">
      <c r="A456" t="str">
        <f t="shared" si="7"/>
        <v>14 TESTO</v>
      </c>
      <c r="B45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6" t="s">
        <v>3900</v>
      </c>
      <c r="D456" t="s">
        <v>112</v>
      </c>
      <c r="E456" t="s">
        <v>3901</v>
      </c>
      <c r="F456" t="s">
        <v>3902</v>
      </c>
      <c r="G456" t="s">
        <v>3903</v>
      </c>
      <c r="H456" t="s">
        <v>3904</v>
      </c>
      <c r="I456">
        <v>24</v>
      </c>
    </row>
    <row r="457" spans="1:9" x14ac:dyDescent="0.25">
      <c r="A457" t="str">
        <f t="shared" si="7"/>
        <v/>
      </c>
      <c r="B4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7" t="s">
        <v>112</v>
      </c>
    </row>
    <row r="458" spans="1:9" x14ac:dyDescent="0.25">
      <c r="A458" t="str">
        <f t="shared" si="7"/>
        <v/>
      </c>
      <c r="B4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t="s">
        <v>112</v>
      </c>
    </row>
    <row r="459" spans="1:9" x14ac:dyDescent="0.25">
      <c r="A459" t="str">
        <f t="shared" si="7"/>
        <v/>
      </c>
      <c r="B4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t="s">
        <v>112</v>
      </c>
    </row>
    <row r="460" spans="1:9" x14ac:dyDescent="0.25">
      <c r="A460" t="str">
        <f t="shared" si="7"/>
        <v/>
      </c>
      <c r="B4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t="s">
        <v>112</v>
      </c>
    </row>
    <row r="461" spans="1:9" x14ac:dyDescent="0.25">
      <c r="A461" t="str">
        <f t="shared" si="7"/>
        <v/>
      </c>
      <c r="B4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t="s">
        <v>112</v>
      </c>
    </row>
    <row r="462" spans="1:9" x14ac:dyDescent="0.25">
      <c r="A462" t="str">
        <f t="shared" si="7"/>
        <v/>
      </c>
      <c r="B4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t="s">
        <v>246</v>
      </c>
      <c r="D462" t="s">
        <v>110</v>
      </c>
      <c r="E462" t="s">
        <v>111</v>
      </c>
      <c r="F462" t="s">
        <v>112</v>
      </c>
      <c r="G462" t="s">
        <v>113</v>
      </c>
    </row>
    <row r="463" spans="1:9" x14ac:dyDescent="0.25">
      <c r="A463" t="str">
        <f t="shared" si="7"/>
        <v>15 TESTO + EE2</v>
      </c>
      <c r="B46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3" t="s">
        <v>3905</v>
      </c>
      <c r="D463" t="s">
        <v>3906</v>
      </c>
      <c r="E463" t="s">
        <v>3907</v>
      </c>
      <c r="F463" t="s">
        <v>112</v>
      </c>
      <c r="G463">
        <v>5683363</v>
      </c>
    </row>
    <row r="464" spans="1:9" x14ac:dyDescent="0.25">
      <c r="A464" t="str">
        <f t="shared" si="7"/>
        <v>15 TESTO + EE2</v>
      </c>
      <c r="B46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t="s">
        <v>3908</v>
      </c>
      <c r="D464" t="s">
        <v>3909</v>
      </c>
      <c r="E464" t="s">
        <v>3910</v>
      </c>
      <c r="F464" t="s">
        <v>112</v>
      </c>
      <c r="G464">
        <v>5840331</v>
      </c>
    </row>
    <row r="465" spans="1:7" x14ac:dyDescent="0.25">
      <c r="A465" t="str">
        <f t="shared" si="7"/>
        <v>15 TESTO + EE2</v>
      </c>
      <c r="B46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t="s">
        <v>3911</v>
      </c>
      <c r="D465" t="s">
        <v>3912</v>
      </c>
      <c r="E465" t="s">
        <v>3913</v>
      </c>
      <c r="F465" t="s">
        <v>112</v>
      </c>
      <c r="G465">
        <v>5675511</v>
      </c>
    </row>
    <row r="466" spans="1:7" x14ac:dyDescent="0.25">
      <c r="A466" t="str">
        <f t="shared" si="7"/>
        <v>15 TESTO + EE2</v>
      </c>
      <c r="B46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6" t="s">
        <v>3914</v>
      </c>
    </row>
    <row r="467" spans="1:7" x14ac:dyDescent="0.25">
      <c r="A467" t="str">
        <f t="shared" si="7"/>
        <v>15 TESTO + EE2</v>
      </c>
      <c r="B46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t="s">
        <v>3915</v>
      </c>
      <c r="D467" t="s">
        <v>3916</v>
      </c>
      <c r="E467" t="s">
        <v>3917</v>
      </c>
      <c r="F467" t="s">
        <v>112</v>
      </c>
      <c r="G467">
        <v>5012966</v>
      </c>
    </row>
    <row r="468" spans="1:7" x14ac:dyDescent="0.25">
      <c r="A468" t="str">
        <f t="shared" si="7"/>
        <v>15 TESTO + EE2</v>
      </c>
      <c r="B46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t="s">
        <v>3918</v>
      </c>
      <c r="D468" t="s">
        <v>3919</v>
      </c>
      <c r="E468" t="s">
        <v>3920</v>
      </c>
      <c r="F468" t="s">
        <v>112</v>
      </c>
      <c r="G468">
        <v>5413638</v>
      </c>
    </row>
    <row r="469" spans="1:7" x14ac:dyDescent="0.25">
      <c r="A469" t="str">
        <f t="shared" si="7"/>
        <v>15 TESTO + EE2</v>
      </c>
      <c r="B46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69" t="s">
        <v>3921</v>
      </c>
      <c r="D469" t="s">
        <v>3922</v>
      </c>
      <c r="E469" t="s">
        <v>3923</v>
      </c>
      <c r="F469" t="s">
        <v>112</v>
      </c>
      <c r="G469">
        <v>4253065</v>
      </c>
    </row>
    <row r="470" spans="1:7" x14ac:dyDescent="0.25">
      <c r="A470" t="str">
        <f t="shared" si="7"/>
        <v>15 TESTO + EE2</v>
      </c>
      <c r="B47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t="s">
        <v>3924</v>
      </c>
      <c r="D470" t="s">
        <v>3925</v>
      </c>
      <c r="E470" t="s">
        <v>3926</v>
      </c>
      <c r="F470" t="s">
        <v>112</v>
      </c>
      <c r="G470">
        <v>4357797</v>
      </c>
    </row>
    <row r="471" spans="1:7" x14ac:dyDescent="0.25">
      <c r="A471" t="str">
        <f t="shared" si="7"/>
        <v>15 TESTO + EE2</v>
      </c>
      <c r="B47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t="s">
        <v>3927</v>
      </c>
      <c r="D471" t="s">
        <v>2093</v>
      </c>
      <c r="E471" t="s">
        <v>3928</v>
      </c>
      <c r="F471" t="s">
        <v>112</v>
      </c>
      <c r="G471">
        <v>4897722</v>
      </c>
    </row>
    <row r="472" spans="1:7" x14ac:dyDescent="0.25">
      <c r="A472" t="str">
        <f t="shared" si="7"/>
        <v>15 TESTO + EE2</v>
      </c>
      <c r="B47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2" t="s">
        <v>3929</v>
      </c>
      <c r="D472" t="s">
        <v>3930</v>
      </c>
      <c r="E472" t="s">
        <v>3931</v>
      </c>
      <c r="F472" t="s">
        <v>112</v>
      </c>
      <c r="G472">
        <v>4029714</v>
      </c>
    </row>
    <row r="473" spans="1:7" x14ac:dyDescent="0.25">
      <c r="A473" t="str">
        <f t="shared" si="7"/>
        <v>15 TESTO + EE2</v>
      </c>
      <c r="B47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t="s">
        <v>3932</v>
      </c>
      <c r="D473" t="s">
        <v>2510</v>
      </c>
      <c r="E473" t="s">
        <v>3933</v>
      </c>
      <c r="F473" t="s">
        <v>112</v>
      </c>
      <c r="G473">
        <v>3473177</v>
      </c>
    </row>
    <row r="474" spans="1:7" x14ac:dyDescent="0.25">
      <c r="A474" t="str">
        <f t="shared" si="7"/>
        <v>15 TESTO + EE2</v>
      </c>
      <c r="B47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t="s">
        <v>3934</v>
      </c>
      <c r="D474" t="s">
        <v>3935</v>
      </c>
      <c r="E474" t="s">
        <v>3936</v>
      </c>
      <c r="F474" t="s">
        <v>112</v>
      </c>
      <c r="G474">
        <v>3361956</v>
      </c>
    </row>
    <row r="475" spans="1:7" x14ac:dyDescent="0.25">
      <c r="A475" t="str">
        <f t="shared" si="7"/>
        <v>15 TESTO + EE2</v>
      </c>
      <c r="B47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5" t="s">
        <v>3937</v>
      </c>
      <c r="D475" t="s">
        <v>3938</v>
      </c>
      <c r="E475" t="s">
        <v>3939</v>
      </c>
      <c r="F475" t="s">
        <v>112</v>
      </c>
      <c r="G475">
        <v>4760415</v>
      </c>
    </row>
    <row r="476" spans="1:7" x14ac:dyDescent="0.25">
      <c r="A476" t="str">
        <f t="shared" si="7"/>
        <v>15 TESTO + EE2</v>
      </c>
      <c r="B47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t="s">
        <v>3940</v>
      </c>
      <c r="D476" t="s">
        <v>3941</v>
      </c>
      <c r="E476" t="s">
        <v>3942</v>
      </c>
      <c r="F476" t="s">
        <v>112</v>
      </c>
      <c r="G476">
        <v>5159595</v>
      </c>
    </row>
    <row r="477" spans="1:7" x14ac:dyDescent="0.25">
      <c r="A477" t="str">
        <f t="shared" si="7"/>
        <v>15 TESTO + EE2</v>
      </c>
      <c r="B47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t="s">
        <v>3943</v>
      </c>
      <c r="D477" t="s">
        <v>1302</v>
      </c>
      <c r="E477" t="s">
        <v>3944</v>
      </c>
      <c r="F477" t="s">
        <v>112</v>
      </c>
      <c r="G477">
        <v>5416666</v>
      </c>
    </row>
    <row r="478" spans="1:7" x14ac:dyDescent="0.25">
      <c r="A478" t="str">
        <f t="shared" si="7"/>
        <v>15 TESTO + EE2</v>
      </c>
      <c r="B47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8" t="s">
        <v>3945</v>
      </c>
      <c r="D478" t="s">
        <v>451</v>
      </c>
      <c r="E478" t="s">
        <v>3946</v>
      </c>
      <c r="F478" t="s">
        <v>112</v>
      </c>
      <c r="G478">
        <v>3902639</v>
      </c>
    </row>
    <row r="479" spans="1:7" x14ac:dyDescent="0.25">
      <c r="A479" t="str">
        <f t="shared" si="7"/>
        <v>15 TESTO + EE2</v>
      </c>
      <c r="B47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t="s">
        <v>3947</v>
      </c>
      <c r="D479" t="s">
        <v>3948</v>
      </c>
      <c r="E479" t="s">
        <v>3949</v>
      </c>
      <c r="F479" t="s">
        <v>112</v>
      </c>
      <c r="G479">
        <v>3458469</v>
      </c>
    </row>
    <row r="480" spans="1:7" x14ac:dyDescent="0.25">
      <c r="A480" t="str">
        <f t="shared" si="7"/>
        <v>15 TESTO + EE2</v>
      </c>
      <c r="B48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t="s">
        <v>3950</v>
      </c>
      <c r="D480" t="s">
        <v>3951</v>
      </c>
      <c r="E480" t="s">
        <v>3952</v>
      </c>
      <c r="F480" t="s">
        <v>112</v>
      </c>
      <c r="G480">
        <v>3485290</v>
      </c>
    </row>
    <row r="481" spans="1:9" x14ac:dyDescent="0.25">
      <c r="A481" t="str">
        <f t="shared" si="7"/>
        <v>15 TESTO + EE2</v>
      </c>
      <c r="B48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1" t="s">
        <v>3953</v>
      </c>
      <c r="D481" t="s">
        <v>3954</v>
      </c>
      <c r="E481" t="s">
        <v>3955</v>
      </c>
      <c r="F481" t="s">
        <v>112</v>
      </c>
      <c r="G481">
        <v>2335791</v>
      </c>
    </row>
    <row r="482" spans="1:9" x14ac:dyDescent="0.25">
      <c r="A482" t="str">
        <f t="shared" si="7"/>
        <v>15 TESTO + EE2</v>
      </c>
      <c r="B48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t="s">
        <v>3956</v>
      </c>
      <c r="D482" t="s">
        <v>3957</v>
      </c>
      <c r="E482" t="s">
        <v>3958</v>
      </c>
      <c r="F482" t="s">
        <v>112</v>
      </c>
      <c r="G482">
        <v>2375373</v>
      </c>
    </row>
    <row r="483" spans="1:9" x14ac:dyDescent="0.25">
      <c r="A483" t="str">
        <f t="shared" si="7"/>
        <v>15 TESTO + EE2</v>
      </c>
      <c r="B48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t="s">
        <v>3959</v>
      </c>
      <c r="D483" t="s">
        <v>3960</v>
      </c>
      <c r="E483" t="s">
        <v>3961</v>
      </c>
      <c r="F483" t="s">
        <v>112</v>
      </c>
      <c r="G483">
        <v>2156090</v>
      </c>
    </row>
    <row r="484" spans="1:9" x14ac:dyDescent="0.25">
      <c r="A484" t="str">
        <f t="shared" si="7"/>
        <v>15 TESTO + EE2</v>
      </c>
      <c r="B48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4" t="s">
        <v>3962</v>
      </c>
      <c r="D484" t="s">
        <v>2110</v>
      </c>
      <c r="E484" t="s">
        <v>3963</v>
      </c>
      <c r="F484" t="s">
        <v>112</v>
      </c>
      <c r="G484">
        <v>5201254</v>
      </c>
    </row>
    <row r="485" spans="1:9" x14ac:dyDescent="0.25">
      <c r="A485" t="str">
        <f t="shared" si="7"/>
        <v>15 TESTO + EE2</v>
      </c>
      <c r="B48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t="s">
        <v>3964</v>
      </c>
      <c r="D485" t="s">
        <v>3965</v>
      </c>
      <c r="E485" t="s">
        <v>3966</v>
      </c>
      <c r="F485" t="s">
        <v>112</v>
      </c>
      <c r="G485">
        <v>5100524</v>
      </c>
    </row>
    <row r="486" spans="1:9" x14ac:dyDescent="0.25">
      <c r="A486" t="str">
        <f t="shared" si="7"/>
        <v>15 TESTO + EE2</v>
      </c>
      <c r="B48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t="s">
        <v>3967</v>
      </c>
      <c r="D486" t="s">
        <v>3968</v>
      </c>
      <c r="E486" t="s">
        <v>3969</v>
      </c>
      <c r="F486" t="s">
        <v>112</v>
      </c>
      <c r="G486">
        <v>5083328</v>
      </c>
    </row>
    <row r="487" spans="1:9" x14ac:dyDescent="0.25">
      <c r="A487" t="str">
        <f t="shared" si="7"/>
        <v/>
      </c>
      <c r="B4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7" t="s">
        <v>112</v>
      </c>
    </row>
    <row r="488" spans="1:9" x14ac:dyDescent="0.25">
      <c r="A488" t="str">
        <f t="shared" si="7"/>
        <v/>
      </c>
      <c r="B4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t="s">
        <v>234</v>
      </c>
      <c r="D488" t="s">
        <v>112</v>
      </c>
      <c r="E488" t="s">
        <v>235</v>
      </c>
      <c r="F488" t="s">
        <v>236</v>
      </c>
      <c r="G488" t="s">
        <v>237</v>
      </c>
      <c r="H488" t="s">
        <v>238</v>
      </c>
      <c r="I488" t="s">
        <v>239</v>
      </c>
    </row>
    <row r="489" spans="1:9" x14ac:dyDescent="0.25">
      <c r="A489" t="str">
        <f t="shared" si="7"/>
        <v>15 TESTO + EE2</v>
      </c>
      <c r="B48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89" t="s">
        <v>3970</v>
      </c>
      <c r="D489" t="s">
        <v>112</v>
      </c>
      <c r="E489" t="s">
        <v>3971</v>
      </c>
      <c r="F489" t="s">
        <v>3972</v>
      </c>
      <c r="G489" t="s">
        <v>3973</v>
      </c>
      <c r="H489" t="s">
        <v>3974</v>
      </c>
      <c r="I489">
        <v>24</v>
      </c>
    </row>
    <row r="490" spans="1:9" x14ac:dyDescent="0.25">
      <c r="A490" t="str">
        <f t="shared" si="7"/>
        <v/>
      </c>
      <c r="B4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t="s">
        <v>112</v>
      </c>
    </row>
    <row r="491" spans="1:9" x14ac:dyDescent="0.25">
      <c r="A491" t="str">
        <f t="shared" si="7"/>
        <v/>
      </c>
      <c r="B4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t="s">
        <v>112</v>
      </c>
    </row>
    <row r="492" spans="1:9" x14ac:dyDescent="0.25">
      <c r="A492" t="str">
        <f t="shared" si="7"/>
        <v/>
      </c>
      <c r="B4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t="s">
        <v>112</v>
      </c>
    </row>
    <row r="493" spans="1:9" x14ac:dyDescent="0.25">
      <c r="A493" t="str">
        <f t="shared" si="7"/>
        <v/>
      </c>
      <c r="B4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t="s">
        <v>112</v>
      </c>
    </row>
    <row r="494" spans="1:9" x14ac:dyDescent="0.25">
      <c r="A494" t="str">
        <f t="shared" si="7"/>
        <v/>
      </c>
      <c r="B4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t="s">
        <v>112</v>
      </c>
    </row>
    <row r="495" spans="1:9" x14ac:dyDescent="0.25">
      <c r="A495" t="str">
        <f t="shared" si="7"/>
        <v/>
      </c>
      <c r="B4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t="s">
        <v>246</v>
      </c>
      <c r="D495" t="s">
        <v>110</v>
      </c>
      <c r="E495" t="s">
        <v>111</v>
      </c>
      <c r="F495" t="s">
        <v>112</v>
      </c>
      <c r="G495" t="s">
        <v>113</v>
      </c>
    </row>
    <row r="496" spans="1:9" x14ac:dyDescent="0.25">
      <c r="A496" t="str">
        <f t="shared" si="7"/>
        <v>16 TESTO + FAD</v>
      </c>
      <c r="B49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6" t="s">
        <v>3975</v>
      </c>
      <c r="D496" t="s">
        <v>710</v>
      </c>
      <c r="E496" t="s">
        <v>3976</v>
      </c>
      <c r="F496" t="s">
        <v>112</v>
      </c>
      <c r="G496">
        <v>345300</v>
      </c>
    </row>
    <row r="497" spans="1:7" x14ac:dyDescent="0.25">
      <c r="A497" t="str">
        <f t="shared" si="7"/>
        <v>16 TESTO + FAD</v>
      </c>
      <c r="B49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t="s">
        <v>3977</v>
      </c>
      <c r="D497" t="s">
        <v>493</v>
      </c>
      <c r="E497" t="s">
        <v>3978</v>
      </c>
      <c r="F497" t="s">
        <v>112</v>
      </c>
      <c r="G497">
        <v>245456</v>
      </c>
    </row>
    <row r="498" spans="1:7" x14ac:dyDescent="0.25">
      <c r="A498" t="str">
        <f t="shared" si="7"/>
        <v>16 TESTO + FAD</v>
      </c>
      <c r="B49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t="s">
        <v>3979</v>
      </c>
      <c r="D498" t="s">
        <v>2280</v>
      </c>
      <c r="E498" t="s">
        <v>3980</v>
      </c>
      <c r="F498" t="s">
        <v>112</v>
      </c>
      <c r="G498">
        <v>162981</v>
      </c>
    </row>
    <row r="499" spans="1:7" x14ac:dyDescent="0.25">
      <c r="A499" t="str">
        <f t="shared" si="7"/>
        <v>16 TESTO + FAD</v>
      </c>
      <c r="B49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99" t="s">
        <v>3981</v>
      </c>
      <c r="D499" t="s">
        <v>3302</v>
      </c>
      <c r="E499" t="s">
        <v>3982</v>
      </c>
      <c r="F499" t="s">
        <v>112</v>
      </c>
      <c r="G499">
        <v>81912</v>
      </c>
    </row>
    <row r="500" spans="1:7" x14ac:dyDescent="0.25">
      <c r="A500" t="str">
        <f t="shared" si="7"/>
        <v>16 TESTO + FAD</v>
      </c>
      <c r="B50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t="s">
        <v>3983</v>
      </c>
      <c r="D500" t="s">
        <v>3984</v>
      </c>
      <c r="E500" t="s">
        <v>3985</v>
      </c>
      <c r="F500" t="s">
        <v>112</v>
      </c>
      <c r="G500">
        <v>304181</v>
      </c>
    </row>
    <row r="501" spans="1:7" x14ac:dyDescent="0.25">
      <c r="A501" t="str">
        <f t="shared" si="7"/>
        <v>16 TESTO + FAD</v>
      </c>
      <c r="B50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t="s">
        <v>3986</v>
      </c>
      <c r="D501" t="s">
        <v>728</v>
      </c>
      <c r="E501" t="s">
        <v>3987</v>
      </c>
      <c r="F501" t="s">
        <v>112</v>
      </c>
      <c r="G501">
        <v>120370</v>
      </c>
    </row>
    <row r="502" spans="1:7" x14ac:dyDescent="0.25">
      <c r="A502" t="str">
        <f t="shared" si="7"/>
        <v>16 TESTO + FAD</v>
      </c>
      <c r="B50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2" t="s">
        <v>3988</v>
      </c>
      <c r="D502" t="s">
        <v>2247</v>
      </c>
      <c r="E502" t="s">
        <v>3989</v>
      </c>
      <c r="F502" t="s">
        <v>112</v>
      </c>
      <c r="G502">
        <v>247749</v>
      </c>
    </row>
    <row r="503" spans="1:7" x14ac:dyDescent="0.25">
      <c r="A503" t="str">
        <f t="shared" si="7"/>
        <v>16 TESTO + FAD</v>
      </c>
      <c r="B50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t="s">
        <v>3990</v>
      </c>
      <c r="D503" t="s">
        <v>3991</v>
      </c>
      <c r="E503" t="s">
        <v>3992</v>
      </c>
      <c r="F503" t="s">
        <v>112</v>
      </c>
      <c r="G503">
        <v>126427</v>
      </c>
    </row>
    <row r="504" spans="1:7" x14ac:dyDescent="0.25">
      <c r="A504" t="str">
        <f t="shared" si="7"/>
        <v>16 TESTO + FAD</v>
      </c>
      <c r="B50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t="s">
        <v>3993</v>
      </c>
      <c r="D504" t="s">
        <v>3994</v>
      </c>
      <c r="E504" t="s">
        <v>3995</v>
      </c>
      <c r="F504" t="s">
        <v>112</v>
      </c>
      <c r="G504">
        <v>434328</v>
      </c>
    </row>
    <row r="505" spans="1:7" x14ac:dyDescent="0.25">
      <c r="A505" t="str">
        <f t="shared" si="7"/>
        <v>16 TESTO + FAD</v>
      </c>
      <c r="B50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5" t="s">
        <v>3996</v>
      </c>
      <c r="D505" t="s">
        <v>2274</v>
      </c>
      <c r="E505" t="s">
        <v>3997</v>
      </c>
      <c r="F505" t="s">
        <v>112</v>
      </c>
      <c r="G505">
        <v>600684</v>
      </c>
    </row>
    <row r="506" spans="1:7" x14ac:dyDescent="0.25">
      <c r="A506" t="str">
        <f t="shared" si="7"/>
        <v>16 TESTO + FAD</v>
      </c>
      <c r="B50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t="s">
        <v>3998</v>
      </c>
      <c r="D506" t="s">
        <v>3999</v>
      </c>
      <c r="E506" t="s">
        <v>4000</v>
      </c>
      <c r="F506" t="s">
        <v>112</v>
      </c>
      <c r="G506">
        <v>682986</v>
      </c>
    </row>
    <row r="507" spans="1:7" x14ac:dyDescent="0.25">
      <c r="A507" t="str">
        <f t="shared" si="7"/>
        <v>16 TESTO + FAD</v>
      </c>
      <c r="B50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t="s">
        <v>4001</v>
      </c>
      <c r="D507" t="s">
        <v>254</v>
      </c>
      <c r="E507" t="s">
        <v>4002</v>
      </c>
      <c r="F507" t="s">
        <v>112</v>
      </c>
      <c r="G507">
        <v>285363</v>
      </c>
    </row>
    <row r="508" spans="1:7" x14ac:dyDescent="0.25">
      <c r="A508" t="str">
        <f t="shared" si="7"/>
        <v>16 TESTO + FAD</v>
      </c>
      <c r="B50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8" t="s">
        <v>4003</v>
      </c>
      <c r="D508" t="s">
        <v>4004</v>
      </c>
      <c r="E508" t="s">
        <v>4005</v>
      </c>
      <c r="F508" t="s">
        <v>112</v>
      </c>
      <c r="G508">
        <v>262544</v>
      </c>
    </row>
    <row r="509" spans="1:7" x14ac:dyDescent="0.25">
      <c r="A509" t="str">
        <f t="shared" si="7"/>
        <v>16 TESTO + FAD</v>
      </c>
      <c r="B50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t="s">
        <v>4006</v>
      </c>
      <c r="D509" t="s">
        <v>4007</v>
      </c>
      <c r="E509" t="s">
        <v>4008</v>
      </c>
      <c r="F509" t="s">
        <v>112</v>
      </c>
      <c r="G509">
        <v>106549</v>
      </c>
    </row>
    <row r="510" spans="1:7" x14ac:dyDescent="0.25">
      <c r="A510" t="str">
        <f t="shared" si="7"/>
        <v>16 TESTO + FAD</v>
      </c>
      <c r="B51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t="s">
        <v>4009</v>
      </c>
      <c r="D510" t="s">
        <v>1840</v>
      </c>
      <c r="E510" t="s">
        <v>4010</v>
      </c>
      <c r="F510" t="s">
        <v>112</v>
      </c>
      <c r="G510">
        <v>57125</v>
      </c>
    </row>
    <row r="511" spans="1:7" x14ac:dyDescent="0.25">
      <c r="A511" t="str">
        <f t="shared" si="7"/>
        <v>16 TESTO + FAD</v>
      </c>
      <c r="B51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1" t="s">
        <v>4011</v>
      </c>
    </row>
    <row r="512" spans="1:7" x14ac:dyDescent="0.25">
      <c r="A512" t="str">
        <f t="shared" si="7"/>
        <v>16 TESTO + FAD</v>
      </c>
      <c r="B51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t="s">
        <v>4012</v>
      </c>
    </row>
    <row r="513" spans="1:9" x14ac:dyDescent="0.25">
      <c r="A513" t="str">
        <f t="shared" si="7"/>
        <v>16 TESTO + FAD</v>
      </c>
      <c r="B51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t="s">
        <v>4013</v>
      </c>
      <c r="D513" t="s">
        <v>4014</v>
      </c>
      <c r="E513" t="s">
        <v>4015</v>
      </c>
      <c r="F513" t="s">
        <v>112</v>
      </c>
      <c r="G513">
        <v>1556920</v>
      </c>
    </row>
    <row r="514" spans="1:9" x14ac:dyDescent="0.25">
      <c r="A514" t="str">
        <f t="shared" ref="A514:A577" si="8">IFERROR(LEFT(RIGHT(C514,LEN(C514)-SEARCH("@",C514)),SEARCH("/",RIGHT(C514,LEN(C514)-SEARCH("@",C514)-1))),"")</f>
        <v>16 TESTO + FAD</v>
      </c>
      <c r="B51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4" t="s">
        <v>4016</v>
      </c>
      <c r="D514" t="s">
        <v>3135</v>
      </c>
      <c r="E514" t="s">
        <v>4017</v>
      </c>
      <c r="F514" t="s">
        <v>112</v>
      </c>
      <c r="G514">
        <v>280799</v>
      </c>
    </row>
    <row r="515" spans="1:9" x14ac:dyDescent="0.25">
      <c r="A515" t="str">
        <f t="shared" si="8"/>
        <v>16 TESTO + FAD</v>
      </c>
      <c r="B51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t="s">
        <v>4018</v>
      </c>
      <c r="D515" t="s">
        <v>4019</v>
      </c>
      <c r="E515" t="s">
        <v>4020</v>
      </c>
      <c r="F515" t="s">
        <v>112</v>
      </c>
      <c r="G515">
        <v>315494</v>
      </c>
    </row>
    <row r="516" spans="1:9" x14ac:dyDescent="0.25">
      <c r="A516" t="str">
        <f t="shared" si="8"/>
        <v>16 TESTO + FAD</v>
      </c>
      <c r="B51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t="s">
        <v>4021</v>
      </c>
      <c r="D516" t="s">
        <v>4022</v>
      </c>
      <c r="E516" t="s">
        <v>4023</v>
      </c>
      <c r="F516" t="s">
        <v>112</v>
      </c>
      <c r="G516">
        <v>318046</v>
      </c>
    </row>
    <row r="517" spans="1:9" x14ac:dyDescent="0.25">
      <c r="A517" t="str">
        <f t="shared" si="8"/>
        <v>16 TESTO + FAD</v>
      </c>
      <c r="B51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7" t="s">
        <v>4024</v>
      </c>
      <c r="D517" t="s">
        <v>4025</v>
      </c>
      <c r="E517" t="s">
        <v>4026</v>
      </c>
      <c r="F517" t="s">
        <v>112</v>
      </c>
      <c r="G517">
        <v>705286</v>
      </c>
    </row>
    <row r="518" spans="1:9" x14ac:dyDescent="0.25">
      <c r="A518" t="str">
        <f t="shared" si="8"/>
        <v>16 TESTO + FAD</v>
      </c>
      <c r="B51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t="s">
        <v>4027</v>
      </c>
      <c r="D518" t="s">
        <v>2353</v>
      </c>
      <c r="E518" t="s">
        <v>4028</v>
      </c>
      <c r="F518" t="s">
        <v>112</v>
      </c>
      <c r="G518">
        <v>582212</v>
      </c>
    </row>
    <row r="519" spans="1:9" x14ac:dyDescent="0.25">
      <c r="A519" t="str">
        <f t="shared" si="8"/>
        <v>16 TESTO + FAD</v>
      </c>
      <c r="B51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t="s">
        <v>4029</v>
      </c>
      <c r="D519" t="s">
        <v>4030</v>
      </c>
      <c r="E519" t="s">
        <v>4031</v>
      </c>
      <c r="F519" t="s">
        <v>112</v>
      </c>
      <c r="G519">
        <v>562831</v>
      </c>
    </row>
    <row r="520" spans="1:9" x14ac:dyDescent="0.25">
      <c r="A520" t="str">
        <f t="shared" si="8"/>
        <v/>
      </c>
      <c r="B5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0" t="s">
        <v>112</v>
      </c>
    </row>
    <row r="521" spans="1:9" x14ac:dyDescent="0.25">
      <c r="A521" t="str">
        <f t="shared" si="8"/>
        <v/>
      </c>
      <c r="B5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t="s">
        <v>234</v>
      </c>
      <c r="D521" t="s">
        <v>112</v>
      </c>
      <c r="E521" t="s">
        <v>235</v>
      </c>
      <c r="F521" t="s">
        <v>236</v>
      </c>
      <c r="G521" t="s">
        <v>237</v>
      </c>
      <c r="H521" t="s">
        <v>238</v>
      </c>
      <c r="I521" t="s">
        <v>239</v>
      </c>
    </row>
    <row r="522" spans="1:9" x14ac:dyDescent="0.25">
      <c r="A522" t="str">
        <f t="shared" si="8"/>
        <v>16 TESTO + FAD</v>
      </c>
      <c r="B52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2" t="s">
        <v>4032</v>
      </c>
      <c r="D522" t="s">
        <v>112</v>
      </c>
      <c r="E522" t="s">
        <v>4033</v>
      </c>
      <c r="F522" t="s">
        <v>4034</v>
      </c>
      <c r="G522" t="s">
        <v>4035</v>
      </c>
      <c r="H522" t="s">
        <v>4036</v>
      </c>
      <c r="I522">
        <v>24</v>
      </c>
    </row>
    <row r="523" spans="1:9" x14ac:dyDescent="0.25">
      <c r="A523" t="str">
        <f t="shared" si="8"/>
        <v/>
      </c>
      <c r="B5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3" t="s">
        <v>112</v>
      </c>
    </row>
    <row r="524" spans="1:9" x14ac:dyDescent="0.25">
      <c r="A524" t="str">
        <f t="shared" si="8"/>
        <v/>
      </c>
      <c r="B5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t="s">
        <v>112</v>
      </c>
    </row>
    <row r="525" spans="1:9" x14ac:dyDescent="0.25">
      <c r="A525" t="str">
        <f t="shared" si="8"/>
        <v/>
      </c>
      <c r="B5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t="s">
        <v>112</v>
      </c>
    </row>
    <row r="526" spans="1:9" x14ac:dyDescent="0.25">
      <c r="A526" t="str">
        <f t="shared" si="8"/>
        <v/>
      </c>
      <c r="B5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t="s">
        <v>112</v>
      </c>
    </row>
    <row r="527" spans="1:9" x14ac:dyDescent="0.25">
      <c r="A527" t="str">
        <f t="shared" si="8"/>
        <v/>
      </c>
      <c r="B5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t="s">
        <v>112</v>
      </c>
    </row>
    <row r="528" spans="1:9" x14ac:dyDescent="0.25">
      <c r="A528" t="str">
        <f t="shared" si="8"/>
        <v/>
      </c>
      <c r="B5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t="s">
        <v>246</v>
      </c>
      <c r="D528" t="s">
        <v>110</v>
      </c>
      <c r="E528" t="s">
        <v>111</v>
      </c>
      <c r="F528" t="s">
        <v>112</v>
      </c>
      <c r="G528" t="s">
        <v>113</v>
      </c>
    </row>
    <row r="529" spans="1:7" x14ac:dyDescent="0.25">
      <c r="A529" t="str">
        <f t="shared" si="8"/>
        <v>17 TRIPHENYLP 0.18 + TESTO</v>
      </c>
      <c r="B52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29" t="s">
        <v>4037</v>
      </c>
      <c r="D529" t="s">
        <v>4038</v>
      </c>
      <c r="E529" t="s">
        <v>4039</v>
      </c>
      <c r="F529" t="s">
        <v>112</v>
      </c>
      <c r="G529">
        <v>2898471</v>
      </c>
    </row>
    <row r="530" spans="1:7" x14ac:dyDescent="0.25">
      <c r="A530" t="str">
        <f t="shared" si="8"/>
        <v>17 TRIPHENYLP 0.18 + TESTO</v>
      </c>
      <c r="B53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t="s">
        <v>4040</v>
      </c>
      <c r="D530" t="s">
        <v>4041</v>
      </c>
      <c r="E530" t="s">
        <v>4042</v>
      </c>
      <c r="F530" t="s">
        <v>112</v>
      </c>
      <c r="G530">
        <v>3177453</v>
      </c>
    </row>
    <row r="531" spans="1:7" x14ac:dyDescent="0.25">
      <c r="A531" t="str">
        <f t="shared" si="8"/>
        <v>17 TRIPHENYLP 0.18 + TESTO</v>
      </c>
      <c r="B53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t="s">
        <v>4043</v>
      </c>
      <c r="D531" t="s">
        <v>4044</v>
      </c>
      <c r="E531" t="s">
        <v>4045</v>
      </c>
      <c r="F531" t="s">
        <v>112</v>
      </c>
      <c r="G531">
        <v>2343794</v>
      </c>
    </row>
    <row r="532" spans="1:7" x14ac:dyDescent="0.25">
      <c r="A532" t="str">
        <f t="shared" si="8"/>
        <v>17 TRIPHENYLP 0.18 + TESTO</v>
      </c>
      <c r="B53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2" t="s">
        <v>4046</v>
      </c>
      <c r="D532" t="s">
        <v>4047</v>
      </c>
      <c r="E532" t="s">
        <v>4048</v>
      </c>
      <c r="F532" t="s">
        <v>112</v>
      </c>
      <c r="G532">
        <v>3859098</v>
      </c>
    </row>
    <row r="533" spans="1:7" x14ac:dyDescent="0.25">
      <c r="A533" t="str">
        <f t="shared" si="8"/>
        <v>17 TRIPHENYLP 0.18 + TESTO</v>
      </c>
      <c r="B53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t="s">
        <v>4049</v>
      </c>
      <c r="D533" t="s">
        <v>4050</v>
      </c>
      <c r="E533" t="s">
        <v>4051</v>
      </c>
      <c r="F533" t="s">
        <v>112</v>
      </c>
      <c r="G533">
        <v>3922408</v>
      </c>
    </row>
    <row r="534" spans="1:7" x14ac:dyDescent="0.25">
      <c r="A534" t="str">
        <f t="shared" si="8"/>
        <v>17 TRIPHENYLP 0.18 + TESTO</v>
      </c>
      <c r="B53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t="s">
        <v>4052</v>
      </c>
      <c r="D534" t="s">
        <v>1116</v>
      </c>
      <c r="E534" t="s">
        <v>4053</v>
      </c>
      <c r="F534" t="s">
        <v>112</v>
      </c>
      <c r="G534">
        <v>4023550</v>
      </c>
    </row>
    <row r="535" spans="1:7" x14ac:dyDescent="0.25">
      <c r="A535" t="str">
        <f t="shared" si="8"/>
        <v>17 TRIPHENYLP 0.18 + TESTO</v>
      </c>
      <c r="B53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5" t="s">
        <v>4054</v>
      </c>
      <c r="D535" t="s">
        <v>4055</v>
      </c>
      <c r="E535" t="s">
        <v>4056</v>
      </c>
      <c r="F535" t="s">
        <v>112</v>
      </c>
      <c r="G535">
        <v>2333779</v>
      </c>
    </row>
    <row r="536" spans="1:7" x14ac:dyDescent="0.25">
      <c r="A536" t="str">
        <f t="shared" si="8"/>
        <v>17 TRIPHENYLP 0.18 + TESTO</v>
      </c>
      <c r="B53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t="s">
        <v>4057</v>
      </c>
      <c r="D536" t="s">
        <v>4058</v>
      </c>
      <c r="E536" t="s">
        <v>4059</v>
      </c>
      <c r="F536" t="s">
        <v>112</v>
      </c>
      <c r="G536">
        <v>1944160</v>
      </c>
    </row>
    <row r="537" spans="1:7" x14ac:dyDescent="0.25">
      <c r="A537" t="str">
        <f t="shared" si="8"/>
        <v>17 TRIPHENYLP 0.18 + TESTO</v>
      </c>
      <c r="B53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t="s">
        <v>4060</v>
      </c>
      <c r="D537" t="s">
        <v>3743</v>
      </c>
      <c r="E537" t="s">
        <v>4061</v>
      </c>
      <c r="F537" t="s">
        <v>112</v>
      </c>
      <c r="G537">
        <v>2014327</v>
      </c>
    </row>
    <row r="538" spans="1:7" x14ac:dyDescent="0.25">
      <c r="A538" t="str">
        <f t="shared" si="8"/>
        <v>17 TRIPHENYLP 0.18 + TESTO</v>
      </c>
      <c r="B53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8" t="s">
        <v>4062</v>
      </c>
      <c r="D538" t="s">
        <v>4063</v>
      </c>
      <c r="E538" t="s">
        <v>4064</v>
      </c>
      <c r="F538" t="s">
        <v>112</v>
      </c>
      <c r="G538">
        <v>4170893</v>
      </c>
    </row>
    <row r="539" spans="1:7" x14ac:dyDescent="0.25">
      <c r="A539" t="str">
        <f t="shared" si="8"/>
        <v>17 TRIPHENYLP 0.18 + TESTO</v>
      </c>
      <c r="B53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t="s">
        <v>4065</v>
      </c>
      <c r="D539" t="s">
        <v>4066</v>
      </c>
      <c r="E539" t="s">
        <v>4067</v>
      </c>
      <c r="F539" t="s">
        <v>112</v>
      </c>
      <c r="G539">
        <v>3665943</v>
      </c>
    </row>
    <row r="540" spans="1:7" x14ac:dyDescent="0.25">
      <c r="A540" t="str">
        <f t="shared" si="8"/>
        <v>17 TRIPHENYLP 0.18 + TESTO</v>
      </c>
      <c r="B54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t="s">
        <v>4068</v>
      </c>
    </row>
    <row r="541" spans="1:7" x14ac:dyDescent="0.25">
      <c r="A541" t="str">
        <f t="shared" si="8"/>
        <v>17 TRIPHENYLP 0.18 + TESTO</v>
      </c>
      <c r="B54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1" t="s">
        <v>4069</v>
      </c>
      <c r="D541" t="s">
        <v>4070</v>
      </c>
      <c r="E541" t="s">
        <v>4071</v>
      </c>
      <c r="F541" t="s">
        <v>112</v>
      </c>
      <c r="G541">
        <v>3984767</v>
      </c>
    </row>
    <row r="542" spans="1:7" x14ac:dyDescent="0.25">
      <c r="A542" t="str">
        <f t="shared" si="8"/>
        <v>17 TRIPHENYLP 0.18 + TESTO</v>
      </c>
      <c r="B54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t="s">
        <v>4072</v>
      </c>
      <c r="D542" t="s">
        <v>1094</v>
      </c>
      <c r="E542" t="s">
        <v>4073</v>
      </c>
      <c r="F542" t="s">
        <v>112</v>
      </c>
      <c r="G542">
        <v>4094150</v>
      </c>
    </row>
    <row r="543" spans="1:7" x14ac:dyDescent="0.25">
      <c r="A543" t="str">
        <f t="shared" si="8"/>
        <v>17 TRIPHENYLP 0.18 + TESTO</v>
      </c>
      <c r="B54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t="s">
        <v>4074</v>
      </c>
      <c r="D543" t="s">
        <v>4075</v>
      </c>
      <c r="E543" t="s">
        <v>4076</v>
      </c>
      <c r="F543" t="s">
        <v>112</v>
      </c>
      <c r="G543">
        <v>4005164</v>
      </c>
    </row>
    <row r="544" spans="1:7" x14ac:dyDescent="0.25">
      <c r="A544" t="str">
        <f t="shared" si="8"/>
        <v>17 TRIPHENYLP 0.18 + TESTO</v>
      </c>
      <c r="B54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4" t="s">
        <v>4077</v>
      </c>
      <c r="D544" t="s">
        <v>4078</v>
      </c>
      <c r="E544" t="s">
        <v>4079</v>
      </c>
      <c r="F544" t="s">
        <v>112</v>
      </c>
      <c r="G544">
        <v>7029932</v>
      </c>
    </row>
    <row r="545" spans="1:9" x14ac:dyDescent="0.25">
      <c r="A545" t="str">
        <f t="shared" si="8"/>
        <v>17 TRIPHENYLP 0.18 + TESTO</v>
      </c>
      <c r="B54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t="s">
        <v>4080</v>
      </c>
      <c r="D545" t="s">
        <v>4081</v>
      </c>
      <c r="E545" t="s">
        <v>4082</v>
      </c>
      <c r="F545" t="s">
        <v>112</v>
      </c>
      <c r="G545">
        <v>5802587</v>
      </c>
    </row>
    <row r="546" spans="1:9" x14ac:dyDescent="0.25">
      <c r="A546" t="str">
        <f t="shared" si="8"/>
        <v>17 TRIPHENYLP 0.18 + TESTO</v>
      </c>
      <c r="B54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t="s">
        <v>4083</v>
      </c>
      <c r="D546" t="s">
        <v>4084</v>
      </c>
      <c r="E546" t="s">
        <v>4085</v>
      </c>
      <c r="F546" t="s">
        <v>112</v>
      </c>
      <c r="G546">
        <v>5742434</v>
      </c>
    </row>
    <row r="547" spans="1:9" x14ac:dyDescent="0.25">
      <c r="A547" t="str">
        <f t="shared" si="8"/>
        <v>17 TRIPHENYLP 0.18 + TESTO</v>
      </c>
      <c r="B54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7" t="s">
        <v>4086</v>
      </c>
      <c r="D547" t="s">
        <v>4087</v>
      </c>
      <c r="E547" t="s">
        <v>4088</v>
      </c>
      <c r="F547" t="s">
        <v>112</v>
      </c>
      <c r="G547">
        <v>3108908</v>
      </c>
    </row>
    <row r="548" spans="1:9" x14ac:dyDescent="0.25">
      <c r="A548" t="str">
        <f t="shared" si="8"/>
        <v>17 TRIPHENYLP 0.18 + TESTO</v>
      </c>
      <c r="B54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t="s">
        <v>4089</v>
      </c>
      <c r="D548" t="s">
        <v>4090</v>
      </c>
      <c r="E548" t="s">
        <v>4091</v>
      </c>
      <c r="F548" t="s">
        <v>112</v>
      </c>
      <c r="G548">
        <v>3331977</v>
      </c>
    </row>
    <row r="549" spans="1:9" x14ac:dyDescent="0.25">
      <c r="A549" t="str">
        <f t="shared" si="8"/>
        <v>17 TRIPHENYLP 0.18 + TESTO</v>
      </c>
      <c r="B54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t="s">
        <v>4092</v>
      </c>
      <c r="D549" t="s">
        <v>538</v>
      </c>
      <c r="E549" t="s">
        <v>4093</v>
      </c>
      <c r="F549" t="s">
        <v>112</v>
      </c>
      <c r="G549">
        <v>3400976</v>
      </c>
    </row>
    <row r="550" spans="1:9" x14ac:dyDescent="0.25">
      <c r="A550" t="str">
        <f t="shared" si="8"/>
        <v>17 TRIPHENYLP 0.18 + TESTO</v>
      </c>
      <c r="B55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0" t="s">
        <v>4094</v>
      </c>
      <c r="D550" t="s">
        <v>2545</v>
      </c>
      <c r="E550" t="s">
        <v>4095</v>
      </c>
      <c r="F550" t="s">
        <v>112</v>
      </c>
      <c r="G550">
        <v>2893691</v>
      </c>
    </row>
    <row r="551" spans="1:9" x14ac:dyDescent="0.25">
      <c r="A551" t="str">
        <f t="shared" si="8"/>
        <v>17 TRIPHENYLP 0.18 + TESTO</v>
      </c>
      <c r="B55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t="s">
        <v>4096</v>
      </c>
      <c r="D551" t="s">
        <v>4097</v>
      </c>
      <c r="E551" t="s">
        <v>4098</v>
      </c>
      <c r="F551" t="s">
        <v>112</v>
      </c>
      <c r="G551">
        <v>2818592</v>
      </c>
    </row>
    <row r="552" spans="1:9" x14ac:dyDescent="0.25">
      <c r="A552" t="str">
        <f t="shared" si="8"/>
        <v>17 TRIPHENYLP 0.18 + TESTO</v>
      </c>
      <c r="B55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t="s">
        <v>4099</v>
      </c>
      <c r="D552" t="s">
        <v>4100</v>
      </c>
      <c r="E552" t="s">
        <v>4101</v>
      </c>
      <c r="F552" t="s">
        <v>112</v>
      </c>
      <c r="G552">
        <v>2715871</v>
      </c>
    </row>
    <row r="553" spans="1:9" x14ac:dyDescent="0.25">
      <c r="A553" t="str">
        <f t="shared" si="8"/>
        <v/>
      </c>
      <c r="B5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3" t="s">
        <v>112</v>
      </c>
    </row>
    <row r="554" spans="1:9" x14ac:dyDescent="0.25">
      <c r="A554" t="str">
        <f t="shared" si="8"/>
        <v/>
      </c>
      <c r="B5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t="s">
        <v>234</v>
      </c>
      <c r="D554" t="s">
        <v>112</v>
      </c>
      <c r="E554" t="s">
        <v>235</v>
      </c>
      <c r="F554" t="s">
        <v>236</v>
      </c>
      <c r="G554" t="s">
        <v>237</v>
      </c>
      <c r="H554" t="s">
        <v>238</v>
      </c>
      <c r="I554" t="s">
        <v>239</v>
      </c>
    </row>
    <row r="555" spans="1:9" x14ac:dyDescent="0.25">
      <c r="A555" t="str">
        <f t="shared" si="8"/>
        <v>17 TRIPHENYLP 0.18 + TESTO</v>
      </c>
      <c r="B55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5" t="s">
        <v>4102</v>
      </c>
      <c r="D555" t="s">
        <v>112</v>
      </c>
      <c r="E555" t="s">
        <v>4103</v>
      </c>
      <c r="F555" t="s">
        <v>4104</v>
      </c>
      <c r="G555" t="s">
        <v>4105</v>
      </c>
      <c r="H555" t="s">
        <v>4106</v>
      </c>
      <c r="I555">
        <v>24</v>
      </c>
    </row>
    <row r="556" spans="1:9" x14ac:dyDescent="0.25">
      <c r="A556" t="str">
        <f t="shared" si="8"/>
        <v/>
      </c>
      <c r="B5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6" t="s">
        <v>112</v>
      </c>
    </row>
    <row r="557" spans="1:9" x14ac:dyDescent="0.25">
      <c r="A557" t="str">
        <f t="shared" si="8"/>
        <v/>
      </c>
      <c r="B5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t="s">
        <v>112</v>
      </c>
    </row>
    <row r="558" spans="1:9" x14ac:dyDescent="0.25">
      <c r="A558" t="str">
        <f t="shared" si="8"/>
        <v/>
      </c>
      <c r="B5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t="s">
        <v>112</v>
      </c>
    </row>
    <row r="559" spans="1:9" x14ac:dyDescent="0.25">
      <c r="A559" t="str">
        <f t="shared" si="8"/>
        <v/>
      </c>
      <c r="B5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t="s">
        <v>112</v>
      </c>
    </row>
    <row r="560" spans="1:9" x14ac:dyDescent="0.25">
      <c r="A560" t="str">
        <f t="shared" si="8"/>
        <v/>
      </c>
      <c r="B5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t="s">
        <v>112</v>
      </c>
    </row>
    <row r="561" spans="1:7" x14ac:dyDescent="0.25">
      <c r="A561" t="str">
        <f t="shared" si="8"/>
        <v/>
      </c>
      <c r="B5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t="s">
        <v>246</v>
      </c>
      <c r="D561" t="s">
        <v>110</v>
      </c>
      <c r="E561" t="s">
        <v>111</v>
      </c>
      <c r="F561" t="s">
        <v>112</v>
      </c>
      <c r="G561" t="s">
        <v>113</v>
      </c>
    </row>
    <row r="562" spans="1:7" x14ac:dyDescent="0.25">
      <c r="A562" t="str">
        <f t="shared" si="8"/>
        <v>18  TRIPHENYLP 0.26 + TESTO</v>
      </c>
      <c r="B56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2" t="s">
        <v>4107</v>
      </c>
      <c r="D562" t="s">
        <v>4108</v>
      </c>
      <c r="E562" t="s">
        <v>4109</v>
      </c>
      <c r="F562" t="s">
        <v>112</v>
      </c>
      <c r="G562">
        <v>5544434</v>
      </c>
    </row>
    <row r="563" spans="1:7" x14ac:dyDescent="0.25">
      <c r="A563" t="str">
        <f t="shared" si="8"/>
        <v>18  TRIPHENYLP 0.26 + TESTO</v>
      </c>
      <c r="B56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t="s">
        <v>4110</v>
      </c>
      <c r="D563" t="s">
        <v>4111</v>
      </c>
      <c r="E563" t="s">
        <v>4112</v>
      </c>
      <c r="F563" t="s">
        <v>112</v>
      </c>
      <c r="G563">
        <v>5632771</v>
      </c>
    </row>
    <row r="564" spans="1:7" x14ac:dyDescent="0.25">
      <c r="A564" t="str">
        <f t="shared" si="8"/>
        <v>18  TRIPHENYLP 0.26 + TESTO</v>
      </c>
      <c r="B56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t="s">
        <v>4113</v>
      </c>
      <c r="D564" t="s">
        <v>4114</v>
      </c>
      <c r="E564" t="s">
        <v>4115</v>
      </c>
      <c r="F564" t="s">
        <v>112</v>
      </c>
      <c r="G564">
        <v>5031568</v>
      </c>
    </row>
    <row r="565" spans="1:7" x14ac:dyDescent="0.25">
      <c r="A565" t="str">
        <f t="shared" si="8"/>
        <v>18  TRIPHENYLP 0.26 + TESTO</v>
      </c>
      <c r="B56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5" t="s">
        <v>4116</v>
      </c>
      <c r="D565" t="s">
        <v>4117</v>
      </c>
      <c r="E565" t="s">
        <v>4118</v>
      </c>
      <c r="F565" t="s">
        <v>112</v>
      </c>
      <c r="G565">
        <v>5209214</v>
      </c>
    </row>
    <row r="566" spans="1:7" x14ac:dyDescent="0.25">
      <c r="A566" t="str">
        <f t="shared" si="8"/>
        <v>18  TRIPHENYLP 0.26 + TESTO</v>
      </c>
      <c r="B56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t="s">
        <v>4119</v>
      </c>
      <c r="D566" t="s">
        <v>4120</v>
      </c>
      <c r="E566" t="s">
        <v>4121</v>
      </c>
      <c r="F566" t="s">
        <v>112</v>
      </c>
      <c r="G566">
        <v>5719009</v>
      </c>
    </row>
    <row r="567" spans="1:7" x14ac:dyDescent="0.25">
      <c r="A567" t="str">
        <f t="shared" si="8"/>
        <v>18  TRIPHENYLP 0.26 + TESTO</v>
      </c>
      <c r="B56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t="s">
        <v>4122</v>
      </c>
      <c r="D567" t="s">
        <v>4123</v>
      </c>
      <c r="E567" t="s">
        <v>4124</v>
      </c>
      <c r="F567" t="s">
        <v>112</v>
      </c>
      <c r="G567">
        <v>5548955</v>
      </c>
    </row>
    <row r="568" spans="1:7" x14ac:dyDescent="0.25">
      <c r="A568" t="str">
        <f t="shared" si="8"/>
        <v>18  TRIPHENYLP 0.26 + TESTO</v>
      </c>
      <c r="B56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8" t="s">
        <v>4125</v>
      </c>
      <c r="D568" t="s">
        <v>4126</v>
      </c>
      <c r="E568" t="s">
        <v>4127</v>
      </c>
      <c r="F568" t="s">
        <v>112</v>
      </c>
      <c r="G568">
        <v>5557758</v>
      </c>
    </row>
    <row r="569" spans="1:7" x14ac:dyDescent="0.25">
      <c r="A569" t="str">
        <f t="shared" si="8"/>
        <v>18  TRIPHENYLP 0.26 + TESTO</v>
      </c>
      <c r="B56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t="s">
        <v>4128</v>
      </c>
      <c r="D569" t="s">
        <v>4129</v>
      </c>
      <c r="E569" t="s">
        <v>4130</v>
      </c>
      <c r="F569" t="s">
        <v>112</v>
      </c>
      <c r="G569">
        <v>5929901</v>
      </c>
    </row>
    <row r="570" spans="1:7" x14ac:dyDescent="0.25">
      <c r="A570" t="str">
        <f t="shared" si="8"/>
        <v>18  TRIPHENYLP 0.26 + TESTO</v>
      </c>
      <c r="B57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t="s">
        <v>4131</v>
      </c>
      <c r="D570" t="s">
        <v>4132</v>
      </c>
      <c r="E570" t="s">
        <v>4133</v>
      </c>
      <c r="F570" t="s">
        <v>112</v>
      </c>
      <c r="G570">
        <v>5921486</v>
      </c>
    </row>
    <row r="571" spans="1:7" x14ac:dyDescent="0.25">
      <c r="A571" t="str">
        <f t="shared" si="8"/>
        <v>18  TRIPHENYLP 0.26 + TESTO</v>
      </c>
      <c r="B57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1" t="s">
        <v>4134</v>
      </c>
      <c r="D571" t="s">
        <v>4135</v>
      </c>
      <c r="E571" t="s">
        <v>4136</v>
      </c>
      <c r="F571" t="s">
        <v>112</v>
      </c>
      <c r="G571">
        <v>4614803</v>
      </c>
    </row>
    <row r="572" spans="1:7" x14ac:dyDescent="0.25">
      <c r="A572" t="str">
        <f t="shared" si="8"/>
        <v>18  TRIPHENYLP 0.26 + TESTO</v>
      </c>
      <c r="B57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t="s">
        <v>4137</v>
      </c>
      <c r="D572" t="s">
        <v>1628</v>
      </c>
      <c r="E572" t="s">
        <v>4138</v>
      </c>
      <c r="F572" t="s">
        <v>112</v>
      </c>
      <c r="G572">
        <v>4134316</v>
      </c>
    </row>
    <row r="573" spans="1:7" x14ac:dyDescent="0.25">
      <c r="A573" t="str">
        <f t="shared" si="8"/>
        <v>18  TRIPHENYLP 0.26 + TESTO</v>
      </c>
      <c r="B57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t="s">
        <v>4139</v>
      </c>
      <c r="D573" t="s">
        <v>4140</v>
      </c>
      <c r="E573" t="s">
        <v>4141</v>
      </c>
      <c r="F573" t="s">
        <v>112</v>
      </c>
      <c r="G573">
        <v>4652439</v>
      </c>
    </row>
    <row r="574" spans="1:7" x14ac:dyDescent="0.25">
      <c r="A574" t="str">
        <f t="shared" si="8"/>
        <v>18  TRIPHENYLP 0.26 + TESTO</v>
      </c>
      <c r="B57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4" t="s">
        <v>4142</v>
      </c>
      <c r="D574" t="s">
        <v>4143</v>
      </c>
      <c r="E574" t="s">
        <v>4144</v>
      </c>
      <c r="F574" t="s">
        <v>112</v>
      </c>
      <c r="G574">
        <v>6132378</v>
      </c>
    </row>
    <row r="575" spans="1:7" x14ac:dyDescent="0.25">
      <c r="A575" t="str">
        <f t="shared" si="8"/>
        <v>18  TRIPHENYLP 0.26 + TESTO</v>
      </c>
      <c r="B57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t="s">
        <v>4145</v>
      </c>
      <c r="D575" t="s">
        <v>4146</v>
      </c>
      <c r="E575" t="s">
        <v>4147</v>
      </c>
      <c r="F575" t="s">
        <v>112</v>
      </c>
      <c r="G575">
        <v>6260146</v>
      </c>
    </row>
    <row r="576" spans="1:7" x14ac:dyDescent="0.25">
      <c r="A576" t="str">
        <f t="shared" si="8"/>
        <v>18  TRIPHENYLP 0.26 + TESTO</v>
      </c>
      <c r="B57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t="s">
        <v>4148</v>
      </c>
      <c r="D576" t="s">
        <v>4149</v>
      </c>
      <c r="E576" t="s">
        <v>4150</v>
      </c>
      <c r="F576" t="s">
        <v>112</v>
      </c>
      <c r="G576">
        <v>5942035</v>
      </c>
    </row>
    <row r="577" spans="1:9" x14ac:dyDescent="0.25">
      <c r="A577" t="str">
        <f t="shared" si="8"/>
        <v>18  TRIPHENYLP 0.26 + TESTO</v>
      </c>
      <c r="B57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7" t="s">
        <v>4151</v>
      </c>
      <c r="D577" t="s">
        <v>4152</v>
      </c>
      <c r="E577" t="s">
        <v>4153</v>
      </c>
      <c r="F577" t="s">
        <v>112</v>
      </c>
      <c r="G577">
        <v>4907131</v>
      </c>
    </row>
    <row r="578" spans="1:9" x14ac:dyDescent="0.25">
      <c r="A578" t="str">
        <f t="shared" ref="A578:A641" si="9">IFERROR(LEFT(RIGHT(C578,LEN(C578)-SEARCH("@",C578)),SEARCH("/",RIGHT(C578,LEN(C578)-SEARCH("@",C578)-1))),"")</f>
        <v>18  TRIPHENYLP 0.26 + TESTO</v>
      </c>
      <c r="B57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t="s">
        <v>4154</v>
      </c>
    </row>
    <row r="579" spans="1:9" x14ac:dyDescent="0.25">
      <c r="A579" t="str">
        <f t="shared" si="9"/>
        <v>18  TRIPHENYLP 0.26 + TESTO</v>
      </c>
      <c r="B57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t="s">
        <v>4155</v>
      </c>
      <c r="D579" t="s">
        <v>4156</v>
      </c>
      <c r="E579" t="s">
        <v>4157</v>
      </c>
      <c r="F579" t="s">
        <v>112</v>
      </c>
      <c r="G579">
        <v>4744972</v>
      </c>
    </row>
    <row r="580" spans="1:9" x14ac:dyDescent="0.25">
      <c r="A580" t="str">
        <f t="shared" si="9"/>
        <v>18  TRIPHENYLP 0.26 + TESTO</v>
      </c>
      <c r="B58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0" t="s">
        <v>4158</v>
      </c>
      <c r="D580" t="s">
        <v>4159</v>
      </c>
      <c r="E580" t="s">
        <v>4160</v>
      </c>
      <c r="F580" t="s">
        <v>112</v>
      </c>
      <c r="G580">
        <v>3481569</v>
      </c>
    </row>
    <row r="581" spans="1:9" x14ac:dyDescent="0.25">
      <c r="A581" t="str">
        <f t="shared" si="9"/>
        <v>18  TRIPHENYLP 0.26 + TESTO</v>
      </c>
      <c r="B58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t="s">
        <v>4161</v>
      </c>
      <c r="D581" t="s">
        <v>4162</v>
      </c>
      <c r="E581" t="s">
        <v>4163</v>
      </c>
      <c r="F581" t="s">
        <v>112</v>
      </c>
      <c r="G581">
        <v>3499457</v>
      </c>
    </row>
    <row r="582" spans="1:9" x14ac:dyDescent="0.25">
      <c r="A582" t="str">
        <f t="shared" si="9"/>
        <v>18  TRIPHENYLP 0.26 + TESTO</v>
      </c>
      <c r="B58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t="s">
        <v>4164</v>
      </c>
      <c r="D582" t="s">
        <v>1132</v>
      </c>
      <c r="E582" t="s">
        <v>4165</v>
      </c>
      <c r="F582" t="s">
        <v>112</v>
      </c>
      <c r="G582">
        <v>3260923</v>
      </c>
    </row>
    <row r="583" spans="1:9" x14ac:dyDescent="0.25">
      <c r="A583" t="str">
        <f t="shared" si="9"/>
        <v>18  TRIPHENYLP 0.26 + TESTO</v>
      </c>
      <c r="B58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3" t="s">
        <v>4166</v>
      </c>
      <c r="D583" t="s">
        <v>2727</v>
      </c>
      <c r="E583" t="s">
        <v>2798</v>
      </c>
      <c r="F583" t="s">
        <v>112</v>
      </c>
      <c r="G583">
        <v>5298956</v>
      </c>
    </row>
    <row r="584" spans="1:9" x14ac:dyDescent="0.25">
      <c r="A584" t="str">
        <f t="shared" si="9"/>
        <v>18  TRIPHENYLP 0.26 + TESTO</v>
      </c>
      <c r="B58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t="s">
        <v>4167</v>
      </c>
      <c r="D584" t="s">
        <v>4168</v>
      </c>
      <c r="E584" t="s">
        <v>4169</v>
      </c>
      <c r="F584" t="s">
        <v>112</v>
      </c>
      <c r="G584">
        <v>5403710</v>
      </c>
    </row>
    <row r="585" spans="1:9" x14ac:dyDescent="0.25">
      <c r="A585" t="str">
        <f t="shared" si="9"/>
        <v>18  TRIPHENYLP 0.26 + TESTO</v>
      </c>
      <c r="B58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t="s">
        <v>4170</v>
      </c>
      <c r="D585" t="s">
        <v>4171</v>
      </c>
      <c r="E585" t="s">
        <v>4172</v>
      </c>
      <c r="F585" t="s">
        <v>112</v>
      </c>
      <c r="G585">
        <v>4679282</v>
      </c>
    </row>
    <row r="586" spans="1:9" x14ac:dyDescent="0.25">
      <c r="A586" t="str">
        <f t="shared" si="9"/>
        <v/>
      </c>
      <c r="B5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6" t="s">
        <v>112</v>
      </c>
    </row>
    <row r="587" spans="1:9" x14ac:dyDescent="0.25">
      <c r="A587" t="str">
        <f t="shared" si="9"/>
        <v/>
      </c>
      <c r="B5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t="s">
        <v>234</v>
      </c>
      <c r="D587" t="s">
        <v>112</v>
      </c>
      <c r="E587" t="s">
        <v>235</v>
      </c>
      <c r="F587" t="s">
        <v>236</v>
      </c>
      <c r="G587" t="s">
        <v>237</v>
      </c>
      <c r="H587" t="s">
        <v>238</v>
      </c>
      <c r="I587" t="s">
        <v>239</v>
      </c>
    </row>
    <row r="588" spans="1:9" x14ac:dyDescent="0.25">
      <c r="A588" t="str">
        <f t="shared" si="9"/>
        <v>18  TRIPHENYLP 0.26 + TESTO</v>
      </c>
      <c r="B58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8" t="s">
        <v>4173</v>
      </c>
      <c r="D588" t="s">
        <v>112</v>
      </c>
      <c r="E588" t="s">
        <v>4174</v>
      </c>
      <c r="F588" t="s">
        <v>4175</v>
      </c>
      <c r="G588" t="s">
        <v>4176</v>
      </c>
      <c r="H588" t="s">
        <v>4177</v>
      </c>
      <c r="I588">
        <v>24</v>
      </c>
    </row>
    <row r="589" spans="1:9" x14ac:dyDescent="0.25">
      <c r="A589" t="str">
        <f t="shared" si="9"/>
        <v/>
      </c>
      <c r="B5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9" t="s">
        <v>112</v>
      </c>
    </row>
    <row r="590" spans="1:9" x14ac:dyDescent="0.25">
      <c r="A590" t="str">
        <f t="shared" si="9"/>
        <v/>
      </c>
      <c r="B5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t="s">
        <v>112</v>
      </c>
    </row>
    <row r="591" spans="1:9" x14ac:dyDescent="0.25">
      <c r="A591" t="str">
        <f t="shared" si="9"/>
        <v/>
      </c>
      <c r="B5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t="s">
        <v>112</v>
      </c>
    </row>
    <row r="592" spans="1:9" x14ac:dyDescent="0.25">
      <c r="A592" t="str">
        <f t="shared" si="9"/>
        <v/>
      </c>
      <c r="B5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t="s">
        <v>112</v>
      </c>
    </row>
    <row r="593" spans="1:7" x14ac:dyDescent="0.25">
      <c r="A593" t="str">
        <f t="shared" si="9"/>
        <v/>
      </c>
      <c r="B5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t="s">
        <v>112</v>
      </c>
    </row>
    <row r="594" spans="1:7" x14ac:dyDescent="0.25">
      <c r="A594" t="str">
        <f t="shared" si="9"/>
        <v/>
      </c>
      <c r="B5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t="s">
        <v>246</v>
      </c>
      <c r="D594" t="s">
        <v>110</v>
      </c>
      <c r="E594" t="s">
        <v>111</v>
      </c>
      <c r="F594" t="s">
        <v>112</v>
      </c>
      <c r="G594" t="s">
        <v>113</v>
      </c>
    </row>
    <row r="595" spans="1:7" x14ac:dyDescent="0.25">
      <c r="A595" t="str">
        <f t="shared" si="9"/>
        <v>19  TRIPHENYLP 0.4 + TESTO</v>
      </c>
      <c r="B59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5" t="s">
        <v>4178</v>
      </c>
      <c r="D595" t="s">
        <v>4179</v>
      </c>
      <c r="E595" t="s">
        <v>4180</v>
      </c>
      <c r="F595" t="s">
        <v>112</v>
      </c>
      <c r="G595">
        <v>6681345</v>
      </c>
    </row>
    <row r="596" spans="1:7" x14ac:dyDescent="0.25">
      <c r="A596" t="str">
        <f t="shared" si="9"/>
        <v>19  TRIPHENYLP 0.4 + TESTO</v>
      </c>
      <c r="B59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t="s">
        <v>4181</v>
      </c>
      <c r="D596" t="s">
        <v>4182</v>
      </c>
      <c r="E596" t="s">
        <v>4183</v>
      </c>
      <c r="F596" t="s">
        <v>112</v>
      </c>
      <c r="G596">
        <v>6577716</v>
      </c>
    </row>
    <row r="597" spans="1:7" x14ac:dyDescent="0.25">
      <c r="A597" t="str">
        <f t="shared" si="9"/>
        <v>19  TRIPHENYLP 0.4 + TESTO</v>
      </c>
      <c r="B59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t="s">
        <v>4184</v>
      </c>
      <c r="D597" t="s">
        <v>4185</v>
      </c>
      <c r="E597" t="s">
        <v>4186</v>
      </c>
      <c r="F597" t="s">
        <v>112</v>
      </c>
      <c r="G597">
        <v>6849193</v>
      </c>
    </row>
    <row r="598" spans="1:7" x14ac:dyDescent="0.25">
      <c r="A598" t="str">
        <f t="shared" si="9"/>
        <v>19  TRIPHENYLP 0.4 + TESTO</v>
      </c>
      <c r="B59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8" t="s">
        <v>4187</v>
      </c>
      <c r="D598" t="s">
        <v>4188</v>
      </c>
      <c r="E598" t="s">
        <v>4189</v>
      </c>
      <c r="F598" t="s">
        <v>112</v>
      </c>
      <c r="G598">
        <v>7286701</v>
      </c>
    </row>
    <row r="599" spans="1:7" x14ac:dyDescent="0.25">
      <c r="A599" t="str">
        <f t="shared" si="9"/>
        <v>19  TRIPHENYLP 0.4 + TESTO</v>
      </c>
      <c r="B59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t="s">
        <v>4190</v>
      </c>
      <c r="D599" t="s">
        <v>4191</v>
      </c>
      <c r="E599" t="s">
        <v>4192</v>
      </c>
      <c r="F599" t="s">
        <v>112</v>
      </c>
      <c r="G599">
        <v>7553311</v>
      </c>
    </row>
    <row r="600" spans="1:7" x14ac:dyDescent="0.25">
      <c r="A600" t="str">
        <f t="shared" si="9"/>
        <v>19  TRIPHENYLP 0.4 + TESTO</v>
      </c>
      <c r="B60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t="s">
        <v>4193</v>
      </c>
      <c r="D600" t="s">
        <v>4194</v>
      </c>
      <c r="E600" t="s">
        <v>4195</v>
      </c>
      <c r="F600" t="s">
        <v>112</v>
      </c>
      <c r="G600">
        <v>7428960</v>
      </c>
    </row>
    <row r="601" spans="1:7" x14ac:dyDescent="0.25">
      <c r="A601" t="str">
        <f t="shared" si="9"/>
        <v>19  TRIPHENYLP 0.4 + TESTO</v>
      </c>
      <c r="B60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1" t="s">
        <v>4196</v>
      </c>
      <c r="D601" t="s">
        <v>4197</v>
      </c>
      <c r="E601" t="s">
        <v>4198</v>
      </c>
      <c r="F601" t="s">
        <v>112</v>
      </c>
      <c r="G601">
        <v>5988755</v>
      </c>
    </row>
    <row r="602" spans="1:7" x14ac:dyDescent="0.25">
      <c r="A602" t="str">
        <f t="shared" si="9"/>
        <v>19  TRIPHENYLP 0.4 + TESTO</v>
      </c>
      <c r="B60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t="s">
        <v>4199</v>
      </c>
      <c r="D602" t="s">
        <v>1616</v>
      </c>
      <c r="E602" t="s">
        <v>4200</v>
      </c>
      <c r="F602" t="s">
        <v>112</v>
      </c>
      <c r="G602">
        <v>5287038</v>
      </c>
    </row>
    <row r="603" spans="1:7" x14ac:dyDescent="0.25">
      <c r="A603" t="str">
        <f t="shared" si="9"/>
        <v>19  TRIPHENYLP 0.4 + TESTO</v>
      </c>
      <c r="B60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t="s">
        <v>4201</v>
      </c>
      <c r="D603" t="s">
        <v>4202</v>
      </c>
      <c r="E603" t="s">
        <v>4203</v>
      </c>
      <c r="F603" t="s">
        <v>112</v>
      </c>
      <c r="G603">
        <v>5312389</v>
      </c>
    </row>
    <row r="604" spans="1:7" x14ac:dyDescent="0.25">
      <c r="A604" t="str">
        <f t="shared" si="9"/>
        <v>19  TRIPHENYLP 0.4 + TESTO</v>
      </c>
      <c r="B60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4" t="s">
        <v>4204</v>
      </c>
      <c r="D604" t="s">
        <v>4205</v>
      </c>
      <c r="E604" t="s">
        <v>4206</v>
      </c>
      <c r="F604" t="s">
        <v>112</v>
      </c>
      <c r="G604">
        <v>3375388</v>
      </c>
    </row>
    <row r="605" spans="1:7" x14ac:dyDescent="0.25">
      <c r="A605" t="str">
        <f t="shared" si="9"/>
        <v>19  TRIPHENYLP 0.4 + TESTO</v>
      </c>
      <c r="B60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t="s">
        <v>4207</v>
      </c>
      <c r="D605" t="s">
        <v>1122</v>
      </c>
      <c r="E605" t="s">
        <v>4208</v>
      </c>
      <c r="F605" t="s">
        <v>112</v>
      </c>
      <c r="G605">
        <v>3883085</v>
      </c>
    </row>
    <row r="606" spans="1:7" x14ac:dyDescent="0.25">
      <c r="A606" t="str">
        <f t="shared" si="9"/>
        <v>19  TRIPHENYLP 0.4 + TESTO</v>
      </c>
      <c r="B60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t="s">
        <v>4209</v>
      </c>
      <c r="D606" t="s">
        <v>4210</v>
      </c>
      <c r="E606" t="s">
        <v>4211</v>
      </c>
      <c r="F606" t="s">
        <v>112</v>
      </c>
      <c r="G606">
        <v>3630946</v>
      </c>
    </row>
    <row r="607" spans="1:7" x14ac:dyDescent="0.25">
      <c r="A607" t="str">
        <f t="shared" si="9"/>
        <v>19  TRIPHENYLP 0.4 + TESTO</v>
      </c>
      <c r="B60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7" t="s">
        <v>4212</v>
      </c>
      <c r="D607" t="s">
        <v>4213</v>
      </c>
      <c r="E607" t="s">
        <v>4214</v>
      </c>
      <c r="F607" t="s">
        <v>112</v>
      </c>
      <c r="G607">
        <v>5061071</v>
      </c>
    </row>
    <row r="608" spans="1:7" x14ac:dyDescent="0.25">
      <c r="A608" t="str">
        <f t="shared" si="9"/>
        <v>19  TRIPHENYLP 0.4 + TESTO</v>
      </c>
      <c r="B60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t="s">
        <v>4215</v>
      </c>
      <c r="D608" t="s">
        <v>4216</v>
      </c>
      <c r="E608" t="s">
        <v>4217</v>
      </c>
      <c r="F608" t="s">
        <v>112</v>
      </c>
      <c r="G608">
        <v>5298827</v>
      </c>
    </row>
    <row r="609" spans="1:9" x14ac:dyDescent="0.25">
      <c r="A609" t="str">
        <f t="shared" si="9"/>
        <v>19  TRIPHENYLP 0.4 + TESTO</v>
      </c>
      <c r="B60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t="s">
        <v>4218</v>
      </c>
      <c r="D609" t="s">
        <v>4219</v>
      </c>
      <c r="E609" t="s">
        <v>4220</v>
      </c>
      <c r="F609" t="s">
        <v>112</v>
      </c>
      <c r="G609">
        <v>5229330</v>
      </c>
    </row>
    <row r="610" spans="1:9" x14ac:dyDescent="0.25">
      <c r="A610" t="str">
        <f t="shared" si="9"/>
        <v>19  TRIPHENYLP 0.4 + TESTO</v>
      </c>
      <c r="B61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0" t="s">
        <v>4221</v>
      </c>
      <c r="D610" t="s">
        <v>1391</v>
      </c>
      <c r="E610" t="s">
        <v>4222</v>
      </c>
      <c r="F610" t="s">
        <v>112</v>
      </c>
      <c r="G610">
        <v>4308826</v>
      </c>
    </row>
    <row r="611" spans="1:9" x14ac:dyDescent="0.25">
      <c r="A611" t="str">
        <f t="shared" si="9"/>
        <v>19  TRIPHENYLP 0.4 + TESTO</v>
      </c>
      <c r="B61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t="s">
        <v>4223</v>
      </c>
      <c r="D611" t="s">
        <v>4224</v>
      </c>
      <c r="E611" t="s">
        <v>4225</v>
      </c>
      <c r="F611" t="s">
        <v>112</v>
      </c>
      <c r="G611">
        <v>5053847</v>
      </c>
    </row>
    <row r="612" spans="1:9" x14ac:dyDescent="0.25">
      <c r="A612" t="str">
        <f t="shared" si="9"/>
        <v>19  TRIPHENYLP 0.4 + TESTO</v>
      </c>
      <c r="B61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t="s">
        <v>4226</v>
      </c>
      <c r="D612" t="s">
        <v>2395</v>
      </c>
      <c r="E612" t="s">
        <v>4227</v>
      </c>
      <c r="F612" t="s">
        <v>112</v>
      </c>
      <c r="G612">
        <v>4493048</v>
      </c>
    </row>
    <row r="613" spans="1:9" x14ac:dyDescent="0.25">
      <c r="A613" t="str">
        <f t="shared" si="9"/>
        <v>19  TRIPHENYLP 0.4 + TESTO</v>
      </c>
      <c r="B61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3" t="s">
        <v>4228</v>
      </c>
      <c r="D613" t="s">
        <v>4229</v>
      </c>
      <c r="E613" t="s">
        <v>4230</v>
      </c>
      <c r="F613" t="s">
        <v>112</v>
      </c>
      <c r="G613">
        <v>5023867</v>
      </c>
    </row>
    <row r="614" spans="1:9" x14ac:dyDescent="0.25">
      <c r="A614" t="str">
        <f t="shared" si="9"/>
        <v>19  TRIPHENYLP 0.4 + TESTO</v>
      </c>
      <c r="B61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t="s">
        <v>4231</v>
      </c>
      <c r="D614" t="s">
        <v>1113</v>
      </c>
      <c r="E614" t="s">
        <v>4232</v>
      </c>
      <c r="F614" t="s">
        <v>112</v>
      </c>
      <c r="G614">
        <v>4918357</v>
      </c>
    </row>
    <row r="615" spans="1:9" x14ac:dyDescent="0.25">
      <c r="A615" t="str">
        <f t="shared" si="9"/>
        <v>19  TRIPHENYLP 0.4 + TESTO</v>
      </c>
      <c r="B61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t="s">
        <v>4233</v>
      </c>
      <c r="D615" t="s">
        <v>4234</v>
      </c>
      <c r="E615" t="s">
        <v>4235</v>
      </c>
      <c r="F615" t="s">
        <v>112</v>
      </c>
      <c r="G615">
        <v>4717631</v>
      </c>
    </row>
    <row r="616" spans="1:9" x14ac:dyDescent="0.25">
      <c r="A616" t="str">
        <f t="shared" si="9"/>
        <v>19  TRIPHENYLP 0.4 + TESTO</v>
      </c>
      <c r="B61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6" t="s">
        <v>4236</v>
      </c>
      <c r="D616" t="s">
        <v>4237</v>
      </c>
      <c r="E616" t="s">
        <v>4238</v>
      </c>
      <c r="F616" t="s">
        <v>112</v>
      </c>
      <c r="G616">
        <v>3836343</v>
      </c>
    </row>
    <row r="617" spans="1:9" x14ac:dyDescent="0.25">
      <c r="A617" t="str">
        <f t="shared" si="9"/>
        <v>19  TRIPHENYLP 0.4 + TESTO</v>
      </c>
      <c r="B61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t="s">
        <v>4239</v>
      </c>
      <c r="D617" t="s">
        <v>3048</v>
      </c>
      <c r="E617" t="s">
        <v>4240</v>
      </c>
      <c r="F617" t="s">
        <v>112</v>
      </c>
      <c r="G617">
        <v>4245408</v>
      </c>
    </row>
    <row r="618" spans="1:9" x14ac:dyDescent="0.25">
      <c r="A618" t="str">
        <f t="shared" si="9"/>
        <v>19  TRIPHENYLP 0.4 + TESTO</v>
      </c>
      <c r="B61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t="s">
        <v>4241</v>
      </c>
      <c r="D618" t="s">
        <v>4242</v>
      </c>
      <c r="E618" t="s">
        <v>4243</v>
      </c>
      <c r="F618" t="s">
        <v>112</v>
      </c>
      <c r="G618">
        <v>4663643</v>
      </c>
    </row>
    <row r="619" spans="1:9" x14ac:dyDescent="0.25">
      <c r="A619" t="str">
        <f t="shared" si="9"/>
        <v/>
      </c>
      <c r="B6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9" t="s">
        <v>112</v>
      </c>
    </row>
    <row r="620" spans="1:9" x14ac:dyDescent="0.25">
      <c r="A620" t="str">
        <f t="shared" si="9"/>
        <v/>
      </c>
      <c r="B6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t="s">
        <v>234</v>
      </c>
      <c r="D620" t="s">
        <v>112</v>
      </c>
      <c r="E620" t="s">
        <v>235</v>
      </c>
      <c r="F620" t="s">
        <v>236</v>
      </c>
      <c r="G620" t="s">
        <v>237</v>
      </c>
      <c r="H620" t="s">
        <v>238</v>
      </c>
      <c r="I620" t="s">
        <v>239</v>
      </c>
    </row>
    <row r="621" spans="1:9" x14ac:dyDescent="0.25">
      <c r="A621" t="str">
        <f t="shared" si="9"/>
        <v>19  TRIPHENYLP 0.4 + TESTO</v>
      </c>
      <c r="B62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1" t="s">
        <v>4244</v>
      </c>
      <c r="D621" t="s">
        <v>112</v>
      </c>
      <c r="E621" t="s">
        <v>4245</v>
      </c>
      <c r="F621" t="s">
        <v>4246</v>
      </c>
      <c r="G621" t="s">
        <v>4247</v>
      </c>
      <c r="H621" t="s">
        <v>4248</v>
      </c>
      <c r="I621">
        <v>24</v>
      </c>
    </row>
    <row r="622" spans="1:9" x14ac:dyDescent="0.25">
      <c r="A622" t="str">
        <f t="shared" si="9"/>
        <v/>
      </c>
      <c r="B6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2" t="s">
        <v>112</v>
      </c>
    </row>
    <row r="623" spans="1:9" x14ac:dyDescent="0.25">
      <c r="A623" t="str">
        <f t="shared" si="9"/>
        <v/>
      </c>
      <c r="B6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t="s">
        <v>112</v>
      </c>
    </row>
    <row r="624" spans="1:9" x14ac:dyDescent="0.25">
      <c r="A624" t="str">
        <f t="shared" si="9"/>
        <v/>
      </c>
      <c r="B6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t="s">
        <v>112</v>
      </c>
    </row>
    <row r="625" spans="1:7" x14ac:dyDescent="0.25">
      <c r="A625" t="str">
        <f t="shared" si="9"/>
        <v/>
      </c>
      <c r="B6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t="s">
        <v>112</v>
      </c>
    </row>
    <row r="626" spans="1:7" x14ac:dyDescent="0.25">
      <c r="A626" t="str">
        <f t="shared" si="9"/>
        <v/>
      </c>
      <c r="B6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t="s">
        <v>112</v>
      </c>
    </row>
    <row r="627" spans="1:7" x14ac:dyDescent="0.25">
      <c r="A627" t="str">
        <f t="shared" si="9"/>
        <v/>
      </c>
      <c r="B6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t="s">
        <v>246</v>
      </c>
      <c r="D627" t="s">
        <v>110</v>
      </c>
      <c r="E627" t="s">
        <v>111</v>
      </c>
      <c r="F627" t="s">
        <v>112</v>
      </c>
      <c r="G627" t="s">
        <v>113</v>
      </c>
    </row>
    <row r="628" spans="1:7" x14ac:dyDescent="0.25">
      <c r="A628" t="str">
        <f t="shared" si="9"/>
        <v>20  TRIPHENYLP 0.59 + TESTO</v>
      </c>
      <c r="B62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8" t="s">
        <v>4249</v>
      </c>
      <c r="D628" t="s">
        <v>3802</v>
      </c>
      <c r="E628" t="s">
        <v>4250</v>
      </c>
      <c r="F628" t="s">
        <v>112</v>
      </c>
      <c r="G628">
        <v>4028070</v>
      </c>
    </row>
    <row r="629" spans="1:7" x14ac:dyDescent="0.25">
      <c r="A629" t="str">
        <f t="shared" si="9"/>
        <v>20  TRIPHENYLP 0.59 + TESTO</v>
      </c>
      <c r="B62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t="s">
        <v>4251</v>
      </c>
      <c r="D629" t="s">
        <v>4252</v>
      </c>
      <c r="E629" t="s">
        <v>4253</v>
      </c>
      <c r="F629" t="s">
        <v>112</v>
      </c>
      <c r="G629">
        <v>4110848</v>
      </c>
    </row>
    <row r="630" spans="1:7" x14ac:dyDescent="0.25">
      <c r="A630" t="str">
        <f t="shared" si="9"/>
        <v>20  TRIPHENYLP 0.59 + TESTO</v>
      </c>
      <c r="B63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t="s">
        <v>4254</v>
      </c>
      <c r="D630" t="s">
        <v>4255</v>
      </c>
      <c r="E630" t="s">
        <v>4256</v>
      </c>
      <c r="F630" t="s">
        <v>112</v>
      </c>
      <c r="G630">
        <v>4107841</v>
      </c>
    </row>
    <row r="631" spans="1:7" x14ac:dyDescent="0.25">
      <c r="A631" t="str">
        <f t="shared" si="9"/>
        <v>20  TRIPHENYLP 0.59 + TESTO</v>
      </c>
      <c r="B63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1" t="s">
        <v>4257</v>
      </c>
      <c r="D631" t="s">
        <v>1628</v>
      </c>
      <c r="E631" t="s">
        <v>4258</v>
      </c>
      <c r="F631" t="s">
        <v>112</v>
      </c>
      <c r="G631">
        <v>5045281</v>
      </c>
    </row>
    <row r="632" spans="1:7" x14ac:dyDescent="0.25">
      <c r="A632" t="str">
        <f t="shared" si="9"/>
        <v>20  TRIPHENYLP 0.59 + TESTO</v>
      </c>
      <c r="B63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t="s">
        <v>4259</v>
      </c>
      <c r="D632" t="s">
        <v>2775</v>
      </c>
      <c r="E632" t="s">
        <v>4260</v>
      </c>
      <c r="F632" t="s">
        <v>112</v>
      </c>
      <c r="G632">
        <v>4672620</v>
      </c>
    </row>
    <row r="633" spans="1:7" x14ac:dyDescent="0.25">
      <c r="A633" t="str">
        <f t="shared" si="9"/>
        <v>20  TRIPHENYLP 0.59 + TESTO</v>
      </c>
      <c r="B63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t="s">
        <v>4261</v>
      </c>
      <c r="D633" t="s">
        <v>4262</v>
      </c>
      <c r="E633" t="s">
        <v>4263</v>
      </c>
      <c r="F633" t="s">
        <v>112</v>
      </c>
      <c r="G633">
        <v>4758923</v>
      </c>
    </row>
    <row r="634" spans="1:7" x14ac:dyDescent="0.25">
      <c r="A634" t="str">
        <f t="shared" si="9"/>
        <v>20  TRIPHENYLP 0.59 + TESTO</v>
      </c>
      <c r="B63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4" t="s">
        <v>4264</v>
      </c>
      <c r="D634" t="s">
        <v>4265</v>
      </c>
      <c r="E634" t="s">
        <v>4266</v>
      </c>
      <c r="F634" t="s">
        <v>112</v>
      </c>
      <c r="G634">
        <v>5144973</v>
      </c>
    </row>
    <row r="635" spans="1:7" x14ac:dyDescent="0.25">
      <c r="A635" t="str">
        <f t="shared" si="9"/>
        <v>20  TRIPHENYLP 0.59 + TESTO</v>
      </c>
      <c r="B63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t="s">
        <v>4267</v>
      </c>
      <c r="D635" t="s">
        <v>4268</v>
      </c>
      <c r="E635" t="s">
        <v>4269</v>
      </c>
      <c r="F635" t="s">
        <v>112</v>
      </c>
      <c r="G635">
        <v>4989476</v>
      </c>
    </row>
    <row r="636" spans="1:7" x14ac:dyDescent="0.25">
      <c r="A636" t="str">
        <f t="shared" si="9"/>
        <v>20  TRIPHENYLP 0.59 + TESTO</v>
      </c>
      <c r="B63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t="s">
        <v>4270</v>
      </c>
      <c r="D636" t="s">
        <v>4271</v>
      </c>
      <c r="E636" t="s">
        <v>4272</v>
      </c>
      <c r="F636" t="s">
        <v>112</v>
      </c>
      <c r="G636">
        <v>4952056</v>
      </c>
    </row>
    <row r="637" spans="1:7" x14ac:dyDescent="0.25">
      <c r="A637" t="str">
        <f t="shared" si="9"/>
        <v>20  TRIPHENYLP 0.59 + TESTO</v>
      </c>
      <c r="B63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7" t="s">
        <v>4273</v>
      </c>
      <c r="D637" t="s">
        <v>4274</v>
      </c>
      <c r="E637" t="s">
        <v>4275</v>
      </c>
      <c r="F637" t="s">
        <v>112</v>
      </c>
      <c r="G637">
        <v>6268127</v>
      </c>
    </row>
    <row r="638" spans="1:7" x14ac:dyDescent="0.25">
      <c r="A638" t="str">
        <f t="shared" si="9"/>
        <v>20  TRIPHENYLP 0.59 + TESTO</v>
      </c>
      <c r="B63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t="s">
        <v>4276</v>
      </c>
      <c r="D638" t="s">
        <v>4277</v>
      </c>
      <c r="E638" t="s">
        <v>4278</v>
      </c>
      <c r="F638" t="s">
        <v>112</v>
      </c>
      <c r="G638">
        <v>6749154</v>
      </c>
    </row>
    <row r="639" spans="1:7" x14ac:dyDescent="0.25">
      <c r="A639" t="str">
        <f t="shared" si="9"/>
        <v>20  TRIPHENYLP 0.59 + TESTO</v>
      </c>
      <c r="B63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t="s">
        <v>4279</v>
      </c>
      <c r="D639" t="s">
        <v>4280</v>
      </c>
      <c r="E639" t="s">
        <v>4281</v>
      </c>
      <c r="F639" t="s">
        <v>112</v>
      </c>
      <c r="G639">
        <v>6239359</v>
      </c>
    </row>
    <row r="640" spans="1:7" x14ac:dyDescent="0.25">
      <c r="A640" t="str">
        <f t="shared" si="9"/>
        <v>20  TRIPHENYLP 0.59 + TESTO</v>
      </c>
      <c r="B64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0" t="s">
        <v>4282</v>
      </c>
      <c r="D640" t="s">
        <v>4283</v>
      </c>
      <c r="E640" t="s">
        <v>4284</v>
      </c>
      <c r="F640" t="s">
        <v>112</v>
      </c>
      <c r="G640">
        <v>3820748</v>
      </c>
    </row>
    <row r="641" spans="1:9" x14ac:dyDescent="0.25">
      <c r="A641" t="str">
        <f t="shared" si="9"/>
        <v>20  TRIPHENYLP 0.59 + TESTO</v>
      </c>
      <c r="B64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t="s">
        <v>4285</v>
      </c>
      <c r="D641" t="s">
        <v>4286</v>
      </c>
      <c r="E641" t="s">
        <v>4287</v>
      </c>
      <c r="F641" t="s">
        <v>112</v>
      </c>
      <c r="G641">
        <v>3974926</v>
      </c>
    </row>
    <row r="642" spans="1:9" x14ac:dyDescent="0.25">
      <c r="A642" t="str">
        <f t="shared" ref="A642:A705" si="10">IFERROR(LEFT(RIGHT(C642,LEN(C642)-SEARCH("@",C642)),SEARCH("/",RIGHT(C642,LEN(C642)-SEARCH("@",C642)-1))),"")</f>
        <v>20  TRIPHENYLP 0.59 + TESTO</v>
      </c>
      <c r="B64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t="s">
        <v>4288</v>
      </c>
      <c r="D642" t="s">
        <v>4289</v>
      </c>
      <c r="E642" t="s">
        <v>4290</v>
      </c>
      <c r="F642" t="s">
        <v>112</v>
      </c>
      <c r="G642">
        <v>3929460</v>
      </c>
    </row>
    <row r="643" spans="1:9" x14ac:dyDescent="0.25">
      <c r="A643" t="str">
        <f t="shared" si="10"/>
        <v>20  TRIPHENYLP 0.59 + TESTO</v>
      </c>
      <c r="B64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3" t="s">
        <v>4291</v>
      </c>
      <c r="D643" t="s">
        <v>4292</v>
      </c>
      <c r="E643" t="s">
        <v>4293</v>
      </c>
      <c r="F643" t="s">
        <v>112</v>
      </c>
      <c r="G643">
        <v>5431202</v>
      </c>
    </row>
    <row r="644" spans="1:9" x14ac:dyDescent="0.25">
      <c r="A644" t="str">
        <f t="shared" si="10"/>
        <v>20  TRIPHENYLP 0.59 + TESTO</v>
      </c>
      <c r="B64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t="s">
        <v>4294</v>
      </c>
      <c r="D644" t="s">
        <v>4295</v>
      </c>
      <c r="E644" t="s">
        <v>4296</v>
      </c>
      <c r="F644" t="s">
        <v>112</v>
      </c>
      <c r="G644">
        <v>5397762</v>
      </c>
    </row>
    <row r="645" spans="1:9" x14ac:dyDescent="0.25">
      <c r="A645" t="str">
        <f t="shared" si="10"/>
        <v>20  TRIPHENYLP 0.59 + TESTO</v>
      </c>
      <c r="B64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t="s">
        <v>4297</v>
      </c>
      <c r="D645" t="s">
        <v>4298</v>
      </c>
      <c r="E645" t="s">
        <v>4299</v>
      </c>
      <c r="F645" t="s">
        <v>112</v>
      </c>
      <c r="G645">
        <v>4829696</v>
      </c>
    </row>
    <row r="646" spans="1:9" x14ac:dyDescent="0.25">
      <c r="A646" t="str">
        <f t="shared" si="10"/>
        <v>20  TRIPHENYLP 0.59 + TESTO</v>
      </c>
      <c r="B64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6" t="s">
        <v>4300</v>
      </c>
      <c r="D646" t="s">
        <v>4301</v>
      </c>
      <c r="E646" t="s">
        <v>4302</v>
      </c>
      <c r="F646" t="s">
        <v>112</v>
      </c>
      <c r="G646">
        <v>6639123</v>
      </c>
    </row>
    <row r="647" spans="1:9" x14ac:dyDescent="0.25">
      <c r="A647" t="str">
        <f t="shared" si="10"/>
        <v>20  TRIPHENYLP 0.59 + TESTO</v>
      </c>
      <c r="B64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t="s">
        <v>4303</v>
      </c>
      <c r="D647" t="s">
        <v>4304</v>
      </c>
      <c r="E647" t="s">
        <v>4305</v>
      </c>
      <c r="F647" t="s">
        <v>112</v>
      </c>
      <c r="G647">
        <v>5905783</v>
      </c>
    </row>
    <row r="648" spans="1:9" x14ac:dyDescent="0.25">
      <c r="A648" t="str">
        <f t="shared" si="10"/>
        <v>20  TRIPHENYLP 0.59 + TESTO</v>
      </c>
      <c r="B64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t="s">
        <v>4306</v>
      </c>
      <c r="D648" t="s">
        <v>4307</v>
      </c>
      <c r="E648" t="s">
        <v>4308</v>
      </c>
      <c r="F648" t="s">
        <v>112</v>
      </c>
      <c r="G648">
        <v>6009499</v>
      </c>
    </row>
    <row r="649" spans="1:9" x14ac:dyDescent="0.25">
      <c r="A649" t="str">
        <f t="shared" si="10"/>
        <v>20  TRIPHENYLP 0.59 + TESTO</v>
      </c>
      <c r="B64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49" t="s">
        <v>4309</v>
      </c>
      <c r="D649" t="s">
        <v>1116</v>
      </c>
      <c r="E649" t="s">
        <v>4310</v>
      </c>
      <c r="F649" t="s">
        <v>112</v>
      </c>
      <c r="G649">
        <v>4567693</v>
      </c>
    </row>
    <row r="650" spans="1:9" x14ac:dyDescent="0.25">
      <c r="A650" t="str">
        <f t="shared" si="10"/>
        <v>20  TRIPHENYLP 0.59 + TESTO</v>
      </c>
      <c r="B65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t="s">
        <v>4311</v>
      </c>
      <c r="D650" t="s">
        <v>4312</v>
      </c>
      <c r="E650" t="s">
        <v>4313</v>
      </c>
      <c r="F650" t="s">
        <v>112</v>
      </c>
      <c r="G650">
        <v>4236280</v>
      </c>
    </row>
    <row r="651" spans="1:9" x14ac:dyDescent="0.25">
      <c r="A651" t="str">
        <f t="shared" si="10"/>
        <v>20  TRIPHENYLP 0.59 + TESTO</v>
      </c>
      <c r="B65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t="s">
        <v>4314</v>
      </c>
      <c r="D651" t="s">
        <v>2769</v>
      </c>
      <c r="E651" t="s">
        <v>4315</v>
      </c>
      <c r="F651" t="s">
        <v>112</v>
      </c>
      <c r="G651">
        <v>4296195</v>
      </c>
    </row>
    <row r="652" spans="1:9" x14ac:dyDescent="0.25">
      <c r="A652" t="str">
        <f t="shared" si="10"/>
        <v/>
      </c>
      <c r="B6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2" t="s">
        <v>112</v>
      </c>
    </row>
    <row r="653" spans="1:9" x14ac:dyDescent="0.25">
      <c r="A653" t="str">
        <f t="shared" si="10"/>
        <v/>
      </c>
      <c r="B6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t="s">
        <v>234</v>
      </c>
      <c r="D653" t="s">
        <v>112</v>
      </c>
      <c r="E653" t="s">
        <v>235</v>
      </c>
      <c r="F653" t="s">
        <v>236</v>
      </c>
      <c r="G653" t="s">
        <v>237</v>
      </c>
      <c r="H653" t="s">
        <v>238</v>
      </c>
      <c r="I653" t="s">
        <v>239</v>
      </c>
    </row>
    <row r="654" spans="1:9" x14ac:dyDescent="0.25">
      <c r="A654" t="str">
        <f t="shared" si="10"/>
        <v>20  TRIPHENYLP 0.59 + TESTO</v>
      </c>
      <c r="B65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4" t="s">
        <v>4316</v>
      </c>
      <c r="D654" t="s">
        <v>112</v>
      </c>
      <c r="E654" t="s">
        <v>4317</v>
      </c>
      <c r="F654" t="s">
        <v>4318</v>
      </c>
      <c r="G654" t="s">
        <v>4319</v>
      </c>
      <c r="H654" t="s">
        <v>4320</v>
      </c>
      <c r="I654">
        <v>24</v>
      </c>
    </row>
    <row r="655" spans="1:9" x14ac:dyDescent="0.25">
      <c r="A655" t="str">
        <f t="shared" si="10"/>
        <v/>
      </c>
      <c r="B6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t="s">
        <v>112</v>
      </c>
    </row>
    <row r="656" spans="1:9" x14ac:dyDescent="0.25">
      <c r="A656" t="str">
        <f t="shared" si="10"/>
        <v/>
      </c>
      <c r="B6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t="s">
        <v>112</v>
      </c>
    </row>
    <row r="657" spans="1:7" x14ac:dyDescent="0.25">
      <c r="A657" t="str">
        <f t="shared" si="10"/>
        <v/>
      </c>
      <c r="B6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t="s">
        <v>112</v>
      </c>
    </row>
    <row r="658" spans="1:7" x14ac:dyDescent="0.25">
      <c r="A658" t="str">
        <f t="shared" si="10"/>
        <v/>
      </c>
      <c r="B6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t="s">
        <v>112</v>
      </c>
    </row>
    <row r="659" spans="1:7" x14ac:dyDescent="0.25">
      <c r="A659" t="str">
        <f t="shared" si="10"/>
        <v/>
      </c>
      <c r="B6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t="s">
        <v>112</v>
      </c>
    </row>
    <row r="660" spans="1:7" x14ac:dyDescent="0.25">
      <c r="A660" t="str">
        <f t="shared" si="10"/>
        <v/>
      </c>
      <c r="B6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t="s">
        <v>246</v>
      </c>
      <c r="D660" t="s">
        <v>110</v>
      </c>
      <c r="E660" t="s">
        <v>111</v>
      </c>
      <c r="F660" t="s">
        <v>112</v>
      </c>
      <c r="G660" t="s">
        <v>113</v>
      </c>
    </row>
    <row r="661" spans="1:7" x14ac:dyDescent="0.25">
      <c r="A661" t="str">
        <f t="shared" si="10"/>
        <v>21  TRIPHENYLP 0.89 + TESTO</v>
      </c>
      <c r="B66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1" t="s">
        <v>4321</v>
      </c>
      <c r="D661" t="s">
        <v>4322</v>
      </c>
      <c r="E661" t="s">
        <v>4323</v>
      </c>
      <c r="F661" t="s">
        <v>112</v>
      </c>
      <c r="G661">
        <v>1356194</v>
      </c>
    </row>
    <row r="662" spans="1:7" x14ac:dyDescent="0.25">
      <c r="A662" t="str">
        <f t="shared" si="10"/>
        <v>21  TRIPHENYLP 0.89 + TESTO</v>
      </c>
      <c r="B66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t="s">
        <v>4324</v>
      </c>
      <c r="D662" t="s">
        <v>4325</v>
      </c>
      <c r="E662" t="s">
        <v>4326</v>
      </c>
      <c r="F662" t="s">
        <v>112</v>
      </c>
      <c r="G662">
        <v>1063996</v>
      </c>
    </row>
    <row r="663" spans="1:7" x14ac:dyDescent="0.25">
      <c r="A663" t="str">
        <f t="shared" si="10"/>
        <v>21  TRIPHENYLP 0.89 + TESTO</v>
      </c>
      <c r="B66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t="s">
        <v>4327</v>
      </c>
      <c r="D663" t="s">
        <v>4328</v>
      </c>
      <c r="E663" t="s">
        <v>4329</v>
      </c>
      <c r="F663" t="s">
        <v>112</v>
      </c>
      <c r="G663">
        <v>1401271</v>
      </c>
    </row>
    <row r="664" spans="1:7" x14ac:dyDescent="0.25">
      <c r="A664" t="str">
        <f t="shared" si="10"/>
        <v>21  TRIPHENYLP 0.89 + TESTO</v>
      </c>
      <c r="B66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4" t="s">
        <v>4330</v>
      </c>
      <c r="D664" t="s">
        <v>4331</v>
      </c>
      <c r="E664" t="s">
        <v>4332</v>
      </c>
      <c r="F664" t="s">
        <v>112</v>
      </c>
      <c r="G664">
        <v>5565675</v>
      </c>
    </row>
    <row r="665" spans="1:7" x14ac:dyDescent="0.25">
      <c r="A665" t="str">
        <f t="shared" si="10"/>
        <v>21  TRIPHENYLP 0.89 + TESTO</v>
      </c>
      <c r="B66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t="s">
        <v>4333</v>
      </c>
      <c r="D665" t="s">
        <v>4334</v>
      </c>
      <c r="E665" t="s">
        <v>4335</v>
      </c>
      <c r="F665" t="s">
        <v>112</v>
      </c>
      <c r="G665">
        <v>5523258</v>
      </c>
    </row>
    <row r="666" spans="1:7" x14ac:dyDescent="0.25">
      <c r="A666" t="str">
        <f t="shared" si="10"/>
        <v>21  TRIPHENYLP 0.89 + TESTO</v>
      </c>
      <c r="B66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t="s">
        <v>4336</v>
      </c>
      <c r="D666" t="s">
        <v>4337</v>
      </c>
      <c r="E666" t="s">
        <v>4338</v>
      </c>
      <c r="F666" t="s">
        <v>112</v>
      </c>
      <c r="G666">
        <v>5222711</v>
      </c>
    </row>
    <row r="667" spans="1:7" x14ac:dyDescent="0.25">
      <c r="A667" t="str">
        <f t="shared" si="10"/>
        <v>21  TRIPHENYLP 0.89 + TESTO</v>
      </c>
      <c r="B66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7" t="s">
        <v>4339</v>
      </c>
      <c r="D667" t="s">
        <v>1545</v>
      </c>
      <c r="E667" t="s">
        <v>4340</v>
      </c>
      <c r="F667" t="s">
        <v>112</v>
      </c>
      <c r="G667">
        <v>3621428</v>
      </c>
    </row>
    <row r="668" spans="1:7" x14ac:dyDescent="0.25">
      <c r="A668" t="str">
        <f t="shared" si="10"/>
        <v>21  TRIPHENYLP 0.89 + TESTO</v>
      </c>
      <c r="B66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t="s">
        <v>4341</v>
      </c>
      <c r="D668" t="s">
        <v>1017</v>
      </c>
      <c r="E668" t="s">
        <v>4342</v>
      </c>
      <c r="F668" t="s">
        <v>112</v>
      </c>
      <c r="G668">
        <v>3059549</v>
      </c>
    </row>
    <row r="669" spans="1:7" x14ac:dyDescent="0.25">
      <c r="A669" t="str">
        <f t="shared" si="10"/>
        <v>21  TRIPHENYLP 0.89 + TESTO</v>
      </c>
      <c r="B66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t="s">
        <v>4343</v>
      </c>
      <c r="D669" t="s">
        <v>4344</v>
      </c>
      <c r="E669" t="s">
        <v>4345</v>
      </c>
      <c r="F669" t="s">
        <v>112</v>
      </c>
      <c r="G669">
        <v>3214051</v>
      </c>
    </row>
    <row r="670" spans="1:7" x14ac:dyDescent="0.25">
      <c r="A670" t="str">
        <f t="shared" si="10"/>
        <v>21  TRIPHENYLP 0.89 + TESTO</v>
      </c>
      <c r="B67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0" t="s">
        <v>4346</v>
      </c>
      <c r="D670" t="s">
        <v>4347</v>
      </c>
      <c r="E670" t="s">
        <v>4348</v>
      </c>
      <c r="F670" t="s">
        <v>112</v>
      </c>
      <c r="G670">
        <v>4310276</v>
      </c>
    </row>
    <row r="671" spans="1:7" x14ac:dyDescent="0.25">
      <c r="A671" t="str">
        <f t="shared" si="10"/>
        <v>21  TRIPHENYLP 0.89 + TESTO</v>
      </c>
      <c r="B67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t="s">
        <v>4349</v>
      </c>
      <c r="D671" t="s">
        <v>3654</v>
      </c>
      <c r="E671" t="s">
        <v>4350</v>
      </c>
      <c r="F671" t="s">
        <v>112</v>
      </c>
      <c r="G671">
        <v>148208</v>
      </c>
    </row>
    <row r="672" spans="1:7" x14ac:dyDescent="0.25">
      <c r="A672" t="str">
        <f t="shared" si="10"/>
        <v>21  TRIPHENYLP 0.89 + TESTO</v>
      </c>
      <c r="B67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t="s">
        <v>4351</v>
      </c>
      <c r="D672" t="s">
        <v>3382</v>
      </c>
      <c r="E672" t="s">
        <v>4352</v>
      </c>
      <c r="F672" t="s">
        <v>112</v>
      </c>
      <c r="G672">
        <v>4263923</v>
      </c>
    </row>
    <row r="673" spans="1:9" x14ac:dyDescent="0.25">
      <c r="A673" t="str">
        <f t="shared" si="10"/>
        <v>21  TRIPHENYLP 0.89 + TESTO</v>
      </c>
      <c r="B67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3" t="s">
        <v>4353</v>
      </c>
      <c r="D673" t="s">
        <v>4354</v>
      </c>
      <c r="E673" t="s">
        <v>4355</v>
      </c>
      <c r="F673" t="s">
        <v>112</v>
      </c>
      <c r="G673">
        <v>6929656</v>
      </c>
    </row>
    <row r="674" spans="1:9" x14ac:dyDescent="0.25">
      <c r="A674" t="str">
        <f t="shared" si="10"/>
        <v>21  TRIPHENYLP 0.89 + TESTO</v>
      </c>
      <c r="B67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t="s">
        <v>4356</v>
      </c>
      <c r="D674" t="s">
        <v>4357</v>
      </c>
      <c r="E674" t="s">
        <v>4358</v>
      </c>
      <c r="F674" t="s">
        <v>112</v>
      </c>
      <c r="G674">
        <v>6159177</v>
      </c>
    </row>
    <row r="675" spans="1:9" x14ac:dyDescent="0.25">
      <c r="A675" t="str">
        <f t="shared" si="10"/>
        <v>21  TRIPHENYLP 0.89 + TESTO</v>
      </c>
      <c r="B675"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t="s">
        <v>4359</v>
      </c>
      <c r="D675" t="s">
        <v>4360</v>
      </c>
      <c r="E675" t="s">
        <v>4361</v>
      </c>
      <c r="F675" t="s">
        <v>112</v>
      </c>
      <c r="G675">
        <v>6181456</v>
      </c>
    </row>
    <row r="676" spans="1:9" x14ac:dyDescent="0.25">
      <c r="A676" t="str">
        <f t="shared" si="10"/>
        <v>21  TRIPHENYLP 0.89 + TESTO</v>
      </c>
      <c r="B676"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6" t="s">
        <v>4362</v>
      </c>
      <c r="D676" t="s">
        <v>4363</v>
      </c>
      <c r="E676" t="s">
        <v>4364</v>
      </c>
      <c r="F676" t="s">
        <v>112</v>
      </c>
      <c r="G676">
        <v>5677934</v>
      </c>
    </row>
    <row r="677" spans="1:9" x14ac:dyDescent="0.25">
      <c r="A677" t="str">
        <f t="shared" si="10"/>
        <v>21  TRIPHENYLP 0.89 + TESTO</v>
      </c>
      <c r="B67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t="s">
        <v>4365</v>
      </c>
      <c r="D677" t="s">
        <v>4366</v>
      </c>
      <c r="E677" t="s">
        <v>4367</v>
      </c>
      <c r="F677" t="s">
        <v>112</v>
      </c>
      <c r="G677">
        <v>5654985</v>
      </c>
    </row>
    <row r="678" spans="1:9" x14ac:dyDescent="0.25">
      <c r="A678" t="str">
        <f t="shared" si="10"/>
        <v>21  TRIPHENYLP 0.89 + TESTO</v>
      </c>
      <c r="B678"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t="s">
        <v>4368</v>
      </c>
      <c r="D678" t="s">
        <v>4369</v>
      </c>
      <c r="E678" t="s">
        <v>4370</v>
      </c>
      <c r="F678" t="s">
        <v>112</v>
      </c>
      <c r="G678">
        <v>5367804</v>
      </c>
    </row>
    <row r="679" spans="1:9" x14ac:dyDescent="0.25">
      <c r="A679" t="str">
        <f t="shared" si="10"/>
        <v>21  TRIPHENYLP 0.89 + TESTO</v>
      </c>
      <c r="B679"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79" t="s">
        <v>4371</v>
      </c>
      <c r="D679" t="s">
        <v>4372</v>
      </c>
      <c r="E679" t="s">
        <v>4373</v>
      </c>
      <c r="F679" t="s">
        <v>112</v>
      </c>
      <c r="G679">
        <v>7120496</v>
      </c>
    </row>
    <row r="680" spans="1:9" x14ac:dyDescent="0.25">
      <c r="A680" t="str">
        <f t="shared" si="10"/>
        <v>21  TRIPHENYLP 0.89 + TESTO</v>
      </c>
      <c r="B680"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t="s">
        <v>4374</v>
      </c>
      <c r="D680" t="s">
        <v>4375</v>
      </c>
      <c r="E680" t="s">
        <v>4376</v>
      </c>
      <c r="F680" t="s">
        <v>112</v>
      </c>
      <c r="G680">
        <v>7087900</v>
      </c>
    </row>
    <row r="681" spans="1:9" x14ac:dyDescent="0.25">
      <c r="A681" t="str">
        <f t="shared" si="10"/>
        <v>21  TRIPHENYLP 0.89 + TESTO</v>
      </c>
      <c r="B68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t="s">
        <v>4377</v>
      </c>
      <c r="D681" t="s">
        <v>4378</v>
      </c>
      <c r="E681" t="s">
        <v>4379</v>
      </c>
      <c r="F681" t="s">
        <v>112</v>
      </c>
      <c r="G681">
        <v>6841903</v>
      </c>
    </row>
    <row r="682" spans="1:9" x14ac:dyDescent="0.25">
      <c r="A682" t="str">
        <f t="shared" si="10"/>
        <v>21  TRIPHENYLP 0.89 + TESTO</v>
      </c>
      <c r="B682"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2" t="s">
        <v>4380</v>
      </c>
      <c r="D682" t="s">
        <v>4381</v>
      </c>
      <c r="E682" t="s">
        <v>4382</v>
      </c>
      <c r="F682" t="s">
        <v>112</v>
      </c>
      <c r="G682">
        <v>6022844</v>
      </c>
    </row>
    <row r="683" spans="1:9" x14ac:dyDescent="0.25">
      <c r="A683" t="str">
        <f t="shared" si="10"/>
        <v>21  TRIPHENYLP 0.89 + TESTO</v>
      </c>
      <c r="B683"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t="s">
        <v>4383</v>
      </c>
      <c r="D683" t="s">
        <v>4384</v>
      </c>
      <c r="E683" t="s">
        <v>4385</v>
      </c>
      <c r="F683" t="s">
        <v>112</v>
      </c>
      <c r="G683">
        <v>5703219</v>
      </c>
    </row>
    <row r="684" spans="1:9" x14ac:dyDescent="0.25">
      <c r="A684" t="str">
        <f t="shared" si="10"/>
        <v>21  TRIPHENYLP 0.89 + TESTO</v>
      </c>
      <c r="B684"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t="s">
        <v>4386</v>
      </c>
      <c r="D684" t="s">
        <v>4387</v>
      </c>
      <c r="E684" t="s">
        <v>4388</v>
      </c>
      <c r="F684" t="s">
        <v>112</v>
      </c>
      <c r="G684">
        <v>5784115</v>
      </c>
    </row>
    <row r="685" spans="1:9" x14ac:dyDescent="0.25">
      <c r="A685" t="str">
        <f t="shared" si="10"/>
        <v/>
      </c>
      <c r="B6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5" t="s">
        <v>112</v>
      </c>
    </row>
    <row r="686" spans="1:9" x14ac:dyDescent="0.25">
      <c r="A686" t="str">
        <f t="shared" si="10"/>
        <v/>
      </c>
      <c r="B6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t="s">
        <v>234</v>
      </c>
      <c r="D686" t="s">
        <v>112</v>
      </c>
      <c r="E686" t="s">
        <v>235</v>
      </c>
      <c r="F686" t="s">
        <v>236</v>
      </c>
      <c r="G686" t="s">
        <v>237</v>
      </c>
      <c r="H686" t="s">
        <v>238</v>
      </c>
      <c r="I686" t="s">
        <v>239</v>
      </c>
    </row>
    <row r="687" spans="1:9" x14ac:dyDescent="0.25">
      <c r="A687" t="str">
        <f t="shared" si="10"/>
        <v>21  TRIPHENYLP 0.89 + TESTO</v>
      </c>
      <c r="B687"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7" t="s">
        <v>4389</v>
      </c>
      <c r="D687" t="s">
        <v>112</v>
      </c>
      <c r="E687" t="s">
        <v>4390</v>
      </c>
      <c r="F687" t="s">
        <v>4391</v>
      </c>
      <c r="G687" t="s">
        <v>4392</v>
      </c>
      <c r="H687" t="s">
        <v>4393</v>
      </c>
      <c r="I687">
        <v>24</v>
      </c>
    </row>
    <row r="688" spans="1:9" x14ac:dyDescent="0.25">
      <c r="A688" t="str">
        <f t="shared" si="10"/>
        <v/>
      </c>
      <c r="B6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25">
      <c r="A689" t="str">
        <f t="shared" si="10"/>
        <v/>
      </c>
      <c r="B6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25">
      <c r="A690" t="str">
        <f t="shared" si="10"/>
        <v/>
      </c>
      <c r="B6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25">
      <c r="A691" t="str">
        <f t="shared" si="10"/>
        <v/>
      </c>
      <c r="B6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25">
      <c r="A692" t="str">
        <f t="shared" si="10"/>
        <v/>
      </c>
      <c r="B6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25">
      <c r="A693" t="str">
        <f t="shared" si="10"/>
        <v/>
      </c>
      <c r="B6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25">
      <c r="A694" t="str">
        <f t="shared" si="10"/>
        <v/>
      </c>
      <c r="B6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25">
      <c r="A695" t="str">
        <f t="shared" si="10"/>
        <v/>
      </c>
      <c r="B6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25">
      <c r="A696" t="str">
        <f t="shared" si="10"/>
        <v/>
      </c>
      <c r="B6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25">
      <c r="A697" t="str">
        <f t="shared" si="10"/>
        <v/>
      </c>
      <c r="B6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25">
      <c r="A698" t="str">
        <f t="shared" si="10"/>
        <v/>
      </c>
      <c r="B6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25">
      <c r="A699" t="str">
        <f t="shared" si="10"/>
        <v/>
      </c>
      <c r="B6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25">
      <c r="A700" t="str">
        <f t="shared" si="10"/>
        <v/>
      </c>
      <c r="B7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25">
      <c r="A701" t="str">
        <f t="shared" si="10"/>
        <v/>
      </c>
      <c r="B7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25">
      <c r="A702" t="str">
        <f t="shared" si="10"/>
        <v/>
      </c>
      <c r="B7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25">
      <c r="A703" t="str">
        <f t="shared" si="10"/>
        <v/>
      </c>
      <c r="B7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25">
      <c r="A704" t="str">
        <f t="shared" si="10"/>
        <v/>
      </c>
      <c r="B7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t="str">
        <f t="shared" si="10"/>
        <v/>
      </c>
      <c r="B7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t="str">
        <f t="shared" ref="A706:A769" si="11">IFERROR(LEFT(RIGHT(C706,LEN(C706)-SEARCH("@",C706)),SEARCH("/",RIGHT(C706,LEN(C706)-SEARCH("@",C706)-1))),"")</f>
        <v/>
      </c>
      <c r="B7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t="str">
        <f t="shared" si="11"/>
        <v/>
      </c>
      <c r="B7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t="str">
        <f t="shared" si="11"/>
        <v/>
      </c>
      <c r="B7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t="str">
        <f t="shared" si="11"/>
        <v/>
      </c>
      <c r="B7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t="str">
        <f t="shared" si="11"/>
        <v/>
      </c>
      <c r="B7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t="str">
        <f t="shared" si="11"/>
        <v/>
      </c>
      <c r="B7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t="str">
        <f t="shared" si="11"/>
        <v/>
      </c>
      <c r="B7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t="str">
        <f t="shared" si="11"/>
        <v/>
      </c>
      <c r="B7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t="str">
        <f t="shared" si="11"/>
        <v/>
      </c>
      <c r="B7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t="str">
        <f t="shared" si="11"/>
        <v/>
      </c>
      <c r="B7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t="str">
        <f t="shared" si="11"/>
        <v/>
      </c>
      <c r="B7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t="str">
        <f t="shared" si="11"/>
        <v/>
      </c>
      <c r="B7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t="str">
        <f t="shared" si="11"/>
        <v/>
      </c>
      <c r="B7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t="str">
        <f t="shared" si="11"/>
        <v/>
      </c>
      <c r="B7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t="str">
        <f t="shared" si="11"/>
        <v/>
      </c>
      <c r="B7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t="str">
        <f t="shared" si="11"/>
        <v/>
      </c>
      <c r="B7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t="str">
        <f t="shared" si="11"/>
        <v/>
      </c>
      <c r="B7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t="str">
        <f t="shared" si="11"/>
        <v/>
      </c>
      <c r="B7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t="str">
        <f t="shared" si="11"/>
        <v/>
      </c>
      <c r="B7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t="str">
        <f t="shared" si="11"/>
        <v/>
      </c>
      <c r="B7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t="str">
        <f t="shared" si="11"/>
        <v/>
      </c>
      <c r="B7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t="str">
        <f t="shared" si="11"/>
        <v/>
      </c>
      <c r="B7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t="str">
        <f t="shared" si="11"/>
        <v/>
      </c>
      <c r="B7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t="str">
        <f t="shared" si="11"/>
        <v/>
      </c>
      <c r="B7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t="str">
        <f t="shared" si="11"/>
        <v/>
      </c>
      <c r="B7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t="str">
        <f t="shared" si="11"/>
        <v/>
      </c>
      <c r="B7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t="str">
        <f t="shared" si="11"/>
        <v/>
      </c>
      <c r="B7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t="str">
        <f t="shared" si="11"/>
        <v/>
      </c>
      <c r="B7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t="str">
        <f t="shared" si="11"/>
        <v/>
      </c>
      <c r="B7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t="str">
        <f t="shared" si="11"/>
        <v/>
      </c>
      <c r="B7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t="str">
        <f t="shared" si="11"/>
        <v/>
      </c>
      <c r="B7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t="str">
        <f t="shared" si="11"/>
        <v/>
      </c>
      <c r="B7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t="str">
        <f t="shared" si="11"/>
        <v/>
      </c>
      <c r="B7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t="str">
        <f t="shared" si="11"/>
        <v/>
      </c>
      <c r="B7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t="str">
        <f t="shared" si="11"/>
        <v/>
      </c>
      <c r="B7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t="str">
        <f t="shared" si="11"/>
        <v/>
      </c>
      <c r="B7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t="str">
        <f t="shared" si="11"/>
        <v/>
      </c>
      <c r="B7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t="str">
        <f t="shared" si="11"/>
        <v/>
      </c>
      <c r="B7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t="str">
        <f t="shared" si="11"/>
        <v/>
      </c>
      <c r="B7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t="str">
        <f t="shared" si="11"/>
        <v/>
      </c>
      <c r="B7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t="str">
        <f t="shared" si="11"/>
        <v/>
      </c>
      <c r="B7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t="str">
        <f t="shared" si="11"/>
        <v/>
      </c>
      <c r="B7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t="str">
        <f t="shared" si="11"/>
        <v/>
      </c>
      <c r="B7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t="str">
        <f t="shared" si="11"/>
        <v/>
      </c>
      <c r="B7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t="str">
        <f t="shared" si="11"/>
        <v/>
      </c>
      <c r="B7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t="str">
        <f t="shared" si="11"/>
        <v/>
      </c>
      <c r="B7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t="str">
        <f t="shared" si="11"/>
        <v/>
      </c>
      <c r="B7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t="str">
        <f t="shared" si="11"/>
        <v/>
      </c>
      <c r="B7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t="str">
        <f t="shared" si="11"/>
        <v/>
      </c>
      <c r="B7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t="str">
        <f t="shared" si="11"/>
        <v/>
      </c>
      <c r="B7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t="str">
        <f t="shared" si="11"/>
        <v/>
      </c>
      <c r="B7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t="str">
        <f t="shared" si="11"/>
        <v/>
      </c>
      <c r="B7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t="str">
        <f t="shared" si="11"/>
        <v/>
      </c>
      <c r="B7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t="str">
        <f t="shared" si="11"/>
        <v/>
      </c>
      <c r="B7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t="str">
        <f t="shared" si="11"/>
        <v/>
      </c>
      <c r="B7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t="str">
        <f t="shared" si="11"/>
        <v/>
      </c>
      <c r="B7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t="str">
        <f t="shared" si="11"/>
        <v/>
      </c>
      <c r="B7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t="str">
        <f t="shared" si="11"/>
        <v/>
      </c>
      <c r="B7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t="str">
        <f t="shared" si="11"/>
        <v/>
      </c>
      <c r="B7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t="str">
        <f t="shared" si="11"/>
        <v/>
      </c>
      <c r="B7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t="str">
        <f t="shared" si="11"/>
        <v/>
      </c>
      <c r="B7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t="str">
        <f t="shared" si="11"/>
        <v/>
      </c>
      <c r="B7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t="str">
        <f t="shared" si="11"/>
        <v/>
      </c>
      <c r="B7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t="str">
        <f t="shared" si="11"/>
        <v/>
      </c>
      <c r="B7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t="str">
        <f t="shared" ref="A770:A833" si="12">IFERROR(LEFT(RIGHT(C770,LEN(C770)-SEARCH("@",C770)),SEARCH("/",RIGHT(C770,LEN(C770)-SEARCH("@",C770)-1))),"")</f>
        <v/>
      </c>
      <c r="B7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t="str">
        <f t="shared" si="12"/>
        <v/>
      </c>
      <c r="B7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t="str">
        <f t="shared" si="12"/>
        <v/>
      </c>
      <c r="B7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t="str">
        <f t="shared" si="12"/>
        <v/>
      </c>
      <c r="B7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t="str">
        <f t="shared" si="12"/>
        <v/>
      </c>
      <c r="B7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t="str">
        <f t="shared" si="12"/>
        <v/>
      </c>
      <c r="B7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t="str">
        <f t="shared" si="12"/>
        <v/>
      </c>
      <c r="B7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t="str">
        <f t="shared" si="12"/>
        <v/>
      </c>
      <c r="B7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t="str">
        <f t="shared" si="12"/>
        <v/>
      </c>
      <c r="B7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t="str">
        <f t="shared" si="12"/>
        <v/>
      </c>
      <c r="B7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t="str">
        <f t="shared" si="12"/>
        <v/>
      </c>
      <c r="B7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t="str">
        <f t="shared" si="12"/>
        <v/>
      </c>
      <c r="B7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t="str">
        <f t="shared" si="12"/>
        <v/>
      </c>
      <c r="B7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t="str">
        <f t="shared" si="12"/>
        <v/>
      </c>
      <c r="B7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t="str">
        <f t="shared" si="12"/>
        <v/>
      </c>
      <c r="B7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t="str">
        <f t="shared" si="12"/>
        <v/>
      </c>
      <c r="B7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t="str">
        <f t="shared" si="12"/>
        <v/>
      </c>
      <c r="B7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t="str">
        <f t="shared" si="12"/>
        <v/>
      </c>
      <c r="B7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t="str">
        <f t="shared" si="12"/>
        <v/>
      </c>
      <c r="B7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t="str">
        <f t="shared" si="12"/>
        <v/>
      </c>
      <c r="B7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t="str">
        <f t="shared" si="12"/>
        <v/>
      </c>
      <c r="B7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t="str">
        <f t="shared" si="12"/>
        <v/>
      </c>
      <c r="B7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t="str">
        <f t="shared" si="12"/>
        <v/>
      </c>
      <c r="B7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t="str">
        <f t="shared" si="12"/>
        <v/>
      </c>
      <c r="B7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t="str">
        <f t="shared" si="12"/>
        <v/>
      </c>
      <c r="B7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t="str">
        <f t="shared" si="12"/>
        <v/>
      </c>
      <c r="B7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t="str">
        <f t="shared" si="12"/>
        <v/>
      </c>
      <c r="B7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t="str">
        <f t="shared" si="12"/>
        <v/>
      </c>
      <c r="B7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t="str">
        <f t="shared" si="12"/>
        <v/>
      </c>
      <c r="B7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t="str">
        <f t="shared" si="12"/>
        <v/>
      </c>
      <c r="B7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t="str">
        <f t="shared" si="12"/>
        <v/>
      </c>
      <c r="B8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t="str">
        <f t="shared" si="12"/>
        <v/>
      </c>
      <c r="B8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t="str">
        <f t="shared" si="12"/>
        <v/>
      </c>
      <c r="B8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t="str">
        <f t="shared" si="12"/>
        <v/>
      </c>
      <c r="B8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t="str">
        <f t="shared" si="12"/>
        <v/>
      </c>
      <c r="B8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t="str">
        <f t="shared" si="12"/>
        <v/>
      </c>
      <c r="B8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t="str">
        <f t="shared" si="12"/>
        <v/>
      </c>
      <c r="B8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t="str">
        <f t="shared" si="12"/>
        <v/>
      </c>
      <c r="B8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t="str">
        <f t="shared" si="12"/>
        <v/>
      </c>
      <c r="B8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t="str">
        <f t="shared" si="12"/>
        <v/>
      </c>
      <c r="B8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t="str">
        <f t="shared" si="12"/>
        <v/>
      </c>
      <c r="B8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t="str">
        <f t="shared" si="12"/>
        <v/>
      </c>
      <c r="B8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t="str">
        <f t="shared" si="12"/>
        <v/>
      </c>
      <c r="B8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t="str">
        <f t="shared" si="12"/>
        <v/>
      </c>
      <c r="B8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t="str">
        <f t="shared" si="12"/>
        <v/>
      </c>
      <c r="B8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t="str">
        <f t="shared" si="12"/>
        <v/>
      </c>
      <c r="B8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t="str">
        <f t="shared" si="12"/>
        <v/>
      </c>
      <c r="B8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t="str">
        <f t="shared" si="12"/>
        <v/>
      </c>
      <c r="B8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t="str">
        <f t="shared" si="12"/>
        <v/>
      </c>
      <c r="B8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t="str">
        <f t="shared" si="12"/>
        <v/>
      </c>
      <c r="B8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t="str">
        <f t="shared" si="12"/>
        <v/>
      </c>
      <c r="B8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t="str">
        <f t="shared" si="12"/>
        <v/>
      </c>
      <c r="B8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t="str">
        <f t="shared" si="12"/>
        <v/>
      </c>
      <c r="B8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t="str">
        <f t="shared" si="12"/>
        <v/>
      </c>
      <c r="B8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t="str">
        <f t="shared" si="12"/>
        <v/>
      </c>
      <c r="B8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t="str">
        <f t="shared" si="12"/>
        <v/>
      </c>
      <c r="B8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t="str">
        <f t="shared" si="12"/>
        <v/>
      </c>
      <c r="B8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t="str">
        <f t="shared" si="12"/>
        <v/>
      </c>
      <c r="B8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t="str">
        <f t="shared" si="12"/>
        <v/>
      </c>
      <c r="B8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t="str">
        <f t="shared" si="12"/>
        <v/>
      </c>
      <c r="B8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t="str">
        <f t="shared" si="12"/>
        <v/>
      </c>
      <c r="B8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t="str">
        <f t="shared" si="12"/>
        <v/>
      </c>
      <c r="B8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t="str">
        <f t="shared" si="12"/>
        <v/>
      </c>
      <c r="B8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t="str">
        <f t="shared" si="12"/>
        <v/>
      </c>
      <c r="B8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t="str">
        <f t="shared" ref="A834:A897" si="13">IFERROR(LEFT(RIGHT(C834,LEN(C834)-SEARCH("@",C834)),SEARCH("/",RIGHT(C834,LEN(C834)-SEARCH("@",C834)-1))),"")</f>
        <v/>
      </c>
      <c r="B8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t="str">
        <f t="shared" si="13"/>
        <v/>
      </c>
      <c r="B8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t="str">
        <f t="shared" si="13"/>
        <v/>
      </c>
      <c r="B8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t="str">
        <f t="shared" si="13"/>
        <v/>
      </c>
      <c r="B8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t="str">
        <f t="shared" si="13"/>
        <v/>
      </c>
      <c r="B8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t="str">
        <f t="shared" si="13"/>
        <v/>
      </c>
      <c r="B8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t="str">
        <f t="shared" si="13"/>
        <v/>
      </c>
      <c r="B8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t="str">
        <f t="shared" si="13"/>
        <v/>
      </c>
      <c r="B8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t="str">
        <f t="shared" si="13"/>
        <v/>
      </c>
      <c r="B8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t="str">
        <f t="shared" si="13"/>
        <v/>
      </c>
      <c r="B8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t="str">
        <f t="shared" si="13"/>
        <v/>
      </c>
      <c r="B8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t="str">
        <f t="shared" si="13"/>
        <v/>
      </c>
      <c r="B8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t="str">
        <f t="shared" si="13"/>
        <v/>
      </c>
      <c r="B8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t="str">
        <f t="shared" si="13"/>
        <v/>
      </c>
      <c r="B8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t="str">
        <f t="shared" si="13"/>
        <v/>
      </c>
      <c r="B8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t="str">
        <f t="shared" si="13"/>
        <v/>
      </c>
      <c r="B8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t="str">
        <f t="shared" si="13"/>
        <v/>
      </c>
      <c r="B8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t="str">
        <f t="shared" si="13"/>
        <v/>
      </c>
      <c r="B8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t="str">
        <f t="shared" si="13"/>
        <v/>
      </c>
      <c r="B8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t="str">
        <f t="shared" si="13"/>
        <v/>
      </c>
      <c r="B8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t="str">
        <f t="shared" si="13"/>
        <v/>
      </c>
      <c r="B8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t="str">
        <f t="shared" si="13"/>
        <v/>
      </c>
      <c r="B8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t="str">
        <f t="shared" si="13"/>
        <v/>
      </c>
      <c r="B8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t="str">
        <f t="shared" si="13"/>
        <v/>
      </c>
      <c r="B8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t="str">
        <f t="shared" si="13"/>
        <v/>
      </c>
      <c r="B8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t="str">
        <f t="shared" si="13"/>
        <v/>
      </c>
      <c r="B8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t="str">
        <f t="shared" si="13"/>
        <v/>
      </c>
      <c r="B8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t="str">
        <f t="shared" si="13"/>
        <v/>
      </c>
      <c r="B8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t="str">
        <f t="shared" si="13"/>
        <v/>
      </c>
      <c r="B8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t="str">
        <f t="shared" si="13"/>
        <v/>
      </c>
      <c r="B8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t="str">
        <f t="shared" si="13"/>
        <v/>
      </c>
      <c r="B8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t="str">
        <f t="shared" si="13"/>
        <v/>
      </c>
      <c r="B8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t="str">
        <f t="shared" si="13"/>
        <v/>
      </c>
      <c r="B8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t="str">
        <f t="shared" si="13"/>
        <v/>
      </c>
      <c r="B8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t="str">
        <f t="shared" si="13"/>
        <v/>
      </c>
      <c r="B8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t="str">
        <f t="shared" si="13"/>
        <v/>
      </c>
      <c r="B8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t="str">
        <f t="shared" si="13"/>
        <v/>
      </c>
      <c r="B8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t="str">
        <f t="shared" si="13"/>
        <v/>
      </c>
      <c r="B8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t="str">
        <f t="shared" si="13"/>
        <v/>
      </c>
      <c r="B8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t="str">
        <f t="shared" si="13"/>
        <v/>
      </c>
      <c r="B8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t="str">
        <f t="shared" si="13"/>
        <v/>
      </c>
      <c r="B8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t="str">
        <f t="shared" si="13"/>
        <v/>
      </c>
      <c r="B8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t="str">
        <f t="shared" si="13"/>
        <v/>
      </c>
      <c r="B8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t="str">
        <f t="shared" si="13"/>
        <v/>
      </c>
      <c r="B8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t="str">
        <f t="shared" si="13"/>
        <v/>
      </c>
      <c r="B8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t="str">
        <f t="shared" si="13"/>
        <v/>
      </c>
      <c r="B8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t="str">
        <f t="shared" si="13"/>
        <v/>
      </c>
      <c r="B8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t="str">
        <f t="shared" si="13"/>
        <v/>
      </c>
      <c r="B8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t="str">
        <f t="shared" si="13"/>
        <v/>
      </c>
      <c r="B8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t="str">
        <f t="shared" si="13"/>
        <v/>
      </c>
      <c r="B8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t="str">
        <f t="shared" si="13"/>
        <v/>
      </c>
      <c r="B8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t="str">
        <f t="shared" si="13"/>
        <v/>
      </c>
      <c r="B8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t="str">
        <f t="shared" si="13"/>
        <v/>
      </c>
      <c r="B8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t="str">
        <f t="shared" si="13"/>
        <v/>
      </c>
      <c r="B8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t="str">
        <f t="shared" si="13"/>
        <v/>
      </c>
      <c r="B8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t="str">
        <f t="shared" si="13"/>
        <v/>
      </c>
      <c r="B8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t="str">
        <f t="shared" si="13"/>
        <v/>
      </c>
      <c r="B8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t="str">
        <f t="shared" si="13"/>
        <v/>
      </c>
      <c r="B8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t="str">
        <f t="shared" si="13"/>
        <v/>
      </c>
      <c r="B8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t="str">
        <f t="shared" si="13"/>
        <v/>
      </c>
      <c r="B8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t="str">
        <f t="shared" si="13"/>
        <v/>
      </c>
      <c r="B8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t="str">
        <f t="shared" si="13"/>
        <v/>
      </c>
      <c r="B8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t="str">
        <f t="shared" si="13"/>
        <v/>
      </c>
      <c r="B8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t="str">
        <f t="shared" si="13"/>
        <v/>
      </c>
      <c r="B8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t="str">
        <f t="shared" ref="A898:A961" si="14">IFERROR(LEFT(RIGHT(C898,LEN(C898)-SEARCH("@",C898)),SEARCH("/",RIGHT(C898,LEN(C898)-SEARCH("@",C898)-1))),"")</f>
        <v/>
      </c>
      <c r="B8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t="str">
        <f t="shared" si="14"/>
        <v/>
      </c>
      <c r="B8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t="str">
        <f t="shared" si="14"/>
        <v/>
      </c>
      <c r="B9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t="str">
        <f t="shared" si="14"/>
        <v/>
      </c>
      <c r="B9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t="str">
        <f t="shared" si="14"/>
        <v/>
      </c>
      <c r="B9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t="str">
        <f t="shared" si="14"/>
        <v/>
      </c>
      <c r="B9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t="str">
        <f t="shared" si="14"/>
        <v/>
      </c>
      <c r="B9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t="str">
        <f t="shared" si="14"/>
        <v/>
      </c>
      <c r="B9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t="str">
        <f t="shared" si="14"/>
        <v/>
      </c>
      <c r="B9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t="str">
        <f t="shared" si="14"/>
        <v/>
      </c>
      <c r="B9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t="str">
        <f t="shared" si="14"/>
        <v/>
      </c>
      <c r="B9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t="str">
        <f t="shared" si="14"/>
        <v/>
      </c>
      <c r="B9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t="str">
        <f t="shared" si="14"/>
        <v/>
      </c>
      <c r="B9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t="str">
        <f t="shared" si="14"/>
        <v/>
      </c>
      <c r="B9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t="str">
        <f t="shared" si="14"/>
        <v/>
      </c>
      <c r="B9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t="str">
        <f t="shared" si="14"/>
        <v/>
      </c>
      <c r="B9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t="str">
        <f t="shared" si="14"/>
        <v/>
      </c>
      <c r="B9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t="str">
        <f t="shared" si="14"/>
        <v/>
      </c>
      <c r="B9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t="str">
        <f t="shared" si="14"/>
        <v/>
      </c>
      <c r="B9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t="str">
        <f t="shared" si="14"/>
        <v/>
      </c>
      <c r="B9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t="str">
        <f t="shared" si="14"/>
        <v/>
      </c>
      <c r="B9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t="str">
        <f t="shared" si="14"/>
        <v/>
      </c>
      <c r="B9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t="str">
        <f t="shared" si="14"/>
        <v/>
      </c>
      <c r="B9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t="str">
        <f t="shared" si="14"/>
        <v/>
      </c>
      <c r="B9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t="str">
        <f t="shared" si="14"/>
        <v/>
      </c>
      <c r="B9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t="str">
        <f t="shared" si="14"/>
        <v/>
      </c>
      <c r="B9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t="str">
        <f t="shared" si="14"/>
        <v/>
      </c>
      <c r="B9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t="str">
        <f t="shared" si="14"/>
        <v/>
      </c>
      <c r="B9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t="str">
        <f t="shared" si="14"/>
        <v/>
      </c>
      <c r="B9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t="str">
        <f t="shared" si="14"/>
        <v/>
      </c>
      <c r="B9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t="str">
        <f t="shared" si="14"/>
        <v/>
      </c>
      <c r="B9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t="str">
        <f t="shared" si="14"/>
        <v/>
      </c>
      <c r="B9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t="str">
        <f t="shared" si="14"/>
        <v/>
      </c>
      <c r="B9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t="str">
        <f t="shared" si="14"/>
        <v/>
      </c>
      <c r="B9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t="str">
        <f t="shared" si="14"/>
        <v/>
      </c>
      <c r="B9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t="str">
        <f t="shared" si="14"/>
        <v/>
      </c>
      <c r="B9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t="str">
        <f t="shared" si="14"/>
        <v/>
      </c>
      <c r="B9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t="str">
        <f t="shared" si="14"/>
        <v/>
      </c>
      <c r="B9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t="str">
        <f t="shared" si="14"/>
        <v/>
      </c>
      <c r="B9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t="str">
        <f t="shared" si="14"/>
        <v/>
      </c>
      <c r="B9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t="str">
        <f t="shared" si="14"/>
        <v/>
      </c>
      <c r="B9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t="str">
        <f t="shared" si="14"/>
        <v/>
      </c>
      <c r="B9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t="str">
        <f t="shared" si="14"/>
        <v/>
      </c>
      <c r="B9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t="str">
        <f t="shared" si="14"/>
        <v/>
      </c>
      <c r="B9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t="str">
        <f t="shared" si="14"/>
        <v/>
      </c>
      <c r="B9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t="str">
        <f t="shared" si="14"/>
        <v/>
      </c>
      <c r="B9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t="str">
        <f t="shared" si="14"/>
        <v/>
      </c>
      <c r="B9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t="str">
        <f t="shared" si="14"/>
        <v/>
      </c>
      <c r="B9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t="str">
        <f t="shared" si="14"/>
        <v/>
      </c>
      <c r="B9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t="str">
        <f t="shared" si="14"/>
        <v/>
      </c>
      <c r="B9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t="str">
        <f t="shared" si="14"/>
        <v/>
      </c>
      <c r="B9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t="str">
        <f t="shared" si="14"/>
        <v/>
      </c>
      <c r="B9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t="str">
        <f t="shared" si="14"/>
        <v/>
      </c>
      <c r="B9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t="str">
        <f t="shared" si="14"/>
        <v/>
      </c>
      <c r="B9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t="str">
        <f t="shared" si="14"/>
        <v/>
      </c>
      <c r="B9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t="str">
        <f t="shared" si="14"/>
        <v/>
      </c>
      <c r="B9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t="str">
        <f t="shared" si="14"/>
        <v/>
      </c>
      <c r="B9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t="str">
        <f t="shared" si="14"/>
        <v/>
      </c>
      <c r="B9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t="str">
        <f t="shared" si="14"/>
        <v/>
      </c>
      <c r="B9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t="str">
        <f t="shared" si="14"/>
        <v/>
      </c>
      <c r="B9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t="str">
        <f t="shared" si="14"/>
        <v/>
      </c>
      <c r="B9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t="str">
        <f t="shared" si="14"/>
        <v/>
      </c>
      <c r="B9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t="str">
        <f t="shared" si="14"/>
        <v/>
      </c>
      <c r="B9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t="str">
        <f t="shared" si="14"/>
        <v/>
      </c>
      <c r="B9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t="str">
        <f t="shared" ref="A962:A1010" si="15">IFERROR(LEFT(RIGHT(C962,LEN(C962)-SEARCH("@",C962)),SEARCH("/",RIGHT(C962,LEN(C962)-SEARCH("@",C962)-1))),"")</f>
        <v/>
      </c>
      <c r="B9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t="str">
        <f t="shared" si="15"/>
        <v/>
      </c>
      <c r="B9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t="str">
        <f t="shared" si="15"/>
        <v/>
      </c>
      <c r="B9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t="str">
        <f t="shared" si="15"/>
        <v/>
      </c>
      <c r="B9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t="str">
        <f t="shared" si="15"/>
        <v/>
      </c>
      <c r="B9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t="str">
        <f t="shared" si="15"/>
        <v/>
      </c>
      <c r="B9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t="str">
        <f t="shared" si="15"/>
        <v/>
      </c>
      <c r="B9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t="str">
        <f t="shared" si="15"/>
        <v/>
      </c>
      <c r="B9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t="str">
        <f t="shared" si="15"/>
        <v/>
      </c>
      <c r="B9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t="str">
        <f t="shared" si="15"/>
        <v/>
      </c>
      <c r="B9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t="str">
        <f t="shared" si="15"/>
        <v/>
      </c>
      <c r="B9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t="str">
        <f t="shared" si="15"/>
        <v/>
      </c>
      <c r="B9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t="str">
        <f t="shared" si="15"/>
        <v/>
      </c>
      <c r="B9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t="str">
        <f t="shared" si="15"/>
        <v/>
      </c>
      <c r="B9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t="str">
        <f t="shared" si="15"/>
        <v/>
      </c>
      <c r="B9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t="str">
        <f t="shared" si="15"/>
        <v/>
      </c>
      <c r="B9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t="str">
        <f t="shared" si="15"/>
        <v/>
      </c>
      <c r="B9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t="str">
        <f t="shared" si="15"/>
        <v/>
      </c>
      <c r="B9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t="str">
        <f t="shared" si="15"/>
        <v/>
      </c>
      <c r="B9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t="str">
        <f t="shared" si="15"/>
        <v/>
      </c>
      <c r="B9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t="str">
        <f t="shared" si="15"/>
        <v/>
      </c>
      <c r="B9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t="str">
        <f t="shared" si="15"/>
        <v/>
      </c>
      <c r="B9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t="str">
        <f t="shared" si="15"/>
        <v/>
      </c>
      <c r="B9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t="str">
        <f t="shared" si="15"/>
        <v/>
      </c>
      <c r="B9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t="str">
        <f t="shared" si="15"/>
        <v/>
      </c>
      <c r="B9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t="str">
        <f t="shared" si="15"/>
        <v/>
      </c>
      <c r="B9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t="str">
        <f t="shared" si="15"/>
        <v/>
      </c>
      <c r="B9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t="str">
        <f t="shared" si="15"/>
        <v/>
      </c>
      <c r="B9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t="str">
        <f t="shared" si="15"/>
        <v/>
      </c>
      <c r="B9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t="str">
        <f t="shared" si="15"/>
        <v/>
      </c>
      <c r="B9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t="str">
        <f t="shared" si="15"/>
        <v/>
      </c>
      <c r="B9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t="str">
        <f t="shared" si="15"/>
        <v/>
      </c>
      <c r="B9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t="str">
        <f t="shared" si="15"/>
        <v/>
      </c>
      <c r="B9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t="str">
        <f t="shared" si="15"/>
        <v/>
      </c>
      <c r="B9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t="str">
        <f t="shared" si="15"/>
        <v/>
      </c>
      <c r="B9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t="str">
        <f t="shared" si="15"/>
        <v/>
      </c>
      <c r="B9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t="str">
        <f t="shared" si="15"/>
        <v/>
      </c>
      <c r="B9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t="str">
        <f t="shared" si="15"/>
        <v/>
      </c>
      <c r="B9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t="str">
        <f t="shared" si="15"/>
        <v/>
      </c>
      <c r="B10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t="str">
        <f t="shared" si="15"/>
        <v/>
      </c>
      <c r="B10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t="str">
        <f t="shared" si="15"/>
        <v/>
      </c>
      <c r="B10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t="str">
        <f t="shared" si="15"/>
        <v/>
      </c>
      <c r="B10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t="str">
        <f t="shared" si="15"/>
        <v/>
      </c>
      <c r="B10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t="str">
        <f t="shared" si="15"/>
        <v/>
      </c>
      <c r="B10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t="str">
        <f t="shared" si="15"/>
        <v/>
      </c>
      <c r="B10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t="str">
        <f t="shared" si="15"/>
        <v/>
      </c>
      <c r="B10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t="str">
        <f t="shared" si="15"/>
        <v/>
      </c>
      <c r="B10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t="str">
        <f t="shared" si="15"/>
        <v/>
      </c>
      <c r="B10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t="str">
        <f t="shared" si="15"/>
        <v/>
      </c>
      <c r="B10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t="str">
        <f t="shared" ref="A1011:A1074" si="16">IFERROR(LEFT(RIGHT(C1011,LEN(C1011)-SEARCH("@",C1011)),SEARCH("/",RIGHT(C1011,LEN(C1011)-SEARCH("@",C1011)-1))),"")</f>
        <v/>
      </c>
      <c r="B10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t="str">
        <f t="shared" si="16"/>
        <v/>
      </c>
      <c r="B10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t="str">
        <f t="shared" si="16"/>
        <v/>
      </c>
      <c r="B10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t="str">
        <f t="shared" si="16"/>
        <v/>
      </c>
      <c r="B10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t="str">
        <f t="shared" si="16"/>
        <v/>
      </c>
      <c r="B10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t="str">
        <f t="shared" si="16"/>
        <v/>
      </c>
      <c r="B10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t="str">
        <f t="shared" si="16"/>
        <v/>
      </c>
      <c r="B10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t="str">
        <f t="shared" si="16"/>
        <v/>
      </c>
      <c r="B10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t="str">
        <f t="shared" si="16"/>
        <v/>
      </c>
      <c r="B10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t="str">
        <f t="shared" si="16"/>
        <v/>
      </c>
      <c r="B10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t="str">
        <f t="shared" si="16"/>
        <v/>
      </c>
      <c r="B10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t="str">
        <f t="shared" si="16"/>
        <v/>
      </c>
      <c r="B10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t="str">
        <f t="shared" si="16"/>
        <v/>
      </c>
      <c r="B10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t="str">
        <f t="shared" si="16"/>
        <v/>
      </c>
      <c r="B10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t="str">
        <f t="shared" si="16"/>
        <v/>
      </c>
      <c r="B10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t="str">
        <f t="shared" si="16"/>
        <v/>
      </c>
      <c r="B10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t="str">
        <f t="shared" si="16"/>
        <v/>
      </c>
      <c r="B10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t="str">
        <f t="shared" si="16"/>
        <v/>
      </c>
      <c r="B10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t="str">
        <f t="shared" si="16"/>
        <v/>
      </c>
      <c r="B10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t="str">
        <f t="shared" si="16"/>
        <v/>
      </c>
      <c r="B10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t="str">
        <f t="shared" si="16"/>
        <v/>
      </c>
      <c r="B10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t="str">
        <f t="shared" si="16"/>
        <v/>
      </c>
      <c r="B10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t="str">
        <f t="shared" si="16"/>
        <v/>
      </c>
      <c r="B10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t="str">
        <f t="shared" si="16"/>
        <v/>
      </c>
      <c r="B10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t="str">
        <f t="shared" si="16"/>
        <v/>
      </c>
      <c r="B10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t="str">
        <f t="shared" si="16"/>
        <v/>
      </c>
      <c r="B10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t="str">
        <f t="shared" si="16"/>
        <v/>
      </c>
      <c r="B10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t="str">
        <f t="shared" si="16"/>
        <v/>
      </c>
      <c r="B10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t="str">
        <f t="shared" si="16"/>
        <v/>
      </c>
      <c r="B10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t="str">
        <f t="shared" si="16"/>
        <v/>
      </c>
      <c r="B10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t="str">
        <f t="shared" si="16"/>
        <v/>
      </c>
      <c r="B10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t="str">
        <f t="shared" si="16"/>
        <v/>
      </c>
      <c r="B10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t="str">
        <f t="shared" si="16"/>
        <v/>
      </c>
      <c r="B10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t="str">
        <f t="shared" si="16"/>
        <v/>
      </c>
      <c r="B10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t="str">
        <f t="shared" si="16"/>
        <v/>
      </c>
      <c r="B10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t="str">
        <f t="shared" si="16"/>
        <v/>
      </c>
      <c r="B10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t="str">
        <f t="shared" si="16"/>
        <v/>
      </c>
      <c r="B10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t="str">
        <f t="shared" si="16"/>
        <v/>
      </c>
      <c r="B10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t="str">
        <f t="shared" si="16"/>
        <v/>
      </c>
      <c r="B10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t="str">
        <f t="shared" si="16"/>
        <v/>
      </c>
      <c r="B10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t="str">
        <f t="shared" si="16"/>
        <v/>
      </c>
      <c r="B10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t="str">
        <f t="shared" si="16"/>
        <v/>
      </c>
      <c r="B10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t="str">
        <f t="shared" si="16"/>
        <v/>
      </c>
      <c r="B10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t="str">
        <f t="shared" si="16"/>
        <v/>
      </c>
      <c r="B10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t="str">
        <f t="shared" si="16"/>
        <v/>
      </c>
      <c r="B10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t="str">
        <f t="shared" si="16"/>
        <v/>
      </c>
      <c r="B10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t="str">
        <f t="shared" si="16"/>
        <v/>
      </c>
      <c r="B10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t="str">
        <f t="shared" si="16"/>
        <v/>
      </c>
      <c r="B10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t="str">
        <f t="shared" si="16"/>
        <v/>
      </c>
      <c r="B10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t="str">
        <f t="shared" si="16"/>
        <v/>
      </c>
      <c r="B10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t="str">
        <f t="shared" si="16"/>
        <v/>
      </c>
      <c r="B10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t="str">
        <f t="shared" si="16"/>
        <v/>
      </c>
      <c r="B10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t="str">
        <f t="shared" si="16"/>
        <v/>
      </c>
      <c r="B10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t="str">
        <f t="shared" si="16"/>
        <v/>
      </c>
      <c r="B10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t="str">
        <f t="shared" si="16"/>
        <v/>
      </c>
      <c r="B10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t="str">
        <f t="shared" si="16"/>
        <v/>
      </c>
      <c r="B10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t="str">
        <f t="shared" si="16"/>
        <v/>
      </c>
      <c r="B10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t="str">
        <f t="shared" si="16"/>
        <v/>
      </c>
      <c r="B10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t="str">
        <f t="shared" si="16"/>
        <v/>
      </c>
      <c r="B10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t="str">
        <f t="shared" si="16"/>
        <v/>
      </c>
      <c r="B10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t="str">
        <f t="shared" si="16"/>
        <v/>
      </c>
      <c r="B10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t="str">
        <f t="shared" si="16"/>
        <v/>
      </c>
      <c r="B10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t="str">
        <f t="shared" si="16"/>
        <v/>
      </c>
      <c r="B10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t="str">
        <f t="shared" si="16"/>
        <v/>
      </c>
      <c r="B10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t="str">
        <f t="shared" ref="A1075:A1138" si="17">IFERROR(LEFT(RIGHT(C1075,LEN(C1075)-SEARCH("@",C1075)),SEARCH("/",RIGHT(C1075,LEN(C1075)-SEARCH("@",C1075)-1))),"")</f>
        <v/>
      </c>
      <c r="B10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t="str">
        <f t="shared" si="17"/>
        <v/>
      </c>
      <c r="B10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t="str">
        <f t="shared" si="17"/>
        <v/>
      </c>
      <c r="B10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t="str">
        <f t="shared" si="17"/>
        <v/>
      </c>
      <c r="B10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t="str">
        <f t="shared" si="17"/>
        <v/>
      </c>
      <c r="B10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t="str">
        <f t="shared" si="17"/>
        <v/>
      </c>
      <c r="B10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t="str">
        <f t="shared" si="17"/>
        <v/>
      </c>
      <c r="B10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t="str">
        <f t="shared" si="17"/>
        <v/>
      </c>
      <c r="B10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t="str">
        <f t="shared" si="17"/>
        <v/>
      </c>
      <c r="B10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t="str">
        <f t="shared" si="17"/>
        <v/>
      </c>
      <c r="B10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t="str">
        <f t="shared" si="17"/>
        <v/>
      </c>
      <c r="B10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t="str">
        <f t="shared" si="17"/>
        <v/>
      </c>
      <c r="B10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t="str">
        <f t="shared" si="17"/>
        <v/>
      </c>
      <c r="B10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t="str">
        <f t="shared" si="17"/>
        <v/>
      </c>
      <c r="B10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t="str">
        <f t="shared" si="17"/>
        <v/>
      </c>
      <c r="B10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t="str">
        <f t="shared" si="17"/>
        <v/>
      </c>
      <c r="B10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t="str">
        <f t="shared" si="17"/>
        <v/>
      </c>
      <c r="B10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t="str">
        <f t="shared" si="17"/>
        <v/>
      </c>
      <c r="B10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t="str">
        <f t="shared" si="17"/>
        <v/>
      </c>
      <c r="B10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t="str">
        <f t="shared" si="17"/>
        <v/>
      </c>
      <c r="B10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t="str">
        <f t="shared" si="17"/>
        <v/>
      </c>
      <c r="B10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t="str">
        <f t="shared" si="17"/>
        <v/>
      </c>
      <c r="B10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t="str">
        <f t="shared" si="17"/>
        <v/>
      </c>
      <c r="B10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t="str">
        <f t="shared" si="17"/>
        <v/>
      </c>
      <c r="B10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t="str">
        <f t="shared" si="17"/>
        <v/>
      </c>
      <c r="B10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t="str">
        <f t="shared" si="17"/>
        <v/>
      </c>
      <c r="B11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t="str">
        <f t="shared" si="17"/>
        <v/>
      </c>
      <c r="B11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t="str">
        <f t="shared" si="17"/>
        <v/>
      </c>
      <c r="B11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t="str">
        <f t="shared" si="17"/>
        <v/>
      </c>
      <c r="B11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t="str">
        <f t="shared" si="17"/>
        <v/>
      </c>
      <c r="B11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t="str">
        <f t="shared" si="17"/>
        <v/>
      </c>
      <c r="B11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t="str">
        <f t="shared" si="17"/>
        <v/>
      </c>
      <c r="B11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t="str">
        <f t="shared" si="17"/>
        <v/>
      </c>
      <c r="B11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t="str">
        <f t="shared" si="17"/>
        <v/>
      </c>
      <c r="B11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t="str">
        <f t="shared" si="17"/>
        <v/>
      </c>
      <c r="B11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t="str">
        <f t="shared" si="17"/>
        <v/>
      </c>
      <c r="B11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t="str">
        <f t="shared" si="17"/>
        <v/>
      </c>
      <c r="B11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t="str">
        <f t="shared" si="17"/>
        <v/>
      </c>
      <c r="B11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t="str">
        <f t="shared" si="17"/>
        <v/>
      </c>
      <c r="B11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t="str">
        <f t="shared" si="17"/>
        <v/>
      </c>
      <c r="B11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t="str">
        <f t="shared" si="17"/>
        <v/>
      </c>
      <c r="B11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t="str">
        <f t="shared" si="17"/>
        <v/>
      </c>
      <c r="B11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t="str">
        <f t="shared" si="17"/>
        <v/>
      </c>
      <c r="B11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t="str">
        <f t="shared" si="17"/>
        <v/>
      </c>
      <c r="B11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t="str">
        <f t="shared" si="17"/>
        <v/>
      </c>
      <c r="B11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t="str">
        <f t="shared" si="17"/>
        <v/>
      </c>
      <c r="B11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t="str">
        <f t="shared" si="17"/>
        <v/>
      </c>
      <c r="B11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t="str">
        <f t="shared" si="17"/>
        <v/>
      </c>
      <c r="B11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t="str">
        <f t="shared" si="17"/>
        <v/>
      </c>
      <c r="B11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t="str">
        <f t="shared" si="17"/>
        <v/>
      </c>
      <c r="B11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t="str">
        <f t="shared" si="17"/>
        <v/>
      </c>
      <c r="B11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t="str">
        <f t="shared" si="17"/>
        <v/>
      </c>
      <c r="B11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t="str">
        <f t="shared" si="17"/>
        <v/>
      </c>
      <c r="B11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t="str">
        <f t="shared" si="17"/>
        <v/>
      </c>
      <c r="B11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t="str">
        <f t="shared" si="17"/>
        <v/>
      </c>
      <c r="B11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t="str">
        <f t="shared" si="17"/>
        <v/>
      </c>
      <c r="B11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t="str">
        <f t="shared" si="17"/>
        <v/>
      </c>
      <c r="B11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t="str">
        <f t="shared" si="17"/>
        <v/>
      </c>
      <c r="B11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t="str">
        <f t="shared" si="17"/>
        <v/>
      </c>
      <c r="B11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t="str">
        <f t="shared" si="17"/>
        <v/>
      </c>
      <c r="B11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t="str">
        <f t="shared" si="17"/>
        <v/>
      </c>
      <c r="B11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t="str">
        <f t="shared" si="17"/>
        <v/>
      </c>
      <c r="B11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t="str">
        <f t="shared" si="17"/>
        <v/>
      </c>
      <c r="B11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t="str">
        <f t="shared" si="17"/>
        <v/>
      </c>
      <c r="B11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t="str">
        <f t="shared" ref="A1139:A1202" si="18">IFERROR(LEFT(RIGHT(C1139,LEN(C1139)-SEARCH("@",C1139)),SEARCH("/",RIGHT(C1139,LEN(C1139)-SEARCH("@",C1139)-1))),"")</f>
        <v/>
      </c>
      <c r="B11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t="str">
        <f t="shared" si="18"/>
        <v/>
      </c>
      <c r="B11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t="str">
        <f t="shared" si="18"/>
        <v/>
      </c>
      <c r="B11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t="str">
        <f t="shared" si="18"/>
        <v/>
      </c>
      <c r="B11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t="str">
        <f t="shared" si="18"/>
        <v/>
      </c>
      <c r="B11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t="str">
        <f t="shared" si="18"/>
        <v/>
      </c>
      <c r="B11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t="str">
        <f t="shared" si="18"/>
        <v/>
      </c>
      <c r="B11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t="str">
        <f t="shared" si="18"/>
        <v/>
      </c>
      <c r="B11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t="str">
        <f t="shared" si="18"/>
        <v/>
      </c>
      <c r="B11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t="str">
        <f t="shared" si="18"/>
        <v/>
      </c>
      <c r="B11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t="str">
        <f t="shared" si="18"/>
        <v/>
      </c>
      <c r="B11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t="str">
        <f t="shared" si="18"/>
        <v/>
      </c>
      <c r="B11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t="str">
        <f t="shared" si="18"/>
        <v/>
      </c>
      <c r="B11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t="str">
        <f t="shared" si="18"/>
        <v/>
      </c>
      <c r="B11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t="str">
        <f t="shared" si="18"/>
        <v/>
      </c>
      <c r="B11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t="str">
        <f t="shared" si="18"/>
        <v/>
      </c>
      <c r="B11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t="str">
        <f t="shared" si="18"/>
        <v/>
      </c>
      <c r="B11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t="str">
        <f t="shared" si="18"/>
        <v/>
      </c>
      <c r="B11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t="str">
        <f t="shared" si="18"/>
        <v/>
      </c>
      <c r="B11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t="str">
        <f t="shared" si="18"/>
        <v/>
      </c>
      <c r="B11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t="str">
        <f t="shared" si="18"/>
        <v/>
      </c>
      <c r="B11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t="str">
        <f t="shared" si="18"/>
        <v/>
      </c>
      <c r="B11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t="str">
        <f t="shared" si="18"/>
        <v/>
      </c>
      <c r="B11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t="str">
        <f t="shared" si="18"/>
        <v/>
      </c>
      <c r="B11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t="str">
        <f t="shared" si="18"/>
        <v/>
      </c>
      <c r="B11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t="str">
        <f t="shared" si="18"/>
        <v/>
      </c>
      <c r="B11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t="str">
        <f t="shared" si="18"/>
        <v/>
      </c>
      <c r="B11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t="str">
        <f t="shared" si="18"/>
        <v/>
      </c>
      <c r="B11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t="str">
        <f t="shared" si="18"/>
        <v/>
      </c>
      <c r="B11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t="str">
        <f t="shared" si="18"/>
        <v/>
      </c>
      <c r="B11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t="str">
        <f t="shared" si="18"/>
        <v/>
      </c>
      <c r="B11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t="str">
        <f t="shared" si="18"/>
        <v/>
      </c>
      <c r="B11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t="str">
        <f t="shared" si="18"/>
        <v/>
      </c>
      <c r="B11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t="str">
        <f t="shared" si="18"/>
        <v/>
      </c>
      <c r="B11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t="str">
        <f t="shared" si="18"/>
        <v/>
      </c>
      <c r="B11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t="str">
        <f t="shared" si="18"/>
        <v/>
      </c>
      <c r="B11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t="str">
        <f t="shared" si="18"/>
        <v/>
      </c>
      <c r="B11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t="str">
        <f t="shared" si="18"/>
        <v/>
      </c>
      <c r="B11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t="str">
        <f t="shared" si="18"/>
        <v/>
      </c>
      <c r="B11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t="str">
        <f t="shared" si="18"/>
        <v/>
      </c>
      <c r="B11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t="str">
        <f t="shared" si="18"/>
        <v/>
      </c>
      <c r="B11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t="str">
        <f t="shared" si="18"/>
        <v/>
      </c>
      <c r="B11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t="str">
        <f t="shared" si="18"/>
        <v/>
      </c>
      <c r="B11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t="str">
        <f t="shared" si="18"/>
        <v/>
      </c>
      <c r="B11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t="str">
        <f t="shared" si="18"/>
        <v/>
      </c>
      <c r="B11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t="str">
        <f t="shared" si="18"/>
        <v/>
      </c>
      <c r="B11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t="str">
        <f t="shared" si="18"/>
        <v/>
      </c>
      <c r="B11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t="str">
        <f t="shared" si="18"/>
        <v/>
      </c>
      <c r="B11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t="str">
        <f t="shared" si="18"/>
        <v/>
      </c>
      <c r="B11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t="str">
        <f t="shared" si="18"/>
        <v/>
      </c>
      <c r="B11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t="str">
        <f t="shared" si="18"/>
        <v/>
      </c>
      <c r="B11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t="str">
        <f t="shared" si="18"/>
        <v/>
      </c>
      <c r="B11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t="str">
        <f t="shared" si="18"/>
        <v/>
      </c>
      <c r="B11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t="str">
        <f t="shared" si="18"/>
        <v/>
      </c>
      <c r="B11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t="str">
        <f t="shared" si="18"/>
        <v/>
      </c>
      <c r="B11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t="str">
        <f t="shared" si="18"/>
        <v/>
      </c>
      <c r="B11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t="str">
        <f t="shared" si="18"/>
        <v/>
      </c>
      <c r="B11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t="str">
        <f t="shared" si="18"/>
        <v/>
      </c>
      <c r="B11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t="str">
        <f t="shared" si="18"/>
        <v/>
      </c>
      <c r="B11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t="str">
        <f t="shared" si="18"/>
        <v/>
      </c>
      <c r="B11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t="str">
        <f t="shared" si="18"/>
        <v/>
      </c>
      <c r="B11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t="str">
        <f t="shared" si="18"/>
        <v/>
      </c>
      <c r="B12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t="str">
        <f t="shared" si="18"/>
        <v/>
      </c>
      <c r="B12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t="str">
        <f t="shared" si="18"/>
        <v/>
      </c>
      <c r="B12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t="str">
        <f t="shared" ref="A1203:A1266" si="19">IFERROR(LEFT(RIGHT(C1203,LEN(C1203)-SEARCH("@",C1203)),SEARCH("/",RIGHT(C1203,LEN(C1203)-SEARCH("@",C1203)-1))),"")</f>
        <v/>
      </c>
      <c r="B12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t="str">
        <f t="shared" si="19"/>
        <v/>
      </c>
      <c r="B12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t="str">
        <f t="shared" si="19"/>
        <v/>
      </c>
      <c r="B12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t="str">
        <f t="shared" si="19"/>
        <v/>
      </c>
      <c r="B12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t="str">
        <f t="shared" si="19"/>
        <v/>
      </c>
      <c r="B12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t="str">
        <f t="shared" si="19"/>
        <v/>
      </c>
      <c r="B12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t="str">
        <f t="shared" si="19"/>
        <v/>
      </c>
      <c r="B12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t="str">
        <f t="shared" si="19"/>
        <v/>
      </c>
      <c r="B12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t="str">
        <f t="shared" si="19"/>
        <v/>
      </c>
      <c r="B12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t="str">
        <f t="shared" si="19"/>
        <v/>
      </c>
      <c r="B12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t="str">
        <f t="shared" si="19"/>
        <v/>
      </c>
      <c r="B12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t="str">
        <f t="shared" si="19"/>
        <v/>
      </c>
      <c r="B12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t="str">
        <f t="shared" si="19"/>
        <v/>
      </c>
      <c r="B12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t="str">
        <f t="shared" si="19"/>
        <v/>
      </c>
      <c r="B12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t="str">
        <f t="shared" si="19"/>
        <v/>
      </c>
      <c r="B12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t="str">
        <f t="shared" si="19"/>
        <v/>
      </c>
      <c r="B12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t="str">
        <f t="shared" si="19"/>
        <v/>
      </c>
      <c r="B12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t="str">
        <f t="shared" si="19"/>
        <v/>
      </c>
      <c r="B12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t="str">
        <f t="shared" si="19"/>
        <v/>
      </c>
      <c r="B12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t="str">
        <f t="shared" si="19"/>
        <v/>
      </c>
      <c r="B12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t="str">
        <f t="shared" si="19"/>
        <v/>
      </c>
      <c r="B12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t="str">
        <f t="shared" si="19"/>
        <v/>
      </c>
      <c r="B12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t="str">
        <f t="shared" si="19"/>
        <v/>
      </c>
      <c r="B12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t="str">
        <f t="shared" si="19"/>
        <v/>
      </c>
      <c r="B12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t="str">
        <f t="shared" si="19"/>
        <v/>
      </c>
      <c r="B12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t="str">
        <f t="shared" si="19"/>
        <v/>
      </c>
      <c r="B12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t="str">
        <f t="shared" si="19"/>
        <v/>
      </c>
      <c r="B12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t="str">
        <f t="shared" si="19"/>
        <v/>
      </c>
      <c r="B12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t="str">
        <f t="shared" si="19"/>
        <v/>
      </c>
      <c r="B12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t="str">
        <f t="shared" si="19"/>
        <v/>
      </c>
      <c r="B12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t="str">
        <f t="shared" si="19"/>
        <v/>
      </c>
      <c r="B12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t="str">
        <f t="shared" si="19"/>
        <v/>
      </c>
      <c r="B12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t="str">
        <f t="shared" si="19"/>
        <v/>
      </c>
      <c r="B12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t="str">
        <f t="shared" si="19"/>
        <v/>
      </c>
      <c r="B12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t="str">
        <f t="shared" si="19"/>
        <v/>
      </c>
      <c r="B12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t="str">
        <f t="shared" si="19"/>
        <v/>
      </c>
      <c r="B12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t="str">
        <f t="shared" si="19"/>
        <v/>
      </c>
      <c r="B12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t="str">
        <f t="shared" si="19"/>
        <v/>
      </c>
      <c r="B12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t="str">
        <f t="shared" si="19"/>
        <v/>
      </c>
      <c r="B12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t="str">
        <f t="shared" si="19"/>
        <v/>
      </c>
      <c r="B12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t="str">
        <f t="shared" si="19"/>
        <v/>
      </c>
      <c r="B12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t="str">
        <f t="shared" si="19"/>
        <v/>
      </c>
      <c r="B12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t="str">
        <f t="shared" si="19"/>
        <v/>
      </c>
      <c r="B12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t="str">
        <f t="shared" si="19"/>
        <v/>
      </c>
      <c r="B12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t="str">
        <f t="shared" si="19"/>
        <v/>
      </c>
      <c r="B12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t="str">
        <f t="shared" si="19"/>
        <v/>
      </c>
      <c r="B12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t="str">
        <f t="shared" si="19"/>
        <v/>
      </c>
      <c r="B12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t="str">
        <f t="shared" si="19"/>
        <v/>
      </c>
      <c r="B12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t="str">
        <f t="shared" si="19"/>
        <v/>
      </c>
      <c r="B12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t="str">
        <f t="shared" si="19"/>
        <v/>
      </c>
      <c r="B12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t="str">
        <f t="shared" si="19"/>
        <v/>
      </c>
      <c r="B12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t="str">
        <f t="shared" si="19"/>
        <v/>
      </c>
      <c r="B12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t="str">
        <f t="shared" si="19"/>
        <v/>
      </c>
      <c r="B12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t="str">
        <f t="shared" si="19"/>
        <v/>
      </c>
      <c r="B12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t="str">
        <f t="shared" si="19"/>
        <v/>
      </c>
      <c r="B12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t="str">
        <f t="shared" si="19"/>
        <v/>
      </c>
      <c r="B12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t="str">
        <f t="shared" si="19"/>
        <v/>
      </c>
      <c r="B12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t="str">
        <f t="shared" si="19"/>
        <v/>
      </c>
      <c r="B12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t="str">
        <f t="shared" si="19"/>
        <v/>
      </c>
      <c r="B12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t="str">
        <f t="shared" si="19"/>
        <v/>
      </c>
      <c r="B12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t="str">
        <f t="shared" si="19"/>
        <v/>
      </c>
      <c r="B12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t="str">
        <f t="shared" si="19"/>
        <v/>
      </c>
      <c r="B12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t="str">
        <f t="shared" si="19"/>
        <v/>
      </c>
      <c r="B12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t="str">
        <f t="shared" si="19"/>
        <v/>
      </c>
      <c r="B12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t="str">
        <f t="shared" ref="A1267:A1330" si="20">IFERROR(LEFT(RIGHT(C1267,LEN(C1267)-SEARCH("@",C1267)),SEARCH("/",RIGHT(C1267,LEN(C1267)-SEARCH("@",C1267)-1))),"")</f>
        <v/>
      </c>
      <c r="B12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t="str">
        <f t="shared" si="20"/>
        <v/>
      </c>
      <c r="B12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t="str">
        <f t="shared" si="20"/>
        <v/>
      </c>
      <c r="B12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t="str">
        <f t="shared" si="20"/>
        <v/>
      </c>
      <c r="B12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t="str">
        <f t="shared" si="20"/>
        <v/>
      </c>
      <c r="B12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t="str">
        <f t="shared" si="20"/>
        <v/>
      </c>
      <c r="B12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t="str">
        <f t="shared" si="20"/>
        <v/>
      </c>
      <c r="B12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t="str">
        <f t="shared" si="20"/>
        <v/>
      </c>
      <c r="B12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t="str">
        <f t="shared" si="20"/>
        <v/>
      </c>
      <c r="B12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t="str">
        <f t="shared" si="20"/>
        <v/>
      </c>
      <c r="B12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t="str">
        <f t="shared" si="20"/>
        <v/>
      </c>
      <c r="B12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t="str">
        <f t="shared" si="20"/>
        <v/>
      </c>
      <c r="B12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t="str">
        <f t="shared" si="20"/>
        <v/>
      </c>
      <c r="B12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t="str">
        <f t="shared" si="20"/>
        <v/>
      </c>
      <c r="B12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t="str">
        <f t="shared" si="20"/>
        <v/>
      </c>
      <c r="B12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t="str">
        <f t="shared" si="20"/>
        <v/>
      </c>
      <c r="B12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t="str">
        <f t="shared" si="20"/>
        <v/>
      </c>
      <c r="B12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t="str">
        <f t="shared" si="20"/>
        <v/>
      </c>
      <c r="B12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t="str">
        <f t="shared" si="20"/>
        <v/>
      </c>
      <c r="B12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t="str">
        <f t="shared" si="20"/>
        <v/>
      </c>
      <c r="B12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t="str">
        <f t="shared" si="20"/>
        <v/>
      </c>
      <c r="B12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t="str">
        <f t="shared" si="20"/>
        <v/>
      </c>
      <c r="B12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t="str">
        <f t="shared" si="20"/>
        <v/>
      </c>
      <c r="B12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t="str">
        <f t="shared" si="20"/>
        <v/>
      </c>
      <c r="B12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t="str">
        <f t="shared" si="20"/>
        <v/>
      </c>
      <c r="B12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t="str">
        <f t="shared" si="20"/>
        <v/>
      </c>
      <c r="B12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t="str">
        <f t="shared" si="20"/>
        <v/>
      </c>
      <c r="B12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t="str">
        <f t="shared" si="20"/>
        <v/>
      </c>
      <c r="B12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t="str">
        <f t="shared" si="20"/>
        <v/>
      </c>
      <c r="B12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t="str">
        <f t="shared" si="20"/>
        <v/>
      </c>
      <c r="B12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t="str">
        <f t="shared" si="20"/>
        <v/>
      </c>
      <c r="B12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t="str">
        <f t="shared" si="20"/>
        <v/>
      </c>
      <c r="B12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t="str">
        <f t="shared" si="20"/>
        <v/>
      </c>
      <c r="B12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t="str">
        <f t="shared" si="20"/>
        <v/>
      </c>
      <c r="B13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t="str">
        <f t="shared" si="20"/>
        <v/>
      </c>
      <c r="B13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t="str">
        <f t="shared" si="20"/>
        <v/>
      </c>
      <c r="B13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t="str">
        <f t="shared" si="20"/>
        <v/>
      </c>
      <c r="B13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t="str">
        <f t="shared" si="20"/>
        <v/>
      </c>
      <c r="B13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t="str">
        <f t="shared" si="20"/>
        <v/>
      </c>
      <c r="B13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t="str">
        <f t="shared" si="20"/>
        <v/>
      </c>
      <c r="B13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t="str">
        <f t="shared" si="20"/>
        <v/>
      </c>
      <c r="B13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t="str">
        <f t="shared" si="20"/>
        <v/>
      </c>
      <c r="B13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t="str">
        <f t="shared" si="20"/>
        <v/>
      </c>
      <c r="B13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t="str">
        <f t="shared" si="20"/>
        <v/>
      </c>
      <c r="B13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t="str">
        <f t="shared" si="20"/>
        <v/>
      </c>
      <c r="B13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t="str">
        <f t="shared" si="20"/>
        <v/>
      </c>
      <c r="B13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t="str">
        <f t="shared" si="20"/>
        <v/>
      </c>
      <c r="B13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t="str">
        <f t="shared" si="20"/>
        <v/>
      </c>
      <c r="B13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t="str">
        <f t="shared" si="20"/>
        <v/>
      </c>
      <c r="B13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t="str">
        <f t="shared" si="20"/>
        <v/>
      </c>
      <c r="B13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t="str">
        <f t="shared" si="20"/>
        <v/>
      </c>
      <c r="B13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t="str">
        <f t="shared" si="20"/>
        <v/>
      </c>
      <c r="B13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t="str">
        <f t="shared" si="20"/>
        <v/>
      </c>
      <c r="B13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t="str">
        <f t="shared" si="20"/>
        <v/>
      </c>
      <c r="B13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t="str">
        <f t="shared" si="20"/>
        <v/>
      </c>
      <c r="B13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t="str">
        <f t="shared" si="20"/>
        <v/>
      </c>
      <c r="B13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t="str">
        <f t="shared" si="20"/>
        <v/>
      </c>
      <c r="B13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t="str">
        <f t="shared" si="20"/>
        <v/>
      </c>
      <c r="B13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t="str">
        <f t="shared" si="20"/>
        <v/>
      </c>
      <c r="B13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t="str">
        <f t="shared" si="20"/>
        <v/>
      </c>
      <c r="B13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t="str">
        <f t="shared" si="20"/>
        <v/>
      </c>
      <c r="B13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t="str">
        <f t="shared" si="20"/>
        <v/>
      </c>
      <c r="B13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t="str">
        <f t="shared" si="20"/>
        <v/>
      </c>
      <c r="B13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t="str">
        <f t="shared" si="20"/>
        <v/>
      </c>
      <c r="B13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t="str">
        <f t="shared" ref="A1331:A1394" si="21">IFERROR(LEFT(RIGHT(C1331,LEN(C1331)-SEARCH("@",C1331)),SEARCH("/",RIGHT(C1331,LEN(C1331)-SEARCH("@",C1331)-1))),"")</f>
        <v/>
      </c>
      <c r="B13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t="str">
        <f t="shared" si="21"/>
        <v/>
      </c>
      <c r="B13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t="str">
        <f t="shared" si="21"/>
        <v/>
      </c>
      <c r="B13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t="str">
        <f t="shared" si="21"/>
        <v/>
      </c>
      <c r="B13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t="str">
        <f t="shared" si="21"/>
        <v/>
      </c>
      <c r="B13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t="str">
        <f t="shared" si="21"/>
        <v/>
      </c>
      <c r="B13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t="str">
        <f t="shared" si="21"/>
        <v/>
      </c>
      <c r="B13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t="str">
        <f t="shared" si="21"/>
        <v/>
      </c>
      <c r="B13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t="str">
        <f t="shared" si="21"/>
        <v/>
      </c>
      <c r="B13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t="str">
        <f t="shared" si="21"/>
        <v/>
      </c>
      <c r="B13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t="str">
        <f t="shared" si="21"/>
        <v/>
      </c>
      <c r="B13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t="str">
        <f t="shared" si="21"/>
        <v/>
      </c>
      <c r="B13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t="str">
        <f t="shared" si="21"/>
        <v/>
      </c>
      <c r="B13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t="str">
        <f t="shared" si="21"/>
        <v/>
      </c>
      <c r="B13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t="str">
        <f t="shared" si="21"/>
        <v/>
      </c>
      <c r="B13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t="str">
        <f t="shared" si="21"/>
        <v/>
      </c>
      <c r="B13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t="str">
        <f t="shared" si="21"/>
        <v/>
      </c>
      <c r="B13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t="str">
        <f t="shared" si="21"/>
        <v/>
      </c>
      <c r="B13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t="str">
        <f t="shared" si="21"/>
        <v/>
      </c>
      <c r="B13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t="str">
        <f t="shared" si="21"/>
        <v/>
      </c>
      <c r="B13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t="str">
        <f t="shared" si="21"/>
        <v/>
      </c>
      <c r="B13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t="str">
        <f t="shared" si="21"/>
        <v/>
      </c>
      <c r="B13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t="str">
        <f t="shared" si="21"/>
        <v/>
      </c>
      <c r="B13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t="str">
        <f t="shared" si="21"/>
        <v/>
      </c>
      <c r="B13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t="str">
        <f t="shared" si="21"/>
        <v/>
      </c>
      <c r="B13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t="str">
        <f t="shared" si="21"/>
        <v/>
      </c>
      <c r="B13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t="str">
        <f t="shared" si="21"/>
        <v/>
      </c>
      <c r="B13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t="str">
        <f t="shared" si="21"/>
        <v/>
      </c>
      <c r="B13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t="str">
        <f t="shared" si="21"/>
        <v/>
      </c>
      <c r="B13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t="str">
        <f t="shared" si="21"/>
        <v/>
      </c>
      <c r="B13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t="str">
        <f t="shared" si="21"/>
        <v/>
      </c>
      <c r="B13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t="str">
        <f t="shared" si="21"/>
        <v/>
      </c>
      <c r="B13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t="str">
        <f t="shared" si="21"/>
        <v/>
      </c>
      <c r="B13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t="str">
        <f t="shared" si="21"/>
        <v/>
      </c>
      <c r="B13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t="str">
        <f t="shared" si="21"/>
        <v/>
      </c>
      <c r="B13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t="str">
        <f t="shared" si="21"/>
        <v/>
      </c>
      <c r="B13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t="str">
        <f t="shared" si="21"/>
        <v/>
      </c>
      <c r="B13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t="str">
        <f t="shared" si="21"/>
        <v/>
      </c>
      <c r="B13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t="str">
        <f t="shared" si="21"/>
        <v/>
      </c>
      <c r="B13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t="str">
        <f t="shared" si="21"/>
        <v/>
      </c>
      <c r="B13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t="str">
        <f t="shared" si="21"/>
        <v/>
      </c>
      <c r="B13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t="str">
        <f t="shared" si="21"/>
        <v/>
      </c>
      <c r="B13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t="str">
        <f t="shared" si="21"/>
        <v/>
      </c>
      <c r="B13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t="str">
        <f t="shared" si="21"/>
        <v/>
      </c>
      <c r="B13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t="str">
        <f t="shared" si="21"/>
        <v/>
      </c>
      <c r="B13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t="str">
        <f t="shared" si="21"/>
        <v/>
      </c>
      <c r="B13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t="str">
        <f t="shared" si="21"/>
        <v/>
      </c>
      <c r="B13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t="str">
        <f t="shared" si="21"/>
        <v/>
      </c>
      <c r="B13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t="str">
        <f t="shared" si="21"/>
        <v/>
      </c>
      <c r="B13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t="str">
        <f t="shared" si="21"/>
        <v/>
      </c>
      <c r="B13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t="str">
        <f t="shared" si="21"/>
        <v/>
      </c>
      <c r="B13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t="str">
        <f t="shared" si="21"/>
        <v/>
      </c>
      <c r="B13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t="str">
        <f t="shared" si="21"/>
        <v/>
      </c>
      <c r="B13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t="str">
        <f t="shared" si="21"/>
        <v/>
      </c>
      <c r="B13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t="str">
        <f t="shared" si="21"/>
        <v/>
      </c>
      <c r="B13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t="str">
        <f t="shared" si="21"/>
        <v/>
      </c>
      <c r="B13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t="str">
        <f t="shared" si="21"/>
        <v/>
      </c>
      <c r="B13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t="str">
        <f t="shared" si="21"/>
        <v/>
      </c>
      <c r="B13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t="str">
        <f t="shared" si="21"/>
        <v/>
      </c>
      <c r="B13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t="str">
        <f t="shared" si="21"/>
        <v/>
      </c>
      <c r="B13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t="str">
        <f t="shared" si="21"/>
        <v/>
      </c>
      <c r="B13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t="str">
        <f t="shared" si="21"/>
        <v/>
      </c>
      <c r="B13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t="str">
        <f t="shared" si="21"/>
        <v/>
      </c>
      <c r="B13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t="str">
        <f t="shared" si="21"/>
        <v/>
      </c>
      <c r="B13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t="str">
        <f t="shared" ref="A1395:A1458" si="22">IFERROR(LEFT(RIGHT(C1395,LEN(C1395)-SEARCH("@",C1395)),SEARCH("/",RIGHT(C1395,LEN(C1395)-SEARCH("@",C1395)-1))),"")</f>
        <v/>
      </c>
      <c r="B13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t="str">
        <f t="shared" si="22"/>
        <v/>
      </c>
      <c r="B13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t="str">
        <f t="shared" si="22"/>
        <v/>
      </c>
      <c r="B13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t="str">
        <f t="shared" si="22"/>
        <v/>
      </c>
      <c r="B13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t="str">
        <f t="shared" si="22"/>
        <v/>
      </c>
      <c r="B13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t="str">
        <f t="shared" si="22"/>
        <v/>
      </c>
      <c r="B14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t="str">
        <f t="shared" si="22"/>
        <v/>
      </c>
      <c r="B14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t="str">
        <f t="shared" si="22"/>
        <v/>
      </c>
      <c r="B14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t="str">
        <f t="shared" si="22"/>
        <v/>
      </c>
      <c r="B14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t="str">
        <f t="shared" si="22"/>
        <v/>
      </c>
      <c r="B14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t="str">
        <f t="shared" si="22"/>
        <v/>
      </c>
      <c r="B14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t="str">
        <f t="shared" si="22"/>
        <v/>
      </c>
      <c r="B14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t="str">
        <f t="shared" si="22"/>
        <v/>
      </c>
      <c r="B14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t="str">
        <f t="shared" si="22"/>
        <v/>
      </c>
      <c r="B14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t="str">
        <f t="shared" si="22"/>
        <v/>
      </c>
      <c r="B14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t="str">
        <f t="shared" si="22"/>
        <v/>
      </c>
      <c r="B14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t="str">
        <f t="shared" si="22"/>
        <v/>
      </c>
      <c r="B14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t="str">
        <f t="shared" si="22"/>
        <v/>
      </c>
      <c r="B14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t="str">
        <f t="shared" si="22"/>
        <v/>
      </c>
      <c r="B14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t="str">
        <f t="shared" si="22"/>
        <v/>
      </c>
      <c r="B14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t="str">
        <f t="shared" si="22"/>
        <v/>
      </c>
      <c r="B14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t="str">
        <f t="shared" si="22"/>
        <v/>
      </c>
      <c r="B14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t="str">
        <f t="shared" si="22"/>
        <v/>
      </c>
      <c r="B14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t="str">
        <f t="shared" si="22"/>
        <v/>
      </c>
      <c r="B14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t="str">
        <f t="shared" si="22"/>
        <v/>
      </c>
      <c r="B14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t="str">
        <f t="shared" si="22"/>
        <v/>
      </c>
      <c r="B14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t="str">
        <f t="shared" si="22"/>
        <v/>
      </c>
      <c r="B14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t="str">
        <f t="shared" si="22"/>
        <v/>
      </c>
      <c r="B14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t="str">
        <f t="shared" si="22"/>
        <v/>
      </c>
      <c r="B14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t="str">
        <f t="shared" si="22"/>
        <v/>
      </c>
      <c r="B14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t="str">
        <f t="shared" si="22"/>
        <v/>
      </c>
      <c r="B14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t="str">
        <f t="shared" si="22"/>
        <v/>
      </c>
      <c r="B14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t="str">
        <f t="shared" si="22"/>
        <v/>
      </c>
      <c r="B14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t="str">
        <f t="shared" si="22"/>
        <v/>
      </c>
      <c r="B14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t="str">
        <f t="shared" si="22"/>
        <v/>
      </c>
      <c r="B14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t="str">
        <f t="shared" si="22"/>
        <v/>
      </c>
      <c r="B14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t="str">
        <f t="shared" si="22"/>
        <v/>
      </c>
      <c r="B14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t="str">
        <f t="shared" si="22"/>
        <v/>
      </c>
      <c r="B14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t="str">
        <f t="shared" si="22"/>
        <v/>
      </c>
      <c r="B14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t="str">
        <f t="shared" si="22"/>
        <v/>
      </c>
      <c r="B14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t="str">
        <f t="shared" si="22"/>
        <v/>
      </c>
      <c r="B14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t="str">
        <f t="shared" si="22"/>
        <v/>
      </c>
      <c r="B14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t="str">
        <f t="shared" si="22"/>
        <v/>
      </c>
      <c r="B14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t="str">
        <f t="shared" si="22"/>
        <v/>
      </c>
      <c r="B14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t="str">
        <f t="shared" si="22"/>
        <v/>
      </c>
      <c r="B14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t="str">
        <f t="shared" si="22"/>
        <v/>
      </c>
      <c r="B14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t="str">
        <f t="shared" si="22"/>
        <v/>
      </c>
      <c r="B14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t="str">
        <f t="shared" si="22"/>
        <v/>
      </c>
      <c r="B14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t="str">
        <f t="shared" si="22"/>
        <v/>
      </c>
      <c r="B14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t="str">
        <f t="shared" si="22"/>
        <v/>
      </c>
      <c r="B14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t="str">
        <f t="shared" si="22"/>
        <v/>
      </c>
      <c r="B14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t="str">
        <f t="shared" si="22"/>
        <v/>
      </c>
      <c r="B14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t="str">
        <f t="shared" si="22"/>
        <v/>
      </c>
      <c r="B14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t="str">
        <f t="shared" si="22"/>
        <v/>
      </c>
      <c r="B14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t="str">
        <f t="shared" si="22"/>
        <v/>
      </c>
      <c r="B14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t="str">
        <f t="shared" si="22"/>
        <v/>
      </c>
      <c r="B14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t="str">
        <f t="shared" si="22"/>
        <v/>
      </c>
      <c r="B14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t="str">
        <f t="shared" si="22"/>
        <v/>
      </c>
      <c r="B14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t="str">
        <f t="shared" si="22"/>
        <v/>
      </c>
      <c r="B14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t="str">
        <f t="shared" si="22"/>
        <v/>
      </c>
      <c r="B14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t="str">
        <f t="shared" si="22"/>
        <v/>
      </c>
      <c r="B14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t="str">
        <f t="shared" si="22"/>
        <v/>
      </c>
      <c r="B14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t="str">
        <f t="shared" si="22"/>
        <v/>
      </c>
      <c r="B14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t="str">
        <f t="shared" si="22"/>
        <v/>
      </c>
      <c r="B14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t="str">
        <f t="shared" ref="A1459:A1522" si="23">IFERROR(LEFT(RIGHT(C1459,LEN(C1459)-SEARCH("@",C1459)),SEARCH("/",RIGHT(C1459,LEN(C1459)-SEARCH("@",C1459)-1))),"")</f>
        <v/>
      </c>
      <c r="B14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t="str">
        <f t="shared" si="23"/>
        <v/>
      </c>
      <c r="B14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t="str">
        <f t="shared" si="23"/>
        <v/>
      </c>
      <c r="B14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t="str">
        <f t="shared" si="23"/>
        <v/>
      </c>
      <c r="B14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t="str">
        <f t="shared" si="23"/>
        <v/>
      </c>
      <c r="B14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t="str">
        <f t="shared" si="23"/>
        <v/>
      </c>
      <c r="B14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t="str">
        <f t="shared" si="23"/>
        <v/>
      </c>
      <c r="B14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t="str">
        <f t="shared" si="23"/>
        <v/>
      </c>
      <c r="B14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t="str">
        <f t="shared" si="23"/>
        <v/>
      </c>
      <c r="B14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t="str">
        <f t="shared" si="23"/>
        <v/>
      </c>
      <c r="B14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t="str">
        <f t="shared" si="23"/>
        <v/>
      </c>
      <c r="B14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t="str">
        <f t="shared" si="23"/>
        <v/>
      </c>
      <c r="B14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t="str">
        <f t="shared" si="23"/>
        <v/>
      </c>
      <c r="B14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t="str">
        <f t="shared" si="23"/>
        <v/>
      </c>
      <c r="B14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t="str">
        <f t="shared" si="23"/>
        <v/>
      </c>
      <c r="B14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t="str">
        <f t="shared" si="23"/>
        <v/>
      </c>
      <c r="B14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t="str">
        <f t="shared" si="23"/>
        <v/>
      </c>
      <c r="B14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t="str">
        <f t="shared" si="23"/>
        <v/>
      </c>
      <c r="B14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t="str">
        <f t="shared" si="23"/>
        <v/>
      </c>
      <c r="B14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t="str">
        <f t="shared" si="23"/>
        <v/>
      </c>
      <c r="B14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t="str">
        <f t="shared" si="23"/>
        <v/>
      </c>
      <c r="B14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t="str">
        <f t="shared" si="23"/>
        <v/>
      </c>
      <c r="B14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t="str">
        <f t="shared" si="23"/>
        <v/>
      </c>
      <c r="B14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t="str">
        <f t="shared" si="23"/>
        <v/>
      </c>
      <c r="B14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t="str">
        <f t="shared" si="23"/>
        <v/>
      </c>
      <c r="B14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t="str">
        <f t="shared" si="23"/>
        <v/>
      </c>
      <c r="B14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t="str">
        <f t="shared" si="23"/>
        <v/>
      </c>
      <c r="B14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t="str">
        <f t="shared" si="23"/>
        <v/>
      </c>
      <c r="B14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t="str">
        <f t="shared" si="23"/>
        <v/>
      </c>
      <c r="B14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t="str">
        <f t="shared" si="23"/>
        <v/>
      </c>
      <c r="B14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t="str">
        <f t="shared" si="23"/>
        <v/>
      </c>
      <c r="B14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t="str">
        <f t="shared" si="23"/>
        <v/>
      </c>
      <c r="B14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t="str">
        <f t="shared" si="23"/>
        <v/>
      </c>
      <c r="B14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t="str">
        <f t="shared" si="23"/>
        <v/>
      </c>
      <c r="B14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t="str">
        <f t="shared" si="23"/>
        <v/>
      </c>
      <c r="B14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t="str">
        <f t="shared" si="23"/>
        <v/>
      </c>
      <c r="B14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t="str">
        <f t="shared" si="23"/>
        <v/>
      </c>
      <c r="B14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t="str">
        <f t="shared" si="23"/>
        <v/>
      </c>
      <c r="B14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t="str">
        <f t="shared" si="23"/>
        <v/>
      </c>
      <c r="B14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t="str">
        <f t="shared" si="23"/>
        <v/>
      </c>
      <c r="B14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t="str">
        <f t="shared" si="23"/>
        <v/>
      </c>
      <c r="B14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t="str">
        <f t="shared" si="23"/>
        <v/>
      </c>
      <c r="B15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t="str">
        <f t="shared" si="23"/>
        <v/>
      </c>
      <c r="B15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t="str">
        <f t="shared" si="23"/>
        <v/>
      </c>
      <c r="B15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t="str">
        <f t="shared" si="23"/>
        <v/>
      </c>
      <c r="B15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t="str">
        <f t="shared" si="23"/>
        <v/>
      </c>
      <c r="B15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t="str">
        <f t="shared" si="23"/>
        <v/>
      </c>
      <c r="B15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t="str">
        <f t="shared" si="23"/>
        <v/>
      </c>
      <c r="B15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t="str">
        <f t="shared" si="23"/>
        <v/>
      </c>
      <c r="B15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t="str">
        <f t="shared" si="23"/>
        <v/>
      </c>
      <c r="B15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t="str">
        <f t="shared" si="23"/>
        <v/>
      </c>
      <c r="B15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t="str">
        <f t="shared" si="23"/>
        <v/>
      </c>
      <c r="B15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t="str">
        <f t="shared" si="23"/>
        <v/>
      </c>
      <c r="B15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t="str">
        <f t="shared" si="23"/>
        <v/>
      </c>
      <c r="B15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t="str">
        <f t="shared" si="23"/>
        <v/>
      </c>
      <c r="B15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t="str">
        <f t="shared" si="23"/>
        <v/>
      </c>
      <c r="B15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t="str">
        <f t="shared" si="23"/>
        <v/>
      </c>
      <c r="B15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t="str">
        <f t="shared" si="23"/>
        <v/>
      </c>
      <c r="B15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t="str">
        <f t="shared" si="23"/>
        <v/>
      </c>
      <c r="B15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t="str">
        <f t="shared" si="23"/>
        <v/>
      </c>
      <c r="B15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t="str">
        <f t="shared" si="23"/>
        <v/>
      </c>
      <c r="B15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t="str">
        <f t="shared" si="23"/>
        <v/>
      </c>
      <c r="B15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t="str">
        <f t="shared" si="23"/>
        <v/>
      </c>
      <c r="B15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t="str">
        <f t="shared" si="23"/>
        <v/>
      </c>
      <c r="B15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t="str">
        <f t="shared" ref="A1523:A1586" si="24">IFERROR(LEFT(RIGHT(C1523,LEN(C1523)-SEARCH("@",C1523)),SEARCH("/",RIGHT(C1523,LEN(C1523)-SEARCH("@",C1523)-1))),"")</f>
        <v/>
      </c>
      <c r="B15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t="str">
        <f t="shared" si="24"/>
        <v/>
      </c>
      <c r="B15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t="str">
        <f t="shared" si="24"/>
        <v/>
      </c>
      <c r="B15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t="str">
        <f t="shared" si="24"/>
        <v/>
      </c>
      <c r="B15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t="str">
        <f t="shared" si="24"/>
        <v/>
      </c>
      <c r="B15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t="str">
        <f t="shared" si="24"/>
        <v/>
      </c>
      <c r="B15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t="str">
        <f t="shared" si="24"/>
        <v/>
      </c>
      <c r="B15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t="str">
        <f t="shared" si="24"/>
        <v/>
      </c>
      <c r="B15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t="str">
        <f t="shared" si="24"/>
        <v/>
      </c>
      <c r="B15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t="str">
        <f t="shared" si="24"/>
        <v/>
      </c>
      <c r="B15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t="str">
        <f t="shared" si="24"/>
        <v/>
      </c>
      <c r="B15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t="str">
        <f t="shared" si="24"/>
        <v/>
      </c>
      <c r="B15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t="str">
        <f t="shared" si="24"/>
        <v/>
      </c>
      <c r="B15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t="str">
        <f t="shared" si="24"/>
        <v/>
      </c>
      <c r="B15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t="str">
        <f t="shared" si="24"/>
        <v/>
      </c>
      <c r="B15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t="str">
        <f t="shared" si="24"/>
        <v/>
      </c>
      <c r="B15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t="str">
        <f t="shared" si="24"/>
        <v/>
      </c>
      <c r="B15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t="str">
        <f t="shared" si="24"/>
        <v/>
      </c>
      <c r="B15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t="str">
        <f t="shared" si="24"/>
        <v/>
      </c>
      <c r="B15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t="str">
        <f t="shared" si="24"/>
        <v/>
      </c>
      <c r="B15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t="str">
        <f t="shared" si="24"/>
        <v/>
      </c>
      <c r="B15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t="str">
        <f t="shared" si="24"/>
        <v/>
      </c>
      <c r="B15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t="str">
        <f t="shared" si="24"/>
        <v/>
      </c>
      <c r="B15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t="str">
        <f t="shared" si="24"/>
        <v/>
      </c>
      <c r="B15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t="str">
        <f t="shared" si="24"/>
        <v/>
      </c>
      <c r="B15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t="str">
        <f t="shared" si="24"/>
        <v/>
      </c>
      <c r="B15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t="str">
        <f t="shared" si="24"/>
        <v/>
      </c>
      <c r="B15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t="str">
        <f t="shared" si="24"/>
        <v/>
      </c>
      <c r="B15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t="str">
        <f t="shared" si="24"/>
        <v/>
      </c>
      <c r="B15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t="str">
        <f t="shared" si="24"/>
        <v/>
      </c>
      <c r="B15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t="str">
        <f t="shared" si="24"/>
        <v/>
      </c>
      <c r="B15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t="str">
        <f t="shared" si="24"/>
        <v/>
      </c>
      <c r="B15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t="str">
        <f t="shared" si="24"/>
        <v/>
      </c>
      <c r="B15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t="str">
        <f t="shared" si="24"/>
        <v/>
      </c>
      <c r="B15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t="str">
        <f t="shared" si="24"/>
        <v/>
      </c>
      <c r="B15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t="str">
        <f t="shared" si="24"/>
        <v/>
      </c>
      <c r="B15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t="str">
        <f t="shared" si="24"/>
        <v/>
      </c>
      <c r="B15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t="str">
        <f t="shared" si="24"/>
        <v/>
      </c>
      <c r="B15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t="str">
        <f t="shared" si="24"/>
        <v/>
      </c>
      <c r="B15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t="str">
        <f t="shared" si="24"/>
        <v/>
      </c>
      <c r="B15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t="str">
        <f t="shared" si="24"/>
        <v/>
      </c>
      <c r="B15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t="str">
        <f t="shared" si="24"/>
        <v/>
      </c>
      <c r="B15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t="str">
        <f t="shared" si="24"/>
        <v/>
      </c>
      <c r="B15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t="str">
        <f t="shared" si="24"/>
        <v/>
      </c>
      <c r="B15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t="str">
        <f t="shared" si="24"/>
        <v/>
      </c>
      <c r="B15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t="str">
        <f t="shared" si="24"/>
        <v/>
      </c>
      <c r="B15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t="str">
        <f t="shared" si="24"/>
        <v/>
      </c>
      <c r="B15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t="str">
        <f t="shared" si="24"/>
        <v/>
      </c>
      <c r="B15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t="str">
        <f t="shared" si="24"/>
        <v/>
      </c>
      <c r="B15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t="str">
        <f t="shared" si="24"/>
        <v/>
      </c>
      <c r="B15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t="str">
        <f t="shared" si="24"/>
        <v/>
      </c>
      <c r="B15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t="str">
        <f t="shared" si="24"/>
        <v/>
      </c>
      <c r="B15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t="str">
        <f t="shared" si="24"/>
        <v/>
      </c>
      <c r="B15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t="str">
        <f t="shared" si="24"/>
        <v/>
      </c>
      <c r="B15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t="str">
        <f t="shared" si="24"/>
        <v/>
      </c>
      <c r="B15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t="str">
        <f t="shared" si="24"/>
        <v/>
      </c>
      <c r="B15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t="str">
        <f t="shared" si="24"/>
        <v/>
      </c>
      <c r="B15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t="str">
        <f t="shared" si="24"/>
        <v/>
      </c>
      <c r="B15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t="str">
        <f t="shared" si="24"/>
        <v/>
      </c>
      <c r="B15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t="str">
        <f t="shared" si="24"/>
        <v/>
      </c>
      <c r="B15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t="str">
        <f t="shared" si="24"/>
        <v/>
      </c>
      <c r="B15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t="str">
        <f t="shared" si="24"/>
        <v/>
      </c>
      <c r="B15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t="str">
        <f t="shared" si="24"/>
        <v/>
      </c>
      <c r="B15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t="str">
        <f t="shared" si="24"/>
        <v/>
      </c>
      <c r="B15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t="str">
        <f t="shared" ref="A1587:A1650" si="25">IFERROR(LEFT(RIGHT(C1587,LEN(C1587)-SEARCH("@",C1587)),SEARCH("/",RIGHT(C1587,LEN(C1587)-SEARCH("@",C1587)-1))),"")</f>
        <v/>
      </c>
      <c r="B15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t="str">
        <f t="shared" si="25"/>
        <v/>
      </c>
      <c r="B15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t="str">
        <f t="shared" si="25"/>
        <v/>
      </c>
      <c r="B15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t="str">
        <f t="shared" si="25"/>
        <v/>
      </c>
      <c r="B15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t="str">
        <f t="shared" si="25"/>
        <v/>
      </c>
      <c r="B15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t="str">
        <f t="shared" si="25"/>
        <v/>
      </c>
      <c r="B15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t="str">
        <f t="shared" si="25"/>
        <v/>
      </c>
      <c r="B15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t="str">
        <f t="shared" si="25"/>
        <v/>
      </c>
      <c r="B15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t="str">
        <f t="shared" si="25"/>
        <v/>
      </c>
      <c r="B15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t="str">
        <f t="shared" si="25"/>
        <v/>
      </c>
      <c r="B15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t="str">
        <f t="shared" si="25"/>
        <v/>
      </c>
      <c r="B15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t="str">
        <f t="shared" si="25"/>
        <v/>
      </c>
      <c r="B15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t="str">
        <f t="shared" si="25"/>
        <v/>
      </c>
      <c r="B15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t="str">
        <f t="shared" si="25"/>
        <v/>
      </c>
      <c r="B16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t="str">
        <f t="shared" si="25"/>
        <v/>
      </c>
      <c r="B16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t="str">
        <f t="shared" si="25"/>
        <v/>
      </c>
      <c r="B16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t="str">
        <f t="shared" si="25"/>
        <v/>
      </c>
      <c r="B16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t="str">
        <f t="shared" si="25"/>
        <v/>
      </c>
      <c r="B16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t="str">
        <f t="shared" si="25"/>
        <v/>
      </c>
      <c r="B16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t="str">
        <f t="shared" si="25"/>
        <v/>
      </c>
      <c r="B16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t="str">
        <f t="shared" si="25"/>
        <v/>
      </c>
      <c r="B16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t="str">
        <f t="shared" si="25"/>
        <v/>
      </c>
      <c r="B16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t="str">
        <f t="shared" si="25"/>
        <v/>
      </c>
      <c r="B16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t="str">
        <f t="shared" si="25"/>
        <v/>
      </c>
      <c r="B16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t="str">
        <f t="shared" si="25"/>
        <v/>
      </c>
      <c r="B16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t="str">
        <f t="shared" si="25"/>
        <v/>
      </c>
      <c r="B161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t="str">
        <f t="shared" si="25"/>
        <v/>
      </c>
      <c r="B161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t="str">
        <f t="shared" si="25"/>
        <v/>
      </c>
      <c r="B161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t="str">
        <f t="shared" si="25"/>
        <v/>
      </c>
      <c r="B161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t="str">
        <f t="shared" si="25"/>
        <v/>
      </c>
      <c r="B161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t="str">
        <f t="shared" si="25"/>
        <v/>
      </c>
      <c r="B161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t="str">
        <f t="shared" si="25"/>
        <v/>
      </c>
      <c r="B161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t="str">
        <f t="shared" si="25"/>
        <v/>
      </c>
      <c r="B161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t="str">
        <f t="shared" si="25"/>
        <v/>
      </c>
      <c r="B162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t="str">
        <f t="shared" si="25"/>
        <v/>
      </c>
      <c r="B162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t="str">
        <f t="shared" si="25"/>
        <v/>
      </c>
      <c r="B162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t="str">
        <f t="shared" si="25"/>
        <v/>
      </c>
      <c r="B162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t="str">
        <f t="shared" si="25"/>
        <v/>
      </c>
      <c r="B162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t="str">
        <f t="shared" si="25"/>
        <v/>
      </c>
      <c r="B162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t="str">
        <f t="shared" si="25"/>
        <v/>
      </c>
      <c r="B162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t="str">
        <f t="shared" si="25"/>
        <v/>
      </c>
      <c r="B162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t="str">
        <f t="shared" si="25"/>
        <v/>
      </c>
      <c r="B162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t="str">
        <f t="shared" si="25"/>
        <v/>
      </c>
      <c r="B162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t="str">
        <f t="shared" si="25"/>
        <v/>
      </c>
      <c r="B163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t="str">
        <f t="shared" si="25"/>
        <v/>
      </c>
      <c r="B163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t="str">
        <f t="shared" si="25"/>
        <v/>
      </c>
      <c r="B163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t="str">
        <f t="shared" si="25"/>
        <v/>
      </c>
      <c r="B163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t="str">
        <f t="shared" si="25"/>
        <v/>
      </c>
      <c r="B163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t="str">
        <f t="shared" si="25"/>
        <v/>
      </c>
      <c r="B163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t="str">
        <f t="shared" si="25"/>
        <v/>
      </c>
      <c r="B163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t="str">
        <f t="shared" si="25"/>
        <v/>
      </c>
      <c r="B163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t="str">
        <f t="shared" si="25"/>
        <v/>
      </c>
      <c r="B163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t="str">
        <f t="shared" si="25"/>
        <v/>
      </c>
      <c r="B163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t="str">
        <f t="shared" si="25"/>
        <v/>
      </c>
      <c r="B164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t="str">
        <f t="shared" si="25"/>
        <v/>
      </c>
      <c r="B164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t="str">
        <f t="shared" si="25"/>
        <v/>
      </c>
      <c r="B164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t="str">
        <f t="shared" si="25"/>
        <v/>
      </c>
      <c r="B164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t="str">
        <f t="shared" si="25"/>
        <v/>
      </c>
      <c r="B164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t="str">
        <f t="shared" si="25"/>
        <v/>
      </c>
      <c r="B164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t="str">
        <f t="shared" si="25"/>
        <v/>
      </c>
      <c r="B164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t="str">
        <f t="shared" si="25"/>
        <v/>
      </c>
      <c r="B164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t="str">
        <f t="shared" si="25"/>
        <v/>
      </c>
      <c r="B164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t="str">
        <f t="shared" si="25"/>
        <v/>
      </c>
      <c r="B164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t="str">
        <f t="shared" si="25"/>
        <v/>
      </c>
      <c r="B165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t="str">
        <f t="shared" ref="A1651:A1711" si="26">IFERROR(LEFT(RIGHT(C1651,LEN(C1651)-SEARCH("@",C1651)),SEARCH("/",RIGHT(C1651,LEN(C1651)-SEARCH("@",C1651)-1))),"")</f>
        <v/>
      </c>
      <c r="B165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t="str">
        <f t="shared" si="26"/>
        <v/>
      </c>
      <c r="B165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t="str">
        <f t="shared" si="26"/>
        <v/>
      </c>
      <c r="B165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t="str">
        <f t="shared" si="26"/>
        <v/>
      </c>
      <c r="B165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t="str">
        <f t="shared" si="26"/>
        <v/>
      </c>
      <c r="B165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t="str">
        <f t="shared" si="26"/>
        <v/>
      </c>
      <c r="B165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t="str">
        <f t="shared" si="26"/>
        <v/>
      </c>
      <c r="B165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t="str">
        <f t="shared" si="26"/>
        <v/>
      </c>
      <c r="B165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t="str">
        <f t="shared" si="26"/>
        <v/>
      </c>
      <c r="B165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t="str">
        <f t="shared" si="26"/>
        <v/>
      </c>
      <c r="B166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t="str">
        <f t="shared" si="26"/>
        <v/>
      </c>
      <c r="B166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t="str">
        <f t="shared" si="26"/>
        <v/>
      </c>
      <c r="B166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t="str">
        <f t="shared" si="26"/>
        <v/>
      </c>
      <c r="B166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t="str">
        <f t="shared" si="26"/>
        <v/>
      </c>
      <c r="B166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t="str">
        <f t="shared" si="26"/>
        <v/>
      </c>
      <c r="B166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t="str">
        <f t="shared" si="26"/>
        <v/>
      </c>
      <c r="B166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t="str">
        <f t="shared" si="26"/>
        <v/>
      </c>
      <c r="B166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t="str">
        <f t="shared" si="26"/>
        <v/>
      </c>
      <c r="B166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t="str">
        <f t="shared" si="26"/>
        <v/>
      </c>
      <c r="B166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t="str">
        <f t="shared" si="26"/>
        <v/>
      </c>
      <c r="B167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t="str">
        <f t="shared" si="26"/>
        <v/>
      </c>
      <c r="B167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t="str">
        <f t="shared" si="26"/>
        <v/>
      </c>
      <c r="B167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t="str">
        <f t="shared" si="26"/>
        <v/>
      </c>
      <c r="B167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t="str">
        <f t="shared" si="26"/>
        <v/>
      </c>
      <c r="B167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t="str">
        <f t="shared" si="26"/>
        <v/>
      </c>
      <c r="B167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t="str">
        <f t="shared" si="26"/>
        <v/>
      </c>
      <c r="B167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t="str">
        <f t="shared" si="26"/>
        <v/>
      </c>
      <c r="B167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t="str">
        <f t="shared" si="26"/>
        <v/>
      </c>
      <c r="B167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t="str">
        <f t="shared" si="26"/>
        <v/>
      </c>
      <c r="B167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t="str">
        <f t="shared" si="26"/>
        <v/>
      </c>
      <c r="B168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t="str">
        <f t="shared" si="26"/>
        <v/>
      </c>
      <c r="B168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t="str">
        <f t="shared" si="26"/>
        <v/>
      </c>
      <c r="B168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t="str">
        <f t="shared" si="26"/>
        <v/>
      </c>
      <c r="B168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t="str">
        <f t="shared" si="26"/>
        <v/>
      </c>
      <c r="B168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t="str">
        <f t="shared" si="26"/>
        <v/>
      </c>
      <c r="B168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t="str">
        <f t="shared" si="26"/>
        <v/>
      </c>
      <c r="B168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t="str">
        <f t="shared" si="26"/>
        <v/>
      </c>
      <c r="B168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t="str">
        <f t="shared" si="26"/>
        <v/>
      </c>
      <c r="B168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t="str">
        <f t="shared" si="26"/>
        <v/>
      </c>
      <c r="B168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t="str">
        <f t="shared" si="26"/>
        <v/>
      </c>
      <c r="B169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t="str">
        <f t="shared" si="26"/>
        <v/>
      </c>
      <c r="B169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t="str">
        <f t="shared" si="26"/>
        <v/>
      </c>
      <c r="B169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t="str">
        <f t="shared" si="26"/>
        <v/>
      </c>
      <c r="B169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t="str">
        <f t="shared" si="26"/>
        <v/>
      </c>
      <c r="B169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t="str">
        <f t="shared" si="26"/>
        <v/>
      </c>
      <c r="B169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t="str">
        <f t="shared" si="26"/>
        <v/>
      </c>
      <c r="B169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t="str">
        <f t="shared" si="26"/>
        <v/>
      </c>
      <c r="B169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t="str">
        <f t="shared" si="26"/>
        <v/>
      </c>
      <c r="B169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t="str">
        <f t="shared" si="26"/>
        <v/>
      </c>
      <c r="B169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t="str">
        <f t="shared" si="26"/>
        <v/>
      </c>
      <c r="B170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t="str">
        <f t="shared" si="26"/>
        <v/>
      </c>
      <c r="B170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t="str">
        <f t="shared" si="26"/>
        <v/>
      </c>
      <c r="B1702"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t="str">
        <f t="shared" si="26"/>
        <v/>
      </c>
      <c r="B1703"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t="str">
        <f t="shared" si="26"/>
        <v/>
      </c>
      <c r="B1704"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t="str">
        <f t="shared" si="26"/>
        <v/>
      </c>
      <c r="B1705"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t="str">
        <f t="shared" si="26"/>
        <v/>
      </c>
      <c r="B1706"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t="str">
        <f t="shared" si="26"/>
        <v/>
      </c>
      <c r="B1707"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t="str">
        <f t="shared" si="26"/>
        <v/>
      </c>
      <c r="B1708"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t="str">
        <f t="shared" si="26"/>
        <v/>
      </c>
      <c r="B1709"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t="str">
        <f t="shared" si="26"/>
        <v/>
      </c>
      <c r="B1710"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t="str">
        <f t="shared" si="26"/>
        <v/>
      </c>
      <c r="B171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K1:L4 A1:J10 EO1:XFD10 K5 A11:K13 AH11:XFD14 A14:J18 M15:XFD18 A19:XFD1048576">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74"/>
  <sheetViews>
    <sheetView showGridLines="0" tabSelected="1" topLeftCell="K1" zoomScale="70" zoomScaleNormal="70" zoomScaleSheetLayoutView="40" zoomScalePageLayoutView="30" workbookViewId="0">
      <selection activeCell="U20" sqref="U20"/>
    </sheetView>
  </sheetViews>
  <sheetFormatPr defaultColWidth="9.140625" defaultRowHeight="15" x14ac:dyDescent="0.25"/>
  <cols>
    <col min="1" max="1" width="33.5703125" customWidth="1"/>
    <col min="2" max="2" width="14.85546875" customWidth="1"/>
    <col min="3" max="5" width="25.85546875" bestFit="1" customWidth="1"/>
    <col min="6" max="8" width="26.42578125" bestFit="1" customWidth="1"/>
    <col min="9" max="9" width="26.42578125" customWidth="1"/>
    <col min="10" max="10" width="25.85546875" bestFit="1" customWidth="1"/>
    <col min="11" max="11" width="26.42578125" bestFit="1" customWidth="1"/>
    <col min="12" max="28" width="26.42578125" customWidth="1"/>
    <col min="29" max="29" width="26.42578125" bestFit="1" customWidth="1"/>
    <col min="30" max="30" width="11.7109375" customWidth="1"/>
    <col min="31" max="31" width="14.85546875" customWidth="1"/>
    <col min="32" max="32" width="17.7109375" customWidth="1"/>
    <col min="33" max="34" width="25.85546875" bestFit="1" customWidth="1"/>
    <col min="35" max="52" width="25.85546875" customWidth="1"/>
    <col min="53" max="53" width="25.85546875" bestFit="1" customWidth="1"/>
  </cols>
  <sheetData>
    <row r="1" spans="1:53" ht="27" thickBot="1" x14ac:dyDescent="0.45">
      <c r="A1" s="185" t="s">
        <v>43</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6"/>
      <c r="AQ1" s="186"/>
      <c r="AR1" s="186"/>
      <c r="AS1" s="186"/>
      <c r="AT1" s="186"/>
      <c r="AU1" s="186"/>
      <c r="AV1" s="186"/>
      <c r="AW1" s="186"/>
      <c r="AX1" s="186"/>
      <c r="AY1" s="186"/>
      <c r="AZ1" s="186"/>
      <c r="BA1" s="187"/>
    </row>
    <row r="2" spans="1:53" ht="15.75" thickBot="1" x14ac:dyDescent="0.3"/>
    <row r="3" spans="1:53" ht="15.75" thickBot="1" x14ac:dyDescent="0.3">
      <c r="A3" s="35" t="s">
        <v>22</v>
      </c>
      <c r="B3" s="195" t="s">
        <v>6</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7"/>
      <c r="AE3" s="195" t="s">
        <v>3</v>
      </c>
      <c r="AF3" s="196"/>
      <c r="AG3" s="196"/>
      <c r="AH3" s="196"/>
      <c r="AI3" s="196"/>
      <c r="AJ3" s="196"/>
      <c r="AK3" s="196"/>
      <c r="AL3" s="196"/>
      <c r="AM3" s="196"/>
      <c r="AN3" s="196"/>
      <c r="AO3" s="196"/>
      <c r="AP3" s="196"/>
      <c r="AQ3" s="196"/>
      <c r="AR3" s="196"/>
      <c r="AS3" s="196"/>
      <c r="AT3" s="196"/>
      <c r="AU3" s="196"/>
      <c r="AV3" s="196"/>
      <c r="AW3" s="196"/>
      <c r="AX3" s="196"/>
      <c r="AY3" s="196"/>
      <c r="AZ3" s="196"/>
      <c r="BA3" s="197"/>
    </row>
    <row r="4" spans="1:53" x14ac:dyDescent="0.25">
      <c r="A4" s="18" t="s">
        <v>41</v>
      </c>
      <c r="B4" s="19" t="str">
        <f>'Page de garde'!A7</f>
        <v>Témoin solvant</v>
      </c>
      <c r="C4" s="19" t="str">
        <f>'Page de garde'!A9</f>
        <v>EE2-33,8ng/L</v>
      </c>
      <c r="D4" s="19" t="str">
        <f>'Page de garde'!A10</f>
        <v>EE2-50,6ng/L</v>
      </c>
      <c r="E4" s="19" t="str">
        <f>'Page de garde'!A11</f>
        <v>EE2-76ng/L</v>
      </c>
      <c r="F4" s="19" t="str">
        <f>'Page de garde'!A12</f>
        <v>EE2-114ng/L</v>
      </c>
      <c r="G4" s="19" t="str">
        <f>'Page de garde'!A13</f>
        <v>EE2-170,9ng/L</v>
      </c>
      <c r="H4" s="19" t="str">
        <f>'Page de garde'!A14</f>
        <v>EE2-488ng/L</v>
      </c>
      <c r="I4" s="19" t="str">
        <f>'Page de garde'!A15</f>
        <v>Triphénylphosphate-0,18mg/L</v>
      </c>
      <c r="J4" s="19" t="str">
        <f>'Page de garde'!A16</f>
        <v>Triphénylphosphate-0,26mg/L</v>
      </c>
      <c r="K4" s="19" t="str">
        <f>'Page de garde'!A17</f>
        <v>Triphénylphosphate-0,4mg/L</v>
      </c>
      <c r="L4" s="19" t="str">
        <f>'Page de garde'!A18</f>
        <v>Triphénylphosphate-0,59mg/L</v>
      </c>
      <c r="M4" s="19" t="str">
        <f>'Page de garde'!A19</f>
        <v>Triphénylphosphate-0,89mg/L</v>
      </c>
      <c r="N4" s="19" t="str">
        <f>'Page de garde'!A20</f>
        <v xml:space="preserve"> </v>
      </c>
      <c r="O4" s="20" t="str">
        <f>'Page de garde'!A36</f>
        <v>Testo -30µg/L</v>
      </c>
      <c r="P4" s="20" t="str">
        <f>'Page de garde'!A37</f>
        <v>Testo 30µg/L + EE2 -64ng/L</v>
      </c>
      <c r="Q4" s="20" t="str">
        <f>'Page de garde'!A38</f>
        <v>Testo 30µg/L + FAD-10mg/L</v>
      </c>
      <c r="R4" s="20" t="str">
        <f>'Page de garde'!A39</f>
        <v>Triphénylphosphate-0,18mg/L + Testostérone</v>
      </c>
      <c r="S4" s="20" t="str">
        <f>'Page de garde'!A40</f>
        <v>Triphénylphosphate-0,26mg/L + Testostérone</v>
      </c>
      <c r="T4" s="20" t="str">
        <f>'Page de garde'!A41</f>
        <v>Triphénylphosphate-0,4mg/L + Testostérone</v>
      </c>
      <c r="U4" s="20" t="str">
        <f>'Page de garde'!A42</f>
        <v>Triphénylphosphate-0,59mg/L + Testostérone</v>
      </c>
      <c r="V4" s="20" t="str">
        <f>'Page de garde'!A43</f>
        <v>Triphénylphosphate-0,89mg/L + Testostérone</v>
      </c>
      <c r="W4" s="20" t="str">
        <f>'Page de garde'!A44</f>
        <v>0-00 + Testostérone</v>
      </c>
      <c r="X4" s="20" t="str">
        <f>'Page de garde'!A45</f>
        <v>0-00 + Testostérone</v>
      </c>
      <c r="Y4" s="20" t="str">
        <f>'Page de garde'!A46</f>
        <v>0-00 + Testostérone</v>
      </c>
      <c r="Z4" s="20" t="str">
        <f>'Page de garde'!A47</f>
        <v>0-00 + Testostérone</v>
      </c>
      <c r="AA4" s="20" t="str">
        <f>'Page de garde'!A48</f>
        <v>0-00 + Testostérone</v>
      </c>
      <c r="AB4" s="20" t="str">
        <f>'Page de garde'!A49</f>
        <v>0-00 + Testostérone</v>
      </c>
      <c r="AC4" s="20" t="str">
        <f>'Page de garde'!A50</f>
        <v>0-00 + Testostérone</v>
      </c>
      <c r="AD4" s="20" t="str">
        <f>'Page de garde'!A51</f>
        <v>0-00 + Testostérone</v>
      </c>
      <c r="AE4" s="20" t="str">
        <f>'Page de garde'!A52</f>
        <v>0-00 + Testostérone</v>
      </c>
      <c r="AF4" s="20" t="str">
        <f>'Page de garde'!A53</f>
        <v>0-00 + Testostérone</v>
      </c>
      <c r="AG4" s="20" t="str">
        <f>'Page de garde'!A54</f>
        <v>0-00 + Testostérone</v>
      </c>
      <c r="AH4" s="20" t="str">
        <f>'Page de garde'!A55</f>
        <v>0-00 + Testostérone</v>
      </c>
      <c r="AI4" s="20" t="str">
        <f>'Page de garde'!A56</f>
        <v>0-00 + Testostérone</v>
      </c>
      <c r="AJ4" s="20" t="str">
        <f>'Page de garde'!A57</f>
        <v>0-00 + Testostérone</v>
      </c>
      <c r="AK4" s="20" t="str">
        <f>'Page de garde'!A58</f>
        <v>0-00 + Testostérone</v>
      </c>
    </row>
    <row r="5" spans="1:53" x14ac:dyDescent="0.25">
      <c r="A5" s="198" t="s">
        <v>33</v>
      </c>
      <c r="B5" s="3">
        <v>204244</v>
      </c>
      <c r="C5" s="3">
        <v>185339.33333333334</v>
      </c>
      <c r="D5" s="3">
        <v>122404</v>
      </c>
      <c r="E5" s="3">
        <v>227406</v>
      </c>
      <c r="F5" s="3">
        <v>1183955.3333333333</v>
      </c>
      <c r="G5" s="3">
        <v>4699808.333333333</v>
      </c>
      <c r="H5" s="3">
        <v>5769068</v>
      </c>
      <c r="I5" s="3">
        <v>294649.66666666669</v>
      </c>
      <c r="J5" s="3">
        <v>23670.333333333332</v>
      </c>
      <c r="K5" s="11">
        <v>524179</v>
      </c>
      <c r="L5" s="11">
        <v>473976</v>
      </c>
      <c r="M5" s="11">
        <v>2948803.5</v>
      </c>
      <c r="N5" s="11"/>
      <c r="O5" s="3">
        <v>3510023.5</v>
      </c>
      <c r="P5" s="11">
        <v>5733068.333333333</v>
      </c>
      <c r="Q5" s="11">
        <v>251245.66666666666</v>
      </c>
      <c r="R5" s="3">
        <v>2806572.6666666665</v>
      </c>
      <c r="S5" s="3">
        <v>5402924.333333333</v>
      </c>
      <c r="T5" s="3">
        <v>6702751.333333333</v>
      </c>
      <c r="U5" s="3">
        <v>4082253</v>
      </c>
      <c r="V5" s="3">
        <v>1273820.3333333333</v>
      </c>
      <c r="W5" s="3"/>
      <c r="X5" s="3"/>
      <c r="Y5" s="3"/>
      <c r="Z5" s="3"/>
      <c r="AA5" s="3"/>
      <c r="AB5" s="3"/>
      <c r="AC5" s="3"/>
      <c r="AD5" s="3"/>
      <c r="AE5" s="3"/>
      <c r="AF5" s="3"/>
      <c r="AG5" s="3"/>
      <c r="AH5" s="3"/>
      <c r="AI5" s="3"/>
      <c r="AJ5" s="3"/>
      <c r="AK5" s="3"/>
    </row>
    <row r="6" spans="1:53" ht="16.5" x14ac:dyDescent="0.25">
      <c r="A6" s="198"/>
      <c r="B6" s="12">
        <v>100135.5</v>
      </c>
      <c r="C6" s="11">
        <v>216331.5</v>
      </c>
      <c r="D6" s="3">
        <v>224529</v>
      </c>
      <c r="E6" s="3">
        <v>313943.33333333331</v>
      </c>
      <c r="F6" s="3">
        <v>1078402</v>
      </c>
      <c r="G6" s="3">
        <v>3764978.6666666665</v>
      </c>
      <c r="H6" s="3">
        <v>5658005.666666667</v>
      </c>
      <c r="I6" s="3">
        <v>2410544</v>
      </c>
      <c r="J6" s="3">
        <v>206327.66666666666</v>
      </c>
      <c r="K6" s="11">
        <v>264548</v>
      </c>
      <c r="L6" s="11">
        <v>1449412.3333333333</v>
      </c>
      <c r="M6" s="11">
        <v>403613.66666666669</v>
      </c>
      <c r="N6" s="11"/>
      <c r="O6" s="3">
        <v>3402101.3333333335</v>
      </c>
      <c r="P6" s="11">
        <v>5213302</v>
      </c>
      <c r="Q6" s="11">
        <v>168821</v>
      </c>
      <c r="R6" s="3">
        <v>3935018.6666666665</v>
      </c>
      <c r="S6" s="3">
        <v>5492392.666666667</v>
      </c>
      <c r="T6" s="3">
        <v>7422990.666666667</v>
      </c>
      <c r="U6" s="3">
        <v>4825608</v>
      </c>
      <c r="V6" s="3">
        <v>5437214.666666667</v>
      </c>
      <c r="W6" s="3"/>
      <c r="X6" s="3"/>
      <c r="Y6" s="3"/>
      <c r="Z6" s="3"/>
      <c r="AA6" s="3"/>
      <c r="AB6" s="3"/>
      <c r="AC6" s="3"/>
      <c r="AD6" s="3"/>
      <c r="AE6" s="3"/>
      <c r="AF6" s="3"/>
      <c r="AG6" s="3"/>
      <c r="AH6" s="3"/>
      <c r="AI6" s="3"/>
      <c r="AJ6" s="3"/>
      <c r="AK6" s="3"/>
    </row>
    <row r="7" spans="1:53" ht="16.5" x14ac:dyDescent="0.25">
      <c r="A7" s="198"/>
      <c r="B7" s="12">
        <v>689236.66666666663</v>
      </c>
      <c r="C7" s="11">
        <v>92749</v>
      </c>
      <c r="D7" s="3">
        <v>344001.5</v>
      </c>
      <c r="E7" s="3">
        <v>623229.33333333337</v>
      </c>
      <c r="F7" s="3">
        <v>325624</v>
      </c>
      <c r="G7" s="3">
        <v>4774806.333333333</v>
      </c>
      <c r="H7" s="3">
        <v>5538193.5</v>
      </c>
      <c r="I7" s="3">
        <v>278427</v>
      </c>
      <c r="J7" s="3">
        <v>51594.666666666664</v>
      </c>
      <c r="K7" s="11">
        <v>684398.66666666663</v>
      </c>
      <c r="L7" s="11">
        <v>1097003.6666666667</v>
      </c>
      <c r="M7" s="11">
        <v>3427747.3333333335</v>
      </c>
      <c r="N7" s="11"/>
      <c r="O7" s="3">
        <v>2115511.6666666665</v>
      </c>
      <c r="P7" s="11">
        <v>4502861.333333333</v>
      </c>
      <c r="Q7" s="11">
        <v>269501.33333333331</v>
      </c>
      <c r="R7" s="3">
        <v>2097422</v>
      </c>
      <c r="S7" s="3">
        <v>5803048.333333333</v>
      </c>
      <c r="T7" s="3">
        <v>5529394</v>
      </c>
      <c r="U7" s="3">
        <v>5028835</v>
      </c>
      <c r="V7" s="3">
        <v>3298342.6666666665</v>
      </c>
      <c r="W7" s="3"/>
      <c r="X7" s="3"/>
      <c r="Y7" s="3"/>
      <c r="Z7" s="3"/>
      <c r="AA7" s="3"/>
      <c r="AB7" s="3"/>
      <c r="AC7" s="3"/>
      <c r="AD7" s="3"/>
      <c r="AE7" s="3"/>
      <c r="AF7" s="3"/>
      <c r="AG7" s="3"/>
      <c r="AH7" s="3"/>
      <c r="AI7" s="3"/>
      <c r="AJ7" s="3"/>
      <c r="AK7" s="3"/>
    </row>
    <row r="8" spans="1:53" ht="16.5" x14ac:dyDescent="0.25">
      <c r="A8" s="198"/>
      <c r="B8" s="12">
        <v>71908.5</v>
      </c>
      <c r="C8" s="11">
        <v>425059.5</v>
      </c>
      <c r="D8" s="3">
        <v>252616</v>
      </c>
      <c r="E8" s="3">
        <v>499081</v>
      </c>
      <c r="F8" s="3">
        <v>617793</v>
      </c>
      <c r="G8" s="3">
        <v>2826890.3333333335</v>
      </c>
      <c r="H8" s="3">
        <v>5427859.5</v>
      </c>
      <c r="I8" s="3">
        <v>148467.66666666666</v>
      </c>
      <c r="J8" s="3">
        <v>343079</v>
      </c>
      <c r="K8" s="11">
        <v>568873.33333333337</v>
      </c>
      <c r="L8" s="11">
        <v>2454863</v>
      </c>
      <c r="M8" s="11">
        <v>1785836</v>
      </c>
      <c r="N8" s="11"/>
      <c r="O8" s="3">
        <v>4309634</v>
      </c>
      <c r="P8" s="11">
        <v>3621615.6666666665</v>
      </c>
      <c r="Q8" s="11">
        <v>523011</v>
      </c>
      <c r="R8" s="3">
        <v>3918418</v>
      </c>
      <c r="S8" s="3">
        <v>4467186</v>
      </c>
      <c r="T8" s="3">
        <v>3629806.3333333335</v>
      </c>
      <c r="U8" s="3">
        <v>6418880</v>
      </c>
      <c r="V8" s="3">
        <v>2907469</v>
      </c>
      <c r="W8" s="3"/>
      <c r="X8" s="3"/>
      <c r="Y8" s="3"/>
      <c r="Z8" s="3"/>
      <c r="AA8" s="3"/>
      <c r="AB8" s="3"/>
      <c r="AC8" s="3"/>
      <c r="AD8" s="3"/>
      <c r="AE8" s="3"/>
      <c r="AF8" s="3"/>
      <c r="AG8" s="3"/>
      <c r="AH8" s="3"/>
      <c r="AI8" s="3"/>
      <c r="AJ8" s="3"/>
      <c r="AK8" s="3"/>
    </row>
    <row r="9" spans="1:53" ht="16.5" x14ac:dyDescent="0.25">
      <c r="A9" s="198"/>
      <c r="B9" s="12">
        <v>296062.66666666669</v>
      </c>
      <c r="C9" s="11">
        <v>270820.66666666669</v>
      </c>
      <c r="D9" s="3">
        <v>557932.5</v>
      </c>
      <c r="E9" s="3">
        <v>187369</v>
      </c>
      <c r="F9" s="3">
        <v>1347232.3333333333</v>
      </c>
      <c r="G9" s="3">
        <v>4240822</v>
      </c>
      <c r="H9" s="3">
        <v>5717732.666666667</v>
      </c>
      <c r="I9" s="3">
        <v>1110835.5</v>
      </c>
      <c r="J9" s="3">
        <v>595374</v>
      </c>
      <c r="K9" s="11">
        <v>191092.66666666666</v>
      </c>
      <c r="L9" s="11">
        <v>1603063.6666666667</v>
      </c>
      <c r="M9" s="11"/>
      <c r="N9" s="11"/>
      <c r="O9" s="3">
        <v>3345647.5</v>
      </c>
      <c r="P9" s="11">
        <v>5112225.333333333</v>
      </c>
      <c r="Q9" s="11">
        <v>142072.66666666666</v>
      </c>
      <c r="R9" s="3">
        <v>4028027</v>
      </c>
      <c r="S9" s="3">
        <v>6111519.666666667</v>
      </c>
      <c r="T9" s="3">
        <v>5196409.333333333</v>
      </c>
      <c r="U9" s="3">
        <v>3908378</v>
      </c>
      <c r="V9" s="3">
        <v>6423429.666666667</v>
      </c>
      <c r="W9" s="3"/>
      <c r="X9" s="3"/>
      <c r="Y9" s="3"/>
      <c r="Z9" s="3"/>
      <c r="AA9" s="3"/>
      <c r="AB9" s="3"/>
      <c r="AC9" s="3"/>
      <c r="AD9" s="3"/>
      <c r="AE9" s="3"/>
      <c r="AF9" s="3"/>
      <c r="AG9" s="3"/>
      <c r="AH9" s="3"/>
      <c r="AI9" s="3"/>
      <c r="AJ9" s="3"/>
      <c r="AK9" s="3"/>
    </row>
    <row r="10" spans="1:53" ht="16.5" x14ac:dyDescent="0.25">
      <c r="A10" s="198"/>
      <c r="B10" s="12">
        <v>117515</v>
      </c>
      <c r="C10" s="11">
        <v>243141.5</v>
      </c>
      <c r="D10" s="3">
        <v>279739.5</v>
      </c>
      <c r="E10" s="3">
        <v>412850</v>
      </c>
      <c r="F10" s="3">
        <v>2269437.3333333335</v>
      </c>
      <c r="G10" s="3">
        <v>4152521.6666666665</v>
      </c>
      <c r="H10" s="3">
        <v>4167244.3333333335</v>
      </c>
      <c r="I10" s="3">
        <v>585499.5</v>
      </c>
      <c r="J10" s="3">
        <v>270817.5</v>
      </c>
      <c r="K10" s="11">
        <v>436412</v>
      </c>
      <c r="L10" s="11">
        <v>1645764.5</v>
      </c>
      <c r="M10" s="11">
        <v>4543943.5</v>
      </c>
      <c r="N10" s="11"/>
      <c r="O10" s="3">
        <v>1687095.6666666667</v>
      </c>
      <c r="P10" s="11">
        <v>3615466</v>
      </c>
      <c r="Q10" s="11">
        <v>1556920</v>
      </c>
      <c r="R10" s="3">
        <v>6191651</v>
      </c>
      <c r="S10" s="3">
        <v>4826051.5</v>
      </c>
      <c r="T10" s="3">
        <v>4618573.666666667</v>
      </c>
      <c r="U10" s="3">
        <v>5219553.333333333</v>
      </c>
      <c r="V10" s="3">
        <v>5566907.666666667</v>
      </c>
      <c r="W10" s="3"/>
      <c r="X10" s="3"/>
      <c r="Y10" s="3"/>
      <c r="Z10" s="3"/>
      <c r="AA10" s="3"/>
      <c r="AB10" s="3"/>
      <c r="AC10" s="3"/>
      <c r="AD10" s="3"/>
      <c r="AE10" s="3"/>
      <c r="AF10" s="3"/>
      <c r="AG10" s="3"/>
      <c r="AH10" s="3"/>
      <c r="AI10" s="3"/>
      <c r="AJ10" s="3"/>
      <c r="AK10" s="3"/>
    </row>
    <row r="11" spans="1:53" ht="16.5" x14ac:dyDescent="0.25">
      <c r="A11" s="198"/>
      <c r="B11" s="12">
        <v>126600</v>
      </c>
      <c r="C11" s="11">
        <v>835873</v>
      </c>
      <c r="D11" s="3">
        <v>187344</v>
      </c>
      <c r="E11" s="3">
        <v>145461</v>
      </c>
      <c r="F11" s="3">
        <v>890430.66666666663</v>
      </c>
      <c r="G11" s="3">
        <v>863379</v>
      </c>
      <c r="H11" s="3">
        <v>8409638</v>
      </c>
      <c r="I11" s="3">
        <v>794812</v>
      </c>
      <c r="J11" s="3">
        <v>105748.66666666667</v>
      </c>
      <c r="K11" s="11">
        <v>1193480</v>
      </c>
      <c r="L11" s="11">
        <v>876335</v>
      </c>
      <c r="M11" s="11"/>
      <c r="N11" s="11"/>
      <c r="O11" s="3">
        <v>2179969</v>
      </c>
      <c r="P11" s="11">
        <v>2289084.6666666665</v>
      </c>
      <c r="Q11" s="11">
        <v>304779.66666666669</v>
      </c>
      <c r="R11" s="3">
        <v>3280620.3333333335</v>
      </c>
      <c r="S11" s="3">
        <v>3413983</v>
      </c>
      <c r="T11" s="3">
        <v>4886618.333333333</v>
      </c>
      <c r="U11" s="3">
        <v>6184801.666666667</v>
      </c>
      <c r="V11" s="3">
        <v>7016766.333333333</v>
      </c>
      <c r="W11" s="3"/>
      <c r="X11" s="3"/>
      <c r="Y11" s="3"/>
      <c r="Z11" s="3"/>
      <c r="AA11" s="3"/>
      <c r="AB11" s="3"/>
      <c r="AC11" s="3"/>
      <c r="AD11" s="3"/>
      <c r="AE11" s="3"/>
      <c r="AF11" s="3"/>
      <c r="AG11" s="3"/>
      <c r="AH11" s="3"/>
      <c r="AI11" s="3"/>
      <c r="AJ11" s="3"/>
      <c r="AK11" s="3"/>
    </row>
    <row r="12" spans="1:53" ht="16.5" x14ac:dyDescent="0.25">
      <c r="A12" s="198"/>
      <c r="B12" s="12">
        <v>670116</v>
      </c>
      <c r="C12" s="11">
        <v>299152.5</v>
      </c>
      <c r="D12" s="3">
        <v>300100.66666666669</v>
      </c>
      <c r="E12" s="3">
        <v>358894</v>
      </c>
      <c r="F12" s="3">
        <v>1815779.3333333333</v>
      </c>
      <c r="G12" s="3">
        <v>6091101</v>
      </c>
      <c r="H12" s="3">
        <v>6856042.333333333</v>
      </c>
      <c r="I12" s="3">
        <v>39179</v>
      </c>
      <c r="J12" s="3">
        <v>275709.33333333331</v>
      </c>
      <c r="K12" s="11">
        <v>237597</v>
      </c>
      <c r="L12" s="11">
        <v>1812988.6666666667</v>
      </c>
      <c r="M12" s="11">
        <v>2302578</v>
      </c>
      <c r="N12" s="11"/>
      <c r="O12" s="3">
        <v>2160646.3333333335</v>
      </c>
      <c r="P12" s="11">
        <v>5128368.666666667</v>
      </c>
      <c r="Q12" s="11">
        <v>616776.33333333337</v>
      </c>
      <c r="R12" s="3">
        <v>2809384.6666666665</v>
      </c>
      <c r="S12" s="3">
        <v>5127316</v>
      </c>
      <c r="T12" s="3">
        <v>4248464.666666667</v>
      </c>
      <c r="U12" s="3">
        <v>4366722.666666667</v>
      </c>
      <c r="V12" s="3">
        <v>5836726</v>
      </c>
      <c r="W12" s="3"/>
      <c r="X12" s="3"/>
      <c r="Y12" s="3"/>
      <c r="Z12" s="3"/>
      <c r="AA12" s="3"/>
      <c r="AB12" s="3"/>
      <c r="AC12" s="3"/>
      <c r="AD12" s="3"/>
      <c r="AE12" s="3"/>
      <c r="AF12" s="3"/>
      <c r="AG12" s="3"/>
      <c r="AH12" s="3"/>
      <c r="AI12" s="3"/>
      <c r="AJ12" s="3"/>
      <c r="AK12" s="3"/>
    </row>
    <row r="13" spans="1:53" ht="16.5" x14ac:dyDescent="0.25">
      <c r="A13" s="198"/>
      <c r="B13" s="12"/>
      <c r="C13" s="11"/>
      <c r="D13" s="3"/>
      <c r="E13" s="3"/>
      <c r="F13" s="3"/>
      <c r="G13" s="3"/>
      <c r="H13" s="3"/>
      <c r="I13" s="3"/>
      <c r="J13" s="3"/>
      <c r="K13" s="11"/>
      <c r="L13" s="11"/>
      <c r="M13" s="11"/>
      <c r="N13" s="11"/>
      <c r="O13" s="3">
        <v>1038581</v>
      </c>
      <c r="P13" s="11"/>
      <c r="Q13" s="11"/>
      <c r="R13" s="3"/>
      <c r="S13" s="3"/>
      <c r="T13" s="3"/>
      <c r="U13" s="3"/>
      <c r="V13" s="3"/>
      <c r="W13" s="3"/>
      <c r="X13" s="3"/>
      <c r="Y13" s="3"/>
      <c r="Z13" s="3"/>
      <c r="AA13" s="3"/>
      <c r="AB13" s="3"/>
      <c r="AC13" s="3"/>
      <c r="AD13" s="3"/>
      <c r="AE13" s="3"/>
      <c r="AF13" s="3"/>
      <c r="AG13" s="3"/>
      <c r="AH13" s="3"/>
      <c r="AI13" s="3"/>
      <c r="AJ13" s="3"/>
      <c r="AK13" s="3"/>
    </row>
    <row r="14" spans="1:53" ht="16.5" x14ac:dyDescent="0.25">
      <c r="A14" s="198"/>
      <c r="B14" s="12"/>
      <c r="C14" s="3"/>
      <c r="D14" s="3"/>
      <c r="E14" s="3"/>
      <c r="F14" s="3"/>
      <c r="G14" s="3"/>
      <c r="H14" s="3"/>
      <c r="I14" s="3"/>
      <c r="J14" s="3"/>
      <c r="K14" s="11"/>
      <c r="L14" s="11"/>
      <c r="M14" s="11"/>
      <c r="N14" s="11"/>
      <c r="O14" s="3">
        <v>1777544.5</v>
      </c>
      <c r="P14" s="11"/>
      <c r="Q14" s="11"/>
      <c r="R14" s="3"/>
      <c r="S14" s="3"/>
      <c r="T14" s="3"/>
      <c r="U14" s="3"/>
      <c r="V14" s="3"/>
      <c r="W14" s="3"/>
      <c r="X14" s="3"/>
      <c r="Y14" s="3"/>
      <c r="Z14" s="3"/>
      <c r="AA14" s="3"/>
      <c r="AB14" s="3"/>
      <c r="AC14" s="3"/>
      <c r="AD14" s="3"/>
      <c r="AE14" s="3"/>
      <c r="AF14" s="3"/>
      <c r="AG14" s="3"/>
      <c r="AH14" s="3"/>
      <c r="AI14" s="3"/>
      <c r="AJ14" s="3"/>
      <c r="AK14" s="3"/>
    </row>
    <row r="15" spans="1:53" ht="16.5" x14ac:dyDescent="0.25">
      <c r="A15" s="198"/>
      <c r="B15" s="12"/>
      <c r="C15" s="3"/>
      <c r="D15" s="3"/>
      <c r="E15" s="3"/>
      <c r="F15" s="3"/>
      <c r="G15" s="3"/>
      <c r="H15" s="3"/>
      <c r="I15" s="3"/>
      <c r="J15" s="3"/>
      <c r="K15" s="11"/>
      <c r="L15" s="11"/>
      <c r="M15" s="11"/>
      <c r="N15" s="11"/>
      <c r="O15" s="3">
        <v>1539731.3333333333</v>
      </c>
      <c r="P15" s="11"/>
      <c r="Q15" s="11"/>
      <c r="R15" s="3"/>
      <c r="S15" s="3"/>
      <c r="T15" s="3"/>
      <c r="U15" s="3"/>
      <c r="V15" s="3"/>
      <c r="W15" s="3"/>
      <c r="X15" s="3"/>
      <c r="Y15" s="3"/>
      <c r="Z15" s="3"/>
      <c r="AA15" s="3"/>
      <c r="AB15" s="3"/>
      <c r="AC15" s="3"/>
      <c r="AD15" s="3"/>
      <c r="AE15" s="3"/>
      <c r="AF15" s="3"/>
      <c r="AG15" s="3"/>
      <c r="AH15" s="3"/>
      <c r="AI15" s="3"/>
      <c r="AJ15" s="3"/>
      <c r="AK15" s="3"/>
    </row>
    <row r="16" spans="1:53" ht="16.5" x14ac:dyDescent="0.25">
      <c r="A16" s="198"/>
      <c r="B16" s="12"/>
      <c r="C16" s="3"/>
      <c r="D16" s="3"/>
      <c r="E16" s="3"/>
      <c r="F16" s="3"/>
      <c r="G16" s="3"/>
      <c r="H16" s="3"/>
      <c r="I16" s="3"/>
      <c r="J16" s="3"/>
      <c r="K16" s="11"/>
      <c r="L16" s="11"/>
      <c r="M16" s="11"/>
      <c r="N16" s="11"/>
      <c r="O16" s="3">
        <v>2838696.5</v>
      </c>
      <c r="P16" s="11"/>
      <c r="Q16" s="11"/>
      <c r="R16" s="3"/>
      <c r="S16" s="3"/>
      <c r="T16" s="3"/>
      <c r="U16" s="3"/>
      <c r="V16" s="3"/>
      <c r="W16" s="3"/>
      <c r="X16" s="3"/>
      <c r="Y16" s="3"/>
      <c r="Z16" s="3"/>
      <c r="AA16" s="3"/>
      <c r="AB16" s="3"/>
      <c r="AC16" s="3"/>
      <c r="AD16" s="3"/>
      <c r="AE16" s="3"/>
      <c r="AF16" s="3"/>
      <c r="AG16" s="3"/>
      <c r="AH16" s="3"/>
      <c r="AI16" s="3"/>
      <c r="AJ16" s="3"/>
      <c r="AK16" s="3"/>
    </row>
    <row r="17" spans="1:53" ht="16.5" x14ac:dyDescent="0.25">
      <c r="A17" s="198"/>
      <c r="B17" s="12"/>
      <c r="C17" s="3"/>
      <c r="D17" s="3"/>
      <c r="E17" s="3"/>
      <c r="F17" s="3"/>
      <c r="G17" s="3"/>
      <c r="H17" s="3"/>
      <c r="I17" s="3"/>
      <c r="J17" s="3"/>
      <c r="K17" s="11"/>
      <c r="L17" s="11"/>
      <c r="M17" s="11"/>
      <c r="N17" s="11"/>
      <c r="O17" s="3">
        <v>1249450.5</v>
      </c>
      <c r="P17" s="11"/>
      <c r="Q17" s="11"/>
      <c r="R17" s="3"/>
      <c r="S17" s="3"/>
      <c r="T17" s="3"/>
      <c r="U17" s="3"/>
      <c r="V17" s="3"/>
      <c r="W17" s="3"/>
      <c r="X17" s="3"/>
      <c r="Y17" s="3"/>
      <c r="Z17" s="3"/>
      <c r="AA17" s="3"/>
      <c r="AB17" s="3"/>
      <c r="AC17" s="3"/>
      <c r="AD17" s="3"/>
      <c r="AE17" s="3"/>
      <c r="AF17" s="3"/>
      <c r="AG17" s="3"/>
      <c r="AH17" s="3"/>
      <c r="AI17" s="3"/>
      <c r="AJ17" s="3"/>
      <c r="AK17" s="3"/>
    </row>
    <row r="18" spans="1:53" ht="16.5" x14ac:dyDescent="0.25">
      <c r="A18" s="198"/>
      <c r="B18" s="12"/>
      <c r="C18" s="3"/>
      <c r="D18" s="3"/>
      <c r="E18" s="3"/>
      <c r="F18" s="3"/>
      <c r="G18" s="3"/>
      <c r="H18" s="3"/>
      <c r="I18" s="3"/>
      <c r="J18" s="3"/>
      <c r="K18" s="11"/>
      <c r="L18" s="11"/>
      <c r="M18" s="11"/>
      <c r="N18" s="11"/>
      <c r="O18" s="3">
        <v>3793458</v>
      </c>
      <c r="P18" s="11"/>
      <c r="Q18" s="11"/>
      <c r="R18" s="3"/>
      <c r="S18" s="3"/>
      <c r="T18" s="3"/>
      <c r="U18" s="3"/>
      <c r="V18" s="3"/>
      <c r="W18" s="3"/>
      <c r="X18" s="3"/>
      <c r="Y18" s="3"/>
      <c r="Z18" s="3"/>
      <c r="AA18" s="3"/>
      <c r="AB18" s="3"/>
      <c r="AC18" s="3"/>
      <c r="AD18" s="3"/>
      <c r="AE18" s="3"/>
      <c r="AF18" s="3"/>
      <c r="AG18" s="3"/>
      <c r="AH18" s="3"/>
      <c r="AI18" s="3"/>
      <c r="AJ18" s="3"/>
      <c r="AK18" s="3"/>
    </row>
    <row r="19" spans="1:53" ht="16.5" x14ac:dyDescent="0.25">
      <c r="A19" s="198"/>
      <c r="B19" s="12"/>
      <c r="C19" s="3"/>
      <c r="D19" s="3"/>
      <c r="E19" s="3"/>
      <c r="F19" s="3"/>
      <c r="G19" s="3"/>
      <c r="H19" s="3"/>
      <c r="I19" s="3"/>
      <c r="J19" s="3"/>
      <c r="K19" s="11"/>
      <c r="L19" s="11"/>
      <c r="M19" s="11"/>
      <c r="N19" s="11"/>
      <c r="O19" s="3">
        <v>2754387</v>
      </c>
      <c r="P19" s="11"/>
      <c r="Q19" s="11"/>
      <c r="R19" s="3"/>
      <c r="S19" s="3"/>
      <c r="T19" s="3"/>
      <c r="U19" s="3"/>
      <c r="V19" s="3"/>
      <c r="W19" s="3"/>
      <c r="X19" s="3"/>
      <c r="Y19" s="3"/>
      <c r="Z19" s="3"/>
      <c r="AA19" s="3"/>
      <c r="AB19" s="3"/>
      <c r="AC19" s="3"/>
      <c r="AD19" s="3"/>
      <c r="AE19" s="3"/>
      <c r="AF19" s="3"/>
      <c r="AG19" s="3"/>
      <c r="AH19" s="3"/>
      <c r="AI19" s="3"/>
      <c r="AJ19" s="3"/>
      <c r="AK19" s="3"/>
    </row>
    <row r="20" spans="1:53" ht="16.5" x14ac:dyDescent="0.25">
      <c r="A20" s="198"/>
      <c r="B20" s="12"/>
      <c r="C20" s="3"/>
      <c r="D20" s="3"/>
      <c r="E20" s="3"/>
      <c r="F20" s="3"/>
      <c r="G20" s="3"/>
      <c r="H20" s="3"/>
      <c r="I20" s="3"/>
      <c r="J20" s="3"/>
      <c r="K20" s="11"/>
      <c r="L20" s="11"/>
      <c r="M20" s="11"/>
      <c r="N20" s="11"/>
      <c r="O20" s="3">
        <v>3717667</v>
      </c>
      <c r="P20" s="11"/>
      <c r="Q20" s="11"/>
      <c r="R20" s="3"/>
      <c r="S20" s="3"/>
      <c r="T20" s="3"/>
      <c r="U20" s="3"/>
      <c r="V20" s="3"/>
      <c r="W20" s="3"/>
      <c r="X20" s="3"/>
      <c r="Y20" s="3"/>
      <c r="Z20" s="3"/>
      <c r="AA20" s="3"/>
      <c r="AB20" s="3"/>
      <c r="AC20" s="3"/>
      <c r="AD20" s="3"/>
      <c r="AE20" s="3"/>
      <c r="AF20" s="3"/>
      <c r="AG20" s="3"/>
      <c r="AH20" s="3"/>
      <c r="AI20" s="3"/>
      <c r="AJ20" s="3"/>
      <c r="AK20" s="3"/>
    </row>
    <row r="21" spans="1:53" x14ac:dyDescent="0.25">
      <c r="A21" s="2"/>
      <c r="B21" s="2"/>
      <c r="C21" s="2"/>
      <c r="D21" s="2"/>
      <c r="E21" s="2"/>
      <c r="F21" s="2"/>
      <c r="G21" s="2"/>
      <c r="H21" s="2"/>
      <c r="I21" s="2"/>
      <c r="J21" s="2"/>
      <c r="AD21" s="2"/>
      <c r="AE21" s="2"/>
      <c r="AH21" s="2"/>
      <c r="AI21" s="2"/>
      <c r="AJ21" s="2"/>
      <c r="AK21" s="2"/>
      <c r="AL21" s="2"/>
      <c r="AM21" s="2"/>
      <c r="AN21" s="2"/>
      <c r="AO21" s="2"/>
      <c r="AP21" s="2"/>
      <c r="AQ21" s="2"/>
      <c r="AR21" s="2"/>
      <c r="AS21" s="2"/>
      <c r="AT21" s="2"/>
      <c r="AU21" s="2"/>
      <c r="AV21" s="2"/>
      <c r="AW21" s="2"/>
      <c r="AX21" s="2"/>
      <c r="AY21" s="2"/>
      <c r="AZ21" s="2"/>
      <c r="BA21" s="2"/>
    </row>
    <row r="22" spans="1:53" x14ac:dyDescent="0.25">
      <c r="A22" s="2" t="str">
        <f>A4</f>
        <v>Noms des groupes</v>
      </c>
      <c r="B22" s="2" t="str">
        <f t="shared" ref="B22:N22" si="0">B4</f>
        <v>Témoin solvant</v>
      </c>
      <c r="C22" s="2" t="str">
        <f t="shared" si="0"/>
        <v>EE2-33,8ng/L</v>
      </c>
      <c r="D22" s="2" t="str">
        <f t="shared" si="0"/>
        <v>EE2-50,6ng/L</v>
      </c>
      <c r="E22" s="2" t="str">
        <f t="shared" si="0"/>
        <v>EE2-76ng/L</v>
      </c>
      <c r="F22" s="2" t="str">
        <f t="shared" si="0"/>
        <v>EE2-114ng/L</v>
      </c>
      <c r="G22" s="2" t="str">
        <f t="shared" si="0"/>
        <v>EE2-170,9ng/L</v>
      </c>
      <c r="H22" s="2" t="str">
        <f t="shared" si="0"/>
        <v>EE2-488ng/L</v>
      </c>
      <c r="I22" s="2" t="str">
        <f t="shared" si="0"/>
        <v>Triphénylphosphate-0,18mg/L</v>
      </c>
      <c r="J22" s="2" t="str">
        <f t="shared" si="0"/>
        <v>Triphénylphosphate-0,26mg/L</v>
      </c>
      <c r="K22" s="2" t="str">
        <f t="shared" si="0"/>
        <v>Triphénylphosphate-0,4mg/L</v>
      </c>
      <c r="L22" s="2" t="str">
        <f t="shared" si="0"/>
        <v>Triphénylphosphate-0,59mg/L</v>
      </c>
      <c r="M22" s="2" t="str">
        <f t="shared" si="0"/>
        <v>Triphénylphosphate-0,89mg/L</v>
      </c>
      <c r="N22" s="2" t="str">
        <f t="shared" si="0"/>
        <v xml:space="preserve"> </v>
      </c>
      <c r="O22" s="2" t="e">
        <f>#REF!</f>
        <v>#REF!</v>
      </c>
      <c r="P22" s="2" t="e">
        <f>#REF!</f>
        <v>#REF!</v>
      </c>
      <c r="Q22" s="2" t="e">
        <f>#REF!</f>
        <v>#REF!</v>
      </c>
      <c r="R22" s="2" t="e">
        <f>#REF!</f>
        <v>#REF!</v>
      </c>
      <c r="S22" s="2" t="e">
        <f>#REF!</f>
        <v>#REF!</v>
      </c>
      <c r="T22" s="2" t="e">
        <f>#REF!</f>
        <v>#REF!</v>
      </c>
      <c r="U22" s="2" t="e">
        <f>#REF!</f>
        <v>#REF!</v>
      </c>
      <c r="V22" s="2" t="e">
        <f>#REF!</f>
        <v>#REF!</v>
      </c>
      <c r="W22" s="2" t="e">
        <f>#REF!</f>
        <v>#REF!</v>
      </c>
      <c r="X22" s="2" t="e">
        <f>#REF!</f>
        <v>#REF!</v>
      </c>
      <c r="Y22" s="2" t="e">
        <f>#REF!</f>
        <v>#REF!</v>
      </c>
      <c r="Z22" s="2" t="e">
        <f>#REF!</f>
        <v>#REF!</v>
      </c>
      <c r="AA22" s="2" t="e">
        <f>#REF!</f>
        <v>#REF!</v>
      </c>
      <c r="AB22" s="2" t="e">
        <f>#REF!</f>
        <v>#REF!</v>
      </c>
      <c r="AC22" s="2" t="e">
        <f>#REF!</f>
        <v>#REF!</v>
      </c>
      <c r="AD22" s="2" t="s">
        <v>41</v>
      </c>
      <c r="AE22" s="2" t="str">
        <f>O4</f>
        <v>Testo -30µg/L</v>
      </c>
      <c r="AF22" s="2" t="str">
        <f>P4</f>
        <v>Testo 30µg/L + EE2 -64ng/L</v>
      </c>
      <c r="AG22" s="2" t="str">
        <f>Q4</f>
        <v>Testo 30µg/L + FAD-10mg/L</v>
      </c>
      <c r="AH22" s="2" t="str">
        <f>R4</f>
        <v>Triphénylphosphate-0,18mg/L + Testostérone</v>
      </c>
      <c r="AI22" s="2" t="str">
        <f>S4</f>
        <v>Triphénylphosphate-0,26mg/L + Testostérone</v>
      </c>
      <c r="AJ22" s="2" t="str">
        <f>T4</f>
        <v>Triphénylphosphate-0,4mg/L + Testostérone</v>
      </c>
      <c r="AK22" s="2" t="str">
        <f>U4</f>
        <v>Triphénylphosphate-0,59mg/L + Testostérone</v>
      </c>
      <c r="AL22" s="2" t="str">
        <f>V4</f>
        <v>Triphénylphosphate-0,89mg/L + Testostérone</v>
      </c>
      <c r="AM22" s="2" t="str">
        <f>W4</f>
        <v>0-00 + Testostérone</v>
      </c>
      <c r="AN22" s="2" t="str">
        <f>X4</f>
        <v>0-00 + Testostérone</v>
      </c>
      <c r="AO22" s="2" t="str">
        <f>Y4</f>
        <v>0-00 + Testostérone</v>
      </c>
      <c r="AP22" s="2" t="str">
        <f>Z4</f>
        <v>0-00 + Testostérone</v>
      </c>
      <c r="AQ22" s="2" t="str">
        <f>AA4</f>
        <v>0-00 + Testostérone</v>
      </c>
      <c r="AR22" s="2" t="str">
        <f>AB4</f>
        <v>0-00 + Testostérone</v>
      </c>
      <c r="AS22" s="2" t="str">
        <f>AC4</f>
        <v>0-00 + Testostérone</v>
      </c>
      <c r="AT22" s="2" t="str">
        <f>AD4</f>
        <v>0-00 + Testostérone</v>
      </c>
      <c r="AU22" s="2" t="str">
        <f>AE4</f>
        <v>0-00 + Testostérone</v>
      </c>
      <c r="AV22" s="2" t="str">
        <f>AF4</f>
        <v>0-00 + Testostérone</v>
      </c>
      <c r="AW22" s="2" t="str">
        <f>AG4</f>
        <v>0-00 + Testostérone</v>
      </c>
      <c r="AX22" s="2" t="str">
        <f>AH4</f>
        <v>0-00 + Testostérone</v>
      </c>
      <c r="AY22" s="2" t="str">
        <f>AI4</f>
        <v>0-00 + Testostérone</v>
      </c>
      <c r="AZ22" s="2" t="str">
        <f>AJ4</f>
        <v>0-00 + Testostérone</v>
      </c>
      <c r="BA22" s="2" t="str">
        <f>AK4</f>
        <v>0-00 + Testostérone</v>
      </c>
    </row>
    <row r="23" spans="1:53" x14ac:dyDescent="0.25">
      <c r="A23" s="4" t="s">
        <v>0</v>
      </c>
      <c r="B23" s="4">
        <f t="shared" ref="B23:J23" si="1">AVERAGE(B5:B20)</f>
        <v>284477.29166666663</v>
      </c>
      <c r="C23" s="4">
        <f t="shared" si="1"/>
        <v>321058.375</v>
      </c>
      <c r="D23" s="4">
        <f t="shared" si="1"/>
        <v>283583.39583333331</v>
      </c>
      <c r="E23" s="4">
        <f t="shared" si="1"/>
        <v>346029.20833333331</v>
      </c>
      <c r="F23" s="4">
        <f t="shared" si="1"/>
        <v>1191081.75</v>
      </c>
      <c r="G23" s="4">
        <f t="shared" si="1"/>
        <v>3926788.4166666665</v>
      </c>
      <c r="H23" s="4">
        <f t="shared" si="1"/>
        <v>5942973.0000000009</v>
      </c>
      <c r="I23" s="4">
        <f t="shared" si="1"/>
        <v>707801.79166666663</v>
      </c>
      <c r="J23" s="4">
        <f t="shared" si="1"/>
        <v>234040.14583333334</v>
      </c>
      <c r="K23" s="4"/>
      <c r="L23" s="4">
        <f>AVERAGE(L5:L20)</f>
        <v>1426675.8541666667</v>
      </c>
      <c r="M23" s="4"/>
      <c r="N23" s="4" t="e">
        <f>AVERAGE(N5:N20)</f>
        <v>#DIV/0!</v>
      </c>
      <c r="O23" s="4"/>
      <c r="P23" s="4" t="e">
        <f>AVERAGE(#REF!)</f>
        <v>#REF!</v>
      </c>
      <c r="Q23" s="4" t="e">
        <f>AVERAGE(#REF!)</f>
        <v>#REF!</v>
      </c>
      <c r="R23" s="4" t="e">
        <f>AVERAGE(#REF!)</f>
        <v>#REF!</v>
      </c>
      <c r="S23" s="4" t="e">
        <f>AVERAGE(#REF!)</f>
        <v>#REF!</v>
      </c>
      <c r="T23" s="4" t="e">
        <f>AVERAGE(#REF!)</f>
        <v>#REF!</v>
      </c>
      <c r="U23" s="4" t="e">
        <f>AVERAGE(#REF!)</f>
        <v>#REF!</v>
      </c>
      <c r="V23" s="4" t="e">
        <f>AVERAGE(#REF!)</f>
        <v>#REF!</v>
      </c>
      <c r="W23" s="4" t="e">
        <f>AVERAGE(#REF!)</f>
        <v>#REF!</v>
      </c>
      <c r="X23" s="4" t="e">
        <f>AVERAGE(#REF!)</f>
        <v>#REF!</v>
      </c>
      <c r="Y23" s="4" t="e">
        <f>AVERAGE(#REF!)</f>
        <v>#REF!</v>
      </c>
      <c r="Z23" s="4" t="e">
        <f>AVERAGE(#REF!)</f>
        <v>#REF!</v>
      </c>
      <c r="AA23" s="4" t="e">
        <f>AVERAGE(#REF!)</f>
        <v>#REF!</v>
      </c>
      <c r="AB23" s="4" t="e">
        <f>AVERAGE(#REF!)</f>
        <v>#REF!</v>
      </c>
      <c r="AC23" s="4" t="e">
        <f>AVERAGE(#REF!)</f>
        <v>#REF!</v>
      </c>
      <c r="AD23" s="4" t="s">
        <v>0</v>
      </c>
      <c r="AE23" s="4">
        <f>AVERAGE(O5:O20)</f>
        <v>2588759.052083333</v>
      </c>
      <c r="AF23" s="4">
        <f>AVERAGE(P5:P20)</f>
        <v>4401999</v>
      </c>
      <c r="AG23" s="4">
        <f>AVERAGE(Q5:Q20)</f>
        <v>479140.95833333337</v>
      </c>
      <c r="AH23" s="4">
        <f>AVERAGE(R5:R20)</f>
        <v>3633389.2916666665</v>
      </c>
      <c r="AI23" s="4">
        <f>AVERAGE(S5:S20)</f>
        <v>5080552.6875</v>
      </c>
      <c r="AJ23" s="4">
        <f>AVERAGE(T5:T20)</f>
        <v>5279376.041666666</v>
      </c>
      <c r="AK23" s="4">
        <f>AVERAGE(U5:U20)</f>
        <v>5004378.958333333</v>
      </c>
      <c r="AL23" s="4">
        <f>AVERAGE(V5:V20)</f>
        <v>4720084.541666666</v>
      </c>
      <c r="AM23" s="4" t="e">
        <f>AVERAGE(W5:W20)</f>
        <v>#DIV/0!</v>
      </c>
      <c r="AN23" s="4" t="e">
        <f>AVERAGE(X5:X20)</f>
        <v>#DIV/0!</v>
      </c>
      <c r="AO23" s="4" t="e">
        <f>AVERAGE(Y5:Y20)</f>
        <v>#DIV/0!</v>
      </c>
      <c r="AP23" s="4" t="e">
        <f>AVERAGE(Z5:Z20)</f>
        <v>#DIV/0!</v>
      </c>
      <c r="AQ23" s="4" t="e">
        <f>AVERAGE(AA5:AA20)</f>
        <v>#DIV/0!</v>
      </c>
      <c r="AR23" s="4" t="e">
        <f>AVERAGE(AB5:AB20)</f>
        <v>#DIV/0!</v>
      </c>
      <c r="AS23" s="4" t="e">
        <f>AVERAGE(AC5:AC20)</f>
        <v>#DIV/0!</v>
      </c>
      <c r="AT23" s="4" t="e">
        <f>AVERAGE(AD5:AD20)</f>
        <v>#DIV/0!</v>
      </c>
      <c r="AU23" s="4" t="e">
        <f>AVERAGE(AE5:AE20)</f>
        <v>#DIV/0!</v>
      </c>
      <c r="AV23" s="4" t="e">
        <f>AVERAGE(AF5:AF20)</f>
        <v>#DIV/0!</v>
      </c>
      <c r="AW23" s="4" t="e">
        <f>AVERAGE(AG5:AG20)</f>
        <v>#DIV/0!</v>
      </c>
      <c r="AX23" s="4" t="e">
        <f>AVERAGE(AH5:AH20)</f>
        <v>#DIV/0!</v>
      </c>
      <c r="AY23" s="4" t="e">
        <f>AVERAGE(AI5:AI20)</f>
        <v>#DIV/0!</v>
      </c>
      <c r="AZ23" s="4" t="e">
        <f>AVERAGE(AJ5:AJ20)</f>
        <v>#DIV/0!</v>
      </c>
      <c r="BA23" s="4" t="e">
        <f>AVERAGE(AK5:AK20)</f>
        <v>#DIV/0!</v>
      </c>
    </row>
    <row r="24" spans="1:53" x14ac:dyDescent="0.25">
      <c r="A24" s="2" t="s">
        <v>1</v>
      </c>
      <c r="B24" s="2">
        <f t="shared" ref="B24:J24" si="2">STDEV(B5:B20)</f>
        <v>253852.60077146059</v>
      </c>
      <c r="C24" s="2">
        <f t="shared" si="2"/>
        <v>228797.3568635096</v>
      </c>
      <c r="D24" s="2">
        <f t="shared" si="2"/>
        <v>130325.19450677864</v>
      </c>
      <c r="E24" s="2">
        <f t="shared" si="2"/>
        <v>162742.96918243656</v>
      </c>
      <c r="F24" s="2">
        <f t="shared" si="2"/>
        <v>627727.93618843262</v>
      </c>
      <c r="G24" s="2">
        <f t="shared" si="2"/>
        <v>1547853.4062916273</v>
      </c>
      <c r="H24" s="2">
        <f t="shared" si="2"/>
        <v>1234198.1217822125</v>
      </c>
      <c r="I24" s="2">
        <f t="shared" si="2"/>
        <v>774528.82599039108</v>
      </c>
      <c r="J24" s="2">
        <f t="shared" si="2"/>
        <v>185283.18744918241</v>
      </c>
      <c r="K24" s="2"/>
      <c r="L24" s="2">
        <f>STDEV(L5:L20)</f>
        <v>610062.25182121363</v>
      </c>
      <c r="M24" s="2"/>
      <c r="N24" s="2" t="e">
        <f>STDEV(N5:N20)</f>
        <v>#DIV/0!</v>
      </c>
      <c r="O24" s="2"/>
      <c r="P24" s="2" t="e">
        <f>STDEV(#REF!)</f>
        <v>#REF!</v>
      </c>
      <c r="Q24" s="2" t="e">
        <f>STDEV(#REF!)</f>
        <v>#REF!</v>
      </c>
      <c r="R24" s="2" t="e">
        <f>STDEV(#REF!)</f>
        <v>#REF!</v>
      </c>
      <c r="S24" s="2" t="e">
        <f>STDEV(#REF!)</f>
        <v>#REF!</v>
      </c>
      <c r="T24" s="2" t="e">
        <f>STDEV(#REF!)</f>
        <v>#REF!</v>
      </c>
      <c r="U24" s="2" t="e">
        <f>STDEV(#REF!)</f>
        <v>#REF!</v>
      </c>
      <c r="V24" s="2" t="e">
        <f>STDEV(#REF!)</f>
        <v>#REF!</v>
      </c>
      <c r="W24" s="2" t="e">
        <f>STDEV(#REF!)</f>
        <v>#REF!</v>
      </c>
      <c r="X24" s="2" t="e">
        <f>STDEV(#REF!)</f>
        <v>#REF!</v>
      </c>
      <c r="Y24" s="2" t="e">
        <f>STDEV(#REF!)</f>
        <v>#REF!</v>
      </c>
      <c r="Z24" s="2" t="e">
        <f>STDEV(#REF!)</f>
        <v>#REF!</v>
      </c>
      <c r="AA24" s="2" t="e">
        <f>STDEV(#REF!)</f>
        <v>#REF!</v>
      </c>
      <c r="AB24" s="2" t="e">
        <f>STDEV(#REF!)</f>
        <v>#REF!</v>
      </c>
      <c r="AC24" s="2" t="e">
        <f>STDEV(#REF!)</f>
        <v>#REF!</v>
      </c>
      <c r="AD24" s="2" t="s">
        <v>1</v>
      </c>
      <c r="AE24" s="2">
        <f>STDEV(O5:O20)</f>
        <v>1006739.1573295366</v>
      </c>
      <c r="AF24" s="2">
        <f>STDEV(P5:P20)</f>
        <v>1144190.603657532</v>
      </c>
      <c r="AG24" s="2">
        <f>STDEV(Q5:Q20)</f>
        <v>465782.92703420715</v>
      </c>
      <c r="AH24" s="2">
        <f>STDEV(R5:R20)</f>
        <v>1237446.3535864872</v>
      </c>
      <c r="AI24" s="2">
        <f>STDEV(S5:S20)</f>
        <v>851809.78722791886</v>
      </c>
      <c r="AJ24" s="2">
        <f>STDEV(T5:T20)</f>
        <v>1257278.8199485289</v>
      </c>
      <c r="AK24" s="2">
        <f>STDEV(U5:U20)</f>
        <v>920497.38592016743</v>
      </c>
      <c r="AL24" s="2">
        <f>STDEV(V5:V20)</f>
        <v>1994208.2958041995</v>
      </c>
      <c r="AM24" s="2" t="e">
        <f>STDEV(W5:W20)</f>
        <v>#DIV/0!</v>
      </c>
      <c r="AN24" s="2" t="e">
        <f>STDEV(X5:X20)</f>
        <v>#DIV/0!</v>
      </c>
      <c r="AO24" s="2" t="e">
        <f>STDEV(Y5:Y20)</f>
        <v>#DIV/0!</v>
      </c>
      <c r="AP24" s="2" t="e">
        <f>STDEV(Z5:Z20)</f>
        <v>#DIV/0!</v>
      </c>
      <c r="AQ24" s="2" t="e">
        <f>STDEV(AA5:AA20)</f>
        <v>#DIV/0!</v>
      </c>
      <c r="AR24" s="2" t="e">
        <f>STDEV(AB5:AB20)</f>
        <v>#DIV/0!</v>
      </c>
      <c r="AS24" s="2" t="e">
        <f>STDEV(AC5:AC20)</f>
        <v>#DIV/0!</v>
      </c>
      <c r="AT24" s="2" t="e">
        <f>STDEV(AD5:AD20)</f>
        <v>#DIV/0!</v>
      </c>
      <c r="AU24" s="2" t="e">
        <f>STDEV(AE5:AE20)</f>
        <v>#DIV/0!</v>
      </c>
      <c r="AV24" s="2" t="e">
        <f>STDEV(AF5:AF20)</f>
        <v>#DIV/0!</v>
      </c>
      <c r="AW24" s="2" t="e">
        <f>STDEV(AG5:AG20)</f>
        <v>#DIV/0!</v>
      </c>
      <c r="AX24" s="2" t="e">
        <f>STDEV(AH5:AH20)</f>
        <v>#DIV/0!</v>
      </c>
      <c r="AY24" s="2" t="e">
        <f>STDEV(AI5:AI20)</f>
        <v>#DIV/0!</v>
      </c>
      <c r="AZ24" s="2" t="e">
        <f>STDEV(AJ5:AJ20)</f>
        <v>#DIV/0!</v>
      </c>
      <c r="BA24" s="2" t="e">
        <f>STDEV(AK5:AK20)</f>
        <v>#DIV/0!</v>
      </c>
    </row>
    <row r="25" spans="1:53" ht="15.75" thickBot="1" x14ac:dyDescent="0.3"/>
    <row r="26" spans="1:53" ht="15.75" thickBot="1" x14ac:dyDescent="0.3">
      <c r="B26" s="195" t="s">
        <v>6</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7"/>
      <c r="AE26" s="195" t="s">
        <v>3</v>
      </c>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7"/>
    </row>
    <row r="27" spans="1:53" x14ac:dyDescent="0.25">
      <c r="A27" s="18" t="s">
        <v>41</v>
      </c>
      <c r="B27" s="19" t="str">
        <f>B4</f>
        <v>Témoin solvant</v>
      </c>
      <c r="C27" s="19" t="str">
        <f t="shared" ref="C27:N27" si="3">C4</f>
        <v>EE2-33,8ng/L</v>
      </c>
      <c r="D27" s="19" t="str">
        <f t="shared" si="3"/>
        <v>EE2-50,6ng/L</v>
      </c>
      <c r="E27" s="19" t="str">
        <f t="shared" si="3"/>
        <v>EE2-76ng/L</v>
      </c>
      <c r="F27" s="19" t="str">
        <f t="shared" si="3"/>
        <v>EE2-114ng/L</v>
      </c>
      <c r="G27" s="19" t="str">
        <f t="shared" si="3"/>
        <v>EE2-170,9ng/L</v>
      </c>
      <c r="H27" s="19" t="str">
        <f t="shared" si="3"/>
        <v>EE2-488ng/L</v>
      </c>
      <c r="I27" s="19" t="str">
        <f t="shared" si="3"/>
        <v>Triphénylphosphate-0,18mg/L</v>
      </c>
      <c r="J27" s="19" t="str">
        <f t="shared" si="3"/>
        <v>Triphénylphosphate-0,26mg/L</v>
      </c>
      <c r="K27" s="19" t="str">
        <f t="shared" si="3"/>
        <v>Triphénylphosphate-0,4mg/L</v>
      </c>
      <c r="L27" s="19" t="str">
        <f t="shared" si="3"/>
        <v>Triphénylphosphate-0,59mg/L</v>
      </c>
      <c r="M27" s="19" t="str">
        <f t="shared" si="3"/>
        <v>Triphénylphosphate-0,89mg/L</v>
      </c>
      <c r="N27" s="19" t="str">
        <f t="shared" si="3"/>
        <v xml:space="preserve"> </v>
      </c>
      <c r="O27" s="19" t="e">
        <f>#REF!</f>
        <v>#REF!</v>
      </c>
      <c r="P27" s="19" t="e">
        <f>#REF!</f>
        <v>#REF!</v>
      </c>
      <c r="Q27" s="19" t="e">
        <f>#REF!</f>
        <v>#REF!</v>
      </c>
      <c r="R27" s="19" t="e">
        <f>#REF!</f>
        <v>#REF!</v>
      </c>
      <c r="S27" s="19" t="e">
        <f>#REF!</f>
        <v>#REF!</v>
      </c>
      <c r="T27" s="19" t="e">
        <f>#REF!</f>
        <v>#REF!</v>
      </c>
      <c r="U27" s="19" t="e">
        <f>#REF!</f>
        <v>#REF!</v>
      </c>
      <c r="V27" s="19" t="e">
        <f>#REF!</f>
        <v>#REF!</v>
      </c>
      <c r="W27" s="19" t="e">
        <f>#REF!</f>
        <v>#REF!</v>
      </c>
      <c r="X27" s="19" t="e">
        <f>#REF!</f>
        <v>#REF!</v>
      </c>
      <c r="Y27" s="19" t="e">
        <f>#REF!</f>
        <v>#REF!</v>
      </c>
      <c r="Z27" s="19" t="e">
        <f>#REF!</f>
        <v>#REF!</v>
      </c>
      <c r="AA27" s="19" t="e">
        <f>#REF!</f>
        <v>#REF!</v>
      </c>
      <c r="AB27" s="19" t="e">
        <f>#REF!</f>
        <v>#REF!</v>
      </c>
      <c r="AC27" s="19" t="e">
        <f>#REF!</f>
        <v>#REF!</v>
      </c>
      <c r="AD27" s="2"/>
      <c r="AE27" s="20" t="str">
        <f>O4</f>
        <v>Testo -30µg/L</v>
      </c>
      <c r="AF27" s="20" t="str">
        <f>P4</f>
        <v>Testo 30µg/L + EE2 -64ng/L</v>
      </c>
      <c r="AG27" s="20" t="str">
        <f>Q4</f>
        <v>Testo 30µg/L + FAD-10mg/L</v>
      </c>
      <c r="AH27" s="20" t="str">
        <f>R4</f>
        <v>Triphénylphosphate-0,18mg/L + Testostérone</v>
      </c>
      <c r="AI27" s="20" t="str">
        <f>S4</f>
        <v>Triphénylphosphate-0,26mg/L + Testostérone</v>
      </c>
      <c r="AJ27" s="20" t="str">
        <f>T4</f>
        <v>Triphénylphosphate-0,4mg/L + Testostérone</v>
      </c>
      <c r="AK27" s="20" t="str">
        <f>U4</f>
        <v>Triphénylphosphate-0,59mg/L + Testostérone</v>
      </c>
      <c r="AL27" s="20" t="str">
        <f>V4</f>
        <v>Triphénylphosphate-0,89mg/L + Testostérone</v>
      </c>
      <c r="AM27" s="20" t="str">
        <f>W4</f>
        <v>0-00 + Testostérone</v>
      </c>
      <c r="AN27" s="20" t="str">
        <f>X4</f>
        <v>0-00 + Testostérone</v>
      </c>
      <c r="AO27" s="20" t="str">
        <f>Y4</f>
        <v>0-00 + Testostérone</v>
      </c>
      <c r="AP27" s="20" t="str">
        <f>Z4</f>
        <v>0-00 + Testostérone</v>
      </c>
      <c r="AQ27" s="20" t="str">
        <f>AA4</f>
        <v>0-00 + Testostérone</v>
      </c>
      <c r="AR27" s="20" t="str">
        <f>AB4</f>
        <v>0-00 + Testostérone</v>
      </c>
      <c r="AS27" s="20" t="str">
        <f>AC4</f>
        <v>0-00 + Testostérone</v>
      </c>
      <c r="AT27" s="20" t="str">
        <f>AD4</f>
        <v>0-00 + Testostérone</v>
      </c>
      <c r="AU27" s="20" t="str">
        <f>AE4</f>
        <v>0-00 + Testostérone</v>
      </c>
      <c r="AV27" s="20" t="str">
        <f>AF4</f>
        <v>0-00 + Testostérone</v>
      </c>
      <c r="AW27" s="20" t="str">
        <f>AG4</f>
        <v>0-00 + Testostérone</v>
      </c>
      <c r="AX27" s="20" t="str">
        <f>AH4</f>
        <v>0-00 + Testostérone</v>
      </c>
      <c r="AY27" s="20" t="str">
        <f>AI4</f>
        <v>0-00 + Testostérone</v>
      </c>
      <c r="AZ27" s="20" t="str">
        <f>AJ4</f>
        <v>0-00 + Testostérone</v>
      </c>
      <c r="BA27" s="20" t="str">
        <f>AK4</f>
        <v>0-00 + Testostérone</v>
      </c>
    </row>
    <row r="28" spans="1:53" x14ac:dyDescent="0.25">
      <c r="A28" s="199" t="s">
        <v>34</v>
      </c>
      <c r="B28" s="9">
        <f t="shared" ref="B28:N28" si="4">IF(B5="","",(B5/$AE$23))</f>
        <v>7.889648897050977E-2</v>
      </c>
      <c r="C28" s="9">
        <f t="shared" si="4"/>
        <v>7.1593890974202268E-2</v>
      </c>
      <c r="D28" s="9">
        <f t="shared" si="4"/>
        <v>4.7282886331771204E-2</v>
      </c>
      <c r="E28" s="9">
        <f t="shared" si="4"/>
        <v>8.7843632962670837E-2</v>
      </c>
      <c r="F28" s="9">
        <f t="shared" si="4"/>
        <v>0.45734473912530865</v>
      </c>
      <c r="G28" s="9">
        <f t="shared" si="4"/>
        <v>1.815467657969601</v>
      </c>
      <c r="H28" s="9">
        <f t="shared" si="4"/>
        <v>2.2285071279064299</v>
      </c>
      <c r="I28" s="9">
        <f t="shared" si="4"/>
        <v>0.11381888415978461</v>
      </c>
      <c r="J28" s="9">
        <f t="shared" si="4"/>
        <v>9.1435057713402743E-3</v>
      </c>
      <c r="K28" s="9">
        <f t="shared" si="4"/>
        <v>0.20248272993122363</v>
      </c>
      <c r="L28" s="9">
        <f t="shared" si="4"/>
        <v>0.18309004061948619</v>
      </c>
      <c r="M28" s="9">
        <f t="shared" si="4"/>
        <v>1.1390799377898524</v>
      </c>
      <c r="N28" s="9" t="str">
        <f t="shared" si="4"/>
        <v/>
      </c>
      <c r="O28" s="9" t="e">
        <f>IF(#REF!="","",(#REF!/$AE$23))</f>
        <v>#REF!</v>
      </c>
      <c r="P28" s="9" t="e">
        <f>IF(#REF!="","",(#REF!/$AE$23))</f>
        <v>#REF!</v>
      </c>
      <c r="Q28" s="9" t="e">
        <f>IF(#REF!="","",(#REF!/$AE$23))</f>
        <v>#REF!</v>
      </c>
      <c r="R28" s="9" t="e">
        <f>IF(#REF!="","",(#REF!/$AE$23))</f>
        <v>#REF!</v>
      </c>
      <c r="S28" s="9" t="e">
        <f>IF(#REF!="","",(#REF!/$AE$23))</f>
        <v>#REF!</v>
      </c>
      <c r="T28" s="9" t="e">
        <f>IF(#REF!="","",(#REF!/$AE$23))</f>
        <v>#REF!</v>
      </c>
      <c r="U28" s="9" t="e">
        <f>IF(#REF!="","",(#REF!/$AE$23))</f>
        <v>#REF!</v>
      </c>
      <c r="V28" s="9" t="e">
        <f>IF(#REF!="","",(#REF!/$AE$23))</f>
        <v>#REF!</v>
      </c>
      <c r="W28" s="9" t="e">
        <f>IF(#REF!="","",(#REF!/$AE$23))</f>
        <v>#REF!</v>
      </c>
      <c r="X28" s="9" t="e">
        <f>IF(#REF!="","",(#REF!/$AE$23))</f>
        <v>#REF!</v>
      </c>
      <c r="Y28" s="9" t="e">
        <f>IF(#REF!="","",(#REF!/$AE$23))</f>
        <v>#REF!</v>
      </c>
      <c r="Z28" s="9" t="e">
        <f>IF(#REF!="","",(#REF!/$AE$23))</f>
        <v>#REF!</v>
      </c>
      <c r="AA28" s="9" t="e">
        <f>IF(#REF!="","",(#REF!/$AE$23))</f>
        <v>#REF!</v>
      </c>
      <c r="AB28" s="9" t="e">
        <f>IF(#REF!="","",(#REF!/$AE$23))</f>
        <v>#REF!</v>
      </c>
      <c r="AC28" s="9" t="e">
        <f>IF(#REF!="","",(#REF!/$AE$23))</f>
        <v>#REF!</v>
      </c>
      <c r="AD28" s="5"/>
      <c r="AE28" s="9">
        <f>IF(O5="","",(O5/$AE$23))</f>
        <v>1.3558710677130299</v>
      </c>
      <c r="AF28" s="9">
        <f>IF(P5="","",(P5/$AE$23))</f>
        <v>2.2146009798476927</v>
      </c>
      <c r="AG28" s="9">
        <f>IF(Q5="","",(Q5/$AE$23))</f>
        <v>9.7052549739796712E-2</v>
      </c>
      <c r="AH28" s="9">
        <f>IF(R5="","",(R5/$AE$23))</f>
        <v>1.0841382338800691</v>
      </c>
      <c r="AI28" s="9">
        <f>IF(S5="","",(S5/$AE$23))</f>
        <v>2.0870711505519481</v>
      </c>
      <c r="AJ28" s="9">
        <f>IF(T5="","",(T5/$AE$23))</f>
        <v>2.5891754305752088</v>
      </c>
      <c r="AK28" s="9">
        <f>IF(U5="","",(U5/$AE$23))</f>
        <v>1.5769150074877618</v>
      </c>
      <c r="AL28" s="9">
        <f>IF(V5="","",(V5/$AE$23))</f>
        <v>0.49205828263863027</v>
      </c>
      <c r="AM28" s="9" t="str">
        <f>IF(W5="","",(W5/$AE$23))</f>
        <v/>
      </c>
      <c r="AN28" s="9" t="str">
        <f>IF(X5="","",(X5/$AE$23))</f>
        <v/>
      </c>
      <c r="AO28" s="9" t="str">
        <f>IF(Y5="","",(Y5/$AE$23))</f>
        <v/>
      </c>
      <c r="AP28" s="9" t="str">
        <f>IF(Z5="","",(Z5/$AE$23))</f>
        <v/>
      </c>
      <c r="AQ28" s="9" t="str">
        <f>IF(AA5="","",(AA5/$AE$23))</f>
        <v/>
      </c>
      <c r="AR28" s="9" t="str">
        <f>IF(AB5="","",(AB5/$AE$23))</f>
        <v/>
      </c>
      <c r="AS28" s="9" t="str">
        <f>IF(AC5="","",(AC5/$AE$23))</f>
        <v/>
      </c>
      <c r="AT28" s="9" t="str">
        <f>IF(AD5="","",(AD5/$AE$23))</f>
        <v/>
      </c>
      <c r="AU28" s="9" t="str">
        <f>IF(AE5="","",(AE5/$AE$23))</f>
        <v/>
      </c>
      <c r="AV28" s="9" t="str">
        <f>IF(AF5="","",(AF5/$AE$23))</f>
        <v/>
      </c>
      <c r="AW28" s="9" t="str">
        <f>IF(AG5="","",(AG5/$AE$23))</f>
        <v/>
      </c>
      <c r="AX28" s="9" t="str">
        <f>IF(AH5="","",(AH5/$AE$23))</f>
        <v/>
      </c>
      <c r="AY28" s="9" t="str">
        <f>IF(AI5="","",(AI5/$AE$23))</f>
        <v/>
      </c>
      <c r="AZ28" s="9" t="str">
        <f>IF(AJ5="","",(AJ5/$AE$23))</f>
        <v/>
      </c>
      <c r="BA28" s="9" t="str">
        <f>IF(AK5="","",(AK5/$AE$23))</f>
        <v/>
      </c>
    </row>
    <row r="29" spans="1:53" x14ac:dyDescent="0.25">
      <c r="A29" s="199"/>
      <c r="B29" s="9">
        <f t="shared" ref="B29:N29" si="5">IF(B6="","",(B6/$AE$23))</f>
        <v>3.8680888404587069E-2</v>
      </c>
      <c r="C29" s="9">
        <f t="shared" si="5"/>
        <v>8.3565714555746226E-2</v>
      </c>
      <c r="D29" s="9">
        <f t="shared" si="5"/>
        <v>8.6732289673427804E-2</v>
      </c>
      <c r="E29" s="9">
        <f t="shared" si="5"/>
        <v>0.12127174720284759</v>
      </c>
      <c r="F29" s="9">
        <f t="shared" si="5"/>
        <v>0.41657102044013861</v>
      </c>
      <c r="G29" s="9">
        <f t="shared" si="5"/>
        <v>1.454356543393545</v>
      </c>
      <c r="H29" s="9">
        <f t="shared" si="5"/>
        <v>2.1856053625822471</v>
      </c>
      <c r="I29" s="9">
        <f t="shared" si="5"/>
        <v>0.9311581153371874</v>
      </c>
      <c r="J29" s="9">
        <f t="shared" si="5"/>
        <v>7.9701379122410848E-2</v>
      </c>
      <c r="K29" s="9">
        <f t="shared" si="5"/>
        <v>0.10219104778681586</v>
      </c>
      <c r="L29" s="9">
        <f t="shared" si="5"/>
        <v>0.55988692040184362</v>
      </c>
      <c r="M29" s="9">
        <f t="shared" si="5"/>
        <v>0.15591009381188026</v>
      </c>
      <c r="N29" s="9" t="str">
        <f t="shared" si="5"/>
        <v/>
      </c>
      <c r="O29" s="9" t="e">
        <f>IF(#REF!="","",(#REF!/$AE$23))</f>
        <v>#REF!</v>
      </c>
      <c r="P29" s="9" t="e">
        <f>IF(#REF!="","",(#REF!/$AE$23))</f>
        <v>#REF!</v>
      </c>
      <c r="Q29" s="9" t="e">
        <f>IF(#REF!="","",(#REF!/$AE$23))</f>
        <v>#REF!</v>
      </c>
      <c r="R29" s="9" t="e">
        <f>IF(#REF!="","",(#REF!/$AE$23))</f>
        <v>#REF!</v>
      </c>
      <c r="S29" s="9" t="e">
        <f>IF(#REF!="","",(#REF!/$AE$23))</f>
        <v>#REF!</v>
      </c>
      <c r="T29" s="9" t="e">
        <f>IF(#REF!="","",(#REF!/$AE$23))</f>
        <v>#REF!</v>
      </c>
      <c r="U29" s="9" t="e">
        <f>IF(#REF!="","",(#REF!/$AE$23))</f>
        <v>#REF!</v>
      </c>
      <c r="V29" s="9" t="e">
        <f>IF(#REF!="","",(#REF!/$AE$23))</f>
        <v>#REF!</v>
      </c>
      <c r="W29" s="9" t="e">
        <f>IF(#REF!="","",(#REF!/$AE$23))</f>
        <v>#REF!</v>
      </c>
      <c r="X29" s="9" t="e">
        <f>IF(#REF!="","",(#REF!/$AE$23))</f>
        <v>#REF!</v>
      </c>
      <c r="Y29" s="9" t="e">
        <f>IF(#REF!="","",(#REF!/$AE$23))</f>
        <v>#REF!</v>
      </c>
      <c r="Z29" s="9" t="e">
        <f>IF(#REF!="","",(#REF!/$AE$23))</f>
        <v>#REF!</v>
      </c>
      <c r="AA29" s="9" t="e">
        <f>IF(#REF!="","",(#REF!/$AE$23))</f>
        <v>#REF!</v>
      </c>
      <c r="AB29" s="9" t="e">
        <f>IF(#REF!="","",(#REF!/$AE$23))</f>
        <v>#REF!</v>
      </c>
      <c r="AC29" s="9" t="e">
        <f>IF(#REF!="","",(#REF!/$AE$23))</f>
        <v>#REF!</v>
      </c>
      <c r="AD29" s="5"/>
      <c r="AE29" s="9">
        <f>IF(O6="","",(O6/$AE$23))</f>
        <v>1.3141823031368849</v>
      </c>
      <c r="AF29" s="9">
        <f>IF(P6="","",(P6/$AE$23))</f>
        <v>2.0138227989215669</v>
      </c>
      <c r="AG29" s="9">
        <f>IF(Q6="","",(Q6/$AE$23))</f>
        <v>6.5213098864546473E-2</v>
      </c>
      <c r="AH29" s="9">
        <f>IF(R6="","",(R6/$AE$23))</f>
        <v>1.5200405242426545</v>
      </c>
      <c r="AI29" s="9">
        <f>IF(S6="","",(S6/$AE$23))</f>
        <v>2.121631467496599</v>
      </c>
      <c r="AJ29" s="9">
        <f>IF(T6="","",(T6/$AE$23))</f>
        <v>2.867393417974891</v>
      </c>
      <c r="AK29" s="9">
        <f>IF(U6="","",(U6/$AE$23))</f>
        <v>1.8640622409862895</v>
      </c>
      <c r="AL29" s="9">
        <f>IF(V6="","",(V6/$AE$23))</f>
        <v>2.1003170079853537</v>
      </c>
      <c r="AM29" s="9" t="str">
        <f>IF(W6="","",(W6/$AE$23))</f>
        <v/>
      </c>
      <c r="AN29" s="9" t="str">
        <f>IF(X6="","",(X6/$AE$23))</f>
        <v/>
      </c>
      <c r="AO29" s="9" t="str">
        <f>IF(Y6="","",(Y6/$AE$23))</f>
        <v/>
      </c>
      <c r="AP29" s="9" t="str">
        <f>IF(Z6="","",(Z6/$AE$23))</f>
        <v/>
      </c>
      <c r="AQ29" s="9" t="str">
        <f>IF(AA6="","",(AA6/$AE$23))</f>
        <v/>
      </c>
      <c r="AR29" s="9" t="str">
        <f>IF(AB6="","",(AB6/$AE$23))</f>
        <v/>
      </c>
      <c r="AS29" s="9" t="str">
        <f>IF(AC6="","",(AC6/$AE$23))</f>
        <v/>
      </c>
      <c r="AT29" s="9" t="str">
        <f>IF(AD6="","",(AD6/$AE$23))</f>
        <v/>
      </c>
      <c r="AU29" s="9" t="str">
        <f>IF(AE6="","",(AE6/$AE$23))</f>
        <v/>
      </c>
      <c r="AV29" s="9" t="str">
        <f>IF(AF6="","",(AF6/$AE$23))</f>
        <v/>
      </c>
      <c r="AW29" s="9" t="str">
        <f>IF(AG6="","",(AG6/$AE$23))</f>
        <v/>
      </c>
      <c r="AX29" s="9" t="str">
        <f>IF(AH6="","",(AH6/$AE$23))</f>
        <v/>
      </c>
      <c r="AY29" s="9" t="str">
        <f>IF(AI6="","",(AI6/$AE$23))</f>
        <v/>
      </c>
      <c r="AZ29" s="9" t="str">
        <f>IF(AJ6="","",(AJ6/$AE$23))</f>
        <v/>
      </c>
      <c r="BA29" s="9" t="str">
        <f>IF(AK6="","",(AK6/$AE$23))</f>
        <v/>
      </c>
    </row>
    <row r="30" spans="1:53" x14ac:dyDescent="0.25">
      <c r="A30" s="199"/>
      <c r="B30" s="9">
        <f t="shared" ref="B30:N30" si="6">IF(B7="","",(B7/$AE$23))</f>
        <v>0.26624210782073199</v>
      </c>
      <c r="C30" s="9">
        <f t="shared" si="6"/>
        <v>3.5827590800835328E-2</v>
      </c>
      <c r="D30" s="9">
        <f t="shared" si="6"/>
        <v>0.13288278015799149</v>
      </c>
      <c r="E30" s="9">
        <f t="shared" si="6"/>
        <v>0.24074443422294653</v>
      </c>
      <c r="F30" s="9">
        <f t="shared" si="6"/>
        <v>0.12578381898382951</v>
      </c>
      <c r="G30" s="9">
        <f t="shared" si="6"/>
        <v>1.8444382954414988</v>
      </c>
      <c r="H30" s="9">
        <f t="shared" si="6"/>
        <v>2.1393236638006448</v>
      </c>
      <c r="I30" s="9">
        <f t="shared" si="6"/>
        <v>0.10755230378660878</v>
      </c>
      <c r="J30" s="9">
        <f t="shared" si="6"/>
        <v>1.9930269920309995E-2</v>
      </c>
      <c r="K30" s="9">
        <f t="shared" si="6"/>
        <v>0.26437325873023565</v>
      </c>
      <c r="L30" s="9">
        <f t="shared" si="6"/>
        <v>0.42375657393987309</v>
      </c>
      <c r="M30" s="9">
        <f t="shared" si="6"/>
        <v>1.3240889802296645</v>
      </c>
      <c r="N30" s="9" t="str">
        <f t="shared" si="6"/>
        <v/>
      </c>
      <c r="O30" s="9" t="e">
        <f>IF(#REF!="","",(#REF!/$AE$23))</f>
        <v>#REF!</v>
      </c>
      <c r="P30" s="9" t="e">
        <f>IF(#REF!="","",(#REF!/$AE$23))</f>
        <v>#REF!</v>
      </c>
      <c r="Q30" s="9" t="e">
        <f>IF(#REF!="","",(#REF!/$AE$23))</f>
        <v>#REF!</v>
      </c>
      <c r="R30" s="9" t="e">
        <f>IF(#REF!="","",(#REF!/$AE$23))</f>
        <v>#REF!</v>
      </c>
      <c r="S30" s="9" t="e">
        <f>IF(#REF!="","",(#REF!/$AE$23))</f>
        <v>#REF!</v>
      </c>
      <c r="T30" s="9" t="e">
        <f>IF(#REF!="","",(#REF!/$AE$23))</f>
        <v>#REF!</v>
      </c>
      <c r="U30" s="9" t="e">
        <f>IF(#REF!="","",(#REF!/$AE$23))</f>
        <v>#REF!</v>
      </c>
      <c r="V30" s="9" t="e">
        <f>IF(#REF!="","",(#REF!/$AE$23))</f>
        <v>#REF!</v>
      </c>
      <c r="W30" s="9" t="e">
        <f>IF(#REF!="","",(#REF!/$AE$23))</f>
        <v>#REF!</v>
      </c>
      <c r="X30" s="9" t="e">
        <f>IF(#REF!="","",(#REF!/$AE$23))</f>
        <v>#REF!</v>
      </c>
      <c r="Y30" s="9" t="e">
        <f>IF(#REF!="","",(#REF!/$AE$23))</f>
        <v>#REF!</v>
      </c>
      <c r="Z30" s="9" t="e">
        <f>IF(#REF!="","",(#REF!/$AE$23))</f>
        <v>#REF!</v>
      </c>
      <c r="AA30" s="9" t="e">
        <f>IF(#REF!="","",(#REF!/$AE$23))</f>
        <v>#REF!</v>
      </c>
      <c r="AB30" s="9" t="e">
        <f>IF(#REF!="","",(#REF!/$AE$23))</f>
        <v>#REF!</v>
      </c>
      <c r="AC30" s="9" t="e">
        <f>IF(#REF!="","",(#REF!/$AE$23))</f>
        <v>#REF!</v>
      </c>
      <c r="AD30" s="5"/>
      <c r="AE30" s="9">
        <f>IF(O7="","",(O7/$AE$23))</f>
        <v>0.81719141260527306</v>
      </c>
      <c r="AF30" s="9">
        <f>IF(P7="","",(P7/$AE$23))</f>
        <v>1.7393898940535253</v>
      </c>
      <c r="AG30" s="9">
        <f>IF(Q7="","",(Q7/$AE$23))</f>
        <v>0.1041044484678669</v>
      </c>
      <c r="AH30" s="9">
        <f>IF(R7="","",(R7/$AE$23))</f>
        <v>0.81020363726476441</v>
      </c>
      <c r="AI30" s="9">
        <f>IF(S7="","",(S7/$AE$23))</f>
        <v>2.2416332368449914</v>
      </c>
      <c r="AJ30" s="9">
        <f>IF(T7="","",(T7/$AE$23))</f>
        <v>2.1359245448316861</v>
      </c>
      <c r="AK30" s="9">
        <f>IF(U7="","",(U7/$AE$23))</f>
        <v>1.9425658776366184</v>
      </c>
      <c r="AL30" s="9">
        <f>IF(V7="","",(V7/$AE$23))</f>
        <v>1.274101838103584</v>
      </c>
      <c r="AM30" s="9" t="str">
        <f>IF(W7="","",(W7/$AE$23))</f>
        <v/>
      </c>
      <c r="AN30" s="9" t="str">
        <f>IF(X7="","",(X7/$AE$23))</f>
        <v/>
      </c>
      <c r="AO30" s="9" t="str">
        <f>IF(Y7="","",(Y7/$AE$23))</f>
        <v/>
      </c>
      <c r="AP30" s="9" t="str">
        <f>IF(Z7="","",(Z7/$AE$23))</f>
        <v/>
      </c>
      <c r="AQ30" s="9" t="str">
        <f>IF(AA7="","",(AA7/$AE$23))</f>
        <v/>
      </c>
      <c r="AR30" s="9" t="str">
        <f>IF(AB7="","",(AB7/$AE$23))</f>
        <v/>
      </c>
      <c r="AS30" s="9" t="str">
        <f>IF(AC7="","",(AC7/$AE$23))</f>
        <v/>
      </c>
      <c r="AT30" s="9" t="str">
        <f>IF(AD7="","",(AD7/$AE$23))</f>
        <v/>
      </c>
      <c r="AU30" s="9" t="str">
        <f>IF(AE7="","",(AE7/$AE$23))</f>
        <v/>
      </c>
      <c r="AV30" s="9" t="str">
        <f>IF(AF7="","",(AF7/$AE$23))</f>
        <v/>
      </c>
      <c r="AW30" s="9" t="str">
        <f>IF(AG7="","",(AG7/$AE$23))</f>
        <v/>
      </c>
      <c r="AX30" s="9" t="str">
        <f>IF(AH7="","",(AH7/$AE$23))</f>
        <v/>
      </c>
      <c r="AY30" s="9" t="str">
        <f>IF(AI7="","",(AI7/$AE$23))</f>
        <v/>
      </c>
      <c r="AZ30" s="9" t="str">
        <f>IF(AJ7="","",(AJ7/$AE$23))</f>
        <v/>
      </c>
      <c r="BA30" s="9" t="str">
        <f>IF(AK7="","",(AK7/$AE$23))</f>
        <v/>
      </c>
    </row>
    <row r="31" spans="1:53" x14ac:dyDescent="0.25">
      <c r="A31" s="199"/>
      <c r="B31" s="9">
        <f t="shared" ref="B31:N31" si="7">IF(B8="","",(B8/$AE$23))</f>
        <v>2.7777208520866715E-2</v>
      </c>
      <c r="C31" s="9">
        <f t="shared" si="7"/>
        <v>0.16419430756135012</v>
      </c>
      <c r="D31" s="9">
        <f t="shared" si="7"/>
        <v>9.7581889591734861E-2</v>
      </c>
      <c r="E31" s="9">
        <f t="shared" si="7"/>
        <v>0.19278773727449025</v>
      </c>
      <c r="F31" s="9">
        <f t="shared" si="7"/>
        <v>0.23864445766121961</v>
      </c>
      <c r="G31" s="9">
        <f t="shared" si="7"/>
        <v>1.0919866532415836</v>
      </c>
      <c r="H31" s="9">
        <f t="shared" si="7"/>
        <v>2.0967032430584331</v>
      </c>
      <c r="I31" s="9">
        <f t="shared" si="7"/>
        <v>5.7350901988033852E-2</v>
      </c>
      <c r="J31" s="9">
        <f t="shared" si="7"/>
        <v>0.13252643181446466</v>
      </c>
      <c r="K31" s="9">
        <f t="shared" si="7"/>
        <v>0.21974750136577065</v>
      </c>
      <c r="L31" s="9">
        <f t="shared" si="7"/>
        <v>0.94827790095969777</v>
      </c>
      <c r="M31" s="9">
        <f t="shared" si="7"/>
        <v>0.6898424936700186</v>
      </c>
      <c r="N31" s="9" t="str">
        <f t="shared" si="7"/>
        <v/>
      </c>
      <c r="O31" s="9" t="e">
        <f>IF(#REF!="","",(#REF!/$AE$23))</f>
        <v>#REF!</v>
      </c>
      <c r="P31" s="9" t="e">
        <f>IF(#REF!="","",(#REF!/$AE$23))</f>
        <v>#REF!</v>
      </c>
      <c r="Q31" s="9" t="e">
        <f>IF(#REF!="","",(#REF!/$AE$23))</f>
        <v>#REF!</v>
      </c>
      <c r="R31" s="9" t="e">
        <f>IF(#REF!="","",(#REF!/$AE$23))</f>
        <v>#REF!</v>
      </c>
      <c r="S31" s="9" t="e">
        <f>IF(#REF!="","",(#REF!/$AE$23))</f>
        <v>#REF!</v>
      </c>
      <c r="T31" s="9" t="e">
        <f>IF(#REF!="","",(#REF!/$AE$23))</f>
        <v>#REF!</v>
      </c>
      <c r="U31" s="9" t="e">
        <f>IF(#REF!="","",(#REF!/$AE$23))</f>
        <v>#REF!</v>
      </c>
      <c r="V31" s="9" t="e">
        <f>IF(#REF!="","",(#REF!/$AE$23))</f>
        <v>#REF!</v>
      </c>
      <c r="W31" s="9" t="e">
        <f>IF(#REF!="","",(#REF!/$AE$23))</f>
        <v>#REF!</v>
      </c>
      <c r="X31" s="9" t="e">
        <f>IF(#REF!="","",(#REF!/$AE$23))</f>
        <v>#REF!</v>
      </c>
      <c r="Y31" s="9" t="e">
        <f>IF(#REF!="","",(#REF!/$AE$23))</f>
        <v>#REF!</v>
      </c>
      <c r="Z31" s="9" t="e">
        <f>IF(#REF!="","",(#REF!/$AE$23))</f>
        <v>#REF!</v>
      </c>
      <c r="AA31" s="9" t="e">
        <f>IF(#REF!="","",(#REF!/$AE$23))</f>
        <v>#REF!</v>
      </c>
      <c r="AB31" s="9" t="e">
        <f>IF(#REF!="","",(#REF!/$AE$23))</f>
        <v>#REF!</v>
      </c>
      <c r="AC31" s="9" t="e">
        <f>IF(#REF!="","",(#REF!/$AE$23))</f>
        <v>#REF!</v>
      </c>
      <c r="AD31" s="5"/>
      <c r="AE31" s="9">
        <f>IF(O8="","",(O8/$AE$23))</f>
        <v>1.6647489833137517</v>
      </c>
      <c r="AF31" s="9">
        <f>IF(P8="","",(P8/$AE$23))</f>
        <v>1.3989774999539375</v>
      </c>
      <c r="AG31" s="9">
        <f>IF(Q8="","",(Q8/$AE$23))</f>
        <v>0.20203154850548993</v>
      </c>
      <c r="AH31" s="9">
        <f>IF(R8="","",(R8/$AE$23))</f>
        <v>1.5136279279628628</v>
      </c>
      <c r="AI31" s="9">
        <f>IF(S8="","",(S8/$AE$23))</f>
        <v>1.7256090312479957</v>
      </c>
      <c r="AJ31" s="9">
        <f>IF(T8="","",(T8/$AE$23))</f>
        <v>1.4021414354542598</v>
      </c>
      <c r="AK31" s="9">
        <f>IF(U8="","",(U8/$AE$23))</f>
        <v>2.4795200599431353</v>
      </c>
      <c r="AL31" s="9">
        <f>IF(V8="","",(V8/$AE$23))</f>
        <v>1.123113021144313</v>
      </c>
      <c r="AM31" s="9" t="str">
        <f>IF(W8="","",(W8/$AE$23))</f>
        <v/>
      </c>
      <c r="AN31" s="9" t="str">
        <f>IF(X8="","",(X8/$AE$23))</f>
        <v/>
      </c>
      <c r="AO31" s="9" t="str">
        <f>IF(Y8="","",(Y8/$AE$23))</f>
        <v/>
      </c>
      <c r="AP31" s="9" t="str">
        <f>IF(Z8="","",(Z8/$AE$23))</f>
        <v/>
      </c>
      <c r="AQ31" s="9" t="str">
        <f>IF(AA8="","",(AA8/$AE$23))</f>
        <v/>
      </c>
      <c r="AR31" s="9" t="str">
        <f>IF(AB8="","",(AB8/$AE$23))</f>
        <v/>
      </c>
      <c r="AS31" s="9" t="str">
        <f>IF(AC8="","",(AC8/$AE$23))</f>
        <v/>
      </c>
      <c r="AT31" s="9" t="str">
        <f>IF(AD8="","",(AD8/$AE$23))</f>
        <v/>
      </c>
      <c r="AU31" s="9" t="str">
        <f>IF(AE8="","",(AE8/$AE$23))</f>
        <v/>
      </c>
      <c r="AV31" s="9" t="str">
        <f>IF(AF8="","",(AF8/$AE$23))</f>
        <v/>
      </c>
      <c r="AW31" s="9" t="str">
        <f>IF(AG8="","",(AG8/$AE$23))</f>
        <v/>
      </c>
      <c r="AX31" s="9" t="str">
        <f>IF(AH8="","",(AH8/$AE$23))</f>
        <v/>
      </c>
      <c r="AY31" s="9" t="str">
        <f>IF(AI8="","",(AI8/$AE$23))</f>
        <v/>
      </c>
      <c r="AZ31" s="9" t="str">
        <f>IF(AJ8="","",(AJ8/$AE$23))</f>
        <v/>
      </c>
      <c r="BA31" s="9" t="str">
        <f>IF(AK8="","",(AK8/$AE$23))</f>
        <v/>
      </c>
    </row>
    <row r="32" spans="1:53" x14ac:dyDescent="0.25">
      <c r="A32" s="199"/>
      <c r="B32" s="9">
        <f t="shared" ref="B32:N32" si="8">IF(B9="","",(B9/$AE$23))</f>
        <v>0.11436470552499156</v>
      </c>
      <c r="C32" s="9">
        <f t="shared" si="8"/>
        <v>0.10461408776097594</v>
      </c>
      <c r="D32" s="9">
        <f t="shared" si="8"/>
        <v>0.21552121644963348</v>
      </c>
      <c r="E32" s="9">
        <f t="shared" si="8"/>
        <v>7.2377921710872511E-2</v>
      </c>
      <c r="F32" s="9">
        <f t="shared" si="8"/>
        <v>0.52041627135948898</v>
      </c>
      <c r="G32" s="9">
        <f t="shared" si="8"/>
        <v>1.6381679077421867</v>
      </c>
      <c r="H32" s="9">
        <f t="shared" si="8"/>
        <v>2.2086770346839568</v>
      </c>
      <c r="I32" s="9">
        <f t="shared" si="8"/>
        <v>0.4290996101417946</v>
      </c>
      <c r="J32" s="9">
        <f t="shared" si="8"/>
        <v>0.22998432377121619</v>
      </c>
      <c r="K32" s="9">
        <f t="shared" si="8"/>
        <v>7.3816320029043522E-2</v>
      </c>
      <c r="L32" s="9">
        <f t="shared" si="8"/>
        <v>0.61924019749021575</v>
      </c>
      <c r="M32" s="9" t="str">
        <f t="shared" si="8"/>
        <v/>
      </c>
      <c r="N32" s="9" t="str">
        <f t="shared" si="8"/>
        <v/>
      </c>
      <c r="O32" s="9" t="e">
        <f>IF(#REF!="","",(#REF!/$AE$23))</f>
        <v>#REF!</v>
      </c>
      <c r="P32" s="9" t="e">
        <f>IF(#REF!="","",(#REF!/$AE$23))</f>
        <v>#REF!</v>
      </c>
      <c r="Q32" s="9" t="e">
        <f>IF(#REF!="","",(#REF!/$AE$23))</f>
        <v>#REF!</v>
      </c>
      <c r="R32" s="9" t="e">
        <f>IF(#REF!="","",(#REF!/$AE$23))</f>
        <v>#REF!</v>
      </c>
      <c r="S32" s="9" t="e">
        <f>IF(#REF!="","",(#REF!/$AE$23))</f>
        <v>#REF!</v>
      </c>
      <c r="T32" s="9" t="e">
        <f>IF(#REF!="","",(#REF!/$AE$23))</f>
        <v>#REF!</v>
      </c>
      <c r="U32" s="9" t="e">
        <f>IF(#REF!="","",(#REF!/$AE$23))</f>
        <v>#REF!</v>
      </c>
      <c r="V32" s="9" t="e">
        <f>IF(#REF!="","",(#REF!/$AE$23))</f>
        <v>#REF!</v>
      </c>
      <c r="W32" s="9" t="e">
        <f>IF(#REF!="","",(#REF!/$AE$23))</f>
        <v>#REF!</v>
      </c>
      <c r="X32" s="9" t="e">
        <f>IF(#REF!="","",(#REF!/$AE$23))</f>
        <v>#REF!</v>
      </c>
      <c r="Y32" s="9" t="e">
        <f>IF(#REF!="","",(#REF!/$AE$23))</f>
        <v>#REF!</v>
      </c>
      <c r="Z32" s="9" t="e">
        <f>IF(#REF!="","",(#REF!/$AE$23))</f>
        <v>#REF!</v>
      </c>
      <c r="AA32" s="9" t="e">
        <f>IF(#REF!="","",(#REF!/$AE$23))</f>
        <v>#REF!</v>
      </c>
      <c r="AB32" s="9" t="e">
        <f>IF(#REF!="","",(#REF!/$AE$23))</f>
        <v>#REF!</v>
      </c>
      <c r="AC32" s="9" t="e">
        <f>IF(#REF!="","",(#REF!/$AE$23))</f>
        <v>#REF!</v>
      </c>
      <c r="AD32" s="5"/>
      <c r="AE32" s="9">
        <f>IF(O9="","",(O9/$AE$23))</f>
        <v>1.2923750077503553</v>
      </c>
      <c r="AF32" s="9">
        <f>IF(P9="","",(P9/$AE$23))</f>
        <v>1.9747783515113977</v>
      </c>
      <c r="AG32" s="9">
        <f>IF(Q9="","",(Q9/$AE$23))</f>
        <v>5.4880606425048356E-2</v>
      </c>
      <c r="AH32" s="9">
        <f>IF(R9="","",(R9/$AE$23))</f>
        <v>1.5559682917413267</v>
      </c>
      <c r="AI32" s="9">
        <f>IF(S9="","",(S9/$AE$23))</f>
        <v>2.360791229971114</v>
      </c>
      <c r="AJ32" s="9">
        <f>IF(T9="","",(T9/$AE$23))</f>
        <v>2.0072974072853418</v>
      </c>
      <c r="AK32" s="9">
        <f>IF(U9="","",(U9/$AE$23))</f>
        <v>1.5097496218717956</v>
      </c>
      <c r="AL32" s="9">
        <f>IF(V9="","",(V9/$AE$23))</f>
        <v>2.4812775300572447</v>
      </c>
      <c r="AM32" s="9" t="str">
        <f>IF(W9="","",(W9/$AE$23))</f>
        <v/>
      </c>
      <c r="AN32" s="9" t="str">
        <f>IF(X9="","",(X9/$AE$23))</f>
        <v/>
      </c>
      <c r="AO32" s="9" t="str">
        <f>IF(Y9="","",(Y9/$AE$23))</f>
        <v/>
      </c>
      <c r="AP32" s="9" t="str">
        <f>IF(Z9="","",(Z9/$AE$23))</f>
        <v/>
      </c>
      <c r="AQ32" s="9" t="str">
        <f>IF(AA9="","",(AA9/$AE$23))</f>
        <v/>
      </c>
      <c r="AR32" s="9" t="str">
        <f>IF(AB9="","",(AB9/$AE$23))</f>
        <v/>
      </c>
      <c r="AS32" s="9" t="str">
        <f>IF(AC9="","",(AC9/$AE$23))</f>
        <v/>
      </c>
      <c r="AT32" s="9" t="str">
        <f>IF(AD9="","",(AD9/$AE$23))</f>
        <v/>
      </c>
      <c r="AU32" s="9" t="str">
        <f>IF(AE9="","",(AE9/$AE$23))</f>
        <v/>
      </c>
      <c r="AV32" s="9" t="str">
        <f>IF(AF9="","",(AF9/$AE$23))</f>
        <v/>
      </c>
      <c r="AW32" s="9" t="str">
        <f>IF(AG9="","",(AG9/$AE$23))</f>
        <v/>
      </c>
      <c r="AX32" s="9" t="str">
        <f>IF(AH9="","",(AH9/$AE$23))</f>
        <v/>
      </c>
      <c r="AY32" s="9" t="str">
        <f>IF(AI9="","",(AI9/$AE$23))</f>
        <v/>
      </c>
      <c r="AZ32" s="9" t="str">
        <f>IF(AJ9="","",(AJ9/$AE$23))</f>
        <v/>
      </c>
      <c r="BA32" s="9" t="str">
        <f>IF(AK9="","",(AK9/$AE$23))</f>
        <v/>
      </c>
    </row>
    <row r="33" spans="1:53" x14ac:dyDescent="0.25">
      <c r="A33" s="199"/>
      <c r="B33" s="9">
        <f t="shared" ref="B33:N33" si="9">IF(B10="","",(B10/$AE$23))</f>
        <v>4.5394336682445774E-2</v>
      </c>
      <c r="C33" s="9">
        <f t="shared" si="9"/>
        <v>9.392202793239067E-2</v>
      </c>
      <c r="D33" s="9">
        <f t="shared" si="9"/>
        <v>0.10805930346235834</v>
      </c>
      <c r="E33" s="9">
        <f t="shared" si="9"/>
        <v>0.15947795514911065</v>
      </c>
      <c r="F33" s="9">
        <f t="shared" si="9"/>
        <v>0.87665066067349073</v>
      </c>
      <c r="G33" s="9">
        <f t="shared" si="9"/>
        <v>1.6040587722232695</v>
      </c>
      <c r="H33" s="9">
        <f t="shared" si="9"/>
        <v>1.6097459243955889</v>
      </c>
      <c r="I33" s="9">
        <f t="shared" si="9"/>
        <v>0.22616994792497691</v>
      </c>
      <c r="J33" s="9">
        <f t="shared" si="9"/>
        <v>0.10461286452366302</v>
      </c>
      <c r="K33" s="9">
        <f t="shared" si="9"/>
        <v>0.16857961332816684</v>
      </c>
      <c r="L33" s="9">
        <f t="shared" si="9"/>
        <v>0.63573490884582418</v>
      </c>
      <c r="M33" s="9">
        <f t="shared" si="9"/>
        <v>1.7552593379994983</v>
      </c>
      <c r="N33" s="9" t="str">
        <f t="shared" si="9"/>
        <v/>
      </c>
      <c r="O33" s="9" t="e">
        <f>IF(#REF!="","",(#REF!/$AE$23))</f>
        <v>#REF!</v>
      </c>
      <c r="P33" s="9" t="e">
        <f>IF(#REF!="","",(#REF!/$AE$23))</f>
        <v>#REF!</v>
      </c>
      <c r="Q33" s="9" t="e">
        <f>IF(#REF!="","",(#REF!/$AE$23))</f>
        <v>#REF!</v>
      </c>
      <c r="R33" s="9" t="e">
        <f>IF(#REF!="","",(#REF!/$AE$23))</f>
        <v>#REF!</v>
      </c>
      <c r="S33" s="9" t="e">
        <f>IF(#REF!="","",(#REF!/$AE$23))</f>
        <v>#REF!</v>
      </c>
      <c r="T33" s="9" t="e">
        <f>IF(#REF!="","",(#REF!/$AE$23))</f>
        <v>#REF!</v>
      </c>
      <c r="U33" s="9" t="e">
        <f>IF(#REF!="","",(#REF!/$AE$23))</f>
        <v>#REF!</v>
      </c>
      <c r="V33" s="9" t="e">
        <f>IF(#REF!="","",(#REF!/$AE$23))</f>
        <v>#REF!</v>
      </c>
      <c r="W33" s="9" t="e">
        <f>IF(#REF!="","",(#REF!/$AE$23))</f>
        <v>#REF!</v>
      </c>
      <c r="X33" s="9" t="e">
        <f>IF(#REF!="","",(#REF!/$AE$23))</f>
        <v>#REF!</v>
      </c>
      <c r="Y33" s="9" t="e">
        <f>IF(#REF!="","",(#REF!/$AE$23))</f>
        <v>#REF!</v>
      </c>
      <c r="Z33" s="9" t="e">
        <f>IF(#REF!="","",(#REF!/$AE$23))</f>
        <v>#REF!</v>
      </c>
      <c r="AA33" s="9" t="e">
        <f>IF(#REF!="","",(#REF!/$AE$23))</f>
        <v>#REF!</v>
      </c>
      <c r="AB33" s="9" t="e">
        <f>IF(#REF!="","",(#REF!/$AE$23))</f>
        <v>#REF!</v>
      </c>
      <c r="AC33" s="9" t="e">
        <f>IF(#REF!="","",(#REF!/$AE$23))</f>
        <v>#REF!</v>
      </c>
      <c r="AD33" s="5"/>
      <c r="AE33" s="9">
        <f>IF(O10="","",(O10/$AE$23))</f>
        <v>0.65170053787313942</v>
      </c>
      <c r="AF33" s="9">
        <f>IF(P10="","",(P10/$AE$23))</f>
        <v>1.3966019730922479</v>
      </c>
      <c r="AG33" s="9">
        <f>IF(Q10="","",(Q10/$AE$23))</f>
        <v>0.60141556965181875</v>
      </c>
      <c r="AH33" s="9">
        <f>IF(R10="","",(R10/$AE$23))</f>
        <v>2.3917447995081655</v>
      </c>
      <c r="AI33" s="9">
        <f>IF(S10="","",(S10/$AE$23))</f>
        <v>1.8642335585910093</v>
      </c>
      <c r="AJ33" s="9">
        <f>IF(T10="","",(T10/$AE$23))</f>
        <v>1.784087886800364</v>
      </c>
      <c r="AK33" s="9">
        <f>IF(U10="","",(U10/$AE$23))</f>
        <v>2.0162375981390923</v>
      </c>
      <c r="AL33" s="9">
        <f>IF(V10="","",(V10/$AE$23))</f>
        <v>2.1504155290878213</v>
      </c>
      <c r="AM33" s="9" t="str">
        <f>IF(W10="","",(W10/$AE$23))</f>
        <v/>
      </c>
      <c r="AN33" s="9" t="str">
        <f>IF(X10="","",(X10/$AE$23))</f>
        <v/>
      </c>
      <c r="AO33" s="9" t="str">
        <f>IF(Y10="","",(Y10/$AE$23))</f>
        <v/>
      </c>
      <c r="AP33" s="9" t="str">
        <f>IF(Z10="","",(Z10/$AE$23))</f>
        <v/>
      </c>
      <c r="AQ33" s="9" t="str">
        <f>IF(AA10="","",(AA10/$AE$23))</f>
        <v/>
      </c>
      <c r="AR33" s="9" t="str">
        <f>IF(AB10="","",(AB10/$AE$23))</f>
        <v/>
      </c>
      <c r="AS33" s="9" t="str">
        <f>IF(AC10="","",(AC10/$AE$23))</f>
        <v/>
      </c>
      <c r="AT33" s="9" t="str">
        <f>IF(AD10="","",(AD10/$AE$23))</f>
        <v/>
      </c>
      <c r="AU33" s="9" t="str">
        <f>IF(AE10="","",(AE10/$AE$23))</f>
        <v/>
      </c>
      <c r="AV33" s="9" t="str">
        <f>IF(AF10="","",(AF10/$AE$23))</f>
        <v/>
      </c>
      <c r="AW33" s="9" t="str">
        <f>IF(AG10="","",(AG10/$AE$23))</f>
        <v/>
      </c>
      <c r="AX33" s="9" t="str">
        <f>IF(AH10="","",(AH10/$AE$23))</f>
        <v/>
      </c>
      <c r="AY33" s="9" t="str">
        <f>IF(AI10="","",(AI10/$AE$23))</f>
        <v/>
      </c>
      <c r="AZ33" s="9" t="str">
        <f>IF(AJ10="","",(AJ10/$AE$23))</f>
        <v/>
      </c>
      <c r="BA33" s="9" t="str">
        <f>IF(AK10="","",(AK10/$AE$23))</f>
        <v/>
      </c>
    </row>
    <row r="34" spans="1:53" x14ac:dyDescent="0.25">
      <c r="A34" s="199"/>
      <c r="B34" s="9">
        <f t="shared" ref="B34:N34" si="10">IF(B11="","",(B11/$AE$23))</f>
        <v>4.8903740152300861E-2</v>
      </c>
      <c r="C34" s="9">
        <f t="shared" si="10"/>
        <v>0.32288559235643111</v>
      </c>
      <c r="D34" s="9">
        <f t="shared" si="10"/>
        <v>7.2368264574191557E-2</v>
      </c>
      <c r="E34" s="9">
        <f t="shared" si="10"/>
        <v>5.6189470349872317E-2</v>
      </c>
      <c r="F34" s="9">
        <f t="shared" si="10"/>
        <v>0.34396042611616656</v>
      </c>
      <c r="G34" s="9">
        <f t="shared" si="10"/>
        <v>0.33351076041827299</v>
      </c>
      <c r="H34" s="9">
        <f t="shared" si="10"/>
        <v>3.2485209441304508</v>
      </c>
      <c r="I34" s="9">
        <f t="shared" si="10"/>
        <v>0.30702432478618125</v>
      </c>
      <c r="J34" s="9">
        <f t="shared" si="10"/>
        <v>4.0849173113103841E-2</v>
      </c>
      <c r="K34" s="9">
        <f t="shared" si="10"/>
        <v>0.46102397943892598</v>
      </c>
      <c r="L34" s="9">
        <f t="shared" si="10"/>
        <v>0.33851547493180545</v>
      </c>
      <c r="M34" s="9" t="str">
        <f t="shared" si="10"/>
        <v/>
      </c>
      <c r="N34" s="9" t="str">
        <f t="shared" si="10"/>
        <v/>
      </c>
      <c r="O34" s="9" t="e">
        <f>IF(#REF!="","",(#REF!/$AE$23))</f>
        <v>#REF!</v>
      </c>
      <c r="P34" s="9" t="e">
        <f>IF(#REF!="","",(#REF!/$AE$23))</f>
        <v>#REF!</v>
      </c>
      <c r="Q34" s="9" t="e">
        <f>IF(#REF!="","",(#REF!/$AE$23))</f>
        <v>#REF!</v>
      </c>
      <c r="R34" s="9" t="e">
        <f>IF(#REF!="","",(#REF!/$AE$23))</f>
        <v>#REF!</v>
      </c>
      <c r="S34" s="9" t="e">
        <f>IF(#REF!="","",(#REF!/$AE$23))</f>
        <v>#REF!</v>
      </c>
      <c r="T34" s="9" t="e">
        <f>IF(#REF!="","",(#REF!/$AE$23))</f>
        <v>#REF!</v>
      </c>
      <c r="U34" s="9" t="e">
        <f>IF(#REF!="","",(#REF!/$AE$23))</f>
        <v>#REF!</v>
      </c>
      <c r="V34" s="9" t="e">
        <f>IF(#REF!="","",(#REF!/$AE$23))</f>
        <v>#REF!</v>
      </c>
      <c r="W34" s="9" t="e">
        <f>IF(#REF!="","",(#REF!/$AE$23))</f>
        <v>#REF!</v>
      </c>
      <c r="X34" s="9" t="e">
        <f>IF(#REF!="","",(#REF!/$AE$23))</f>
        <v>#REF!</v>
      </c>
      <c r="Y34" s="9" t="e">
        <f>IF(#REF!="","",(#REF!/$AE$23))</f>
        <v>#REF!</v>
      </c>
      <c r="Z34" s="9" t="e">
        <f>IF(#REF!="","",(#REF!/$AE$23))</f>
        <v>#REF!</v>
      </c>
      <c r="AA34" s="9" t="e">
        <f>IF(#REF!="","",(#REF!/$AE$23))</f>
        <v>#REF!</v>
      </c>
      <c r="AB34" s="9" t="e">
        <f>IF(#REF!="","",(#REF!/$AE$23))</f>
        <v>#REF!</v>
      </c>
      <c r="AC34" s="9" t="e">
        <f>IF(#REF!="","",(#REF!/$AE$23))</f>
        <v>#REF!</v>
      </c>
      <c r="AD34" s="5"/>
      <c r="AE34" s="9">
        <f>IF(O11="","",(O11/$AE$23))</f>
        <v>0.84209034372884006</v>
      </c>
      <c r="AF34" s="9">
        <f>IF(P11="","",(P11/$AE$23))</f>
        <v>0.8842401400101334</v>
      </c>
      <c r="AG34" s="9">
        <f>IF(Q11="","",(Q11/$AE$23))</f>
        <v>0.11773195594290314</v>
      </c>
      <c r="AH34" s="9">
        <f>IF(R11="","",(R11/$AE$23))</f>
        <v>1.2672559582913741</v>
      </c>
      <c r="AI34" s="9">
        <f>IF(S11="","",(S11/$AE$23))</f>
        <v>1.3187720182967815</v>
      </c>
      <c r="AJ34" s="9">
        <f>IF(T11="","",(T11/$AE$23))</f>
        <v>1.8876296461042876</v>
      </c>
      <c r="AK34" s="9">
        <f>IF(U11="","",(U11/$AE$23))</f>
        <v>2.3890990015812319</v>
      </c>
      <c r="AL34" s="9">
        <f>IF(V11="","",(V11/$AE$23))</f>
        <v>2.710474861569875</v>
      </c>
      <c r="AM34" s="9" t="str">
        <f>IF(W11="","",(W11/$AE$23))</f>
        <v/>
      </c>
      <c r="AN34" s="9" t="str">
        <f>IF(X11="","",(X11/$AE$23))</f>
        <v/>
      </c>
      <c r="AO34" s="9" t="str">
        <f>IF(Y11="","",(Y11/$AE$23))</f>
        <v/>
      </c>
      <c r="AP34" s="9" t="str">
        <f>IF(Z11="","",(Z11/$AE$23))</f>
        <v/>
      </c>
      <c r="AQ34" s="9" t="str">
        <f>IF(AA11="","",(AA11/$AE$23))</f>
        <v/>
      </c>
      <c r="AR34" s="9" t="str">
        <f>IF(AB11="","",(AB11/$AE$23))</f>
        <v/>
      </c>
      <c r="AS34" s="9" t="str">
        <f>IF(AC11="","",(AC11/$AE$23))</f>
        <v/>
      </c>
      <c r="AT34" s="9" t="str">
        <f>IF(AD11="","",(AD11/$AE$23))</f>
        <v/>
      </c>
      <c r="AU34" s="9" t="str">
        <f>IF(AE11="","",(AE11/$AE$23))</f>
        <v/>
      </c>
      <c r="AV34" s="9" t="str">
        <f>IF(AF11="","",(AF11/$AE$23))</f>
        <v/>
      </c>
      <c r="AW34" s="9" t="str">
        <f>IF(AG11="","",(AG11/$AE$23))</f>
        <v/>
      </c>
      <c r="AX34" s="9" t="str">
        <f>IF(AH11="","",(AH11/$AE$23))</f>
        <v/>
      </c>
      <c r="AY34" s="9" t="str">
        <f>IF(AI11="","",(AI11/$AE$23))</f>
        <v/>
      </c>
      <c r="AZ34" s="9" t="str">
        <f>IF(AJ11="","",(AJ11/$AE$23))</f>
        <v/>
      </c>
      <c r="BA34" s="9" t="str">
        <f>IF(AK11="","",(AK11/$AE$23))</f>
        <v/>
      </c>
    </row>
    <row r="35" spans="1:53" x14ac:dyDescent="0.25">
      <c r="A35" s="199"/>
      <c r="B35" s="9">
        <f t="shared" ref="B35:N35" si="11">IF(B12="","",(B12/$AE$23))</f>
        <v>0.25885607216350109</v>
      </c>
      <c r="C35" s="9">
        <f t="shared" si="11"/>
        <v>0.11555826323784504</v>
      </c>
      <c r="D35" s="9">
        <f t="shared" si="11"/>
        <v>0.11592452624169766</v>
      </c>
      <c r="E35" s="9">
        <f t="shared" si="11"/>
        <v>0.1386355364788299</v>
      </c>
      <c r="F35" s="9">
        <f t="shared" si="11"/>
        <v>0.70140916817734134</v>
      </c>
      <c r="G35" s="9">
        <f t="shared" si="11"/>
        <v>2.3529037957774084</v>
      </c>
      <c r="H35" s="9">
        <f t="shared" si="11"/>
        <v>2.6483895161335527</v>
      </c>
      <c r="I35" s="9">
        <f t="shared" si="11"/>
        <v>1.5134278320908336E-2</v>
      </c>
      <c r="J35" s="9">
        <f t="shared" si="11"/>
        <v>0.10650250864847893</v>
      </c>
      <c r="K35" s="9">
        <f t="shared" si="11"/>
        <v>9.1780268159290898E-2</v>
      </c>
      <c r="L35" s="9">
        <f t="shared" si="11"/>
        <v>0.70033117420010316</v>
      </c>
      <c r="M35" s="9">
        <f t="shared" si="11"/>
        <v>0.88945241858139501</v>
      </c>
      <c r="N35" s="9" t="str">
        <f t="shared" si="11"/>
        <v/>
      </c>
      <c r="O35" s="9" t="e">
        <f>IF(#REF!="","",(#REF!/$AE$23))</f>
        <v>#REF!</v>
      </c>
      <c r="P35" s="9" t="e">
        <f>IF(#REF!="","",(#REF!/$AE$23))</f>
        <v>#REF!</v>
      </c>
      <c r="Q35" s="9" t="e">
        <f>IF(#REF!="","",(#REF!/$AE$23))</f>
        <v>#REF!</v>
      </c>
      <c r="R35" s="9" t="e">
        <f>IF(#REF!="","",(#REF!/$AE$23))</f>
        <v>#REF!</v>
      </c>
      <c r="S35" s="9" t="e">
        <f>IF(#REF!="","",(#REF!/$AE$23))</f>
        <v>#REF!</v>
      </c>
      <c r="T35" s="9" t="e">
        <f>IF(#REF!="","",(#REF!/$AE$23))</f>
        <v>#REF!</v>
      </c>
      <c r="U35" s="9" t="e">
        <f>IF(#REF!="","",(#REF!/$AE$23))</f>
        <v>#REF!</v>
      </c>
      <c r="V35" s="9" t="e">
        <f>IF(#REF!="","",(#REF!/$AE$23))</f>
        <v>#REF!</v>
      </c>
      <c r="W35" s="9" t="e">
        <f>IF(#REF!="","",(#REF!/$AE$23))</f>
        <v>#REF!</v>
      </c>
      <c r="X35" s="9" t="e">
        <f>IF(#REF!="","",(#REF!/$AE$23))</f>
        <v>#REF!</v>
      </c>
      <c r="Y35" s="9" t="e">
        <f>IF(#REF!="","",(#REF!/$AE$23))</f>
        <v>#REF!</v>
      </c>
      <c r="Z35" s="9" t="e">
        <f>IF(#REF!="","",(#REF!/$AE$23))</f>
        <v>#REF!</v>
      </c>
      <c r="AA35" s="9" t="e">
        <f>IF(#REF!="","",(#REF!/$AE$23))</f>
        <v>#REF!</v>
      </c>
      <c r="AB35" s="9" t="e">
        <f>IF(#REF!="","",(#REF!/$AE$23))</f>
        <v>#REF!</v>
      </c>
      <c r="AC35" s="9" t="e">
        <f>IF(#REF!="","",(#REF!/$AE$23))</f>
        <v>#REF!</v>
      </c>
      <c r="AD35" s="5"/>
      <c r="AE35" s="9">
        <f>IF(O12="","",(O12/$AE$23))</f>
        <v>0.83462627840722725</v>
      </c>
      <c r="AF35" s="9">
        <f>IF(P12="","",(P12/$AE$23))</f>
        <v>1.9810142865708396</v>
      </c>
      <c r="AG35" s="9">
        <f>IF(Q12="","",(Q12/$AE$23))</f>
        <v>0.23825173410286124</v>
      </c>
      <c r="AH35" s="9">
        <f>IF(R12="","",(R12/$AE$23))</f>
        <v>1.0852244686139416</v>
      </c>
      <c r="AI35" s="9">
        <f>IF(S12="","",(S12/$AE$23))</f>
        <v>1.9806076567356605</v>
      </c>
      <c r="AJ35" s="9">
        <f>IF(T12="","",(T12/$AE$23))</f>
        <v>1.6411201588064626</v>
      </c>
      <c r="AK35" s="9">
        <f>IF(U12="","",(U12/$AE$23))</f>
        <v>1.6868015055910659</v>
      </c>
      <c r="AL35" s="9">
        <f>IF(V12="","",(V12/$AE$23))</f>
        <v>2.2546424300488024</v>
      </c>
      <c r="AM35" s="9" t="str">
        <f>IF(W12="","",(W12/$AE$23))</f>
        <v/>
      </c>
      <c r="AN35" s="9" t="str">
        <f>IF(X12="","",(X12/$AE$23))</f>
        <v/>
      </c>
      <c r="AO35" s="9" t="str">
        <f>IF(Y12="","",(Y12/$AE$23))</f>
        <v/>
      </c>
      <c r="AP35" s="9" t="str">
        <f>IF(Z12="","",(Z12/$AE$23))</f>
        <v/>
      </c>
      <c r="AQ35" s="9" t="str">
        <f>IF(AA12="","",(AA12/$AE$23))</f>
        <v/>
      </c>
      <c r="AR35" s="9" t="str">
        <f>IF(AB12="","",(AB12/$AE$23))</f>
        <v/>
      </c>
      <c r="AS35" s="9" t="str">
        <f>IF(AC12="","",(AC12/$AE$23))</f>
        <v/>
      </c>
      <c r="AT35" s="9" t="str">
        <f>IF(AD12="","",(AD12/$AE$23))</f>
        <v/>
      </c>
      <c r="AU35" s="9" t="str">
        <f>IF(AE12="","",(AE12/$AE$23))</f>
        <v/>
      </c>
      <c r="AV35" s="9" t="str">
        <f>IF(AF12="","",(AF12/$AE$23))</f>
        <v/>
      </c>
      <c r="AW35" s="9" t="str">
        <f>IF(AG12="","",(AG12/$AE$23))</f>
        <v/>
      </c>
      <c r="AX35" s="9" t="str">
        <f>IF(AH12="","",(AH12/$AE$23))</f>
        <v/>
      </c>
      <c r="AY35" s="9" t="str">
        <f>IF(AI12="","",(AI12/$AE$23))</f>
        <v/>
      </c>
      <c r="AZ35" s="9" t="str">
        <f>IF(AJ12="","",(AJ12/$AE$23))</f>
        <v/>
      </c>
      <c r="BA35" s="9" t="str">
        <f>IF(AK12="","",(AK12/$AE$23))</f>
        <v/>
      </c>
    </row>
    <row r="36" spans="1:53" x14ac:dyDescent="0.25">
      <c r="A36" s="199"/>
      <c r="B36" s="9" t="str">
        <f t="shared" ref="B36:N36" si="12">IF(B13="","",(B13/$AE$23))</f>
        <v/>
      </c>
      <c r="C36" s="9" t="str">
        <f t="shared" si="12"/>
        <v/>
      </c>
      <c r="D36" s="9" t="str">
        <f t="shared" si="12"/>
        <v/>
      </c>
      <c r="E36" s="9" t="str">
        <f t="shared" si="12"/>
        <v/>
      </c>
      <c r="F36" s="9" t="str">
        <f t="shared" si="12"/>
        <v/>
      </c>
      <c r="G36" s="9" t="str">
        <f t="shared" si="12"/>
        <v/>
      </c>
      <c r="H36" s="9" t="str">
        <f t="shared" si="12"/>
        <v/>
      </c>
      <c r="I36" s="9" t="str">
        <f t="shared" si="12"/>
        <v/>
      </c>
      <c r="J36" s="9" t="str">
        <f t="shared" si="12"/>
        <v/>
      </c>
      <c r="K36" s="9" t="str">
        <f t="shared" si="12"/>
        <v/>
      </c>
      <c r="L36" s="9" t="str">
        <f t="shared" si="12"/>
        <v/>
      </c>
      <c r="M36" s="9" t="str">
        <f t="shared" si="12"/>
        <v/>
      </c>
      <c r="N36" s="9" t="str">
        <f t="shared" si="12"/>
        <v/>
      </c>
      <c r="O36" s="9" t="e">
        <f>IF(#REF!="","",(#REF!/$AE$23))</f>
        <v>#REF!</v>
      </c>
      <c r="P36" s="9" t="e">
        <f>IF(#REF!="","",(#REF!/$AE$23))</f>
        <v>#REF!</v>
      </c>
      <c r="Q36" s="9" t="e">
        <f>IF(#REF!="","",(#REF!/$AE$23))</f>
        <v>#REF!</v>
      </c>
      <c r="R36" s="9" t="e">
        <f>IF(#REF!="","",(#REF!/$AE$23))</f>
        <v>#REF!</v>
      </c>
      <c r="S36" s="9" t="e">
        <f>IF(#REF!="","",(#REF!/$AE$23))</f>
        <v>#REF!</v>
      </c>
      <c r="T36" s="9" t="e">
        <f>IF(#REF!="","",(#REF!/$AE$23))</f>
        <v>#REF!</v>
      </c>
      <c r="U36" s="9" t="e">
        <f>IF(#REF!="","",(#REF!/$AE$23))</f>
        <v>#REF!</v>
      </c>
      <c r="V36" s="9" t="e">
        <f>IF(#REF!="","",(#REF!/$AE$23))</f>
        <v>#REF!</v>
      </c>
      <c r="W36" s="9" t="e">
        <f>IF(#REF!="","",(#REF!/$AE$23))</f>
        <v>#REF!</v>
      </c>
      <c r="X36" s="9" t="e">
        <f>IF(#REF!="","",(#REF!/$AE$23))</f>
        <v>#REF!</v>
      </c>
      <c r="Y36" s="9" t="e">
        <f>IF(#REF!="","",(#REF!/$AE$23))</f>
        <v>#REF!</v>
      </c>
      <c r="Z36" s="9" t="e">
        <f>IF(#REF!="","",(#REF!/$AE$23))</f>
        <v>#REF!</v>
      </c>
      <c r="AA36" s="9" t="e">
        <f>IF(#REF!="","",(#REF!/$AE$23))</f>
        <v>#REF!</v>
      </c>
      <c r="AB36" s="9" t="e">
        <f>IF(#REF!="","",(#REF!/$AE$23))</f>
        <v>#REF!</v>
      </c>
      <c r="AC36" s="9" t="e">
        <f>IF(#REF!="","",(#REF!/$AE$23))</f>
        <v>#REF!</v>
      </c>
      <c r="AD36" s="5"/>
      <c r="AE36" s="9">
        <f>IF(O13="","",(O13/$AE$23))</f>
        <v>0.40118874684926364</v>
      </c>
      <c r="AF36" s="9" t="str">
        <f>IF(P13="","",(P13/$AE$23))</f>
        <v/>
      </c>
      <c r="AG36" s="9" t="str">
        <f>IF(Q13="","",(Q13/$AE$23))</f>
        <v/>
      </c>
      <c r="AH36" s="9" t="str">
        <f>IF(R13="","",(R13/$AE$23))</f>
        <v/>
      </c>
      <c r="AI36" s="9" t="str">
        <f>IF(S13="","",(S13/$AE$23))</f>
        <v/>
      </c>
      <c r="AJ36" s="9" t="str">
        <f>IF(T13="","",(T13/$AE$23))</f>
        <v/>
      </c>
      <c r="AK36" s="9" t="str">
        <f>IF(U13="","",(U13/$AE$23))</f>
        <v/>
      </c>
      <c r="AL36" s="9" t="str">
        <f>IF(V13="","",(V13/$AE$23))</f>
        <v/>
      </c>
      <c r="AM36" s="9" t="str">
        <f>IF(W13="","",(W13/$AE$23))</f>
        <v/>
      </c>
      <c r="AN36" s="9" t="str">
        <f>IF(X13="","",(X13/$AE$23))</f>
        <v/>
      </c>
      <c r="AO36" s="9" t="str">
        <f>IF(Y13="","",(Y13/$AE$23))</f>
        <v/>
      </c>
      <c r="AP36" s="9" t="str">
        <f>IF(Z13="","",(Z13/$AE$23))</f>
        <v/>
      </c>
      <c r="AQ36" s="9" t="str">
        <f>IF(AA13="","",(AA13/$AE$23))</f>
        <v/>
      </c>
      <c r="AR36" s="9" t="str">
        <f>IF(AB13="","",(AB13/$AE$23))</f>
        <v/>
      </c>
      <c r="AS36" s="9" t="str">
        <f>IF(AC13="","",(AC13/$AE$23))</f>
        <v/>
      </c>
      <c r="AT36" s="9" t="str">
        <f>IF(AD13="","",(AD13/$AE$23))</f>
        <v/>
      </c>
      <c r="AU36" s="9" t="str">
        <f>IF(AE13="","",(AE13/$AE$23))</f>
        <v/>
      </c>
      <c r="AV36" s="9" t="str">
        <f>IF(AF13="","",(AF13/$AE$23))</f>
        <v/>
      </c>
      <c r="AW36" s="9" t="str">
        <f>IF(AG13="","",(AG13/$AE$23))</f>
        <v/>
      </c>
      <c r="AX36" s="9" t="str">
        <f>IF(AH13="","",(AH13/$AE$23))</f>
        <v/>
      </c>
      <c r="AY36" s="9" t="str">
        <f>IF(AI13="","",(AI13/$AE$23))</f>
        <v/>
      </c>
      <c r="AZ36" s="9" t="str">
        <f>IF(AJ13="","",(AJ13/$AE$23))</f>
        <v/>
      </c>
      <c r="BA36" s="9" t="str">
        <f>IF(AK13="","",(AK13/$AE$23))</f>
        <v/>
      </c>
    </row>
    <row r="37" spans="1:53" x14ac:dyDescent="0.25">
      <c r="A37" s="199"/>
      <c r="B37" s="9" t="str">
        <f t="shared" ref="B37:N37" si="13">IF(B14="","",(B14/$AE$23))</f>
        <v/>
      </c>
      <c r="C37" s="9" t="str">
        <f t="shared" si="13"/>
        <v/>
      </c>
      <c r="D37" s="9" t="str">
        <f t="shared" si="13"/>
        <v/>
      </c>
      <c r="E37" s="9" t="str">
        <f t="shared" si="13"/>
        <v/>
      </c>
      <c r="F37" s="9" t="str">
        <f t="shared" si="13"/>
        <v/>
      </c>
      <c r="G37" s="9" t="str">
        <f t="shared" si="13"/>
        <v/>
      </c>
      <c r="H37" s="9" t="str">
        <f t="shared" si="13"/>
        <v/>
      </c>
      <c r="I37" s="9" t="str">
        <f t="shared" si="13"/>
        <v/>
      </c>
      <c r="J37" s="9" t="str">
        <f t="shared" si="13"/>
        <v/>
      </c>
      <c r="K37" s="9" t="str">
        <f t="shared" si="13"/>
        <v/>
      </c>
      <c r="L37" s="9" t="str">
        <f t="shared" si="13"/>
        <v/>
      </c>
      <c r="M37" s="9" t="str">
        <f t="shared" si="13"/>
        <v/>
      </c>
      <c r="N37" s="9" t="str">
        <f t="shared" si="13"/>
        <v/>
      </c>
      <c r="O37" s="9" t="e">
        <f>IF(#REF!="","",(#REF!/$AE$23))</f>
        <v>#REF!</v>
      </c>
      <c r="P37" s="9" t="e">
        <f>IF(#REF!="","",(#REF!/$AE$23))</f>
        <v>#REF!</v>
      </c>
      <c r="Q37" s="9" t="e">
        <f>IF(#REF!="","",(#REF!/$AE$23))</f>
        <v>#REF!</v>
      </c>
      <c r="R37" s="9" t="e">
        <f>IF(#REF!="","",(#REF!/$AE$23))</f>
        <v>#REF!</v>
      </c>
      <c r="S37" s="9" t="e">
        <f>IF(#REF!="","",(#REF!/$AE$23))</f>
        <v>#REF!</v>
      </c>
      <c r="T37" s="9" t="e">
        <f>IF(#REF!="","",(#REF!/$AE$23))</f>
        <v>#REF!</v>
      </c>
      <c r="U37" s="9" t="e">
        <f>IF(#REF!="","",(#REF!/$AE$23))</f>
        <v>#REF!</v>
      </c>
      <c r="V37" s="9" t="e">
        <f>IF(#REF!="","",(#REF!/$AE$23))</f>
        <v>#REF!</v>
      </c>
      <c r="W37" s="9" t="e">
        <f>IF(#REF!="","",(#REF!/$AE$23))</f>
        <v>#REF!</v>
      </c>
      <c r="X37" s="9" t="e">
        <f>IF(#REF!="","",(#REF!/$AE$23))</f>
        <v>#REF!</v>
      </c>
      <c r="Y37" s="9" t="e">
        <f>IF(#REF!="","",(#REF!/$AE$23))</f>
        <v>#REF!</v>
      </c>
      <c r="Z37" s="9" t="e">
        <f>IF(#REF!="","",(#REF!/$AE$23))</f>
        <v>#REF!</v>
      </c>
      <c r="AA37" s="9" t="e">
        <f>IF(#REF!="","",(#REF!/$AE$23))</f>
        <v>#REF!</v>
      </c>
      <c r="AB37" s="9" t="e">
        <f>IF(#REF!="","",(#REF!/$AE$23))</f>
        <v>#REF!</v>
      </c>
      <c r="AC37" s="9" t="e">
        <f>IF(#REF!="","",(#REF!/$AE$23))</f>
        <v>#REF!</v>
      </c>
      <c r="AD37" s="5"/>
      <c r="AE37" s="9">
        <f>IF(O14="","",(O14/$AE$23))</f>
        <v>0.6866396077184167</v>
      </c>
      <c r="AF37" s="9" t="str">
        <f>IF(P14="","",(P14/$AE$23))</f>
        <v/>
      </c>
      <c r="AG37" s="9" t="str">
        <f>IF(Q14="","",(Q14/$AE$23))</f>
        <v/>
      </c>
      <c r="AH37" s="9" t="str">
        <f>IF(R14="","",(R14/$AE$23))</f>
        <v/>
      </c>
      <c r="AI37" s="9" t="str">
        <f>IF(S14="","",(S14/$AE$23))</f>
        <v/>
      </c>
      <c r="AJ37" s="9" t="str">
        <f>IF(T14="","",(T14/$AE$23))</f>
        <v/>
      </c>
      <c r="AK37" s="9" t="str">
        <f>IF(U14="","",(U14/$AE$23))</f>
        <v/>
      </c>
      <c r="AL37" s="9" t="str">
        <f>IF(V14="","",(V14/$AE$23))</f>
        <v/>
      </c>
      <c r="AM37" s="9" t="str">
        <f>IF(W14="","",(W14/$AE$23))</f>
        <v/>
      </c>
      <c r="AN37" s="9" t="str">
        <f>IF(X14="","",(X14/$AE$23))</f>
        <v/>
      </c>
      <c r="AO37" s="9" t="str">
        <f>IF(Y14="","",(Y14/$AE$23))</f>
        <v/>
      </c>
      <c r="AP37" s="9" t="str">
        <f>IF(Z14="","",(Z14/$AE$23))</f>
        <v/>
      </c>
      <c r="AQ37" s="9" t="str">
        <f>IF(AA14="","",(AA14/$AE$23))</f>
        <v/>
      </c>
      <c r="AR37" s="9" t="str">
        <f>IF(AB14="","",(AB14/$AE$23))</f>
        <v/>
      </c>
      <c r="AS37" s="9" t="str">
        <f>IF(AC14="","",(AC14/$AE$23))</f>
        <v/>
      </c>
      <c r="AT37" s="9" t="str">
        <f>IF(AD14="","",(AD14/$AE$23))</f>
        <v/>
      </c>
      <c r="AU37" s="9" t="str">
        <f>IF(AE14="","",(AE14/$AE$23))</f>
        <v/>
      </c>
      <c r="AV37" s="9" t="str">
        <f>IF(AF14="","",(AF14/$AE$23))</f>
        <v/>
      </c>
      <c r="AW37" s="9" t="str">
        <f>IF(AG14="","",(AG14/$AE$23))</f>
        <v/>
      </c>
      <c r="AX37" s="9" t="str">
        <f>IF(AH14="","",(AH14/$AE$23))</f>
        <v/>
      </c>
      <c r="AY37" s="9" t="str">
        <f>IF(AI14="","",(AI14/$AE$23))</f>
        <v/>
      </c>
      <c r="AZ37" s="9" t="str">
        <f>IF(AJ14="","",(AJ14/$AE$23))</f>
        <v/>
      </c>
      <c r="BA37" s="9" t="str">
        <f>IF(AK14="","",(AK14/$AE$23))</f>
        <v/>
      </c>
    </row>
    <row r="38" spans="1:53" x14ac:dyDescent="0.25">
      <c r="A38" s="199"/>
      <c r="B38" s="9" t="str">
        <f t="shared" ref="B38:N38" si="14">IF(B15="","",(B15/$AE$23))</f>
        <v/>
      </c>
      <c r="C38" s="9" t="str">
        <f t="shared" si="14"/>
        <v/>
      </c>
      <c r="D38" s="9" t="str">
        <f t="shared" si="14"/>
        <v/>
      </c>
      <c r="E38" s="9" t="str">
        <f t="shared" si="14"/>
        <v/>
      </c>
      <c r="F38" s="9" t="str">
        <f t="shared" si="14"/>
        <v/>
      </c>
      <c r="G38" s="9" t="str">
        <f t="shared" si="14"/>
        <v/>
      </c>
      <c r="H38" s="9" t="str">
        <f t="shared" si="14"/>
        <v/>
      </c>
      <c r="I38" s="9" t="str">
        <f t="shared" si="14"/>
        <v/>
      </c>
      <c r="J38" s="9" t="str">
        <f t="shared" si="14"/>
        <v/>
      </c>
      <c r="K38" s="9" t="str">
        <f t="shared" si="14"/>
        <v/>
      </c>
      <c r="L38" s="9" t="str">
        <f t="shared" si="14"/>
        <v/>
      </c>
      <c r="M38" s="9" t="str">
        <f t="shared" si="14"/>
        <v/>
      </c>
      <c r="N38" s="9" t="str">
        <f t="shared" si="14"/>
        <v/>
      </c>
      <c r="O38" s="9" t="e">
        <f>IF(#REF!="","",(#REF!/$AE$23))</f>
        <v>#REF!</v>
      </c>
      <c r="P38" s="9" t="e">
        <f>IF(#REF!="","",(#REF!/$AE$23))</f>
        <v>#REF!</v>
      </c>
      <c r="Q38" s="9" t="e">
        <f>IF(#REF!="","",(#REF!/$AE$23))</f>
        <v>#REF!</v>
      </c>
      <c r="R38" s="9" t="e">
        <f>IF(#REF!="","",(#REF!/$AE$23))</f>
        <v>#REF!</v>
      </c>
      <c r="S38" s="9" t="e">
        <f>IF(#REF!="","",(#REF!/$AE$23))</f>
        <v>#REF!</v>
      </c>
      <c r="T38" s="9" t="e">
        <f>IF(#REF!="","",(#REF!/$AE$23))</f>
        <v>#REF!</v>
      </c>
      <c r="U38" s="9" t="e">
        <f>IF(#REF!="","",(#REF!/$AE$23))</f>
        <v>#REF!</v>
      </c>
      <c r="V38" s="9" t="e">
        <f>IF(#REF!="","",(#REF!/$AE$23))</f>
        <v>#REF!</v>
      </c>
      <c r="W38" s="9" t="e">
        <f>IF(#REF!="","",(#REF!/$AE$23))</f>
        <v>#REF!</v>
      </c>
      <c r="X38" s="9" t="e">
        <f>IF(#REF!="","",(#REF!/$AE$23))</f>
        <v>#REF!</v>
      </c>
      <c r="Y38" s="9" t="e">
        <f>IF(#REF!="","",(#REF!/$AE$23))</f>
        <v>#REF!</v>
      </c>
      <c r="Z38" s="9" t="e">
        <f>IF(#REF!="","",(#REF!/$AE$23))</f>
        <v>#REF!</v>
      </c>
      <c r="AA38" s="9" t="e">
        <f>IF(#REF!="","",(#REF!/$AE$23))</f>
        <v>#REF!</v>
      </c>
      <c r="AB38" s="9" t="e">
        <f>IF(#REF!="","",(#REF!/$AE$23))</f>
        <v>#REF!</v>
      </c>
      <c r="AC38" s="9" t="e">
        <f>IF(#REF!="","",(#REF!/$AE$23))</f>
        <v>#REF!</v>
      </c>
      <c r="AD38" s="5"/>
      <c r="AE38" s="9">
        <f>IF(O15="","",(O15/$AE$23))</f>
        <v>0.59477583751729124</v>
      </c>
      <c r="AF38" s="9" t="str">
        <f>IF(P15="","",(P15/$AE$23))</f>
        <v/>
      </c>
      <c r="AG38" s="9" t="str">
        <f>IF(Q15="","",(Q15/$AE$23))</f>
        <v/>
      </c>
      <c r="AH38" s="9" t="str">
        <f>IF(R15="","",(R15/$AE$23))</f>
        <v/>
      </c>
      <c r="AI38" s="9" t="str">
        <f>IF(S15="","",(S15/$AE$23))</f>
        <v/>
      </c>
      <c r="AJ38" s="9" t="str">
        <f>IF(T15="","",(T15/$AE$23))</f>
        <v/>
      </c>
      <c r="AK38" s="9" t="str">
        <f>IF(U15="","",(U15/$AE$23))</f>
        <v/>
      </c>
      <c r="AL38" s="9" t="str">
        <f>IF(V15="","",(V15/$AE$23))</f>
        <v/>
      </c>
      <c r="AM38" s="9" t="str">
        <f>IF(W15="","",(W15/$AE$23))</f>
        <v/>
      </c>
      <c r="AN38" s="9" t="str">
        <f>IF(X15="","",(X15/$AE$23))</f>
        <v/>
      </c>
      <c r="AO38" s="9" t="str">
        <f>IF(Y15="","",(Y15/$AE$23))</f>
        <v/>
      </c>
      <c r="AP38" s="9" t="str">
        <f>IF(Z15="","",(Z15/$AE$23))</f>
        <v/>
      </c>
      <c r="AQ38" s="9" t="str">
        <f>IF(AA15="","",(AA15/$AE$23))</f>
        <v/>
      </c>
      <c r="AR38" s="9" t="str">
        <f>IF(AB15="","",(AB15/$AE$23))</f>
        <v/>
      </c>
      <c r="AS38" s="9" t="str">
        <f>IF(AC15="","",(AC15/$AE$23))</f>
        <v/>
      </c>
      <c r="AT38" s="9" t="str">
        <f>IF(AD15="","",(AD15/$AE$23))</f>
        <v/>
      </c>
      <c r="AU38" s="9" t="str">
        <f>IF(AE15="","",(AE15/$AE$23))</f>
        <v/>
      </c>
      <c r="AV38" s="9" t="str">
        <f>IF(AF15="","",(AF15/$AE$23))</f>
        <v/>
      </c>
      <c r="AW38" s="9" t="str">
        <f>IF(AG15="","",(AG15/$AE$23))</f>
        <v/>
      </c>
      <c r="AX38" s="9" t="str">
        <f>IF(AH15="","",(AH15/$AE$23))</f>
        <v/>
      </c>
      <c r="AY38" s="9" t="str">
        <f>IF(AI15="","",(AI15/$AE$23))</f>
        <v/>
      </c>
      <c r="AZ38" s="9" t="str">
        <f>IF(AJ15="","",(AJ15/$AE$23))</f>
        <v/>
      </c>
      <c r="BA38" s="9" t="str">
        <f>IF(AK15="","",(AK15/$AE$23))</f>
        <v/>
      </c>
    </row>
    <row r="39" spans="1:53" x14ac:dyDescent="0.25">
      <c r="A39" s="199"/>
      <c r="B39" s="9" t="str">
        <f t="shared" ref="B39:N39" si="15">IF(B16="","",(B16/$AE$23))</f>
        <v/>
      </c>
      <c r="C39" s="9" t="str">
        <f t="shared" si="15"/>
        <v/>
      </c>
      <c r="D39" s="9" t="str">
        <f t="shared" si="15"/>
        <v/>
      </c>
      <c r="E39" s="9" t="str">
        <f t="shared" si="15"/>
        <v/>
      </c>
      <c r="F39" s="9" t="str">
        <f t="shared" si="15"/>
        <v/>
      </c>
      <c r="G39" s="9" t="str">
        <f t="shared" si="15"/>
        <v/>
      </c>
      <c r="H39" s="9" t="str">
        <f t="shared" si="15"/>
        <v/>
      </c>
      <c r="I39" s="9" t="str">
        <f t="shared" si="15"/>
        <v/>
      </c>
      <c r="J39" s="9" t="str">
        <f t="shared" si="15"/>
        <v/>
      </c>
      <c r="K39" s="9" t="str">
        <f t="shared" si="15"/>
        <v/>
      </c>
      <c r="L39" s="9" t="str">
        <f t="shared" si="15"/>
        <v/>
      </c>
      <c r="M39" s="9" t="str">
        <f t="shared" si="15"/>
        <v/>
      </c>
      <c r="N39" s="9" t="str">
        <f t="shared" si="15"/>
        <v/>
      </c>
      <c r="O39" s="9" t="e">
        <f>IF(#REF!="","",(#REF!/$AE$23))</f>
        <v>#REF!</v>
      </c>
      <c r="P39" s="9" t="e">
        <f>IF(#REF!="","",(#REF!/$AE$23))</f>
        <v>#REF!</v>
      </c>
      <c r="Q39" s="9" t="e">
        <f>IF(#REF!="","",(#REF!/$AE$23))</f>
        <v>#REF!</v>
      </c>
      <c r="R39" s="9" t="e">
        <f>IF(#REF!="","",(#REF!/$AE$23))</f>
        <v>#REF!</v>
      </c>
      <c r="S39" s="9" t="e">
        <f>IF(#REF!="","",(#REF!/$AE$23))</f>
        <v>#REF!</v>
      </c>
      <c r="T39" s="9" t="e">
        <f>IF(#REF!="","",(#REF!/$AE$23))</f>
        <v>#REF!</v>
      </c>
      <c r="U39" s="9" t="e">
        <f>IF(#REF!="","",(#REF!/$AE$23))</f>
        <v>#REF!</v>
      </c>
      <c r="V39" s="9" t="e">
        <f>IF(#REF!="","",(#REF!/$AE$23))</f>
        <v>#REF!</v>
      </c>
      <c r="W39" s="9" t="e">
        <f>IF(#REF!="","",(#REF!/$AE$23))</f>
        <v>#REF!</v>
      </c>
      <c r="X39" s="9" t="e">
        <f>IF(#REF!="","",(#REF!/$AE$23))</f>
        <v>#REF!</v>
      </c>
      <c r="Y39" s="9" t="e">
        <f>IF(#REF!="","",(#REF!/$AE$23))</f>
        <v>#REF!</v>
      </c>
      <c r="Z39" s="9" t="e">
        <f>IF(#REF!="","",(#REF!/$AE$23))</f>
        <v>#REF!</v>
      </c>
      <c r="AA39" s="9" t="e">
        <f>IF(#REF!="","",(#REF!/$AE$23))</f>
        <v>#REF!</v>
      </c>
      <c r="AB39" s="9" t="e">
        <f>IF(#REF!="","",(#REF!/$AE$23))</f>
        <v>#REF!</v>
      </c>
      <c r="AC39" s="9" t="e">
        <f>IF(#REF!="","",(#REF!/$AE$23))</f>
        <v>#REF!</v>
      </c>
      <c r="AD39" s="5"/>
      <c r="AE39" s="9">
        <f>IF(O16="","",(O16/$AE$23))</f>
        <v>1.0965472038487039</v>
      </c>
      <c r="AF39" s="9" t="str">
        <f>IF(P16="","",(P16/$AE$23))</f>
        <v/>
      </c>
      <c r="AG39" s="9" t="str">
        <f>IF(Q16="","",(Q16/$AE$23))</f>
        <v/>
      </c>
      <c r="AH39" s="9" t="str">
        <f>IF(R16="","",(R16/$AE$23))</f>
        <v/>
      </c>
      <c r="AI39" s="9" t="str">
        <f>IF(S16="","",(S16/$AE$23))</f>
        <v/>
      </c>
      <c r="AJ39" s="9" t="str">
        <f>IF(T16="","",(T16/$AE$23))</f>
        <v/>
      </c>
      <c r="AK39" s="9" t="str">
        <f>IF(U16="","",(U16/$AE$23))</f>
        <v/>
      </c>
      <c r="AL39" s="9" t="str">
        <f>IF(V16="","",(V16/$AE$23))</f>
        <v/>
      </c>
      <c r="AM39" s="9" t="str">
        <f>IF(W16="","",(W16/$AE$23))</f>
        <v/>
      </c>
      <c r="AN39" s="9" t="str">
        <f>IF(X16="","",(X16/$AE$23))</f>
        <v/>
      </c>
      <c r="AO39" s="9" t="str">
        <f>IF(Y16="","",(Y16/$AE$23))</f>
        <v/>
      </c>
      <c r="AP39" s="9" t="str">
        <f>IF(Z16="","",(Z16/$AE$23))</f>
        <v/>
      </c>
      <c r="AQ39" s="9" t="str">
        <f>IF(AA16="","",(AA16/$AE$23))</f>
        <v/>
      </c>
      <c r="AR39" s="9" t="str">
        <f>IF(AB16="","",(AB16/$AE$23))</f>
        <v/>
      </c>
      <c r="AS39" s="9" t="str">
        <f>IF(AC16="","",(AC16/$AE$23))</f>
        <v/>
      </c>
      <c r="AT39" s="9" t="str">
        <f>IF(AD16="","",(AD16/$AE$23))</f>
        <v/>
      </c>
      <c r="AU39" s="9" t="str">
        <f>IF(AE16="","",(AE16/$AE$23))</f>
        <v/>
      </c>
      <c r="AV39" s="9" t="str">
        <f>IF(AF16="","",(AF16/$AE$23))</f>
        <v/>
      </c>
      <c r="AW39" s="9" t="str">
        <f>IF(AG16="","",(AG16/$AE$23))</f>
        <v/>
      </c>
      <c r="AX39" s="9" t="str">
        <f>IF(AH16="","",(AH16/$AE$23))</f>
        <v/>
      </c>
      <c r="AY39" s="9" t="str">
        <f>IF(AI16="","",(AI16/$AE$23))</f>
        <v/>
      </c>
      <c r="AZ39" s="9" t="str">
        <f>IF(AJ16="","",(AJ16/$AE$23))</f>
        <v/>
      </c>
      <c r="BA39" s="9" t="str">
        <f>IF(AK16="","",(AK16/$AE$23))</f>
        <v/>
      </c>
    </row>
    <row r="40" spans="1:53" x14ac:dyDescent="0.25">
      <c r="A40" s="199"/>
      <c r="B40" s="9" t="str">
        <f t="shared" ref="B40:N40" si="16">IF(B17="","",(B17/$AE$23))</f>
        <v/>
      </c>
      <c r="C40" s="9" t="str">
        <f t="shared" si="16"/>
        <v/>
      </c>
      <c r="D40" s="9" t="str">
        <f t="shared" si="16"/>
        <v/>
      </c>
      <c r="E40" s="9" t="str">
        <f t="shared" si="16"/>
        <v/>
      </c>
      <c r="F40" s="9" t="str">
        <f t="shared" si="16"/>
        <v/>
      </c>
      <c r="G40" s="9" t="str">
        <f t="shared" si="16"/>
        <v/>
      </c>
      <c r="H40" s="9" t="str">
        <f t="shared" si="16"/>
        <v/>
      </c>
      <c r="I40" s="9" t="str">
        <f t="shared" si="16"/>
        <v/>
      </c>
      <c r="J40" s="9" t="str">
        <f t="shared" si="16"/>
        <v/>
      </c>
      <c r="K40" s="9" t="str">
        <f t="shared" si="16"/>
        <v/>
      </c>
      <c r="L40" s="9" t="str">
        <f t="shared" si="16"/>
        <v/>
      </c>
      <c r="M40" s="9" t="str">
        <f t="shared" si="16"/>
        <v/>
      </c>
      <c r="N40" s="9" t="str">
        <f t="shared" si="16"/>
        <v/>
      </c>
      <c r="O40" s="9" t="e">
        <f>IF(#REF!="","",(#REF!/$AE$23))</f>
        <v>#REF!</v>
      </c>
      <c r="P40" s="9" t="e">
        <f>IF(#REF!="","",(#REF!/$AE$23))</f>
        <v>#REF!</v>
      </c>
      <c r="Q40" s="9" t="e">
        <f>IF(#REF!="","",(#REF!/$AE$23))</f>
        <v>#REF!</v>
      </c>
      <c r="R40" s="9" t="e">
        <f>IF(#REF!="","",(#REF!/$AE$23))</f>
        <v>#REF!</v>
      </c>
      <c r="S40" s="9" t="e">
        <f>IF(#REF!="","",(#REF!/$AE$23))</f>
        <v>#REF!</v>
      </c>
      <c r="T40" s="9" t="e">
        <f>IF(#REF!="","",(#REF!/$AE$23))</f>
        <v>#REF!</v>
      </c>
      <c r="U40" s="9" t="e">
        <f>IF(#REF!="","",(#REF!/$AE$23))</f>
        <v>#REF!</v>
      </c>
      <c r="V40" s="9" t="e">
        <f>IF(#REF!="","",(#REF!/$AE$23))</f>
        <v>#REF!</v>
      </c>
      <c r="W40" s="9" t="e">
        <f>IF(#REF!="","",(#REF!/$AE$23))</f>
        <v>#REF!</v>
      </c>
      <c r="X40" s="9" t="e">
        <f>IF(#REF!="","",(#REF!/$AE$23))</f>
        <v>#REF!</v>
      </c>
      <c r="Y40" s="9" t="e">
        <f>IF(#REF!="","",(#REF!/$AE$23))</f>
        <v>#REF!</v>
      </c>
      <c r="Z40" s="9" t="e">
        <f>IF(#REF!="","",(#REF!/$AE$23))</f>
        <v>#REF!</v>
      </c>
      <c r="AA40" s="9" t="e">
        <f>IF(#REF!="","",(#REF!/$AE$23))</f>
        <v>#REF!</v>
      </c>
      <c r="AB40" s="9" t="e">
        <f>IF(#REF!="","",(#REF!/$AE$23))</f>
        <v>#REF!</v>
      </c>
      <c r="AC40" s="9" t="e">
        <f>IF(#REF!="","",(#REF!/$AE$23))</f>
        <v>#REF!</v>
      </c>
      <c r="AD40" s="5"/>
      <c r="AE40" s="9">
        <f>IF(O17="","",(O17/$AE$23))</f>
        <v>0.4826445701829572</v>
      </c>
      <c r="AF40" s="9" t="str">
        <f>IF(P17="","",(P17/$AE$23))</f>
        <v/>
      </c>
      <c r="AG40" s="9" t="str">
        <f>IF(Q17="","",(Q17/$AE$23))</f>
        <v/>
      </c>
      <c r="AH40" s="9" t="str">
        <f>IF(R17="","",(R17/$AE$23))</f>
        <v/>
      </c>
      <c r="AI40" s="9" t="str">
        <f>IF(S17="","",(S17/$AE$23))</f>
        <v/>
      </c>
      <c r="AJ40" s="9" t="str">
        <f>IF(T17="","",(T17/$AE$23))</f>
        <v/>
      </c>
      <c r="AK40" s="9" t="str">
        <f>IF(U17="","",(U17/$AE$23))</f>
        <v/>
      </c>
      <c r="AL40" s="9" t="str">
        <f>IF(V17="","",(V17/$AE$23))</f>
        <v/>
      </c>
      <c r="AM40" s="9" t="str">
        <f>IF(W17="","",(W17/$AE$23))</f>
        <v/>
      </c>
      <c r="AN40" s="9" t="str">
        <f>IF(X17="","",(X17/$AE$23))</f>
        <v/>
      </c>
      <c r="AO40" s="9" t="str">
        <f>IF(Y17="","",(Y17/$AE$23))</f>
        <v/>
      </c>
      <c r="AP40" s="9" t="str">
        <f>IF(Z17="","",(Z17/$AE$23))</f>
        <v/>
      </c>
      <c r="AQ40" s="9" t="str">
        <f>IF(AA17="","",(AA17/$AE$23))</f>
        <v/>
      </c>
      <c r="AR40" s="9" t="str">
        <f>IF(AB17="","",(AB17/$AE$23))</f>
        <v/>
      </c>
      <c r="AS40" s="9" t="str">
        <f>IF(AC17="","",(AC17/$AE$23))</f>
        <v/>
      </c>
      <c r="AT40" s="9" t="str">
        <f>IF(AD17="","",(AD17/$AE$23))</f>
        <v/>
      </c>
      <c r="AU40" s="9" t="str">
        <f>IF(AE17="","",(AE17/$AE$23))</f>
        <v/>
      </c>
      <c r="AV40" s="9" t="str">
        <f>IF(AF17="","",(AF17/$AE$23))</f>
        <v/>
      </c>
      <c r="AW40" s="9" t="str">
        <f>IF(AG17="","",(AG17/$AE$23))</f>
        <v/>
      </c>
      <c r="AX40" s="9" t="str">
        <f>IF(AH17="","",(AH17/$AE$23))</f>
        <v/>
      </c>
      <c r="AY40" s="9" t="str">
        <f>IF(AI17="","",(AI17/$AE$23))</f>
        <v/>
      </c>
      <c r="AZ40" s="9" t="str">
        <f>IF(AJ17="","",(AJ17/$AE$23))</f>
        <v/>
      </c>
      <c r="BA40" s="9" t="str">
        <f>IF(AK17="","",(AK17/$AE$23))</f>
        <v/>
      </c>
    </row>
    <row r="41" spans="1:53" x14ac:dyDescent="0.25">
      <c r="A41" s="199"/>
      <c r="B41" s="9" t="str">
        <f t="shared" ref="B41:N41" si="17">IF(B18="","",(B18/$AE$23))</f>
        <v/>
      </c>
      <c r="C41" s="9" t="str">
        <f t="shared" si="17"/>
        <v/>
      </c>
      <c r="D41" s="9" t="str">
        <f t="shared" si="17"/>
        <v/>
      </c>
      <c r="E41" s="9" t="str">
        <f t="shared" si="17"/>
        <v/>
      </c>
      <c r="F41" s="9" t="str">
        <f t="shared" si="17"/>
        <v/>
      </c>
      <c r="G41" s="9" t="str">
        <f t="shared" si="17"/>
        <v/>
      </c>
      <c r="H41" s="9" t="str">
        <f t="shared" si="17"/>
        <v/>
      </c>
      <c r="I41" s="9" t="str">
        <f t="shared" si="17"/>
        <v/>
      </c>
      <c r="J41" s="9" t="str">
        <f t="shared" si="17"/>
        <v/>
      </c>
      <c r="K41" s="9" t="str">
        <f t="shared" si="17"/>
        <v/>
      </c>
      <c r="L41" s="9" t="str">
        <f t="shared" si="17"/>
        <v/>
      </c>
      <c r="M41" s="9" t="str">
        <f t="shared" si="17"/>
        <v/>
      </c>
      <c r="N41" s="9" t="str">
        <f t="shared" si="17"/>
        <v/>
      </c>
      <c r="O41" s="9" t="e">
        <f>IF(#REF!="","",(#REF!/$AE$23))</f>
        <v>#REF!</v>
      </c>
      <c r="P41" s="9" t="e">
        <f>IF(#REF!="","",(#REF!/$AE$23))</f>
        <v>#REF!</v>
      </c>
      <c r="Q41" s="9" t="e">
        <f>IF(#REF!="","",(#REF!/$AE$23))</f>
        <v>#REF!</v>
      </c>
      <c r="R41" s="9" t="e">
        <f>IF(#REF!="","",(#REF!/$AE$23))</f>
        <v>#REF!</v>
      </c>
      <c r="S41" s="9" t="e">
        <f>IF(#REF!="","",(#REF!/$AE$23))</f>
        <v>#REF!</v>
      </c>
      <c r="T41" s="9" t="e">
        <f>IF(#REF!="","",(#REF!/$AE$23))</f>
        <v>#REF!</v>
      </c>
      <c r="U41" s="9" t="e">
        <f>IF(#REF!="","",(#REF!/$AE$23))</f>
        <v>#REF!</v>
      </c>
      <c r="V41" s="9" t="e">
        <f>IF(#REF!="","",(#REF!/$AE$23))</f>
        <v>#REF!</v>
      </c>
      <c r="W41" s="9" t="e">
        <f>IF(#REF!="","",(#REF!/$AE$23))</f>
        <v>#REF!</v>
      </c>
      <c r="X41" s="9" t="e">
        <f>IF(#REF!="","",(#REF!/$AE$23))</f>
        <v>#REF!</v>
      </c>
      <c r="Y41" s="9" t="e">
        <f>IF(#REF!="","",(#REF!/$AE$23))</f>
        <v>#REF!</v>
      </c>
      <c r="Z41" s="9" t="e">
        <f>IF(#REF!="","",(#REF!/$AE$23))</f>
        <v>#REF!</v>
      </c>
      <c r="AA41" s="9" t="e">
        <f>IF(#REF!="","",(#REF!/$AE$23))</f>
        <v>#REF!</v>
      </c>
      <c r="AB41" s="9" t="e">
        <f>IF(#REF!="","",(#REF!/$AE$23))</f>
        <v>#REF!</v>
      </c>
      <c r="AC41" s="9" t="e">
        <f>IF(#REF!="","",(#REF!/$AE$23))</f>
        <v>#REF!</v>
      </c>
      <c r="AD41" s="5"/>
      <c r="AE41" s="9">
        <f>IF(O18="","",(O18/$AE$23))</f>
        <v>1.4653576959768317</v>
      </c>
      <c r="AF41" s="9" t="str">
        <f>IF(P18="","",(P18/$AE$23))</f>
        <v/>
      </c>
      <c r="AG41" s="9" t="str">
        <f>IF(Q18="","",(Q18/$AE$23))</f>
        <v/>
      </c>
      <c r="AH41" s="9" t="str">
        <f>IF(R18="","",(R18/$AE$23))</f>
        <v/>
      </c>
      <c r="AI41" s="9" t="str">
        <f>IF(S18="","",(S18/$AE$23))</f>
        <v/>
      </c>
      <c r="AJ41" s="9" t="str">
        <f>IF(T18="","",(T18/$AE$23))</f>
        <v/>
      </c>
      <c r="AK41" s="9" t="str">
        <f>IF(U18="","",(U18/$AE$23))</f>
        <v/>
      </c>
      <c r="AL41" s="9" t="str">
        <f>IF(V18="","",(V18/$AE$23))</f>
        <v/>
      </c>
      <c r="AM41" s="9" t="str">
        <f>IF(W18="","",(W18/$AE$23))</f>
        <v/>
      </c>
      <c r="AN41" s="9" t="str">
        <f>IF(X18="","",(X18/$AE$23))</f>
        <v/>
      </c>
      <c r="AO41" s="9" t="str">
        <f>IF(Y18="","",(Y18/$AE$23))</f>
        <v/>
      </c>
      <c r="AP41" s="9" t="str">
        <f>IF(Z18="","",(Z18/$AE$23))</f>
        <v/>
      </c>
      <c r="AQ41" s="9" t="str">
        <f>IF(AA18="","",(AA18/$AE$23))</f>
        <v/>
      </c>
      <c r="AR41" s="9" t="str">
        <f>IF(AB18="","",(AB18/$AE$23))</f>
        <v/>
      </c>
      <c r="AS41" s="9" t="str">
        <f>IF(AC18="","",(AC18/$AE$23))</f>
        <v/>
      </c>
      <c r="AT41" s="9" t="str">
        <f>IF(AD18="","",(AD18/$AE$23))</f>
        <v/>
      </c>
      <c r="AU41" s="9" t="str">
        <f>IF(AE18="","",(AE18/$AE$23))</f>
        <v/>
      </c>
      <c r="AV41" s="9" t="str">
        <f>IF(AF18="","",(AF18/$AE$23))</f>
        <v/>
      </c>
      <c r="AW41" s="9" t="str">
        <f>IF(AG18="","",(AG18/$AE$23))</f>
        <v/>
      </c>
      <c r="AX41" s="9" t="str">
        <f>IF(AH18="","",(AH18/$AE$23))</f>
        <v/>
      </c>
      <c r="AY41" s="9" t="str">
        <f>IF(AI18="","",(AI18/$AE$23))</f>
        <v/>
      </c>
      <c r="AZ41" s="9" t="str">
        <f>IF(AJ18="","",(AJ18/$AE$23))</f>
        <v/>
      </c>
      <c r="BA41" s="9" t="str">
        <f>IF(AK18="","",(AK18/$AE$23))</f>
        <v/>
      </c>
    </row>
    <row r="42" spans="1:53" x14ac:dyDescent="0.25">
      <c r="A42" s="199"/>
      <c r="B42" s="9" t="str">
        <f t="shared" ref="B42:N42" si="18">IF(B19="","",(B19/$AE$23))</f>
        <v/>
      </c>
      <c r="C42" s="9" t="str">
        <f t="shared" si="18"/>
        <v/>
      </c>
      <c r="D42" s="9" t="str">
        <f t="shared" si="18"/>
        <v/>
      </c>
      <c r="E42" s="9" t="str">
        <f t="shared" si="18"/>
        <v/>
      </c>
      <c r="F42" s="9" t="str">
        <f t="shared" si="18"/>
        <v/>
      </c>
      <c r="G42" s="9" t="str">
        <f t="shared" si="18"/>
        <v/>
      </c>
      <c r="H42" s="9" t="str">
        <f t="shared" si="18"/>
        <v/>
      </c>
      <c r="I42" s="9" t="str">
        <f t="shared" si="18"/>
        <v/>
      </c>
      <c r="J42" s="9" t="str">
        <f t="shared" si="18"/>
        <v/>
      </c>
      <c r="K42" s="9" t="str">
        <f t="shared" si="18"/>
        <v/>
      </c>
      <c r="L42" s="9" t="str">
        <f t="shared" si="18"/>
        <v/>
      </c>
      <c r="M42" s="9" t="str">
        <f t="shared" si="18"/>
        <v/>
      </c>
      <c r="N42" s="9" t="str">
        <f t="shared" si="18"/>
        <v/>
      </c>
      <c r="O42" s="9" t="e">
        <f>IF(#REF!="","",(#REF!/$AE$23))</f>
        <v>#REF!</v>
      </c>
      <c r="P42" s="9" t="e">
        <f>IF(#REF!="","",(#REF!/$AE$23))</f>
        <v>#REF!</v>
      </c>
      <c r="Q42" s="9" t="e">
        <f>IF(#REF!="","",(#REF!/$AE$23))</f>
        <v>#REF!</v>
      </c>
      <c r="R42" s="9" t="e">
        <f>IF(#REF!="","",(#REF!/$AE$23))</f>
        <v>#REF!</v>
      </c>
      <c r="S42" s="9" t="e">
        <f>IF(#REF!="","",(#REF!/$AE$23))</f>
        <v>#REF!</v>
      </c>
      <c r="T42" s="9" t="e">
        <f>IF(#REF!="","",(#REF!/$AE$23))</f>
        <v>#REF!</v>
      </c>
      <c r="U42" s="9" t="e">
        <f>IF(#REF!="","",(#REF!/$AE$23))</f>
        <v>#REF!</v>
      </c>
      <c r="V42" s="9" t="e">
        <f>IF(#REF!="","",(#REF!/$AE$23))</f>
        <v>#REF!</v>
      </c>
      <c r="W42" s="9" t="e">
        <f>IF(#REF!="","",(#REF!/$AE$23))</f>
        <v>#REF!</v>
      </c>
      <c r="X42" s="9" t="e">
        <f>IF(#REF!="","",(#REF!/$AE$23))</f>
        <v>#REF!</v>
      </c>
      <c r="Y42" s="9" t="e">
        <f>IF(#REF!="","",(#REF!/$AE$23))</f>
        <v>#REF!</v>
      </c>
      <c r="Z42" s="9" t="e">
        <f>IF(#REF!="","",(#REF!/$AE$23))</f>
        <v>#REF!</v>
      </c>
      <c r="AA42" s="9" t="e">
        <f>IF(#REF!="","",(#REF!/$AE$23))</f>
        <v>#REF!</v>
      </c>
      <c r="AB42" s="9" t="e">
        <f>IF(#REF!="","",(#REF!/$AE$23))</f>
        <v>#REF!</v>
      </c>
      <c r="AC42" s="9" t="e">
        <f>IF(#REF!="","",(#REF!/$AE$23))</f>
        <v>#REF!</v>
      </c>
      <c r="AD42" s="5"/>
      <c r="AE42" s="9">
        <f>IF(O19="","",(O19/$AE$23))</f>
        <v>1.0639796692486216</v>
      </c>
      <c r="AF42" s="9" t="str">
        <f>IF(P19="","",(P19/$AE$23))</f>
        <v/>
      </c>
      <c r="AG42" s="9" t="str">
        <f>IF(Q19="","",(Q19/$AE$23))</f>
        <v/>
      </c>
      <c r="AH42" s="9" t="str">
        <f>IF(R19="","",(R19/$AE$23))</f>
        <v/>
      </c>
      <c r="AI42" s="9" t="str">
        <f>IF(S19="","",(S19/$AE$23))</f>
        <v/>
      </c>
      <c r="AJ42" s="9" t="str">
        <f>IF(T19="","",(T19/$AE$23))</f>
        <v/>
      </c>
      <c r="AK42" s="9" t="str">
        <f>IF(U19="","",(U19/$AE$23))</f>
        <v/>
      </c>
      <c r="AL42" s="9" t="str">
        <f>IF(V19="","",(V19/$AE$23))</f>
        <v/>
      </c>
      <c r="AM42" s="9" t="str">
        <f>IF(W19="","",(W19/$AE$23))</f>
        <v/>
      </c>
      <c r="AN42" s="9" t="str">
        <f>IF(X19="","",(X19/$AE$23))</f>
        <v/>
      </c>
      <c r="AO42" s="9" t="str">
        <f>IF(Y19="","",(Y19/$AE$23))</f>
        <v/>
      </c>
      <c r="AP42" s="9" t="str">
        <f>IF(Z19="","",(Z19/$AE$23))</f>
        <v/>
      </c>
      <c r="AQ42" s="9" t="str">
        <f>IF(AA19="","",(AA19/$AE$23))</f>
        <v/>
      </c>
      <c r="AR42" s="9" t="str">
        <f>IF(AB19="","",(AB19/$AE$23))</f>
        <v/>
      </c>
      <c r="AS42" s="9" t="str">
        <f>IF(AC19="","",(AC19/$AE$23))</f>
        <v/>
      </c>
      <c r="AT42" s="9" t="str">
        <f>IF(AD19="","",(AD19/$AE$23))</f>
        <v/>
      </c>
      <c r="AU42" s="9" t="str">
        <f>IF(AE19="","",(AE19/$AE$23))</f>
        <v/>
      </c>
      <c r="AV42" s="9" t="str">
        <f>IF(AF19="","",(AF19/$AE$23))</f>
        <v/>
      </c>
      <c r="AW42" s="9" t="str">
        <f>IF(AG19="","",(AG19/$AE$23))</f>
        <v/>
      </c>
      <c r="AX42" s="9" t="str">
        <f>IF(AH19="","",(AH19/$AE$23))</f>
        <v/>
      </c>
      <c r="AY42" s="9" t="str">
        <f>IF(AI19="","",(AI19/$AE$23))</f>
        <v/>
      </c>
      <c r="AZ42" s="9" t="str">
        <f>IF(AJ19="","",(AJ19/$AE$23))</f>
        <v/>
      </c>
      <c r="BA42" s="9" t="str">
        <f>IF(AK19="","",(AK19/$AE$23))</f>
        <v/>
      </c>
    </row>
    <row r="43" spans="1:53" x14ac:dyDescent="0.25">
      <c r="A43" s="199"/>
      <c r="B43" s="9" t="str">
        <f t="shared" ref="B43:N43" si="19">IF(B20="","",(B20/$AE$23))</f>
        <v/>
      </c>
      <c r="C43" s="9" t="str">
        <f t="shared" si="19"/>
        <v/>
      </c>
      <c r="D43" s="9" t="str">
        <f t="shared" si="19"/>
        <v/>
      </c>
      <c r="E43" s="9" t="str">
        <f t="shared" si="19"/>
        <v/>
      </c>
      <c r="F43" s="9" t="str">
        <f t="shared" si="19"/>
        <v/>
      </c>
      <c r="G43" s="9" t="str">
        <f t="shared" si="19"/>
        <v/>
      </c>
      <c r="H43" s="9" t="str">
        <f t="shared" si="19"/>
        <v/>
      </c>
      <c r="I43" s="9" t="str">
        <f t="shared" si="19"/>
        <v/>
      </c>
      <c r="J43" s="9" t="str">
        <f t="shared" si="19"/>
        <v/>
      </c>
      <c r="K43" s="9" t="str">
        <f t="shared" si="19"/>
        <v/>
      </c>
      <c r="L43" s="9" t="str">
        <f t="shared" si="19"/>
        <v/>
      </c>
      <c r="M43" s="9" t="str">
        <f t="shared" si="19"/>
        <v/>
      </c>
      <c r="N43" s="9" t="str">
        <f t="shared" si="19"/>
        <v/>
      </c>
      <c r="O43" s="9" t="e">
        <f>IF(#REF!="","",(#REF!/$AE$23))</f>
        <v>#REF!</v>
      </c>
      <c r="P43" s="9" t="e">
        <f>IF(#REF!="","",(#REF!/$AE$23))</f>
        <v>#REF!</v>
      </c>
      <c r="Q43" s="9" t="e">
        <f>IF(#REF!="","",(#REF!/$AE$23))</f>
        <v>#REF!</v>
      </c>
      <c r="R43" s="9" t="e">
        <f>IF(#REF!="","",(#REF!/$AE$23))</f>
        <v>#REF!</v>
      </c>
      <c r="S43" s="9" t="e">
        <f>IF(#REF!="","",(#REF!/$AE$23))</f>
        <v>#REF!</v>
      </c>
      <c r="T43" s="9" t="e">
        <f>IF(#REF!="","",(#REF!/$AE$23))</f>
        <v>#REF!</v>
      </c>
      <c r="U43" s="9" t="e">
        <f>IF(#REF!="","",(#REF!/$AE$23))</f>
        <v>#REF!</v>
      </c>
      <c r="V43" s="9" t="e">
        <f>IF(#REF!="","",(#REF!/$AE$23))</f>
        <v>#REF!</v>
      </c>
      <c r="W43" s="9" t="e">
        <f>IF(#REF!="","",(#REF!/$AE$23))</f>
        <v>#REF!</v>
      </c>
      <c r="X43" s="9" t="e">
        <f>IF(#REF!="","",(#REF!/$AE$23))</f>
        <v>#REF!</v>
      </c>
      <c r="Y43" s="9" t="e">
        <f>IF(#REF!="","",(#REF!/$AE$23))</f>
        <v>#REF!</v>
      </c>
      <c r="Z43" s="9" t="e">
        <f>IF(#REF!="","",(#REF!/$AE$23))</f>
        <v>#REF!</v>
      </c>
      <c r="AA43" s="9" t="e">
        <f>IF(#REF!="","",(#REF!/$AE$23))</f>
        <v>#REF!</v>
      </c>
      <c r="AB43" s="9" t="e">
        <f>IF(#REF!="","",(#REF!/$AE$23))</f>
        <v>#REF!</v>
      </c>
      <c r="AC43" s="9" t="e">
        <f>IF(#REF!="","",(#REF!/$AE$23))</f>
        <v>#REF!</v>
      </c>
      <c r="AD43" s="5"/>
      <c r="AE43" s="9">
        <f>IF(O20="","",(O20/$AE$23))</f>
        <v>1.4360807341294144</v>
      </c>
      <c r="AF43" s="9" t="str">
        <f>IF(P20="","",(P20/$AE$23))</f>
        <v/>
      </c>
      <c r="AG43" s="9" t="str">
        <f>IF(Q20="","",(Q20/$AE$23))</f>
        <v/>
      </c>
      <c r="AH43" s="9" t="str">
        <f>IF(R20="","",(R20/$AE$23))</f>
        <v/>
      </c>
      <c r="AI43" s="9" t="str">
        <f>IF(S20="","",(S20/$AE$23))</f>
        <v/>
      </c>
      <c r="AJ43" s="9" t="str">
        <f>IF(T20="","",(T20/$AE$23))</f>
        <v/>
      </c>
      <c r="AK43" s="9" t="str">
        <f>IF(U20="","",(U20/$AE$23))</f>
        <v/>
      </c>
      <c r="AL43" s="9" t="str">
        <f>IF(V20="","",(V20/$AE$23))</f>
        <v/>
      </c>
      <c r="AM43" s="9" t="str">
        <f>IF(W20="","",(W20/$AE$23))</f>
        <v/>
      </c>
      <c r="AN43" s="9" t="str">
        <f>IF(X20="","",(X20/$AE$23))</f>
        <v/>
      </c>
      <c r="AO43" s="9" t="str">
        <f>IF(Y20="","",(Y20/$AE$23))</f>
        <v/>
      </c>
      <c r="AP43" s="9" t="str">
        <f>IF(Z20="","",(Z20/$AE$23))</f>
        <v/>
      </c>
      <c r="AQ43" s="9" t="str">
        <f>IF(AA20="","",(AA20/$AE$23))</f>
        <v/>
      </c>
      <c r="AR43" s="9" t="str">
        <f>IF(AB20="","",(AB20/$AE$23))</f>
        <v/>
      </c>
      <c r="AS43" s="9" t="str">
        <f>IF(AC20="","",(AC20/$AE$23))</f>
        <v/>
      </c>
      <c r="AT43" s="9" t="str">
        <f>IF(AD20="","",(AD20/$AE$23))</f>
        <v/>
      </c>
      <c r="AU43" s="9" t="str">
        <f>IF(AE20="","",(AE20/$AE$23))</f>
        <v/>
      </c>
      <c r="AV43" s="9" t="str">
        <f>IF(AF20="","",(AF20/$AE$23))</f>
        <v/>
      </c>
      <c r="AW43" s="9" t="str">
        <f>IF(AG20="","",(AG20/$AE$23))</f>
        <v/>
      </c>
      <c r="AX43" s="9" t="str">
        <f>IF(AH20="","",(AH20/$AE$23))</f>
        <v/>
      </c>
      <c r="AY43" s="9" t="str">
        <f>IF(AI20="","",(AI20/$AE$23))</f>
        <v/>
      </c>
      <c r="AZ43" s="9" t="str">
        <f>IF(AJ20="","",(AJ20/$AE$23))</f>
        <v/>
      </c>
      <c r="BA43" s="9" t="str">
        <f>IF(AK20="","",(AK20/$AE$23))</f>
        <v/>
      </c>
    </row>
    <row r="44" spans="1:53"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row>
    <row r="45" spans="1:53" x14ac:dyDescent="0.25">
      <c r="A45" s="2" t="str">
        <f>A4</f>
        <v>Noms des groupes</v>
      </c>
      <c r="B45" s="2" t="str">
        <f t="shared" ref="B45:N45" si="20">B4</f>
        <v>Témoin solvant</v>
      </c>
      <c r="C45" s="2" t="str">
        <f t="shared" si="20"/>
        <v>EE2-33,8ng/L</v>
      </c>
      <c r="D45" s="2" t="str">
        <f t="shared" si="20"/>
        <v>EE2-50,6ng/L</v>
      </c>
      <c r="E45" s="2" t="str">
        <f t="shared" si="20"/>
        <v>EE2-76ng/L</v>
      </c>
      <c r="F45" s="2" t="str">
        <f t="shared" si="20"/>
        <v>EE2-114ng/L</v>
      </c>
      <c r="G45" s="2" t="str">
        <f t="shared" si="20"/>
        <v>EE2-170,9ng/L</v>
      </c>
      <c r="H45" s="2" t="str">
        <f t="shared" si="20"/>
        <v>EE2-488ng/L</v>
      </c>
      <c r="I45" s="2" t="str">
        <f t="shared" si="20"/>
        <v>Triphénylphosphate-0,18mg/L</v>
      </c>
      <c r="J45" s="2" t="str">
        <f t="shared" si="20"/>
        <v>Triphénylphosphate-0,26mg/L</v>
      </c>
      <c r="K45" s="2" t="str">
        <f t="shared" si="20"/>
        <v>Triphénylphosphate-0,4mg/L</v>
      </c>
      <c r="L45" s="2" t="str">
        <f t="shared" si="20"/>
        <v>Triphénylphosphate-0,59mg/L</v>
      </c>
      <c r="M45" s="2" t="str">
        <f t="shared" si="20"/>
        <v>Triphénylphosphate-0,89mg/L</v>
      </c>
      <c r="N45" s="2" t="str">
        <f t="shared" si="20"/>
        <v xml:space="preserve"> </v>
      </c>
      <c r="O45" s="2" t="e">
        <f>#REF!</f>
        <v>#REF!</v>
      </c>
      <c r="P45" s="2" t="e">
        <f>#REF!</f>
        <v>#REF!</v>
      </c>
      <c r="Q45" s="2" t="e">
        <f>#REF!</f>
        <v>#REF!</v>
      </c>
      <c r="R45" s="2" t="e">
        <f>#REF!</f>
        <v>#REF!</v>
      </c>
      <c r="S45" s="2" t="e">
        <f>#REF!</f>
        <v>#REF!</v>
      </c>
      <c r="T45" s="2" t="e">
        <f>#REF!</f>
        <v>#REF!</v>
      </c>
      <c r="U45" s="2" t="e">
        <f>#REF!</f>
        <v>#REF!</v>
      </c>
      <c r="V45" s="2" t="e">
        <f>#REF!</f>
        <v>#REF!</v>
      </c>
      <c r="W45" s="2" t="e">
        <f>#REF!</f>
        <v>#REF!</v>
      </c>
      <c r="X45" s="2" t="e">
        <f>#REF!</f>
        <v>#REF!</v>
      </c>
      <c r="Y45" s="2" t="e">
        <f>#REF!</f>
        <v>#REF!</v>
      </c>
      <c r="Z45" s="2" t="e">
        <f>#REF!</f>
        <v>#REF!</v>
      </c>
      <c r="AA45" s="2" t="e">
        <f>#REF!</f>
        <v>#REF!</v>
      </c>
      <c r="AB45" s="2" t="e">
        <f>#REF!</f>
        <v>#REF!</v>
      </c>
      <c r="AC45" s="2" t="e">
        <f>#REF!</f>
        <v>#REF!</v>
      </c>
      <c r="AD45" s="2"/>
      <c r="AE45" s="2" t="str">
        <f>O4</f>
        <v>Testo -30µg/L</v>
      </c>
      <c r="AF45" s="2" t="str">
        <f>P4</f>
        <v>Testo 30µg/L + EE2 -64ng/L</v>
      </c>
      <c r="AG45" s="2" t="str">
        <f>Q4</f>
        <v>Testo 30µg/L + FAD-10mg/L</v>
      </c>
      <c r="AH45" s="2" t="str">
        <f>R4</f>
        <v>Triphénylphosphate-0,18mg/L + Testostérone</v>
      </c>
      <c r="AI45" s="2" t="str">
        <f>S4</f>
        <v>Triphénylphosphate-0,26mg/L + Testostérone</v>
      </c>
      <c r="AJ45" s="2" t="str">
        <f>T4</f>
        <v>Triphénylphosphate-0,4mg/L + Testostérone</v>
      </c>
      <c r="AK45" s="2" t="str">
        <f>U4</f>
        <v>Triphénylphosphate-0,59mg/L + Testostérone</v>
      </c>
      <c r="AL45" s="2" t="str">
        <f>V4</f>
        <v>Triphénylphosphate-0,89mg/L + Testostérone</v>
      </c>
      <c r="AM45" s="2" t="str">
        <f>W4</f>
        <v>0-00 + Testostérone</v>
      </c>
      <c r="AN45" s="2" t="str">
        <f>X4</f>
        <v>0-00 + Testostérone</v>
      </c>
      <c r="AO45" s="2" t="str">
        <f>Y4</f>
        <v>0-00 + Testostérone</v>
      </c>
      <c r="AP45" s="2" t="str">
        <f>Z4</f>
        <v>0-00 + Testostérone</v>
      </c>
      <c r="AQ45" s="2" t="str">
        <f>AA4</f>
        <v>0-00 + Testostérone</v>
      </c>
      <c r="AR45" s="2" t="str">
        <f>AB4</f>
        <v>0-00 + Testostérone</v>
      </c>
      <c r="AS45" s="2" t="str">
        <f>AC4</f>
        <v>0-00 + Testostérone</v>
      </c>
      <c r="AT45" s="2" t="str">
        <f>AD4</f>
        <v>0-00 + Testostérone</v>
      </c>
      <c r="AU45" s="2" t="str">
        <f>AE4</f>
        <v>0-00 + Testostérone</v>
      </c>
      <c r="AV45" s="2" t="str">
        <f>AF4</f>
        <v>0-00 + Testostérone</v>
      </c>
      <c r="AW45" s="2" t="str">
        <f>AG4</f>
        <v>0-00 + Testostérone</v>
      </c>
      <c r="AX45" s="2" t="str">
        <f>AH4</f>
        <v>0-00 + Testostérone</v>
      </c>
      <c r="AY45" s="2" t="str">
        <f>AI4</f>
        <v>0-00 + Testostérone</v>
      </c>
      <c r="AZ45" s="2" t="str">
        <f>AJ4</f>
        <v>0-00 + Testostérone</v>
      </c>
      <c r="BA45" s="2" t="str">
        <f>AK4</f>
        <v>0-00 + Testostérone</v>
      </c>
    </row>
    <row r="46" spans="1:53" x14ac:dyDescent="0.25">
      <c r="A46" s="6" t="s">
        <v>0</v>
      </c>
      <c r="B46" s="8">
        <f t="shared" ref="B46:H46" si="21">AVERAGE(B28:B43)</f>
        <v>0.10988944352999186</v>
      </c>
      <c r="C46" s="8">
        <f t="shared" si="21"/>
        <v>0.12402018439747209</v>
      </c>
      <c r="D46" s="8">
        <f t="shared" si="21"/>
        <v>0.1095441445603508</v>
      </c>
      <c r="E46" s="8">
        <f t="shared" si="21"/>
        <v>0.13366605441895507</v>
      </c>
      <c r="F46" s="8">
        <f t="shared" si="21"/>
        <v>0.46009757031712295</v>
      </c>
      <c r="G46" s="8">
        <f t="shared" si="21"/>
        <v>1.5168612982759206</v>
      </c>
      <c r="H46" s="8">
        <f t="shared" si="21"/>
        <v>2.2956841020864132</v>
      </c>
      <c r="I46" s="8">
        <f>AVERAGE(I28:I43)</f>
        <v>0.27341354580568444</v>
      </c>
      <c r="J46" s="7">
        <f>AVERAGE(J28:J43)</f>
        <v>9.0406307085623472E-2</v>
      </c>
      <c r="K46" s="7">
        <f t="shared" ref="K46:AC46" si="22">AVERAGE(K28:K43)</f>
        <v>0.19799933984618412</v>
      </c>
      <c r="L46" s="7">
        <f t="shared" si="22"/>
        <v>0.55110414892360615</v>
      </c>
      <c r="M46" s="7">
        <f t="shared" si="22"/>
        <v>0.99227221034705149</v>
      </c>
      <c r="N46" s="7" t="e">
        <f t="shared" si="22"/>
        <v>#DIV/0!</v>
      </c>
      <c r="O46" s="7" t="e">
        <f t="shared" si="22"/>
        <v>#REF!</v>
      </c>
      <c r="P46" s="7" t="e">
        <f t="shared" si="22"/>
        <v>#REF!</v>
      </c>
      <c r="Q46" s="7" t="e">
        <f t="shared" si="22"/>
        <v>#REF!</v>
      </c>
      <c r="R46" s="7" t="e">
        <f t="shared" si="22"/>
        <v>#REF!</v>
      </c>
      <c r="S46" s="7" t="e">
        <f t="shared" si="22"/>
        <v>#REF!</v>
      </c>
      <c r="T46" s="7" t="e">
        <f t="shared" si="22"/>
        <v>#REF!</v>
      </c>
      <c r="U46" s="7" t="e">
        <f t="shared" si="22"/>
        <v>#REF!</v>
      </c>
      <c r="V46" s="7" t="e">
        <f t="shared" si="22"/>
        <v>#REF!</v>
      </c>
      <c r="W46" s="7" t="e">
        <f t="shared" si="22"/>
        <v>#REF!</v>
      </c>
      <c r="X46" s="7" t="e">
        <f t="shared" si="22"/>
        <v>#REF!</v>
      </c>
      <c r="Y46" s="7" t="e">
        <f t="shared" si="22"/>
        <v>#REF!</v>
      </c>
      <c r="Z46" s="7" t="e">
        <f t="shared" si="22"/>
        <v>#REF!</v>
      </c>
      <c r="AA46" s="7" t="e">
        <f t="shared" si="22"/>
        <v>#REF!</v>
      </c>
      <c r="AB46" s="7" t="e">
        <f t="shared" si="22"/>
        <v>#REF!</v>
      </c>
      <c r="AC46" s="7" t="e">
        <f t="shared" si="22"/>
        <v>#REF!</v>
      </c>
      <c r="AD46" s="6" t="s">
        <v>0</v>
      </c>
      <c r="AE46" s="8">
        <f t="shared" ref="AE46:BA46" si="23">AVERAGE(AE28:AE43)</f>
        <v>1.0000000000000002</v>
      </c>
      <c r="AF46" s="8">
        <f t="shared" si="23"/>
        <v>1.7004282404951676</v>
      </c>
      <c r="AG46" s="8">
        <f t="shared" si="23"/>
        <v>0.18508518896254142</v>
      </c>
      <c r="AH46" s="8">
        <f t="shared" si="23"/>
        <v>1.4035254801881449</v>
      </c>
      <c r="AI46" s="8">
        <f t="shared" si="23"/>
        <v>1.9625436687170121</v>
      </c>
      <c r="AJ46" s="8">
        <f t="shared" si="23"/>
        <v>2.0393462409790626</v>
      </c>
      <c r="AK46" s="8">
        <f t="shared" si="23"/>
        <v>1.9331188641546242</v>
      </c>
      <c r="AL46" s="8">
        <f t="shared" si="23"/>
        <v>1.8233000625794531</v>
      </c>
      <c r="AM46" s="8" t="e">
        <f t="shared" si="23"/>
        <v>#DIV/0!</v>
      </c>
      <c r="AN46" s="8" t="e">
        <f t="shared" si="23"/>
        <v>#DIV/0!</v>
      </c>
      <c r="AO46" s="8" t="e">
        <f t="shared" si="23"/>
        <v>#DIV/0!</v>
      </c>
      <c r="AP46" s="8" t="e">
        <f t="shared" si="23"/>
        <v>#DIV/0!</v>
      </c>
      <c r="AQ46" s="8" t="e">
        <f t="shared" si="23"/>
        <v>#DIV/0!</v>
      </c>
      <c r="AR46" s="8" t="e">
        <f t="shared" si="23"/>
        <v>#DIV/0!</v>
      </c>
      <c r="AS46" s="8" t="e">
        <f t="shared" si="23"/>
        <v>#DIV/0!</v>
      </c>
      <c r="AT46" s="8" t="e">
        <f t="shared" si="23"/>
        <v>#DIV/0!</v>
      </c>
      <c r="AU46" s="8" t="e">
        <f t="shared" si="23"/>
        <v>#DIV/0!</v>
      </c>
      <c r="AV46" s="8" t="e">
        <f t="shared" si="23"/>
        <v>#DIV/0!</v>
      </c>
      <c r="AW46" s="8" t="e">
        <f t="shared" si="23"/>
        <v>#DIV/0!</v>
      </c>
      <c r="AX46" s="8" t="e">
        <f t="shared" si="23"/>
        <v>#DIV/0!</v>
      </c>
      <c r="AY46" s="8" t="e">
        <f t="shared" si="23"/>
        <v>#DIV/0!</v>
      </c>
      <c r="AZ46" s="8" t="e">
        <f t="shared" si="23"/>
        <v>#DIV/0!</v>
      </c>
      <c r="BA46" s="8" t="e">
        <f t="shared" si="23"/>
        <v>#DIV/0!</v>
      </c>
    </row>
    <row r="47" spans="1:53" x14ac:dyDescent="0.25">
      <c r="A47" s="6" t="s">
        <v>1</v>
      </c>
      <c r="B47" s="6">
        <f t="shared" ref="B47:AC47" si="24">STDEV(B28:B43)</f>
        <v>9.8059570498525067E-2</v>
      </c>
      <c r="C47" s="6">
        <f t="shared" si="24"/>
        <v>8.8381093898786123E-2</v>
      </c>
      <c r="D47" s="6">
        <f t="shared" si="24"/>
        <v>5.0342728652903346E-2</v>
      </c>
      <c r="E47" s="6">
        <f t="shared" si="24"/>
        <v>6.2865243890298475E-2</v>
      </c>
      <c r="F47" s="6">
        <f t="shared" si="24"/>
        <v>0.24248217912874581</v>
      </c>
      <c r="G47" s="6">
        <f t="shared" si="24"/>
        <v>0.59791327626492585</v>
      </c>
      <c r="H47" s="6">
        <f t="shared" si="24"/>
        <v>0.47675279813661386</v>
      </c>
      <c r="I47" s="6">
        <f t="shared" si="24"/>
        <v>0.2991892294368147</v>
      </c>
      <c r="J47" s="6">
        <f t="shared" si="24"/>
        <v>7.1572202635109536E-2</v>
      </c>
      <c r="K47" s="6">
        <f t="shared" si="24"/>
        <v>0.12582822996547594</v>
      </c>
      <c r="L47" s="6">
        <f t="shared" si="24"/>
        <v>0.23565818198887983</v>
      </c>
      <c r="M47" s="6">
        <f t="shared" si="24"/>
        <v>0.55051638806830405</v>
      </c>
      <c r="N47" s="6" t="e">
        <f t="shared" si="24"/>
        <v>#DIV/0!</v>
      </c>
      <c r="O47" s="6" t="e">
        <f t="shared" si="24"/>
        <v>#REF!</v>
      </c>
      <c r="P47" s="6" t="e">
        <f t="shared" si="24"/>
        <v>#REF!</v>
      </c>
      <c r="Q47" s="6" t="e">
        <f t="shared" si="24"/>
        <v>#REF!</v>
      </c>
      <c r="R47" s="6" t="e">
        <f t="shared" si="24"/>
        <v>#REF!</v>
      </c>
      <c r="S47" s="6" t="e">
        <f t="shared" si="24"/>
        <v>#REF!</v>
      </c>
      <c r="T47" s="6" t="e">
        <f t="shared" si="24"/>
        <v>#REF!</v>
      </c>
      <c r="U47" s="6" t="e">
        <f t="shared" si="24"/>
        <v>#REF!</v>
      </c>
      <c r="V47" s="6" t="e">
        <f t="shared" si="24"/>
        <v>#REF!</v>
      </c>
      <c r="W47" s="6" t="e">
        <f t="shared" si="24"/>
        <v>#REF!</v>
      </c>
      <c r="X47" s="6" t="e">
        <f t="shared" si="24"/>
        <v>#REF!</v>
      </c>
      <c r="Y47" s="6" t="e">
        <f t="shared" si="24"/>
        <v>#REF!</v>
      </c>
      <c r="Z47" s="6" t="e">
        <f t="shared" si="24"/>
        <v>#REF!</v>
      </c>
      <c r="AA47" s="6" t="e">
        <f t="shared" si="24"/>
        <v>#REF!</v>
      </c>
      <c r="AB47" s="6" t="e">
        <f t="shared" si="24"/>
        <v>#REF!</v>
      </c>
      <c r="AC47" s="6" t="e">
        <f t="shared" si="24"/>
        <v>#REF!</v>
      </c>
      <c r="AD47" s="6" t="s">
        <v>1</v>
      </c>
      <c r="AE47" s="6">
        <f t="shared" ref="AE47:BA47" si="25">STDEV(AE28:AE43)</f>
        <v>0.38888870577559159</v>
      </c>
      <c r="AF47" s="6">
        <f t="shared" si="25"/>
        <v>0.44198420194290888</v>
      </c>
      <c r="AG47" s="6">
        <f t="shared" si="25"/>
        <v>0.17992517560078186</v>
      </c>
      <c r="AH47" s="6">
        <f t="shared" si="25"/>
        <v>0.47800754287682201</v>
      </c>
      <c r="AI47" s="6">
        <f t="shared" si="25"/>
        <v>0.32904174165703842</v>
      </c>
      <c r="AJ47" s="6">
        <f t="shared" si="25"/>
        <v>0.48566853641196156</v>
      </c>
      <c r="AK47" s="6">
        <f t="shared" si="25"/>
        <v>0.35557476281130801</v>
      </c>
      <c r="AL47" s="6">
        <f t="shared" si="25"/>
        <v>0.77033368331414842</v>
      </c>
      <c r="AM47" s="6" t="e">
        <f t="shared" si="25"/>
        <v>#DIV/0!</v>
      </c>
      <c r="AN47" s="6" t="e">
        <f t="shared" si="25"/>
        <v>#DIV/0!</v>
      </c>
      <c r="AO47" s="6" t="e">
        <f t="shared" si="25"/>
        <v>#DIV/0!</v>
      </c>
      <c r="AP47" s="6" t="e">
        <f t="shared" si="25"/>
        <v>#DIV/0!</v>
      </c>
      <c r="AQ47" s="6" t="e">
        <f t="shared" si="25"/>
        <v>#DIV/0!</v>
      </c>
      <c r="AR47" s="6" t="e">
        <f t="shared" si="25"/>
        <v>#DIV/0!</v>
      </c>
      <c r="AS47" s="6" t="e">
        <f t="shared" si="25"/>
        <v>#DIV/0!</v>
      </c>
      <c r="AT47" s="6" t="e">
        <f t="shared" si="25"/>
        <v>#DIV/0!</v>
      </c>
      <c r="AU47" s="6" t="e">
        <f t="shared" si="25"/>
        <v>#DIV/0!</v>
      </c>
      <c r="AV47" s="6" t="e">
        <f t="shared" si="25"/>
        <v>#DIV/0!</v>
      </c>
      <c r="AW47" s="6" t="e">
        <f t="shared" si="25"/>
        <v>#DIV/0!</v>
      </c>
      <c r="AX47" s="6" t="e">
        <f t="shared" si="25"/>
        <v>#DIV/0!</v>
      </c>
      <c r="AY47" s="6" t="e">
        <f t="shared" si="25"/>
        <v>#DIV/0!</v>
      </c>
      <c r="AZ47" s="6" t="e">
        <f t="shared" si="25"/>
        <v>#DIV/0!</v>
      </c>
      <c r="BA47" s="6" t="e">
        <f t="shared" si="25"/>
        <v>#DIV/0!</v>
      </c>
    </row>
    <row r="48" spans="1:53" x14ac:dyDescent="0.25">
      <c r="A48" s="6" t="s">
        <v>2</v>
      </c>
      <c r="B48" s="6">
        <f t="shared" ref="B48:AC48" si="26" xml:space="preserve"> B47/SQRT(COUNT(B28:B43))</f>
        <v>3.4669293629873699E-2</v>
      </c>
      <c r="C48" s="6">
        <f t="shared" si="26"/>
        <v>3.1247435412258332E-2</v>
      </c>
      <c r="D48" s="6">
        <f t="shared" si="26"/>
        <v>1.7798842406951131E-2</v>
      </c>
      <c r="E48" s="6">
        <f t="shared" si="26"/>
        <v>2.2226220127888111E-2</v>
      </c>
      <c r="F48" s="6">
        <f t="shared" si="26"/>
        <v>8.5730396589413643E-2</v>
      </c>
      <c r="G48" s="6">
        <f t="shared" si="26"/>
        <v>0.21139426610419731</v>
      </c>
      <c r="H48" s="6">
        <f t="shared" si="26"/>
        <v>0.16855756825603044</v>
      </c>
      <c r="I48" s="6">
        <f t="shared" si="26"/>
        <v>0.10577936649637473</v>
      </c>
      <c r="J48" s="6">
        <f t="shared" si="26"/>
        <v>2.5304594913871818E-2</v>
      </c>
      <c r="K48" s="6">
        <f t="shared" si="26"/>
        <v>4.4486997336644185E-2</v>
      </c>
      <c r="L48" s="6">
        <f t="shared" si="26"/>
        <v>8.3317749263215224E-2</v>
      </c>
      <c r="M48" s="6">
        <f t="shared" si="26"/>
        <v>0.22474737430122574</v>
      </c>
      <c r="N48" s="6" t="e">
        <f t="shared" si="26"/>
        <v>#DIV/0!</v>
      </c>
      <c r="O48" s="6" t="e">
        <f t="shared" si="26"/>
        <v>#REF!</v>
      </c>
      <c r="P48" s="6" t="e">
        <f t="shared" si="26"/>
        <v>#REF!</v>
      </c>
      <c r="Q48" s="6" t="e">
        <f t="shared" si="26"/>
        <v>#REF!</v>
      </c>
      <c r="R48" s="6" t="e">
        <f t="shared" si="26"/>
        <v>#REF!</v>
      </c>
      <c r="S48" s="6" t="e">
        <f t="shared" si="26"/>
        <v>#REF!</v>
      </c>
      <c r="T48" s="6" t="e">
        <f t="shared" si="26"/>
        <v>#REF!</v>
      </c>
      <c r="U48" s="6" t="e">
        <f t="shared" si="26"/>
        <v>#REF!</v>
      </c>
      <c r="V48" s="6" t="e">
        <f t="shared" si="26"/>
        <v>#REF!</v>
      </c>
      <c r="W48" s="6" t="e">
        <f t="shared" si="26"/>
        <v>#REF!</v>
      </c>
      <c r="X48" s="6" t="e">
        <f t="shared" si="26"/>
        <v>#REF!</v>
      </c>
      <c r="Y48" s="6" t="e">
        <f t="shared" si="26"/>
        <v>#REF!</v>
      </c>
      <c r="Z48" s="6" t="e">
        <f t="shared" si="26"/>
        <v>#REF!</v>
      </c>
      <c r="AA48" s="6" t="e">
        <f t="shared" si="26"/>
        <v>#REF!</v>
      </c>
      <c r="AB48" s="6" t="e">
        <f t="shared" si="26"/>
        <v>#REF!</v>
      </c>
      <c r="AC48" s="6" t="e">
        <f t="shared" si="26"/>
        <v>#REF!</v>
      </c>
      <c r="AD48" s="6" t="s">
        <v>2</v>
      </c>
      <c r="AE48" s="6">
        <f t="shared" ref="AE48:BA48" si="27" xml:space="preserve"> AE47/SQRT(COUNT(AE28:AE43))</f>
        <v>9.7222176443897898E-2</v>
      </c>
      <c r="AF48" s="6">
        <f t="shared" si="27"/>
        <v>0.15626501318557764</v>
      </c>
      <c r="AG48" s="6">
        <f t="shared" si="27"/>
        <v>6.3613155886746597E-2</v>
      </c>
      <c r="AH48" s="6">
        <f t="shared" si="27"/>
        <v>0.1690011875132601</v>
      </c>
      <c r="AI48" s="6">
        <f t="shared" si="27"/>
        <v>0.11633382340956197</v>
      </c>
      <c r="AJ48" s="6">
        <f t="shared" si="27"/>
        <v>0.17170975775292183</v>
      </c>
      <c r="AK48" s="6">
        <f t="shared" si="27"/>
        <v>0.12571466300133705</v>
      </c>
      <c r="AL48" s="6">
        <f t="shared" si="27"/>
        <v>0.27235408562392233</v>
      </c>
      <c r="AM48" s="6" t="e">
        <f t="shared" si="27"/>
        <v>#DIV/0!</v>
      </c>
      <c r="AN48" s="6" t="e">
        <f t="shared" si="27"/>
        <v>#DIV/0!</v>
      </c>
      <c r="AO48" s="6" t="e">
        <f t="shared" si="27"/>
        <v>#DIV/0!</v>
      </c>
      <c r="AP48" s="6" t="e">
        <f t="shared" si="27"/>
        <v>#DIV/0!</v>
      </c>
      <c r="AQ48" s="6" t="e">
        <f t="shared" si="27"/>
        <v>#DIV/0!</v>
      </c>
      <c r="AR48" s="6" t="e">
        <f t="shared" si="27"/>
        <v>#DIV/0!</v>
      </c>
      <c r="AS48" s="6" t="e">
        <f t="shared" si="27"/>
        <v>#DIV/0!</v>
      </c>
      <c r="AT48" s="6" t="e">
        <f t="shared" si="27"/>
        <v>#DIV/0!</v>
      </c>
      <c r="AU48" s="6" t="e">
        <f t="shared" si="27"/>
        <v>#DIV/0!</v>
      </c>
      <c r="AV48" s="6" t="e">
        <f t="shared" si="27"/>
        <v>#DIV/0!</v>
      </c>
      <c r="AW48" s="6" t="e">
        <f t="shared" si="27"/>
        <v>#DIV/0!</v>
      </c>
      <c r="AX48" s="6" t="e">
        <f t="shared" si="27"/>
        <v>#DIV/0!</v>
      </c>
      <c r="AY48" s="6" t="e">
        <f t="shared" si="27"/>
        <v>#DIV/0!</v>
      </c>
      <c r="AZ48" s="6" t="e">
        <f t="shared" si="27"/>
        <v>#DIV/0!</v>
      </c>
      <c r="BA48" s="6" t="e">
        <f t="shared" si="27"/>
        <v>#DIV/0!</v>
      </c>
    </row>
    <row r="49" spans="1:53" ht="15.75" thickBo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row>
    <row r="50" spans="1:53" ht="27" thickBot="1" x14ac:dyDescent="0.45">
      <c r="A50" s="188" t="s">
        <v>44</v>
      </c>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89"/>
      <c r="AX50" s="189"/>
      <c r="AY50" s="189"/>
      <c r="AZ50" s="189"/>
      <c r="BA50" s="190"/>
    </row>
    <row r="51" spans="1:53" ht="15.75" thickBot="1" x14ac:dyDescent="0.3"/>
    <row r="52" spans="1:53" x14ac:dyDescent="0.25">
      <c r="A52" s="27" t="str">
        <f t="shared" ref="A52:H52" si="28">A27</f>
        <v>Noms des groupes</v>
      </c>
      <c r="B52" s="28" t="str">
        <f t="shared" si="28"/>
        <v>Témoin solvant</v>
      </c>
      <c r="C52" s="28" t="str">
        <f t="shared" si="28"/>
        <v>EE2-33,8ng/L</v>
      </c>
      <c r="D52" s="28" t="str">
        <f t="shared" si="28"/>
        <v>EE2-50,6ng/L</v>
      </c>
      <c r="E52" s="28" t="str">
        <f t="shared" si="28"/>
        <v>EE2-76ng/L</v>
      </c>
      <c r="F52" s="28" t="str">
        <f t="shared" si="28"/>
        <v>EE2-114ng/L</v>
      </c>
      <c r="G52" s="28" t="str">
        <f t="shared" si="28"/>
        <v>EE2-170,9ng/L</v>
      </c>
      <c r="H52" s="28" t="str">
        <f t="shared" si="28"/>
        <v>EE2-488ng/L</v>
      </c>
      <c r="I52" s="28" t="str">
        <f>I4</f>
        <v>Triphénylphosphate-0,18mg/L</v>
      </c>
      <c r="J52" s="28" t="str">
        <f>J4</f>
        <v>Triphénylphosphate-0,26mg/L</v>
      </c>
      <c r="K52" s="28" t="str">
        <f t="shared" ref="K52:N52" si="29">K4</f>
        <v>Triphénylphosphate-0,4mg/L</v>
      </c>
      <c r="L52" s="28" t="str">
        <f t="shared" si="29"/>
        <v>Triphénylphosphate-0,59mg/L</v>
      </c>
      <c r="M52" s="28" t="str">
        <f t="shared" si="29"/>
        <v>Triphénylphosphate-0,89mg/L</v>
      </c>
      <c r="N52" s="28" t="str">
        <f t="shared" si="29"/>
        <v xml:space="preserve"> </v>
      </c>
      <c r="O52" s="28" t="e">
        <f>#REF!</f>
        <v>#REF!</v>
      </c>
      <c r="P52" s="28" t="e">
        <f>#REF!</f>
        <v>#REF!</v>
      </c>
      <c r="Q52" s="28" t="e">
        <f>#REF!</f>
        <v>#REF!</v>
      </c>
      <c r="R52" s="28" t="e">
        <f>#REF!</f>
        <v>#REF!</v>
      </c>
      <c r="S52" s="28" t="e">
        <f>#REF!</f>
        <v>#REF!</v>
      </c>
      <c r="T52" s="28" t="e">
        <f>#REF!</f>
        <v>#REF!</v>
      </c>
      <c r="U52" s="28" t="e">
        <f>#REF!</f>
        <v>#REF!</v>
      </c>
      <c r="V52" s="28" t="e">
        <f>#REF!</f>
        <v>#REF!</v>
      </c>
      <c r="W52" s="28" t="e">
        <f>#REF!</f>
        <v>#REF!</v>
      </c>
      <c r="X52" s="28" t="e">
        <f>#REF!</f>
        <v>#REF!</v>
      </c>
      <c r="Y52" s="28" t="e">
        <f>#REF!</f>
        <v>#REF!</v>
      </c>
      <c r="Z52" s="28" t="e">
        <f>#REF!</f>
        <v>#REF!</v>
      </c>
      <c r="AA52" s="28" t="e">
        <f>#REF!</f>
        <v>#REF!</v>
      </c>
      <c r="AB52" s="28" t="e">
        <f>#REF!</f>
        <v>#REF!</v>
      </c>
      <c r="AC52" s="28" t="e">
        <f>#REF!</f>
        <v>#REF!</v>
      </c>
      <c r="AD52" s="29"/>
      <c r="AE52" s="28" t="str">
        <f>AE27</f>
        <v>Testo -30µg/L</v>
      </c>
      <c r="AF52" s="28" t="str">
        <f>AF27</f>
        <v>Testo 30µg/L + EE2 -64ng/L</v>
      </c>
      <c r="AG52" s="28" t="str">
        <f>AG27</f>
        <v>Testo 30µg/L + FAD-10mg/L</v>
      </c>
      <c r="AH52" s="28" t="str">
        <f>AH27</f>
        <v>Triphénylphosphate-0,18mg/L + Testostérone</v>
      </c>
      <c r="AI52" s="28" t="str">
        <f t="shared" ref="AI52:BA52" si="30">AI27</f>
        <v>Triphénylphosphate-0,26mg/L + Testostérone</v>
      </c>
      <c r="AJ52" s="28" t="str">
        <f t="shared" si="30"/>
        <v>Triphénylphosphate-0,4mg/L + Testostérone</v>
      </c>
      <c r="AK52" s="28" t="str">
        <f t="shared" si="30"/>
        <v>Triphénylphosphate-0,59mg/L + Testostérone</v>
      </c>
      <c r="AL52" s="28" t="str">
        <f t="shared" si="30"/>
        <v>Triphénylphosphate-0,89mg/L + Testostérone</v>
      </c>
      <c r="AM52" s="28" t="str">
        <f t="shared" si="30"/>
        <v>0-00 + Testostérone</v>
      </c>
      <c r="AN52" s="28" t="str">
        <f t="shared" si="30"/>
        <v>0-00 + Testostérone</v>
      </c>
      <c r="AO52" s="28" t="str">
        <f t="shared" si="30"/>
        <v>0-00 + Testostérone</v>
      </c>
      <c r="AP52" s="28" t="str">
        <f t="shared" si="30"/>
        <v>0-00 + Testostérone</v>
      </c>
      <c r="AQ52" s="28" t="str">
        <f t="shared" si="30"/>
        <v>0-00 + Testostérone</v>
      </c>
      <c r="AR52" s="28" t="str">
        <f t="shared" si="30"/>
        <v>0-00 + Testostérone</v>
      </c>
      <c r="AS52" s="28" t="str">
        <f t="shared" si="30"/>
        <v>0-00 + Testostérone</v>
      </c>
      <c r="AT52" s="28" t="str">
        <f t="shared" si="30"/>
        <v>0-00 + Testostérone</v>
      </c>
      <c r="AU52" s="28" t="str">
        <f t="shared" si="30"/>
        <v>0-00 + Testostérone</v>
      </c>
      <c r="AV52" s="28" t="str">
        <f t="shared" si="30"/>
        <v>0-00 + Testostérone</v>
      </c>
      <c r="AW52" s="28" t="str">
        <f t="shared" si="30"/>
        <v>0-00 + Testostérone</v>
      </c>
      <c r="AX52" s="28" t="str">
        <f t="shared" si="30"/>
        <v>0-00 + Testostérone</v>
      </c>
      <c r="AY52" s="28" t="str">
        <f t="shared" si="30"/>
        <v>0-00 + Testostérone</v>
      </c>
      <c r="AZ52" s="28" t="str">
        <f t="shared" si="30"/>
        <v>0-00 + Testostérone</v>
      </c>
      <c r="BA52" s="28" t="str">
        <f t="shared" si="30"/>
        <v>0-00 + Testostérone</v>
      </c>
    </row>
    <row r="53" spans="1:53" s="2" customFormat="1" x14ac:dyDescent="0.25">
      <c r="A53" s="45" t="s">
        <v>32</v>
      </c>
      <c r="B53" s="117">
        <f t="shared" ref="B53:BA53" si="31">B46</f>
        <v>0.10988944352999186</v>
      </c>
      <c r="C53" s="117">
        <f t="shared" si="31"/>
        <v>0.12402018439747209</v>
      </c>
      <c r="D53" s="117">
        <f t="shared" si="31"/>
        <v>0.1095441445603508</v>
      </c>
      <c r="E53" s="117">
        <f t="shared" si="31"/>
        <v>0.13366605441895507</v>
      </c>
      <c r="F53" s="117">
        <f t="shared" si="31"/>
        <v>0.46009757031712295</v>
      </c>
      <c r="G53" s="117">
        <f t="shared" si="31"/>
        <v>1.5168612982759206</v>
      </c>
      <c r="H53" s="117">
        <f t="shared" si="31"/>
        <v>2.2956841020864132</v>
      </c>
      <c r="I53" s="117">
        <f t="shared" si="31"/>
        <v>0.27341354580568444</v>
      </c>
      <c r="J53" s="117">
        <f t="shared" si="31"/>
        <v>9.0406307085623472E-2</v>
      </c>
      <c r="K53" s="117">
        <f t="shared" si="31"/>
        <v>0.19799933984618412</v>
      </c>
      <c r="L53" s="117">
        <f t="shared" si="31"/>
        <v>0.55110414892360615</v>
      </c>
      <c r="M53" s="117">
        <f t="shared" si="31"/>
        <v>0.99227221034705149</v>
      </c>
      <c r="N53" s="117" t="e">
        <f t="shared" si="31"/>
        <v>#DIV/0!</v>
      </c>
      <c r="O53" s="117" t="e">
        <f t="shared" si="31"/>
        <v>#REF!</v>
      </c>
      <c r="P53" s="117" t="e">
        <f t="shared" si="31"/>
        <v>#REF!</v>
      </c>
      <c r="Q53" s="117" t="e">
        <f t="shared" si="31"/>
        <v>#REF!</v>
      </c>
      <c r="R53" s="117" t="e">
        <f t="shared" si="31"/>
        <v>#REF!</v>
      </c>
      <c r="S53" s="117" t="e">
        <f t="shared" si="31"/>
        <v>#REF!</v>
      </c>
      <c r="T53" s="117" t="e">
        <f t="shared" si="31"/>
        <v>#REF!</v>
      </c>
      <c r="U53" s="117" t="e">
        <f t="shared" si="31"/>
        <v>#REF!</v>
      </c>
      <c r="V53" s="117" t="e">
        <f t="shared" si="31"/>
        <v>#REF!</v>
      </c>
      <c r="W53" s="117" t="e">
        <f t="shared" si="31"/>
        <v>#REF!</v>
      </c>
      <c r="X53" s="117" t="e">
        <f t="shared" si="31"/>
        <v>#REF!</v>
      </c>
      <c r="Y53" s="117" t="e">
        <f t="shared" si="31"/>
        <v>#REF!</v>
      </c>
      <c r="Z53" s="117" t="e">
        <f t="shared" si="31"/>
        <v>#REF!</v>
      </c>
      <c r="AA53" s="117" t="e">
        <f t="shared" si="31"/>
        <v>#REF!</v>
      </c>
      <c r="AB53" s="117" t="e">
        <f t="shared" si="31"/>
        <v>#REF!</v>
      </c>
      <c r="AC53" s="117" t="e">
        <f t="shared" si="31"/>
        <v>#REF!</v>
      </c>
      <c r="AD53" s="117"/>
      <c r="AE53" s="117">
        <f t="shared" si="31"/>
        <v>1.0000000000000002</v>
      </c>
      <c r="AF53" s="117">
        <f t="shared" si="31"/>
        <v>1.7004282404951676</v>
      </c>
      <c r="AG53" s="117">
        <f t="shared" si="31"/>
        <v>0.18508518896254142</v>
      </c>
      <c r="AH53" s="117">
        <f t="shared" si="31"/>
        <v>1.4035254801881449</v>
      </c>
      <c r="AI53" s="117">
        <f t="shared" si="31"/>
        <v>1.9625436687170121</v>
      </c>
      <c r="AJ53" s="117">
        <f t="shared" si="31"/>
        <v>2.0393462409790626</v>
      </c>
      <c r="AK53" s="117">
        <f t="shared" si="31"/>
        <v>1.9331188641546242</v>
      </c>
      <c r="AL53" s="117">
        <f t="shared" si="31"/>
        <v>1.8233000625794531</v>
      </c>
      <c r="AM53" s="117" t="e">
        <f t="shared" si="31"/>
        <v>#DIV/0!</v>
      </c>
      <c r="AN53" s="117" t="e">
        <f t="shared" si="31"/>
        <v>#DIV/0!</v>
      </c>
      <c r="AO53" s="117" t="e">
        <f t="shared" si="31"/>
        <v>#DIV/0!</v>
      </c>
      <c r="AP53" s="117" t="e">
        <f t="shared" si="31"/>
        <v>#DIV/0!</v>
      </c>
      <c r="AQ53" s="117" t="e">
        <f t="shared" si="31"/>
        <v>#DIV/0!</v>
      </c>
      <c r="AR53" s="117" t="e">
        <f t="shared" si="31"/>
        <v>#DIV/0!</v>
      </c>
      <c r="AS53" s="117" t="e">
        <f t="shared" si="31"/>
        <v>#DIV/0!</v>
      </c>
      <c r="AT53" s="117" t="e">
        <f t="shared" si="31"/>
        <v>#DIV/0!</v>
      </c>
      <c r="AU53" s="117" t="e">
        <f t="shared" si="31"/>
        <v>#DIV/0!</v>
      </c>
      <c r="AV53" s="117" t="e">
        <f t="shared" si="31"/>
        <v>#DIV/0!</v>
      </c>
      <c r="AW53" s="117" t="e">
        <f t="shared" si="31"/>
        <v>#DIV/0!</v>
      </c>
      <c r="AX53" s="117" t="e">
        <f t="shared" si="31"/>
        <v>#DIV/0!</v>
      </c>
      <c r="AY53" s="117" t="e">
        <f t="shared" si="31"/>
        <v>#DIV/0!</v>
      </c>
      <c r="AZ53" s="117" t="e">
        <f t="shared" si="31"/>
        <v>#DIV/0!</v>
      </c>
      <c r="BA53" s="117" t="e">
        <f t="shared" si="31"/>
        <v>#DIV/0!</v>
      </c>
    </row>
    <row r="54" spans="1:53" s="2" customFormat="1" x14ac:dyDescent="0.25">
      <c r="A54" s="45" t="s">
        <v>2</v>
      </c>
      <c r="B54" s="117">
        <f t="shared" ref="B54:BA54" si="32">B48</f>
        <v>3.4669293629873699E-2</v>
      </c>
      <c r="C54" s="117">
        <f t="shared" si="32"/>
        <v>3.1247435412258332E-2</v>
      </c>
      <c r="D54" s="117">
        <f t="shared" si="32"/>
        <v>1.7798842406951131E-2</v>
      </c>
      <c r="E54" s="117">
        <f t="shared" si="32"/>
        <v>2.2226220127888111E-2</v>
      </c>
      <c r="F54" s="117">
        <f t="shared" si="32"/>
        <v>8.5730396589413643E-2</v>
      </c>
      <c r="G54" s="117">
        <f t="shared" si="32"/>
        <v>0.21139426610419731</v>
      </c>
      <c r="H54" s="117">
        <f t="shared" si="32"/>
        <v>0.16855756825603044</v>
      </c>
      <c r="I54" s="117">
        <f t="shared" si="32"/>
        <v>0.10577936649637473</v>
      </c>
      <c r="J54" s="117">
        <f t="shared" si="32"/>
        <v>2.5304594913871818E-2</v>
      </c>
      <c r="K54" s="117">
        <f t="shared" si="32"/>
        <v>4.4486997336644185E-2</v>
      </c>
      <c r="L54" s="117">
        <f t="shared" si="32"/>
        <v>8.3317749263215224E-2</v>
      </c>
      <c r="M54" s="117">
        <f t="shared" si="32"/>
        <v>0.22474737430122574</v>
      </c>
      <c r="N54" s="117" t="e">
        <f t="shared" si="32"/>
        <v>#DIV/0!</v>
      </c>
      <c r="O54" s="117" t="e">
        <f t="shared" si="32"/>
        <v>#REF!</v>
      </c>
      <c r="P54" s="117" t="e">
        <f t="shared" si="32"/>
        <v>#REF!</v>
      </c>
      <c r="Q54" s="117" t="e">
        <f t="shared" si="32"/>
        <v>#REF!</v>
      </c>
      <c r="R54" s="117" t="e">
        <f t="shared" si="32"/>
        <v>#REF!</v>
      </c>
      <c r="S54" s="117" t="e">
        <f t="shared" si="32"/>
        <v>#REF!</v>
      </c>
      <c r="T54" s="117" t="e">
        <f t="shared" si="32"/>
        <v>#REF!</v>
      </c>
      <c r="U54" s="117" t="e">
        <f t="shared" si="32"/>
        <v>#REF!</v>
      </c>
      <c r="V54" s="117" t="e">
        <f t="shared" si="32"/>
        <v>#REF!</v>
      </c>
      <c r="W54" s="117" t="e">
        <f t="shared" si="32"/>
        <v>#REF!</v>
      </c>
      <c r="X54" s="117" t="e">
        <f t="shared" si="32"/>
        <v>#REF!</v>
      </c>
      <c r="Y54" s="117" t="e">
        <f t="shared" si="32"/>
        <v>#REF!</v>
      </c>
      <c r="Z54" s="117" t="e">
        <f t="shared" si="32"/>
        <v>#REF!</v>
      </c>
      <c r="AA54" s="117" t="e">
        <f t="shared" si="32"/>
        <v>#REF!</v>
      </c>
      <c r="AB54" s="117" t="e">
        <f t="shared" si="32"/>
        <v>#REF!</v>
      </c>
      <c r="AC54" s="117" t="e">
        <f t="shared" si="32"/>
        <v>#REF!</v>
      </c>
      <c r="AD54" s="117"/>
      <c r="AE54" s="117">
        <f t="shared" si="32"/>
        <v>9.7222176443897898E-2</v>
      </c>
      <c r="AF54" s="117">
        <f t="shared" si="32"/>
        <v>0.15626501318557764</v>
      </c>
      <c r="AG54" s="117">
        <f t="shared" si="32"/>
        <v>6.3613155886746597E-2</v>
      </c>
      <c r="AH54" s="117">
        <f t="shared" si="32"/>
        <v>0.1690011875132601</v>
      </c>
      <c r="AI54" s="117">
        <f t="shared" si="32"/>
        <v>0.11633382340956197</v>
      </c>
      <c r="AJ54" s="117">
        <f t="shared" si="32"/>
        <v>0.17170975775292183</v>
      </c>
      <c r="AK54" s="117">
        <f t="shared" si="32"/>
        <v>0.12571466300133705</v>
      </c>
      <c r="AL54" s="117">
        <f t="shared" si="32"/>
        <v>0.27235408562392233</v>
      </c>
      <c r="AM54" s="117" t="e">
        <f t="shared" si="32"/>
        <v>#DIV/0!</v>
      </c>
      <c r="AN54" s="117" t="e">
        <f t="shared" si="32"/>
        <v>#DIV/0!</v>
      </c>
      <c r="AO54" s="117" t="e">
        <f t="shared" si="32"/>
        <v>#DIV/0!</v>
      </c>
      <c r="AP54" s="117" t="e">
        <f t="shared" si="32"/>
        <v>#DIV/0!</v>
      </c>
      <c r="AQ54" s="117" t="e">
        <f t="shared" si="32"/>
        <v>#DIV/0!</v>
      </c>
      <c r="AR54" s="117" t="e">
        <f t="shared" si="32"/>
        <v>#DIV/0!</v>
      </c>
      <c r="AS54" s="117" t="e">
        <f t="shared" si="32"/>
        <v>#DIV/0!</v>
      </c>
      <c r="AT54" s="117" t="e">
        <f t="shared" si="32"/>
        <v>#DIV/0!</v>
      </c>
      <c r="AU54" s="117" t="e">
        <f t="shared" si="32"/>
        <v>#DIV/0!</v>
      </c>
      <c r="AV54" s="117" t="e">
        <f t="shared" si="32"/>
        <v>#DIV/0!</v>
      </c>
      <c r="AW54" s="117" t="e">
        <f t="shared" si="32"/>
        <v>#DIV/0!</v>
      </c>
      <c r="AX54" s="117" t="e">
        <f t="shared" si="32"/>
        <v>#DIV/0!</v>
      </c>
      <c r="AY54" s="117" t="e">
        <f t="shared" si="32"/>
        <v>#DIV/0!</v>
      </c>
      <c r="AZ54" s="117" t="e">
        <f t="shared" si="32"/>
        <v>#DIV/0!</v>
      </c>
      <c r="BA54" s="117" t="e">
        <f t="shared" si="32"/>
        <v>#DIV/0!</v>
      </c>
    </row>
    <row r="55" spans="1:53" s="2" customFormat="1" x14ac:dyDescent="0.25">
      <c r="A55" s="45" t="s">
        <v>79</v>
      </c>
      <c r="B55" s="117">
        <f>(B53*100/$B53)-100</f>
        <v>0</v>
      </c>
      <c r="C55" s="117">
        <f t="shared" ref="C55:AC55" si="33">(C53*100/$B53)-100</f>
        <v>12.859052165118626</v>
      </c>
      <c r="D55" s="117">
        <f t="shared" si="33"/>
        <v>-0.31422396778887673</v>
      </c>
      <c r="E55" s="117">
        <f t="shared" si="33"/>
        <v>21.636847112137673</v>
      </c>
      <c r="F55" s="117">
        <f t="shared" si="33"/>
        <v>318.69132788132617</v>
      </c>
      <c r="G55" s="117">
        <f t="shared" si="33"/>
        <v>1280.3521517168547</v>
      </c>
      <c r="H55" s="117">
        <f t="shared" si="33"/>
        <v>1989.0852008544912</v>
      </c>
      <c r="I55" s="117">
        <f t="shared" si="33"/>
        <v>148.80783542330192</v>
      </c>
      <c r="J55" s="117">
        <f t="shared" si="33"/>
        <v>-17.729761675470584</v>
      </c>
      <c r="K55" s="117">
        <f t="shared" si="33"/>
        <v>80.180491852381294</v>
      </c>
      <c r="L55" s="117">
        <f t="shared" si="33"/>
        <v>401.50781660223316</v>
      </c>
      <c r="M55" s="117">
        <f t="shared" si="33"/>
        <v>802.97318693422369</v>
      </c>
      <c r="N55" s="117" t="e">
        <f t="shared" si="33"/>
        <v>#DIV/0!</v>
      </c>
      <c r="O55" s="117" t="e">
        <f t="shared" si="33"/>
        <v>#REF!</v>
      </c>
      <c r="P55" s="117" t="e">
        <f t="shared" si="33"/>
        <v>#REF!</v>
      </c>
      <c r="Q55" s="117" t="e">
        <f t="shared" si="33"/>
        <v>#REF!</v>
      </c>
      <c r="R55" s="117" t="e">
        <f t="shared" si="33"/>
        <v>#REF!</v>
      </c>
      <c r="S55" s="117" t="e">
        <f t="shared" si="33"/>
        <v>#REF!</v>
      </c>
      <c r="T55" s="117" t="e">
        <f t="shared" si="33"/>
        <v>#REF!</v>
      </c>
      <c r="U55" s="117" t="e">
        <f t="shared" si="33"/>
        <v>#REF!</v>
      </c>
      <c r="V55" s="117" t="e">
        <f t="shared" si="33"/>
        <v>#REF!</v>
      </c>
      <c r="W55" s="117" t="e">
        <f t="shared" si="33"/>
        <v>#REF!</v>
      </c>
      <c r="X55" s="117" t="e">
        <f t="shared" si="33"/>
        <v>#REF!</v>
      </c>
      <c r="Y55" s="117" t="e">
        <f t="shared" si="33"/>
        <v>#REF!</v>
      </c>
      <c r="Z55" s="117" t="e">
        <f t="shared" si="33"/>
        <v>#REF!</v>
      </c>
      <c r="AA55" s="117" t="e">
        <f t="shared" si="33"/>
        <v>#REF!</v>
      </c>
      <c r="AB55" s="117" t="e">
        <f t="shared" si="33"/>
        <v>#REF!</v>
      </c>
      <c r="AC55" s="117" t="e">
        <f t="shared" si="33"/>
        <v>#REF!</v>
      </c>
      <c r="AD55" s="117"/>
      <c r="AE55" s="117">
        <f>(AE53*100/$AE53)-100</f>
        <v>0</v>
      </c>
      <c r="AF55" s="117">
        <f t="shared" ref="AF55:BA55" si="34">(AF53*100/$AE53)-100</f>
        <v>70.042824049516724</v>
      </c>
      <c r="AG55" s="117">
        <f t="shared" si="34"/>
        <v>-81.491481103745855</v>
      </c>
      <c r="AH55" s="117">
        <f t="shared" si="34"/>
        <v>40.352548018814474</v>
      </c>
      <c r="AI55" s="117">
        <f t="shared" si="34"/>
        <v>96.254366871701166</v>
      </c>
      <c r="AJ55" s="117">
        <f t="shared" si="34"/>
        <v>103.93462409790621</v>
      </c>
      <c r="AK55" s="117">
        <f t="shared" si="34"/>
        <v>93.311886415462368</v>
      </c>
      <c r="AL55" s="117">
        <f t="shared" si="34"/>
        <v>82.330006257945286</v>
      </c>
      <c r="AM55" s="117" t="e">
        <f t="shared" si="34"/>
        <v>#DIV/0!</v>
      </c>
      <c r="AN55" s="117" t="e">
        <f t="shared" si="34"/>
        <v>#DIV/0!</v>
      </c>
      <c r="AO55" s="117" t="e">
        <f t="shared" si="34"/>
        <v>#DIV/0!</v>
      </c>
      <c r="AP55" s="117" t="e">
        <f t="shared" si="34"/>
        <v>#DIV/0!</v>
      </c>
      <c r="AQ55" s="117" t="e">
        <f t="shared" si="34"/>
        <v>#DIV/0!</v>
      </c>
      <c r="AR55" s="117" t="e">
        <f t="shared" si="34"/>
        <v>#DIV/0!</v>
      </c>
      <c r="AS55" s="117" t="e">
        <f t="shared" si="34"/>
        <v>#DIV/0!</v>
      </c>
      <c r="AT55" s="117" t="e">
        <f t="shared" si="34"/>
        <v>#DIV/0!</v>
      </c>
      <c r="AU55" s="117" t="e">
        <f t="shared" si="34"/>
        <v>#DIV/0!</v>
      </c>
      <c r="AV55" s="117" t="e">
        <f t="shared" si="34"/>
        <v>#DIV/0!</v>
      </c>
      <c r="AW55" s="117" t="e">
        <f t="shared" si="34"/>
        <v>#DIV/0!</v>
      </c>
      <c r="AX55" s="117" t="e">
        <f t="shared" si="34"/>
        <v>#DIV/0!</v>
      </c>
      <c r="AY55" s="117" t="e">
        <f t="shared" si="34"/>
        <v>#DIV/0!</v>
      </c>
      <c r="AZ55" s="117" t="e">
        <f t="shared" si="34"/>
        <v>#DIV/0!</v>
      </c>
      <c r="BA55" s="117" t="e">
        <f t="shared" si="34"/>
        <v>#DIV/0!</v>
      </c>
    </row>
    <row r="56" spans="1:53" s="2" customFormat="1" x14ac:dyDescent="0.25">
      <c r="A56" s="45" t="s">
        <v>81</v>
      </c>
      <c r="B56" s="117" t="e">
        <f ca="1">[1]!SWTEST(B28:B43)</f>
        <v>#NAME?</v>
      </c>
      <c r="C56" s="117" t="e">
        <f ca="1">[1]!SWTEST(C28:C43)</f>
        <v>#NAME?</v>
      </c>
      <c r="D56" s="117" t="e">
        <f ca="1">[1]!SWTEST(D28:D43)</f>
        <v>#NAME?</v>
      </c>
      <c r="E56" s="117" t="e">
        <f ca="1">[1]!SWTEST(E28:E43)</f>
        <v>#NAME?</v>
      </c>
      <c r="F56" s="117" t="e">
        <f ca="1">[1]!SWTEST(F28:F43)</f>
        <v>#NAME?</v>
      </c>
      <c r="G56" s="117" t="e">
        <f ca="1">[1]!SWTEST(G28:G43)</f>
        <v>#NAME?</v>
      </c>
      <c r="H56" s="117" t="e">
        <f ca="1">[1]!SWTEST(H28:H43)</f>
        <v>#NAME?</v>
      </c>
      <c r="I56" s="117" t="e">
        <f ca="1">[1]!SWTEST(I28:I43)</f>
        <v>#NAME?</v>
      </c>
      <c r="J56" s="117" t="e">
        <f ca="1">[1]!SWTEST(J28:J43)</f>
        <v>#NAME?</v>
      </c>
      <c r="K56" s="117" t="e">
        <f ca="1">[1]!SWTEST(K28:K43)</f>
        <v>#NAME?</v>
      </c>
      <c r="L56" s="117" t="e">
        <f ca="1">[1]!SWTEST(L28:L43)</f>
        <v>#NAME?</v>
      </c>
      <c r="M56" s="117" t="e">
        <f ca="1">[1]!SWTEST(M28:M43)</f>
        <v>#NAME?</v>
      </c>
      <c r="N56" s="117" t="e">
        <f ca="1">[2]!SWTEST(N28:N43)</f>
        <v>#NAME?</v>
      </c>
      <c r="O56" s="117" t="e">
        <f ca="1">[2]!SWTEST(O28:O43)</f>
        <v>#NAME?</v>
      </c>
      <c r="P56" s="117" t="e">
        <f ca="1">[2]!SWTEST(P28:P43)</f>
        <v>#NAME?</v>
      </c>
      <c r="Q56" s="117" t="e">
        <f ca="1">[2]!SWTEST(Q28:Q43)</f>
        <v>#NAME?</v>
      </c>
      <c r="R56" s="117" t="e">
        <f ca="1">[2]!SWTEST(R28:R43)</f>
        <v>#NAME?</v>
      </c>
      <c r="S56" s="117" t="e">
        <f ca="1">[2]!SWTEST(S28:S43)</f>
        <v>#NAME?</v>
      </c>
      <c r="T56" s="117" t="e">
        <f ca="1">[2]!SWTEST(T28:T43)</f>
        <v>#NAME?</v>
      </c>
      <c r="U56" s="117" t="e">
        <f ca="1">[2]!SWTEST(U28:U43)</f>
        <v>#NAME?</v>
      </c>
      <c r="V56" s="117" t="e">
        <f ca="1">[2]!SWTEST(V28:V43)</f>
        <v>#NAME?</v>
      </c>
      <c r="W56" s="117" t="e">
        <f ca="1">[2]!SWTEST(W28:W43)</f>
        <v>#NAME?</v>
      </c>
      <c r="X56" s="117" t="e">
        <f ca="1">[2]!SWTEST(X28:X43)</f>
        <v>#NAME?</v>
      </c>
      <c r="Y56" s="117" t="e">
        <f ca="1">[2]!SWTEST(Y28:Y43)</f>
        <v>#NAME?</v>
      </c>
      <c r="Z56" s="117" t="e">
        <f ca="1">[2]!SWTEST(Z28:Z43)</f>
        <v>#NAME?</v>
      </c>
      <c r="AA56" s="117" t="e">
        <f ca="1">[2]!SWTEST(AA28:AA43)</f>
        <v>#NAME?</v>
      </c>
      <c r="AB56" s="117" t="e">
        <f ca="1">[2]!SWTEST(AB28:AB43)</f>
        <v>#NAME?</v>
      </c>
      <c r="AC56" s="117" t="e">
        <f ca="1">[2]!SWTEST(AC28:AC43)</f>
        <v>#NAME?</v>
      </c>
      <c r="AD56" s="117"/>
      <c r="AE56" s="117" t="e">
        <f ca="1">[1]!SWTEST(AE28:AE43)</f>
        <v>#NAME?</v>
      </c>
      <c r="AF56" s="117" t="e">
        <f ca="1">[1]!SWTEST(AF28:AF43)</f>
        <v>#NAME?</v>
      </c>
      <c r="AG56" s="117" t="e">
        <f ca="1">[1]!SWTEST(AG28:AG43)</f>
        <v>#NAME?</v>
      </c>
      <c r="AH56" s="117" t="e">
        <f ca="1">[1]!SWTEST(AH28:AH43)</f>
        <v>#NAME?</v>
      </c>
      <c r="AI56" s="117" t="e">
        <f ca="1">[1]!SWTEST(AI28:AI43)</f>
        <v>#NAME?</v>
      </c>
      <c r="AJ56" s="117" t="e">
        <f ca="1">[1]!SWTEST(AJ28:AJ43)</f>
        <v>#NAME?</v>
      </c>
      <c r="AK56" s="117" t="e">
        <f ca="1">[1]!SWTEST(AK28:AK43)</f>
        <v>#NAME?</v>
      </c>
      <c r="AL56" s="117" t="e">
        <f ca="1">[1]!SWTEST(AL28:AL43)</f>
        <v>#NAME?</v>
      </c>
      <c r="AM56" s="117" t="e">
        <f ca="1">[1]!SWTEST(AM28:AM43)</f>
        <v>#NAME?</v>
      </c>
      <c r="AN56" s="117" t="e">
        <f ca="1">[1]!SWTEST(AN28:AN43)</f>
        <v>#NAME?</v>
      </c>
      <c r="AO56" s="117" t="e">
        <f ca="1">[1]!SWTEST(AO28:AO43)</f>
        <v>#NAME?</v>
      </c>
      <c r="AP56" s="117" t="e">
        <f ca="1">[1]!SWTEST(AP28:AP43)</f>
        <v>#NAME?</v>
      </c>
      <c r="AQ56" s="117" t="e">
        <f ca="1">[1]!SWTEST(AQ28:AQ43)</f>
        <v>#NAME?</v>
      </c>
      <c r="AR56" s="117" t="e">
        <f ca="1">[1]!SWTEST(AR28:AR43)</f>
        <v>#NAME?</v>
      </c>
      <c r="AS56" s="117" t="e">
        <f ca="1">[1]!SWTEST(AS28:AS43)</f>
        <v>#NAME?</v>
      </c>
      <c r="AT56" s="117" t="e">
        <f ca="1">[1]!SWTEST(AT28:AT43)</f>
        <v>#NAME?</v>
      </c>
      <c r="AU56" s="117" t="e">
        <f ca="1">[1]!SWTEST(AU28:AU43)</f>
        <v>#NAME?</v>
      </c>
      <c r="AV56" s="117" t="e">
        <f ca="1">[1]!SWTEST(AV28:AV43)</f>
        <v>#NAME?</v>
      </c>
      <c r="AW56" s="117" t="e">
        <f ca="1">[1]!SWTEST(AW28:AW43)</f>
        <v>#NAME?</v>
      </c>
      <c r="AX56" s="117" t="e">
        <f ca="1">[1]!SWTEST(AX28:AX43)</f>
        <v>#NAME?</v>
      </c>
      <c r="AY56" s="117" t="e">
        <f ca="1">[1]!SWTEST(AY28:AY43)</f>
        <v>#NAME?</v>
      </c>
      <c r="AZ56" s="117" t="e">
        <f ca="1">[1]!SWTEST(AZ28:AZ43)</f>
        <v>#NAME?</v>
      </c>
      <c r="BA56" s="117" t="e">
        <f ca="1">[1]!SWTEST(BA28:BA43)</f>
        <v>#NAME?</v>
      </c>
    </row>
    <row r="57" spans="1:53" s="2" customFormat="1" x14ac:dyDescent="0.25">
      <c r="A57" s="45" t="s">
        <v>85</v>
      </c>
      <c r="B57" s="117" t="e">
        <f ca="1">IF(B56&gt;0.05,"Oui","Non")</f>
        <v>#NAME?</v>
      </c>
      <c r="C57" s="117" t="e">
        <f t="shared" ref="C57:BA57" ca="1" si="35">IF(C56&gt;0.05,"Oui","Non")</f>
        <v>#NAME?</v>
      </c>
      <c r="D57" s="117" t="e">
        <f t="shared" ca="1" si="35"/>
        <v>#NAME?</v>
      </c>
      <c r="E57" s="117" t="e">
        <f t="shared" ca="1" si="35"/>
        <v>#NAME?</v>
      </c>
      <c r="F57" s="117" t="e">
        <f t="shared" ca="1" si="35"/>
        <v>#NAME?</v>
      </c>
      <c r="G57" s="117" t="e">
        <f t="shared" ca="1" si="35"/>
        <v>#NAME?</v>
      </c>
      <c r="H57" s="117" t="e">
        <f t="shared" ca="1" si="35"/>
        <v>#NAME?</v>
      </c>
      <c r="I57" s="117" t="e">
        <f t="shared" ca="1" si="35"/>
        <v>#NAME?</v>
      </c>
      <c r="J57" s="117" t="e">
        <f t="shared" ca="1" si="35"/>
        <v>#NAME?</v>
      </c>
      <c r="K57" s="117" t="e">
        <f t="shared" ca="1" si="35"/>
        <v>#NAME?</v>
      </c>
      <c r="L57" s="117" t="e">
        <f t="shared" ca="1" si="35"/>
        <v>#NAME?</v>
      </c>
      <c r="M57" s="117" t="e">
        <f t="shared" ca="1" si="35"/>
        <v>#NAME?</v>
      </c>
      <c r="N57" s="117" t="e">
        <f t="shared" ca="1" si="35"/>
        <v>#NAME?</v>
      </c>
      <c r="O57" s="117" t="e">
        <f t="shared" ca="1" si="35"/>
        <v>#NAME?</v>
      </c>
      <c r="P57" s="117" t="e">
        <f t="shared" ca="1" si="35"/>
        <v>#NAME?</v>
      </c>
      <c r="Q57" s="117" t="e">
        <f t="shared" ca="1" si="35"/>
        <v>#NAME?</v>
      </c>
      <c r="R57" s="117" t="e">
        <f t="shared" ca="1" si="35"/>
        <v>#NAME?</v>
      </c>
      <c r="S57" s="117" t="e">
        <f t="shared" ca="1" si="35"/>
        <v>#NAME?</v>
      </c>
      <c r="T57" s="117" t="e">
        <f t="shared" ca="1" si="35"/>
        <v>#NAME?</v>
      </c>
      <c r="U57" s="117" t="e">
        <f t="shared" ca="1" si="35"/>
        <v>#NAME?</v>
      </c>
      <c r="V57" s="117" t="e">
        <f t="shared" ca="1" si="35"/>
        <v>#NAME?</v>
      </c>
      <c r="W57" s="117" t="e">
        <f t="shared" ca="1" si="35"/>
        <v>#NAME?</v>
      </c>
      <c r="X57" s="117" t="e">
        <f t="shared" ca="1" si="35"/>
        <v>#NAME?</v>
      </c>
      <c r="Y57" s="117" t="e">
        <f t="shared" ca="1" si="35"/>
        <v>#NAME?</v>
      </c>
      <c r="Z57" s="117" t="e">
        <f t="shared" ca="1" si="35"/>
        <v>#NAME?</v>
      </c>
      <c r="AA57" s="117" t="e">
        <f t="shared" ca="1" si="35"/>
        <v>#NAME?</v>
      </c>
      <c r="AB57" s="117" t="e">
        <f t="shared" ca="1" si="35"/>
        <v>#NAME?</v>
      </c>
      <c r="AC57" s="117" t="e">
        <f t="shared" ca="1" si="35"/>
        <v>#NAME?</v>
      </c>
      <c r="AD57" s="117"/>
      <c r="AE57" s="117" t="e">
        <f t="shared" ca="1" si="35"/>
        <v>#NAME?</v>
      </c>
      <c r="AF57" s="117" t="e">
        <f t="shared" ca="1" si="35"/>
        <v>#NAME?</v>
      </c>
      <c r="AG57" s="117" t="e">
        <f t="shared" ca="1" si="35"/>
        <v>#NAME?</v>
      </c>
      <c r="AH57" s="117" t="e">
        <f t="shared" ca="1" si="35"/>
        <v>#NAME?</v>
      </c>
      <c r="AI57" s="117" t="e">
        <f t="shared" ca="1" si="35"/>
        <v>#NAME?</v>
      </c>
      <c r="AJ57" s="117" t="e">
        <f t="shared" ca="1" si="35"/>
        <v>#NAME?</v>
      </c>
      <c r="AK57" s="117" t="e">
        <f t="shared" ca="1" si="35"/>
        <v>#NAME?</v>
      </c>
      <c r="AL57" s="117" t="e">
        <f t="shared" ca="1" si="35"/>
        <v>#NAME?</v>
      </c>
      <c r="AM57" s="117" t="e">
        <f t="shared" ca="1" si="35"/>
        <v>#NAME?</v>
      </c>
      <c r="AN57" s="117" t="e">
        <f t="shared" ca="1" si="35"/>
        <v>#NAME?</v>
      </c>
      <c r="AO57" s="117" t="e">
        <f t="shared" ca="1" si="35"/>
        <v>#NAME?</v>
      </c>
      <c r="AP57" s="117" t="e">
        <f t="shared" ca="1" si="35"/>
        <v>#NAME?</v>
      </c>
      <c r="AQ57" s="117" t="e">
        <f t="shared" ca="1" si="35"/>
        <v>#NAME?</v>
      </c>
      <c r="AR57" s="117" t="e">
        <f t="shared" ca="1" si="35"/>
        <v>#NAME?</v>
      </c>
      <c r="AS57" s="117" t="e">
        <f t="shared" ca="1" si="35"/>
        <v>#NAME?</v>
      </c>
      <c r="AT57" s="117" t="e">
        <f t="shared" ca="1" si="35"/>
        <v>#NAME?</v>
      </c>
      <c r="AU57" s="117" t="e">
        <f t="shared" ca="1" si="35"/>
        <v>#NAME?</v>
      </c>
      <c r="AV57" s="117" t="e">
        <f t="shared" ca="1" si="35"/>
        <v>#NAME?</v>
      </c>
      <c r="AW57" s="117" t="e">
        <f t="shared" ca="1" si="35"/>
        <v>#NAME?</v>
      </c>
      <c r="AX57" s="117" t="e">
        <f t="shared" ca="1" si="35"/>
        <v>#NAME?</v>
      </c>
      <c r="AY57" s="117" t="e">
        <f t="shared" ca="1" si="35"/>
        <v>#NAME?</v>
      </c>
      <c r="AZ57" s="117" t="e">
        <f t="shared" ca="1" si="35"/>
        <v>#NAME?</v>
      </c>
      <c r="BA57" s="117" t="e">
        <f t="shared" ca="1" si="35"/>
        <v>#NAME?</v>
      </c>
    </row>
    <row r="58" spans="1:53" s="2" customFormat="1" x14ac:dyDescent="0.25">
      <c r="A58" s="45"/>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24"/>
      <c r="AE58" s="125"/>
      <c r="AF58" s="117"/>
      <c r="AG58" s="117"/>
      <c r="AH58" s="117"/>
      <c r="AI58" s="117"/>
      <c r="AJ58" s="117"/>
      <c r="AK58" s="117"/>
      <c r="AL58" s="117"/>
      <c r="AM58" s="117"/>
      <c r="AN58" s="117"/>
      <c r="AO58" s="117"/>
      <c r="AP58" s="117"/>
      <c r="AQ58" s="117"/>
      <c r="AR58" s="117"/>
      <c r="AS58" s="117"/>
      <c r="AT58" s="117"/>
      <c r="AU58" s="126"/>
      <c r="AV58" s="126"/>
      <c r="AW58" s="126"/>
      <c r="AX58" s="126"/>
      <c r="AY58" s="126"/>
      <c r="AZ58" s="126"/>
      <c r="BA58" s="127"/>
    </row>
    <row r="59" spans="1:53" s="2" customFormat="1" x14ac:dyDescent="0.25">
      <c r="A59" s="45" t="s">
        <v>82</v>
      </c>
      <c r="B59" s="128"/>
      <c r="C59" s="128" t="e">
        <f t="shared" ref="C59:AE59" ca="1" si="36">IF($B57="Non",IF(C57="Non","MW",IF(C57="Oui","MW","")),IF($B57="Oui",IF(C57="Oui","T-Test Welch",IF(C57="Non","MW",""))))</f>
        <v>#NAME?</v>
      </c>
      <c r="D59" s="128" t="e">
        <f t="shared" ca="1" si="36"/>
        <v>#NAME?</v>
      </c>
      <c r="E59" s="128" t="e">
        <f t="shared" ca="1" si="36"/>
        <v>#NAME?</v>
      </c>
      <c r="F59" s="128" t="e">
        <f t="shared" ca="1" si="36"/>
        <v>#NAME?</v>
      </c>
      <c r="G59" s="128" t="e">
        <f t="shared" ca="1" si="36"/>
        <v>#NAME?</v>
      </c>
      <c r="H59" s="128" t="e">
        <f t="shared" ca="1" si="36"/>
        <v>#NAME?</v>
      </c>
      <c r="I59" s="128" t="e">
        <f t="shared" ca="1" si="36"/>
        <v>#NAME?</v>
      </c>
      <c r="J59" s="128" t="e">
        <f t="shared" ca="1" si="36"/>
        <v>#NAME?</v>
      </c>
      <c r="K59" s="128" t="e">
        <f t="shared" ca="1" si="36"/>
        <v>#NAME?</v>
      </c>
      <c r="L59" s="128" t="e">
        <f t="shared" ca="1" si="36"/>
        <v>#NAME?</v>
      </c>
      <c r="M59" s="128" t="e">
        <f t="shared" ca="1" si="36"/>
        <v>#NAME?</v>
      </c>
      <c r="N59" s="128" t="e">
        <f t="shared" ca="1" si="36"/>
        <v>#NAME?</v>
      </c>
      <c r="O59" s="128" t="e">
        <f t="shared" ca="1" si="36"/>
        <v>#NAME?</v>
      </c>
      <c r="P59" s="128" t="e">
        <f t="shared" ca="1" si="36"/>
        <v>#NAME?</v>
      </c>
      <c r="Q59" s="128" t="e">
        <f t="shared" ca="1" si="36"/>
        <v>#NAME?</v>
      </c>
      <c r="R59" s="128" t="e">
        <f t="shared" ca="1" si="36"/>
        <v>#NAME?</v>
      </c>
      <c r="S59" s="128" t="e">
        <f t="shared" ca="1" si="36"/>
        <v>#NAME?</v>
      </c>
      <c r="T59" s="128" t="e">
        <f t="shared" ca="1" si="36"/>
        <v>#NAME?</v>
      </c>
      <c r="U59" s="128" t="e">
        <f t="shared" ca="1" si="36"/>
        <v>#NAME?</v>
      </c>
      <c r="V59" s="128" t="e">
        <f t="shared" ca="1" si="36"/>
        <v>#NAME?</v>
      </c>
      <c r="W59" s="128" t="e">
        <f t="shared" ca="1" si="36"/>
        <v>#NAME?</v>
      </c>
      <c r="X59" s="128" t="e">
        <f t="shared" ca="1" si="36"/>
        <v>#NAME?</v>
      </c>
      <c r="Y59" s="128" t="e">
        <f t="shared" ca="1" si="36"/>
        <v>#NAME?</v>
      </c>
      <c r="Z59" s="128" t="e">
        <f t="shared" ca="1" si="36"/>
        <v>#NAME?</v>
      </c>
      <c r="AA59" s="128" t="e">
        <f t="shared" ca="1" si="36"/>
        <v>#NAME?</v>
      </c>
      <c r="AB59" s="128" t="e">
        <f t="shared" ca="1" si="36"/>
        <v>#NAME?</v>
      </c>
      <c r="AC59" s="128" t="e">
        <f t="shared" ca="1" si="36"/>
        <v>#NAME?</v>
      </c>
      <c r="AD59" s="128"/>
      <c r="AE59" s="128" t="e">
        <f t="shared" ca="1" si="36"/>
        <v>#NAME?</v>
      </c>
      <c r="AF59" s="128" t="e">
        <f ca="1">IF($AE57="Non",IF(AF57="Non","MW",IF(AF57="Oui","MW","")),IF($AE57="Oui",IF(AF57="Oui","T-Test Welch",IF(AF57="Non","MW",""))))</f>
        <v>#NAME?</v>
      </c>
      <c r="AG59" s="128" t="e">
        <f ca="1">IF($AE57="Non",IF(AG57="Non","MW",IF(AG57="Oui","MW","")),IF($AE57="Oui",IF(AG57="Oui","T-Test Welch",IF(AG57="Non","MW",""))))</f>
        <v>#NAME?</v>
      </c>
      <c r="AH59" s="128" t="e">
        <f t="shared" ref="AH59:BA59" ca="1" si="37">IF($AE57="Non",IF(AH57="Non","MW",IF(AH57="Oui","MW","")),IF($AE57="Oui",IF(AH57="Oui","T-Test Welch",IF(AH57="Non","MW",""))))</f>
        <v>#NAME?</v>
      </c>
      <c r="AI59" s="128" t="e">
        <f t="shared" ca="1" si="37"/>
        <v>#NAME?</v>
      </c>
      <c r="AJ59" s="128" t="e">
        <f t="shared" ca="1" si="37"/>
        <v>#NAME?</v>
      </c>
      <c r="AK59" s="128" t="e">
        <f t="shared" ca="1" si="37"/>
        <v>#NAME?</v>
      </c>
      <c r="AL59" s="128" t="e">
        <f t="shared" ca="1" si="37"/>
        <v>#NAME?</v>
      </c>
      <c r="AM59" s="128" t="e">
        <f t="shared" ca="1" si="37"/>
        <v>#NAME?</v>
      </c>
      <c r="AN59" s="128" t="e">
        <f t="shared" ca="1" si="37"/>
        <v>#NAME?</v>
      </c>
      <c r="AO59" s="128" t="e">
        <f t="shared" ca="1" si="37"/>
        <v>#NAME?</v>
      </c>
      <c r="AP59" s="128" t="e">
        <f t="shared" ca="1" si="37"/>
        <v>#NAME?</v>
      </c>
      <c r="AQ59" s="128" t="e">
        <f t="shared" ca="1" si="37"/>
        <v>#NAME?</v>
      </c>
      <c r="AR59" s="128" t="e">
        <f t="shared" ca="1" si="37"/>
        <v>#NAME?</v>
      </c>
      <c r="AS59" s="128" t="e">
        <f t="shared" ca="1" si="37"/>
        <v>#NAME?</v>
      </c>
      <c r="AT59" s="128" t="e">
        <f t="shared" ca="1" si="37"/>
        <v>#NAME?</v>
      </c>
      <c r="AU59" s="128" t="e">
        <f t="shared" ca="1" si="37"/>
        <v>#NAME?</v>
      </c>
      <c r="AV59" s="128" t="e">
        <f t="shared" ca="1" si="37"/>
        <v>#NAME?</v>
      </c>
      <c r="AW59" s="128" t="e">
        <f t="shared" ca="1" si="37"/>
        <v>#NAME?</v>
      </c>
      <c r="AX59" s="128" t="e">
        <f t="shared" ca="1" si="37"/>
        <v>#NAME?</v>
      </c>
      <c r="AY59" s="128" t="e">
        <f t="shared" ca="1" si="37"/>
        <v>#NAME?</v>
      </c>
      <c r="AZ59" s="128" t="e">
        <f t="shared" ca="1" si="37"/>
        <v>#NAME?</v>
      </c>
      <c r="BA59" s="128" t="e">
        <f t="shared" ca="1" si="37"/>
        <v>#NAME?</v>
      </c>
    </row>
    <row r="60" spans="1:53" s="2" customFormat="1" x14ac:dyDescent="0.25">
      <c r="A60" s="45" t="s">
        <v>83</v>
      </c>
      <c r="B60" s="129"/>
      <c r="C60" s="129" t="e">
        <f ca="1">IF(C59="MW",[1]!MTEST($B28:$B43,C28:C43,2), IF(C59="T-Test Welch",_xlfn.T.TEST($B28:$B43,C28:C43,2,3),""))</f>
        <v>#NAME?</v>
      </c>
      <c r="D60" s="129" t="e">
        <f ca="1">IF(D59="MW",[1]!MTEST($B28:$B43,D28:D43,2), IF(D59="T-Test Welch",_xlfn.T.TEST($B28:$B43,D28:D43,2,3),""))</f>
        <v>#NAME?</v>
      </c>
      <c r="E60" s="129" t="e">
        <f ca="1">IF(E59="MW",[1]!MTEST($B28:$B43,E28:E43,2), IF(E59="T-Test Welch",_xlfn.T.TEST($B28:$B43,E28:E43,2,3),""))</f>
        <v>#NAME?</v>
      </c>
      <c r="F60" s="129" t="e">
        <f ca="1">IF(F59="MW",[1]!MTEST($B28:$B43,F28:F43,2), IF(F59="T-Test Welch",_xlfn.T.TEST($B28:$B43,F28:F43,2,3),""))</f>
        <v>#NAME?</v>
      </c>
      <c r="G60" s="129" t="e">
        <f ca="1">IF(G59="MW",[1]!MTEST($B28:$B43,G28:G43,2), IF(G59="T-Test Welch",_xlfn.T.TEST($B28:$B43,G28:G43,2,3),""))</f>
        <v>#NAME?</v>
      </c>
      <c r="H60" s="129" t="e">
        <f ca="1">IF(H59="MW",[1]!MTEST($B28:$B43,H28:H43,2), IF(H59="T-Test Welch",_xlfn.T.TEST($B28:$B43,H28:H43,2,3),""))</f>
        <v>#NAME?</v>
      </c>
      <c r="I60" s="129" t="e">
        <f ca="1">IF(I59="MW",[1]!MTEST($B28:$B43,I28:I43,2), IF(I59="T-Test Welch",_xlfn.T.TEST($B28:$B43,I28:I43,2,3),""))</f>
        <v>#NAME?</v>
      </c>
      <c r="J60" s="129" t="e">
        <f ca="1">IF(J59="MW",[1]!MTEST($B28:$B43,J28:J43,2), IF(J59="T-Test Welch",_xlfn.T.TEST($B28:$B43,J28:J43,2,3),""))</f>
        <v>#NAME?</v>
      </c>
      <c r="K60" s="129" t="e">
        <f ca="1">IF(K59="MW",[1]!MTEST($B28:$B43,K28:K43,2), IF(K59="T-Test Welch",_xlfn.T.TEST($B28:$B43,K28:K43,2,3),""))</f>
        <v>#NAME?</v>
      </c>
      <c r="L60" s="129" t="e">
        <f ca="1">IF(L59="MW",[1]!MTEST($B28:$B43,L28:L43,2), IF(L59="T-Test Welch",_xlfn.T.TEST($B28:$B43,L28:L43,2,3),""))</f>
        <v>#NAME?</v>
      </c>
      <c r="M60" s="129" t="e">
        <f ca="1">IF(M59="MW",[1]!MTEST($B28:$B43,M28:M43,2), IF(M59="T-Test Welch",_xlfn.T.TEST($B28:$B43,M28:M43,2,3),""))</f>
        <v>#NAME?</v>
      </c>
      <c r="N60" s="129" t="e">
        <f ca="1">IF(N59="MW",[2]!MTEST($B28:$B43,N28:N43,2), IF(N59="T-Test Welch",_xlfn.T.TEST($B28:$B43,N28:N43,2,3),""))</f>
        <v>#NAME?</v>
      </c>
      <c r="O60" s="129" t="e">
        <f ca="1">IF(O59="MW",[2]!MTEST($B28:$B43,O28:O43,2), IF(O59="T-Test Welch",_xlfn.T.TEST($B28:$B43,O28:O43,2,3),""))</f>
        <v>#NAME?</v>
      </c>
      <c r="P60" s="129" t="e">
        <f ca="1">IF(P59="MW",[2]!MTEST($B28:$B43,P28:P43,2), IF(P59="T-Test Welch",_xlfn.T.TEST($B28:$B43,P28:P43,2,3),""))</f>
        <v>#NAME?</v>
      </c>
      <c r="Q60" s="129" t="e">
        <f ca="1">IF(Q59="MW",[2]!MTEST($B28:$B43,Q28:Q43,2), IF(Q59="T-Test Welch",_xlfn.T.TEST($B28:$B43,Q28:Q43,2,3),""))</f>
        <v>#NAME?</v>
      </c>
      <c r="R60" s="129" t="e">
        <f ca="1">IF(R59="MW",[2]!MTEST($B28:$B43,R28:R43,2), IF(R59="T-Test Welch",_xlfn.T.TEST($B28:$B43,R28:R43,2,3),""))</f>
        <v>#NAME?</v>
      </c>
      <c r="S60" s="129" t="e">
        <f ca="1">IF(S59="MW",[2]!MTEST($B28:$B43,S28:S43,2), IF(S59="T-Test Welch",_xlfn.T.TEST($B28:$B43,S28:S43,2,3),""))</f>
        <v>#NAME?</v>
      </c>
      <c r="T60" s="129" t="e">
        <f ca="1">IF(T59="MW",[2]!MTEST($B28:$B43,T28:T43,2), IF(T59="T-Test Welch",_xlfn.T.TEST($B28:$B43,T28:T43,2,3),""))</f>
        <v>#NAME?</v>
      </c>
      <c r="U60" s="129" t="e">
        <f ca="1">IF(U59="MW",[2]!MTEST($B28:$B43,U28:U43,2), IF(U59="T-Test Welch",_xlfn.T.TEST($B28:$B43,U28:U43,2,3),""))</f>
        <v>#NAME?</v>
      </c>
      <c r="V60" s="129" t="e">
        <f ca="1">IF(V59="MW",[2]!MTEST($B28:$B43,V28:V43,2), IF(V59="T-Test Welch",_xlfn.T.TEST($B28:$B43,V28:V43,2,3),""))</f>
        <v>#NAME?</v>
      </c>
      <c r="W60" s="129" t="e">
        <f ca="1">IF(W59="MW",[2]!MTEST($B28:$B43,W28:W43,2), IF(W59="T-Test Welch",_xlfn.T.TEST($B28:$B43,W28:W43,2,3),""))</f>
        <v>#NAME?</v>
      </c>
      <c r="X60" s="129" t="e">
        <f ca="1">IF(X59="MW",[2]!MTEST($B28:$B43,X28:X43,2), IF(X59="T-Test Welch",_xlfn.T.TEST($B28:$B43,X28:X43,2,3),""))</f>
        <v>#NAME?</v>
      </c>
      <c r="Y60" s="129" t="e">
        <f ca="1">IF(Y59="MW",[2]!MTEST($B28:$B43,Y28:Y43,2), IF(Y59="T-Test Welch",_xlfn.T.TEST($B28:$B43,Y28:Y43,2,3),""))</f>
        <v>#NAME?</v>
      </c>
      <c r="Z60" s="129" t="e">
        <f ca="1">IF(Z59="MW",[2]!MTEST($B28:$B43,Z28:Z43,2), IF(Z59="T-Test Welch",_xlfn.T.TEST($B28:$B43,Z28:Z43,2,3),""))</f>
        <v>#NAME?</v>
      </c>
      <c r="AA60" s="129" t="e">
        <f ca="1">IF(AA59="MW",[2]!MTEST($B28:$B43,AA28:AA43,2), IF(AA59="T-Test Welch",_xlfn.T.TEST($B28:$B43,AA28:AA43,2,3),""))</f>
        <v>#NAME?</v>
      </c>
      <c r="AB60" s="129" t="e">
        <f ca="1">IF(AB59="MW",[2]!MTEST($B28:$B43,AB28:AB43,2), IF(AB59="T-Test Welch",_xlfn.T.TEST($B28:$B43,AB28:AB43,2,3),""))</f>
        <v>#NAME?</v>
      </c>
      <c r="AC60" s="129" t="e">
        <f ca="1">IF(AC59="MW",[2]!MTEST($B28:$B43,AC28:AC43,2), IF(AC59="T-Test Welch",_xlfn.T.TEST($B28:$B43,AC28:AC43,2,3),""))</f>
        <v>#NAME?</v>
      </c>
      <c r="AD60" s="129"/>
      <c r="AE60" s="129" t="e">
        <f ca="1">IF(AE59="MW",[1]!MTEST($B28:$B43,AE28:AE43,2), IF(AE59="T-Test Welch",_xlfn.T.TEST($B28:$B43,AE28:AE43,2,3),""))</f>
        <v>#NAME?</v>
      </c>
      <c r="AF60" s="129" t="e">
        <f ca="1">IF(AF59="MW",[1]!MTEST($B28:$B43,AF28:AF43,2), IF(AF59="T-Test Welch",_xlfn.T.TEST($B28:$B43,AF28:AF43,2,3),""))</f>
        <v>#NAME?</v>
      </c>
      <c r="AG60" s="129" t="e">
        <f ca="1">IF(AG59="MW",[1]!MTEST($AE28:$AE43,AG28:AG43,2), IF(AG59="T-Test Welch",_xlfn.T.TEST($AE28:$AE43,AG28:AG43,2,3),""))</f>
        <v>#NAME?</v>
      </c>
      <c r="AH60" s="129" t="e">
        <f ca="1">IF(AH59="MW",[2]!MTEST($AE28:$AE43,AH28:AH43,2), IF(AH59="T-Test Welch",_xlfn.T.TEST($AE28:$AE43,AH28:AH43,2,3),""))</f>
        <v>#NAME?</v>
      </c>
      <c r="AI60" s="129" t="e">
        <f ca="1">IF(AI59="MW",[2]!MTEST($AE28:$AE43,AI28:AI43,2), IF(AI59="T-Test Welch",_xlfn.T.TEST($AE28:$AE43,AI28:AI43,2,3),""))</f>
        <v>#NAME?</v>
      </c>
      <c r="AJ60" s="129" t="e">
        <f ca="1">IF(AJ59="MW",[2]!MTEST($AE28:$AE43,AJ28:AJ43,2), IF(AJ59="T-Test Welch",_xlfn.T.TEST($AE28:$AE43,AJ28:AJ43,2,3),""))</f>
        <v>#NAME?</v>
      </c>
      <c r="AK60" s="129" t="e">
        <f ca="1">IF(AK59="MW",[2]!MTEST($AE28:$AE43,AK28:AK43,2), IF(AK59="T-Test Welch",_xlfn.T.TEST($AE28:$AE43,AK28:AK43,2,3),""))</f>
        <v>#NAME?</v>
      </c>
      <c r="AL60" s="129" t="e">
        <f ca="1">IF(AL59="MW",[2]!MTEST($AE28:$AE43,AL28:AL43,2), IF(AL59="T-Test Welch",_xlfn.T.TEST($AE28:$AE43,AL28:AL43,2,3),""))</f>
        <v>#NAME?</v>
      </c>
      <c r="AM60" s="129" t="e">
        <f ca="1">IF(AM59="MW",[2]!MTEST($AE28:$AE43,AM28:AM43,2), IF(AM59="T-Test Welch",_xlfn.T.TEST($AE28:$AE43,AM28:AM43,2,3),""))</f>
        <v>#NAME?</v>
      </c>
      <c r="AN60" s="129" t="e">
        <f ca="1">IF(AN59="MW",[2]!MTEST($AE28:$AE43,AN28:AN43,2), IF(AN59="T-Test Welch",_xlfn.T.TEST($AE28:$AE43,AN28:AN43,2,3),""))</f>
        <v>#NAME?</v>
      </c>
      <c r="AO60" s="129" t="e">
        <f ca="1">IF(AO59="MW",[2]!MTEST($AE28:$AE43,AO28:AO43,2), IF(AO59="T-Test Welch",_xlfn.T.TEST($AE28:$AE43,AO28:AO43,2,3),""))</f>
        <v>#NAME?</v>
      </c>
      <c r="AP60" s="129" t="e">
        <f ca="1">IF(AP59="MW",[2]!MTEST($AE28:$AE43,AP28:AP43,2), IF(AP59="T-Test Welch",_xlfn.T.TEST($AE28:$AE43,AP28:AP43,2,3),""))</f>
        <v>#NAME?</v>
      </c>
      <c r="AQ60" s="129" t="e">
        <f ca="1">IF(AQ59="MW",[2]!MTEST($AE28:$AE43,AQ28:AQ43,2), IF(AQ59="T-Test Welch",_xlfn.T.TEST($AE28:$AE43,AQ28:AQ43,2,3),""))</f>
        <v>#NAME?</v>
      </c>
      <c r="AR60" s="129" t="e">
        <f ca="1">IF(AR59="MW",[2]!MTEST($AE28:$AE43,AR28:AR43,2), IF(AR59="T-Test Welch",_xlfn.T.TEST($AE28:$AE43,AR28:AR43,2,3),""))</f>
        <v>#NAME?</v>
      </c>
      <c r="AS60" s="129" t="e">
        <f ca="1">IF(AS59="MW",[2]!MTEST($AE28:$AE43,AS28:AS43,2), IF(AS59="T-Test Welch",_xlfn.T.TEST($AE28:$AE43,AS28:AS43,2,3),""))</f>
        <v>#NAME?</v>
      </c>
      <c r="AT60" s="129" t="e">
        <f ca="1">IF(AT59="MW",[2]!MTEST($AE28:$AE43,AT28:AT43,2), IF(AT59="T-Test Welch",_xlfn.T.TEST($AE28:$AE43,AT28:AT43,2,3),""))</f>
        <v>#NAME?</v>
      </c>
      <c r="AU60" s="129" t="e">
        <f ca="1">IF(AU59="MW",[2]!MTEST($AE28:$AE43,AU28:AU43,2), IF(AU59="T-Test Welch",_xlfn.T.TEST($AE28:$AE43,AU28:AU43,2,3),""))</f>
        <v>#NAME?</v>
      </c>
      <c r="AV60" s="129" t="e">
        <f ca="1">IF(AV59="MW",[2]!MTEST($AE28:$AE43,AV28:AV43,2), IF(AV59="T-Test Welch",_xlfn.T.TEST($AE28:$AE43,AV28:AV43,2,3),""))</f>
        <v>#NAME?</v>
      </c>
      <c r="AW60" s="129" t="e">
        <f ca="1">IF(AW59="MW",[2]!MTEST($AE28:$AE43,AW28:AW43,2), IF(AW59="T-Test Welch",_xlfn.T.TEST($AE28:$AE43,AW28:AW43,2,3),""))</f>
        <v>#NAME?</v>
      </c>
      <c r="AX60" s="129" t="e">
        <f ca="1">IF(AX59="MW",[2]!MTEST($AE28:$AE43,AX28:AX43,2), IF(AX59="T-Test Welch",_xlfn.T.TEST($AE28:$AE43,AX28:AX43,2,3),""))</f>
        <v>#NAME?</v>
      </c>
      <c r="AY60" s="129" t="e">
        <f ca="1">IF(AY59="MW",[2]!MTEST($AE28:$AE43,AY28:AY43,2), IF(AY59="T-Test Welch",_xlfn.T.TEST($AE28:$AE43,AY28:AY43,2,3),""))</f>
        <v>#NAME?</v>
      </c>
      <c r="AZ60" s="129" t="e">
        <f ca="1">IF(AZ59="MW",[2]!MTEST($AE28:$AE43,AZ28:AZ43,2), IF(AZ59="T-Test Welch",_xlfn.T.TEST($AE28:$AE43,AZ28:AZ43,2,3),""))</f>
        <v>#NAME?</v>
      </c>
      <c r="BA60" s="129" t="e">
        <f ca="1">IF(BA59="MW",[2]!MTEST($AE28:$AE43,BA28:BA43,2), IF(BA59="T-Test Welch",_xlfn.T.TEST($AE28:$AE43,BA28:BA43,2,3),""))</f>
        <v>#NAME?</v>
      </c>
    </row>
    <row r="61" spans="1:53" s="2" customFormat="1" ht="15.75" thickBot="1" x14ac:dyDescent="0.3">
      <c r="A61" s="46" t="s">
        <v>84</v>
      </c>
      <c r="B61" s="118"/>
      <c r="C61" s="118" t="e">
        <f t="shared" ref="C61:AE61" ca="1" si="38">IF(C60&gt;0.05,"NS",IF(C60&gt;0.01,"*",IF(C60&gt;0.001,"**","***")))</f>
        <v>#NAME?</v>
      </c>
      <c r="D61" s="118" t="e">
        <f t="shared" ca="1" si="38"/>
        <v>#NAME?</v>
      </c>
      <c r="E61" s="118" t="e">
        <f t="shared" ca="1" si="38"/>
        <v>#NAME?</v>
      </c>
      <c r="F61" s="118" t="e">
        <f t="shared" ca="1" si="38"/>
        <v>#NAME?</v>
      </c>
      <c r="G61" s="118" t="e">
        <f t="shared" ca="1" si="38"/>
        <v>#NAME?</v>
      </c>
      <c r="H61" s="118" t="e">
        <f t="shared" ca="1" si="38"/>
        <v>#NAME?</v>
      </c>
      <c r="I61" s="118" t="e">
        <f t="shared" ca="1" si="38"/>
        <v>#NAME?</v>
      </c>
      <c r="J61" s="118" t="e">
        <f t="shared" ca="1" si="38"/>
        <v>#NAME?</v>
      </c>
      <c r="K61" s="118" t="e">
        <f t="shared" ca="1" si="38"/>
        <v>#NAME?</v>
      </c>
      <c r="L61" s="118" t="e">
        <f t="shared" ca="1" si="38"/>
        <v>#NAME?</v>
      </c>
      <c r="M61" s="118" t="e">
        <f t="shared" ca="1" si="38"/>
        <v>#NAME?</v>
      </c>
      <c r="N61" s="118" t="e">
        <f t="shared" ca="1" si="38"/>
        <v>#NAME?</v>
      </c>
      <c r="O61" s="118" t="e">
        <f t="shared" ca="1" si="38"/>
        <v>#NAME?</v>
      </c>
      <c r="P61" s="118" t="e">
        <f t="shared" ca="1" si="38"/>
        <v>#NAME?</v>
      </c>
      <c r="Q61" s="118" t="e">
        <f t="shared" ca="1" si="38"/>
        <v>#NAME?</v>
      </c>
      <c r="R61" s="118" t="e">
        <f t="shared" ca="1" si="38"/>
        <v>#NAME?</v>
      </c>
      <c r="S61" s="118" t="e">
        <f t="shared" ca="1" si="38"/>
        <v>#NAME?</v>
      </c>
      <c r="T61" s="118" t="e">
        <f t="shared" ca="1" si="38"/>
        <v>#NAME?</v>
      </c>
      <c r="U61" s="118" t="e">
        <f t="shared" ca="1" si="38"/>
        <v>#NAME?</v>
      </c>
      <c r="V61" s="118" t="e">
        <f t="shared" ca="1" si="38"/>
        <v>#NAME?</v>
      </c>
      <c r="W61" s="118" t="e">
        <f t="shared" ca="1" si="38"/>
        <v>#NAME?</v>
      </c>
      <c r="X61" s="118" t="e">
        <f t="shared" ca="1" si="38"/>
        <v>#NAME?</v>
      </c>
      <c r="Y61" s="118" t="e">
        <f t="shared" ca="1" si="38"/>
        <v>#NAME?</v>
      </c>
      <c r="Z61" s="118" t="e">
        <f t="shared" ca="1" si="38"/>
        <v>#NAME?</v>
      </c>
      <c r="AA61" s="118" t="e">
        <f t="shared" ca="1" si="38"/>
        <v>#NAME?</v>
      </c>
      <c r="AB61" s="118" t="e">
        <f t="shared" ca="1" si="38"/>
        <v>#NAME?</v>
      </c>
      <c r="AC61" s="118" t="e">
        <f t="shared" ca="1" si="38"/>
        <v>#NAME?</v>
      </c>
      <c r="AD61" s="118"/>
      <c r="AE61" s="118" t="e">
        <f t="shared" ca="1" si="38"/>
        <v>#NAME?</v>
      </c>
      <c r="AF61" s="118" t="e">
        <f ca="1">IF(AF60&gt;0.05,"NS",IF(AF60&gt;0.01,"*",IF(AF60&gt;0.001,"**","***")))</f>
        <v>#NAME?</v>
      </c>
      <c r="AG61" s="118" t="e">
        <f t="shared" ref="AG61:BA61" ca="1" si="39">IF(AG60&gt;0.05,"NS",IF(AG60&gt;0.01,"*",IF(AG60&gt;0.001,"**","***")))</f>
        <v>#NAME?</v>
      </c>
      <c r="AH61" s="118" t="e">
        <f t="shared" ca="1" si="39"/>
        <v>#NAME?</v>
      </c>
      <c r="AI61" s="118" t="e">
        <f t="shared" ca="1" si="39"/>
        <v>#NAME?</v>
      </c>
      <c r="AJ61" s="118" t="e">
        <f t="shared" ca="1" si="39"/>
        <v>#NAME?</v>
      </c>
      <c r="AK61" s="118" t="e">
        <f t="shared" ca="1" si="39"/>
        <v>#NAME?</v>
      </c>
      <c r="AL61" s="118" t="e">
        <f t="shared" ca="1" si="39"/>
        <v>#NAME?</v>
      </c>
      <c r="AM61" s="118" t="e">
        <f t="shared" ca="1" si="39"/>
        <v>#NAME?</v>
      </c>
      <c r="AN61" s="118" t="e">
        <f t="shared" ca="1" si="39"/>
        <v>#NAME?</v>
      </c>
      <c r="AO61" s="118" t="e">
        <f t="shared" ca="1" si="39"/>
        <v>#NAME?</v>
      </c>
      <c r="AP61" s="118" t="e">
        <f t="shared" ca="1" si="39"/>
        <v>#NAME?</v>
      </c>
      <c r="AQ61" s="118" t="e">
        <f t="shared" ca="1" si="39"/>
        <v>#NAME?</v>
      </c>
      <c r="AR61" s="118" t="e">
        <f t="shared" ca="1" si="39"/>
        <v>#NAME?</v>
      </c>
      <c r="AS61" s="118" t="e">
        <f t="shared" ca="1" si="39"/>
        <v>#NAME?</v>
      </c>
      <c r="AT61" s="118" t="e">
        <f t="shared" ca="1" si="39"/>
        <v>#NAME?</v>
      </c>
      <c r="AU61" s="118" t="e">
        <f t="shared" ca="1" si="39"/>
        <v>#NAME?</v>
      </c>
      <c r="AV61" s="118" t="e">
        <f t="shared" ca="1" si="39"/>
        <v>#NAME?</v>
      </c>
      <c r="AW61" s="118" t="e">
        <f t="shared" ca="1" si="39"/>
        <v>#NAME?</v>
      </c>
      <c r="AX61" s="118" t="e">
        <f t="shared" ca="1" si="39"/>
        <v>#NAME?</v>
      </c>
      <c r="AY61" s="118" t="e">
        <f t="shared" ca="1" si="39"/>
        <v>#NAME?</v>
      </c>
      <c r="AZ61" s="118" t="e">
        <f t="shared" ca="1" si="39"/>
        <v>#NAME?</v>
      </c>
      <c r="BA61" s="118" t="e">
        <f t="shared" ca="1" si="39"/>
        <v>#NAME?</v>
      </c>
    </row>
    <row r="63" spans="1:53" x14ac:dyDescent="0.25">
      <c r="A63" s="1" t="s">
        <v>39</v>
      </c>
    </row>
    <row r="64" spans="1:53" x14ac:dyDescent="0.25">
      <c r="A64" t="s">
        <v>23</v>
      </c>
      <c r="B64">
        <f>B46+(3*B47)</f>
        <v>0.40406815502556703</v>
      </c>
    </row>
    <row r="65" spans="1:53" x14ac:dyDescent="0.25">
      <c r="A65" t="s">
        <v>24</v>
      </c>
      <c r="B65">
        <f>B46+(10*B47)</f>
        <v>1.0904851485152425</v>
      </c>
    </row>
    <row r="66" spans="1:53" ht="15.75" thickBot="1" x14ac:dyDescent="0.3"/>
    <row r="67" spans="1:53" ht="27" thickBot="1" x14ac:dyDescent="0.45">
      <c r="A67" s="188" t="s">
        <v>45</v>
      </c>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90"/>
    </row>
    <row r="68" spans="1:53" ht="16.5" x14ac:dyDescent="0.25">
      <c r="A68" s="10"/>
      <c r="B68" s="10"/>
      <c r="C68" s="10"/>
      <c r="D68" s="10"/>
      <c r="E68" s="10"/>
      <c r="F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row>
    <row r="69" spans="1:53" ht="16.5" x14ac:dyDescent="0.25">
      <c r="A69" s="10"/>
      <c r="B69" s="10"/>
      <c r="C69" s="10"/>
      <c r="D69" s="10"/>
      <c r="E69" s="10"/>
      <c r="F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row>
    <row r="70" spans="1:53" ht="16.5" x14ac:dyDescent="0.25">
      <c r="A70" s="10"/>
      <c r="B70" s="10"/>
      <c r="C70" s="10"/>
      <c r="D70" s="10"/>
      <c r="E70" s="10"/>
      <c r="F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row>
    <row r="71" spans="1:53" ht="16.5" x14ac:dyDescent="0.25">
      <c r="A71" s="10"/>
      <c r="B71" s="10"/>
      <c r="C71" s="10"/>
      <c r="D71" s="10"/>
      <c r="E71" s="10"/>
      <c r="F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row>
    <row r="72" spans="1:53" ht="16.5" x14ac:dyDescent="0.25">
      <c r="A72" s="10"/>
      <c r="B72" s="10"/>
      <c r="C72" s="10"/>
      <c r="D72" s="10"/>
      <c r="E72" s="10"/>
      <c r="F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row>
    <row r="73" spans="1:53" ht="16.5" x14ac:dyDescent="0.25">
      <c r="A73" s="10"/>
      <c r="B73" s="10"/>
      <c r="C73" s="10"/>
      <c r="D73" s="10"/>
      <c r="E73" s="10"/>
      <c r="F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row>
    <row r="74" spans="1:53" ht="16.5" x14ac:dyDescent="0.25">
      <c r="A74" s="10"/>
      <c r="B74" s="10"/>
      <c r="C74" s="10"/>
      <c r="D74" s="10"/>
      <c r="E74" s="10"/>
      <c r="F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row>
  </sheetData>
  <protectedRanges>
    <protectedRange sqref="AE51:BA51" name="Plage2"/>
    <protectedRange sqref="R5:AK20" name="Plage1"/>
    <protectedRange sqref="B51:J51" name="Plage2_1"/>
    <protectedRange sqref="O5:O20 B5:J20" name="Plage1_1"/>
  </protectedRanges>
  <mergeCells count="9">
    <mergeCell ref="A28:A43"/>
    <mergeCell ref="A50:BA50"/>
    <mergeCell ref="A67:BA67"/>
    <mergeCell ref="A1:BA1"/>
    <mergeCell ref="B3:AC3"/>
    <mergeCell ref="AE3:BA3"/>
    <mergeCell ref="A5:A20"/>
    <mergeCell ref="B26:AC26"/>
    <mergeCell ref="AE26:BA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30"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A104"/>
  <sheetViews>
    <sheetView showGridLines="0" zoomScale="50" zoomScaleNormal="50" workbookViewId="0">
      <selection activeCell="O4" sqref="O4:V4"/>
    </sheetView>
  </sheetViews>
  <sheetFormatPr defaultColWidth="11.42578125" defaultRowHeight="15" x14ac:dyDescent="0.25"/>
  <cols>
    <col min="1" max="1" width="42.85546875" customWidth="1"/>
    <col min="2" max="2" width="14" bestFit="1" customWidth="1"/>
    <col min="3" max="20" width="22.7109375" bestFit="1" customWidth="1"/>
    <col min="21" max="29" width="22.7109375" customWidth="1"/>
    <col min="30" max="30" width="8.42578125" customWidth="1"/>
    <col min="31" max="31" width="22.7109375" customWidth="1"/>
    <col min="34" max="53" width="29.140625" customWidth="1"/>
  </cols>
  <sheetData>
    <row r="1" spans="1:53" ht="21.75" thickBot="1" x14ac:dyDescent="0.3">
      <c r="A1" s="21" t="s">
        <v>8</v>
      </c>
      <c r="B1" s="39" t="e">
        <f>'Page de garde'!#REF!</f>
        <v>#REF!</v>
      </c>
      <c r="C1" s="22"/>
      <c r="D1" s="22"/>
      <c r="E1" s="22"/>
      <c r="F1" s="22"/>
      <c r="G1" s="22"/>
      <c r="H1" s="40"/>
      <c r="I1" s="39"/>
      <c r="J1" s="41"/>
      <c r="K1" s="41"/>
      <c r="L1" s="41"/>
      <c r="M1" s="41"/>
      <c r="N1" s="41"/>
      <c r="O1" s="41"/>
      <c r="P1" s="41"/>
      <c r="Q1" s="41"/>
      <c r="R1" s="41"/>
      <c r="S1" s="41"/>
      <c r="T1" s="41"/>
      <c r="U1" s="41"/>
      <c r="V1" s="42"/>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3"/>
    </row>
    <row r="2" spans="1:53" ht="15.75" thickBot="1" x14ac:dyDescent="0.3"/>
    <row r="3" spans="1:53" ht="15.75" thickBot="1" x14ac:dyDescent="0.3">
      <c r="B3" s="195" t="s">
        <v>6</v>
      </c>
      <c r="C3" s="196"/>
      <c r="D3" s="196"/>
      <c r="E3" s="196"/>
      <c r="F3" s="196"/>
      <c r="G3" s="196"/>
      <c r="H3" s="196"/>
      <c r="I3" s="196"/>
      <c r="J3" s="196"/>
      <c r="K3" s="196"/>
      <c r="L3" s="196"/>
      <c r="M3" s="197"/>
      <c r="N3" s="164"/>
      <c r="O3" s="195" t="s">
        <v>3</v>
      </c>
      <c r="P3" s="196"/>
      <c r="Q3" s="196"/>
      <c r="R3" s="196"/>
      <c r="S3" s="196"/>
      <c r="T3" s="196"/>
      <c r="U3" s="196"/>
      <c r="V3" s="197"/>
      <c r="W3" s="164"/>
      <c r="X3" s="164"/>
      <c r="Y3" s="164"/>
      <c r="Z3" s="164"/>
      <c r="AA3" s="164"/>
      <c r="AB3" s="164"/>
      <c r="AC3" s="164"/>
      <c r="AD3" s="54"/>
      <c r="AE3" s="164"/>
      <c r="AF3" s="164"/>
      <c r="AG3" s="164"/>
      <c r="AH3" s="164"/>
      <c r="AI3" s="164"/>
      <c r="AJ3" s="164"/>
      <c r="AK3" s="164"/>
      <c r="AL3" s="164"/>
      <c r="AM3" s="164"/>
      <c r="AN3" s="164"/>
      <c r="AO3" s="164"/>
      <c r="AP3" s="164"/>
      <c r="AQ3" s="164"/>
      <c r="AR3" s="164"/>
      <c r="AS3" s="164"/>
      <c r="AT3" s="164"/>
      <c r="AU3" s="164"/>
      <c r="AV3" s="164"/>
      <c r="AW3" s="164"/>
      <c r="AX3" s="164"/>
      <c r="AY3" s="164"/>
      <c r="AZ3" s="164"/>
      <c r="BA3" s="164"/>
    </row>
    <row r="4" spans="1:53" x14ac:dyDescent="0.25">
      <c r="A4" s="18" t="s">
        <v>41</v>
      </c>
      <c r="B4" s="19" t="str">
        <f>'R1'!B4</f>
        <v>Témoin solvant</v>
      </c>
      <c r="C4" s="19" t="str">
        <f>'R1'!C4</f>
        <v>EE2-33,8ng/L</v>
      </c>
      <c r="D4" s="19" t="str">
        <f>'R1'!D4</f>
        <v>EE2-50,6ng/L</v>
      </c>
      <c r="E4" s="19" t="str">
        <f>'R1'!E4</f>
        <v>EE2-76ng/L</v>
      </c>
      <c r="F4" s="19" t="str">
        <f>'R1'!F4</f>
        <v>EE2-114ng/L</v>
      </c>
      <c r="G4" s="19" t="str">
        <f>'R1'!G4</f>
        <v>EE2-170,9ng/L</v>
      </c>
      <c r="H4" s="19" t="str">
        <f>'R1'!H4</f>
        <v>EE2-488ng/L</v>
      </c>
      <c r="I4" s="19" t="str">
        <f>'R1'!I4</f>
        <v>Triphénylphosphate-0,18mg/L</v>
      </c>
      <c r="J4" s="19" t="str">
        <f>'R1'!J4</f>
        <v>Triphénylphosphate-0,26mg/L</v>
      </c>
      <c r="K4" s="19" t="str">
        <f>'R1'!K4</f>
        <v>Triphénylphosphate-0,4mg/L</v>
      </c>
      <c r="L4" s="19" t="str">
        <f>'R1'!L4</f>
        <v>Triphénylphosphate-0,59mg/L</v>
      </c>
      <c r="M4" s="19" t="str">
        <f>'R1'!M4</f>
        <v>Triphénylphosphate-0,89mg/L</v>
      </c>
      <c r="O4" s="19" t="str">
        <f>'R1'!O4</f>
        <v>Testo -30µg/L</v>
      </c>
      <c r="P4" s="19" t="str">
        <f>'R1'!P4</f>
        <v>Testo 30µg/L + EE2 -64ng/L</v>
      </c>
      <c r="Q4" s="19" t="str">
        <f>'R1'!Q4</f>
        <v>Testo 30µg/L + FAD-10mg/L</v>
      </c>
      <c r="R4" s="19" t="str">
        <f>'R1'!R4</f>
        <v>Triphénylphosphate-0,18mg/L + Testostérone</v>
      </c>
      <c r="S4" s="19" t="str">
        <f>'R1'!S4</f>
        <v>Triphénylphosphate-0,26mg/L + Testostérone</v>
      </c>
      <c r="T4" s="19" t="str">
        <f>'R1'!T4</f>
        <v>Triphénylphosphate-0,4mg/L + Testostérone</v>
      </c>
      <c r="U4" s="19" t="str">
        <f>'R1'!U4</f>
        <v>Triphénylphosphate-0,59mg/L + Testostérone</v>
      </c>
      <c r="V4" s="19" t="str">
        <f>'R1'!V4</f>
        <v>Triphénylphosphate-0,89mg/L + Testostérone</v>
      </c>
      <c r="W4" s="19" t="str">
        <f>'R1'!W4</f>
        <v>0-00 + Testostérone</v>
      </c>
      <c r="X4" s="19" t="str">
        <f>'R1'!X4</f>
        <v>0-00 + Testostérone</v>
      </c>
      <c r="Y4" s="19" t="str">
        <f>'R1'!Y4</f>
        <v>0-00 + Testostérone</v>
      </c>
      <c r="Z4" s="19" t="str">
        <f>'R1'!Z4</f>
        <v>0-00 + Testostérone</v>
      </c>
      <c r="AA4" s="19" t="str">
        <f>'R1'!AA4</f>
        <v>0-00 + Testostérone</v>
      </c>
      <c r="AB4" s="19"/>
      <c r="AC4" s="19"/>
      <c r="AD4" s="19"/>
      <c r="AE4" s="19"/>
      <c r="AF4" s="19"/>
      <c r="AG4" s="19"/>
      <c r="AH4" s="19"/>
      <c r="AI4" s="19"/>
      <c r="AJ4" s="19"/>
      <c r="AK4" s="19"/>
    </row>
    <row r="5" spans="1:53" x14ac:dyDescent="0.25">
      <c r="A5" s="18"/>
      <c r="B5" s="19"/>
      <c r="C5" s="163" t="s">
        <v>165</v>
      </c>
      <c r="D5" s="19"/>
      <c r="E5" s="19"/>
      <c r="F5" s="19"/>
      <c r="G5" s="19"/>
      <c r="H5" s="19"/>
      <c r="I5" s="19"/>
      <c r="J5" s="19"/>
      <c r="K5" s="19"/>
      <c r="L5" s="19"/>
      <c r="M5" s="19"/>
      <c r="O5" s="19"/>
      <c r="P5" s="19"/>
      <c r="Q5" s="19"/>
      <c r="R5" s="19"/>
      <c r="S5" s="19"/>
      <c r="T5" s="19"/>
      <c r="U5" s="19"/>
      <c r="V5" s="19"/>
      <c r="W5" s="19"/>
      <c r="X5" s="19"/>
      <c r="Y5" s="19"/>
      <c r="Z5" s="19"/>
      <c r="AA5" s="19"/>
      <c r="AB5" s="19"/>
      <c r="AC5" s="19"/>
      <c r="AD5" s="19"/>
      <c r="AE5" s="19"/>
      <c r="AF5" s="19"/>
      <c r="AG5" s="19"/>
      <c r="AH5" s="19"/>
      <c r="AI5" s="19"/>
      <c r="AJ5" s="19"/>
      <c r="AK5" s="19"/>
    </row>
    <row r="6" spans="1:53" x14ac:dyDescent="0.25">
      <c r="A6" s="53" t="s">
        <v>4</v>
      </c>
      <c r="B6" s="37">
        <f>'R1'!B28</f>
        <v>0.21064057669740924</v>
      </c>
      <c r="C6" s="37">
        <f>'R1'!C28</f>
        <v>0.11930270407158834</v>
      </c>
      <c r="D6" s="37">
        <f>'R1'!D28</f>
        <v>0.2624662955865848</v>
      </c>
      <c r="E6" s="37">
        <f>'R1'!E28</f>
        <v>0.13726974154673049</v>
      </c>
      <c r="F6" s="37">
        <f>'R1'!F28</f>
        <v>0.30934682092800575</v>
      </c>
      <c r="G6" s="37">
        <f>'R1'!G28</f>
        <v>0.68371827436628885</v>
      </c>
      <c r="H6" s="37">
        <f>'R1'!H28</f>
        <v>2.3671787794537389</v>
      </c>
      <c r="I6" s="37">
        <f>'R1'!I28</f>
        <v>8.4366150614985591E-2</v>
      </c>
      <c r="J6" s="37">
        <f>'R1'!J28</f>
        <v>0.25890911083151036</v>
      </c>
      <c r="K6" s="37">
        <f>'R1'!K28</f>
        <v>0.17138362862862133</v>
      </c>
      <c r="L6" s="37">
        <f>'R1'!L28</f>
        <v>0.12141444551940918</v>
      </c>
      <c r="M6" s="37">
        <f>'R1'!M28</f>
        <v>1.4826239952134372</v>
      </c>
      <c r="O6" s="37">
        <f>'R1'!P28</f>
        <v>1.6466100776221686</v>
      </c>
      <c r="P6" s="37">
        <f>'R1'!Q28</f>
        <v>1.3186922180288796</v>
      </c>
      <c r="Q6" s="37">
        <f>'R1'!R28</f>
        <v>9.1445086929219987E-2</v>
      </c>
      <c r="R6" s="37">
        <f>'R1'!S28</f>
        <v>1.1421122341907015</v>
      </c>
      <c r="S6" s="37">
        <f>'R1'!T28</f>
        <v>1.0151808978389107</v>
      </c>
      <c r="T6" s="37">
        <f>'R1'!U28</f>
        <v>1.5591073188818769</v>
      </c>
      <c r="U6" s="37">
        <f>'R1'!V28</f>
        <v>1.1011673468801197</v>
      </c>
      <c r="V6" s="37">
        <f>'R1'!W28</f>
        <v>1.6876330527639642</v>
      </c>
      <c r="W6" s="37" t="str">
        <f>'R1'!X28</f>
        <v/>
      </c>
      <c r="X6" s="37" t="str">
        <f>'R1'!Y28</f>
        <v/>
      </c>
      <c r="Y6" s="37" t="str">
        <f>'R1'!Z28</f>
        <v/>
      </c>
      <c r="Z6" s="37" t="str">
        <f>'R1'!AA28</f>
        <v/>
      </c>
      <c r="AA6" s="37" t="str">
        <f>'R1'!AB28</f>
        <v/>
      </c>
      <c r="AB6" s="37" t="str">
        <f>'R1'!AC28</f>
        <v/>
      </c>
      <c r="AC6" s="37" t="str">
        <f>'R1'!AD28</f>
        <v/>
      </c>
      <c r="AD6" s="37" t="str">
        <f>'R1'!AE28</f>
        <v/>
      </c>
      <c r="AE6" s="37" t="str">
        <f>'R1'!AF28</f>
        <v/>
      </c>
      <c r="AF6" s="37" t="str">
        <f>'R1'!AG28</f>
        <v/>
      </c>
      <c r="AG6" s="37" t="str">
        <f>'R1'!AH28</f>
        <v/>
      </c>
      <c r="AH6" s="37" t="str">
        <f>'R1'!AI28</f>
        <v/>
      </c>
      <c r="AI6" s="37" t="str">
        <f>'R1'!AJ28</f>
        <v/>
      </c>
      <c r="AJ6" s="37" t="str">
        <f>'R1'!AK28</f>
        <v/>
      </c>
      <c r="AK6" s="37" t="str">
        <f>'R1'!AL28</f>
        <v/>
      </c>
    </row>
    <row r="7" spans="1:53" x14ac:dyDescent="0.25">
      <c r="A7" s="200" t="s">
        <v>34</v>
      </c>
      <c r="B7" s="37">
        <f>'R1'!B29</f>
        <v>8.1663936140137519E-2</v>
      </c>
      <c r="C7" s="37">
        <f>'R1'!C29</f>
        <v>0.19072832416665883</v>
      </c>
      <c r="D7" s="37">
        <f>'R1'!D29</f>
        <v>0.16385282278061788</v>
      </c>
      <c r="E7" s="37">
        <f>'R1'!E29</f>
        <v>0.13013245600226722</v>
      </c>
      <c r="F7" s="37">
        <f>'R1'!F29</f>
        <v>1.0882590721227898</v>
      </c>
      <c r="G7" s="37">
        <f>'R1'!G29</f>
        <v>0.84702746719002198</v>
      </c>
      <c r="H7" s="37">
        <f>'R1'!H29</f>
        <v>1.719567413153676</v>
      </c>
      <c r="I7" s="37">
        <f>'R1'!I29</f>
        <v>0.18476668895403456</v>
      </c>
      <c r="J7" s="37">
        <f>'R1'!J29</f>
        <v>5.3599159973285002E-2</v>
      </c>
      <c r="K7" s="37">
        <f>'R1'!K29</f>
        <v>6.6821904344356545E-2</v>
      </c>
      <c r="L7" s="37">
        <f>'R1'!L29</f>
        <v>0.41208835734387705</v>
      </c>
      <c r="M7" s="37" t="str">
        <f>'R1'!M29</f>
        <v/>
      </c>
      <c r="O7" s="37">
        <f>'R1'!P29</f>
        <v>0.88218056754230911</v>
      </c>
      <c r="P7" s="37">
        <f>'R1'!Q29</f>
        <v>1.4903006741370128</v>
      </c>
      <c r="Q7" s="37">
        <f>'R1'!R29</f>
        <v>1.0134279174997249E-2</v>
      </c>
      <c r="R7" s="37">
        <f>'R1'!S29</f>
        <v>1.4658399257953774</v>
      </c>
      <c r="S7" s="37">
        <f>'R1'!T29</f>
        <v>1.5196160591765184</v>
      </c>
      <c r="T7" s="37">
        <f>'R1'!U29</f>
        <v>1.8113790603460664</v>
      </c>
      <c r="U7" s="37">
        <f>'R1'!V29</f>
        <v>1.8978092909089335</v>
      </c>
      <c r="V7" s="37">
        <f>'R1'!W29</f>
        <v>0.97620601919249161</v>
      </c>
      <c r="W7" s="37" t="str">
        <f>'R1'!X29</f>
        <v/>
      </c>
      <c r="X7" s="37" t="str">
        <f>'R1'!Y29</f>
        <v/>
      </c>
      <c r="Y7" s="37" t="str">
        <f>'R1'!Z29</f>
        <v/>
      </c>
      <c r="Z7" s="37" t="str">
        <f>'R1'!AA29</f>
        <v/>
      </c>
      <c r="AA7" s="37" t="str">
        <f>'R1'!AB29</f>
        <v/>
      </c>
      <c r="AB7" s="37" t="str">
        <f>'R1'!AC29</f>
        <v/>
      </c>
      <c r="AC7" s="37" t="str">
        <f>'R1'!AD29</f>
        <v/>
      </c>
      <c r="AD7" s="37" t="str">
        <f>'R1'!AE29</f>
        <v/>
      </c>
      <c r="AE7" s="37" t="str">
        <f>'R1'!AF29</f>
        <v/>
      </c>
      <c r="AF7" s="37" t="str">
        <f>'R1'!AG29</f>
        <v/>
      </c>
      <c r="AG7" s="37" t="str">
        <f>'R1'!AH29</f>
        <v/>
      </c>
      <c r="AH7" s="37" t="str">
        <f>'R1'!AI29</f>
        <v/>
      </c>
      <c r="AI7" s="37" t="str">
        <f>'R1'!AJ29</f>
        <v/>
      </c>
      <c r="AJ7" s="37" t="str">
        <f>'R1'!AK29</f>
        <v/>
      </c>
      <c r="AK7" s="37" t="str">
        <f>'R1'!AL29</f>
        <v/>
      </c>
    </row>
    <row r="8" spans="1:53" x14ac:dyDescent="0.25">
      <c r="A8" s="201"/>
      <c r="B8" s="37">
        <f>'R1'!B30</f>
        <v>5.3180605346544292E-2</v>
      </c>
      <c r="C8" s="37">
        <f>'R1'!C30</f>
        <v>6.7848696739011005E-2</v>
      </c>
      <c r="D8" s="37">
        <f>'R1'!D30</f>
        <v>0.13257233965573159</v>
      </c>
      <c r="E8" s="37">
        <f>'R1'!E30</f>
        <v>0.24826682746725984</v>
      </c>
      <c r="F8" s="37">
        <f>'R1'!F30</f>
        <v>0.1944552608902044</v>
      </c>
      <c r="G8" s="37">
        <f>'R1'!G30</f>
        <v>1.1029147426395147</v>
      </c>
      <c r="H8" s="37">
        <f>'R1'!H30</f>
        <v>1.8610774876212794</v>
      </c>
      <c r="I8" s="37">
        <f>'R1'!I30</f>
        <v>1.0156087921939224E-2</v>
      </c>
      <c r="J8" s="37">
        <f>'R1'!J30</f>
        <v>4.9442210605841572E-2</v>
      </c>
      <c r="K8" s="37">
        <f>'R1'!K30</f>
        <v>0.16039972303854241</v>
      </c>
      <c r="L8" s="37">
        <f>'R1'!L30</f>
        <v>0.22922928381772079</v>
      </c>
      <c r="M8" s="37">
        <f>'R1'!M30</f>
        <v>0.87208383985211257</v>
      </c>
      <c r="O8" s="37">
        <f>'R1'!P30</f>
        <v>0.81198268842850629</v>
      </c>
      <c r="P8" s="37">
        <f>'R1'!Q30</f>
        <v>1.1651423672472869</v>
      </c>
      <c r="Q8" s="37">
        <f>'R1'!R30</f>
        <v>0.13027207049703929</v>
      </c>
      <c r="R8" s="37">
        <f>'R1'!S30</f>
        <v>1.4548038332700113</v>
      </c>
      <c r="S8" s="37">
        <f>'R1'!T30</f>
        <v>1.6402703278433584</v>
      </c>
      <c r="T8" s="37">
        <f>'R1'!U30</f>
        <v>1.4901256264463263</v>
      </c>
      <c r="U8" s="37">
        <f>'R1'!V30</f>
        <v>1.328318204157048</v>
      </c>
      <c r="V8" s="37">
        <f>'R1'!W30</f>
        <v>1.958468515168194</v>
      </c>
      <c r="W8" s="37" t="str">
        <f>'R1'!X30</f>
        <v/>
      </c>
      <c r="X8" s="37" t="str">
        <f>'R1'!Y30</f>
        <v/>
      </c>
      <c r="Y8" s="37" t="str">
        <f>'R1'!Z30</f>
        <v/>
      </c>
      <c r="Z8" s="37" t="str">
        <f>'R1'!AA30</f>
        <v/>
      </c>
      <c r="AA8" s="37" t="str">
        <f>'R1'!AB30</f>
        <v/>
      </c>
      <c r="AB8" s="37" t="str">
        <f>'R1'!AC30</f>
        <v/>
      </c>
      <c r="AC8" s="37" t="str">
        <f>'R1'!AD30</f>
        <v/>
      </c>
      <c r="AD8" s="37" t="str">
        <f>'R1'!AE30</f>
        <v/>
      </c>
      <c r="AE8" s="37" t="str">
        <f>'R1'!AF30</f>
        <v/>
      </c>
      <c r="AF8" s="37" t="str">
        <f>'R1'!AG30</f>
        <v/>
      </c>
      <c r="AG8" s="37" t="str">
        <f>'R1'!AH30</f>
        <v/>
      </c>
      <c r="AH8" s="37" t="str">
        <f>'R1'!AI30</f>
        <v/>
      </c>
      <c r="AI8" s="37" t="str">
        <f>'R1'!AJ30</f>
        <v/>
      </c>
      <c r="AJ8" s="37" t="str">
        <f>'R1'!AK30</f>
        <v/>
      </c>
      <c r="AK8" s="37" t="str">
        <f>'R1'!AL30</f>
        <v/>
      </c>
    </row>
    <row r="9" spans="1:53" x14ac:dyDescent="0.25">
      <c r="A9" s="201"/>
      <c r="B9" s="37">
        <f>'R1'!B31</f>
        <v>0.15533056144801605</v>
      </c>
      <c r="C9" s="37">
        <f>'R1'!C31</f>
        <v>0.10937880949733378</v>
      </c>
      <c r="D9" s="37">
        <f>'R1'!D31</f>
        <v>0.27357518022094929</v>
      </c>
      <c r="E9" s="37">
        <f>'R1'!E31</f>
        <v>0.24712757318992004</v>
      </c>
      <c r="F9" s="37">
        <f>'R1'!F31</f>
        <v>0.30503783619004848</v>
      </c>
      <c r="G9" s="37">
        <f>'R1'!G31</f>
        <v>1.1767946892668191</v>
      </c>
      <c r="H9" s="37">
        <f>'R1'!H31</f>
        <v>2.0183198047890878</v>
      </c>
      <c r="I9" s="37">
        <f>'R1'!I31</f>
        <v>0.19661697469856779</v>
      </c>
      <c r="J9" s="37">
        <f>'R1'!J31</f>
        <v>2.1678279603758174E-2</v>
      </c>
      <c r="K9" s="37">
        <f>'R1'!K31</f>
        <v>0.24145027011733838</v>
      </c>
      <c r="L9" s="37">
        <f>'R1'!L31</f>
        <v>0.96794628125299043</v>
      </c>
      <c r="M9" s="37">
        <f>'R1'!M31</f>
        <v>0.38718180547755565</v>
      </c>
      <c r="O9" s="37">
        <f>'R1'!P31</f>
        <v>0.82583639403008902</v>
      </c>
      <c r="P9" s="37">
        <f>'R1'!Q31</f>
        <v>1.006389998961196</v>
      </c>
      <c r="Q9" s="37">
        <f>'R1'!R31</f>
        <v>0.12229546112434994</v>
      </c>
      <c r="R9" s="37">
        <f>'R1'!S31</f>
        <v>1.06378166632764</v>
      </c>
      <c r="S9" s="37">
        <f>'R1'!T31</f>
        <v>1.1493723804905642</v>
      </c>
      <c r="T9" s="37">
        <f>'R1'!U31</f>
        <v>1.0959231857418359</v>
      </c>
      <c r="U9" s="37">
        <f>'R1'!V31</f>
        <v>1.0206374174380357</v>
      </c>
      <c r="V9" s="37">
        <f>'R1'!W31</f>
        <v>1.8468279508555534</v>
      </c>
      <c r="W9" s="37" t="str">
        <f>'R1'!X31</f>
        <v/>
      </c>
      <c r="X9" s="37" t="str">
        <f>'R1'!Y31</f>
        <v/>
      </c>
      <c r="Y9" s="37" t="str">
        <f>'R1'!Z31</f>
        <v/>
      </c>
      <c r="Z9" s="37" t="str">
        <f>'R1'!AA31</f>
        <v/>
      </c>
      <c r="AA9" s="37" t="str">
        <f>'R1'!AB31</f>
        <v/>
      </c>
      <c r="AB9" s="37" t="str">
        <f>'R1'!AC31</f>
        <v/>
      </c>
      <c r="AC9" s="37" t="str">
        <f>'R1'!AD31</f>
        <v/>
      </c>
      <c r="AD9" s="37" t="str">
        <f>'R1'!AE31</f>
        <v/>
      </c>
      <c r="AE9" s="37" t="str">
        <f>'R1'!AF31</f>
        <v/>
      </c>
      <c r="AF9" s="37" t="str">
        <f>'R1'!AG31</f>
        <v/>
      </c>
      <c r="AG9" s="37" t="str">
        <f>'R1'!AH31</f>
        <v/>
      </c>
      <c r="AH9" s="37" t="str">
        <f>'R1'!AI31</f>
        <v/>
      </c>
      <c r="AI9" s="37" t="str">
        <f>'R1'!AJ31</f>
        <v/>
      </c>
      <c r="AJ9" s="37" t="str">
        <f>'R1'!AK31</f>
        <v/>
      </c>
      <c r="AK9" s="37" t="str">
        <f>'R1'!AL31</f>
        <v/>
      </c>
    </row>
    <row r="10" spans="1:53" x14ac:dyDescent="0.25">
      <c r="A10" s="201"/>
      <c r="B10" s="37">
        <f>'R1'!B32</f>
        <v>9.8977048207525009E-2</v>
      </c>
      <c r="C10" s="37">
        <f>'R1'!C32</f>
        <v>2.999217833864504E-2</v>
      </c>
      <c r="D10" s="37">
        <f>'R1'!D32</f>
        <v>0.14611475307690186</v>
      </c>
      <c r="E10" s="37">
        <f>'R1'!E32</f>
        <v>6.3377181471967414E-2</v>
      </c>
      <c r="F10" s="37">
        <f>'R1'!F32</f>
        <v>0.68144409867524014</v>
      </c>
      <c r="G10" s="37">
        <f>'R1'!G32</f>
        <v>0.44155356317915151</v>
      </c>
      <c r="H10" s="37">
        <f>'R1'!H32</f>
        <v>1.2683669698150692</v>
      </c>
      <c r="I10" s="37">
        <f>'R1'!I32</f>
        <v>8.962701734971272E-2</v>
      </c>
      <c r="J10" s="37">
        <f>'R1'!J32</f>
        <v>0.1942386177086616</v>
      </c>
      <c r="K10" s="37">
        <f>'R1'!K32</f>
        <v>0.22629680171235733</v>
      </c>
      <c r="L10" s="37">
        <f>'R1'!L32</f>
        <v>0.69062428127872277</v>
      </c>
      <c r="M10" s="37">
        <f>'R1'!M32</f>
        <v>1.1773362009348178</v>
      </c>
      <c r="O10" s="37">
        <f>'R1'!P32</f>
        <v>0.92302965042371976</v>
      </c>
      <c r="P10" s="37">
        <f>'R1'!Q32</f>
        <v>0.71595564635258513</v>
      </c>
      <c r="Q10" s="37">
        <f>'R1'!R32</f>
        <v>5.2559946702888764E-2</v>
      </c>
      <c r="R10" s="37">
        <f>'R1'!S32</f>
        <v>1.2619877428342892</v>
      </c>
      <c r="S10" s="37">
        <f>'R1'!T32</f>
        <v>1.543836285443712</v>
      </c>
      <c r="T10" s="37">
        <f>'R1'!U32</f>
        <v>1.3322001611127197</v>
      </c>
      <c r="U10" s="37">
        <f>'R1'!V32</f>
        <v>1.1136049763612801</v>
      </c>
      <c r="V10" s="37">
        <f>'R1'!W32</f>
        <v>1.0040282031389454</v>
      </c>
      <c r="W10" s="37" t="str">
        <f>'R1'!X32</f>
        <v/>
      </c>
      <c r="X10" s="37" t="str">
        <f>'R1'!Y32</f>
        <v/>
      </c>
      <c r="Y10" s="37" t="str">
        <f>'R1'!Z32</f>
        <v/>
      </c>
      <c r="Z10" s="37" t="str">
        <f>'R1'!AA32</f>
        <v/>
      </c>
      <c r="AA10" s="37" t="str">
        <f>'R1'!AB32</f>
        <v/>
      </c>
      <c r="AB10" s="37" t="str">
        <f>'R1'!AC32</f>
        <v/>
      </c>
      <c r="AC10" s="37" t="str">
        <f>'R1'!AD32</f>
        <v/>
      </c>
      <c r="AD10" s="37" t="str">
        <f>'R1'!AE32</f>
        <v/>
      </c>
      <c r="AE10" s="37" t="str">
        <f>'R1'!AF32</f>
        <v/>
      </c>
      <c r="AF10" s="37" t="str">
        <f>'R1'!AG32</f>
        <v/>
      </c>
      <c r="AG10" s="37" t="str">
        <f>'R1'!AH32</f>
        <v/>
      </c>
      <c r="AH10" s="37" t="str">
        <f>'R1'!AI32</f>
        <v/>
      </c>
      <c r="AI10" s="37" t="str">
        <f>'R1'!AJ32</f>
        <v/>
      </c>
      <c r="AJ10" s="37" t="str">
        <f>'R1'!AK32</f>
        <v/>
      </c>
      <c r="AK10" s="37" t="str">
        <f>'R1'!AL32</f>
        <v/>
      </c>
    </row>
    <row r="11" spans="1:53" x14ac:dyDescent="0.25">
      <c r="A11" s="201"/>
      <c r="B11" s="37">
        <f>'R1'!B33</f>
        <v>0.25803127265989889</v>
      </c>
      <c r="C11" s="37" t="str">
        <f>'R1'!C33</f>
        <v/>
      </c>
      <c r="D11" s="37">
        <f>'R1'!D33</f>
        <v>0.19708145767979557</v>
      </c>
      <c r="E11" s="37" t="str">
        <f>'R1'!E33</f>
        <v/>
      </c>
      <c r="F11" s="37">
        <f>'R1'!F33</f>
        <v>7.2813677030679883E-2</v>
      </c>
      <c r="G11" s="37">
        <f>'R1'!G33</f>
        <v>0.71143213672197125</v>
      </c>
      <c r="H11" s="37">
        <f>'R1'!H33</f>
        <v>1.2556439490494231</v>
      </c>
      <c r="I11" s="37">
        <f>'R1'!I33</f>
        <v>9.631012249980378E-2</v>
      </c>
      <c r="J11" s="37">
        <f>'R1'!J33</f>
        <v>0.34451657873380703</v>
      </c>
      <c r="K11" s="37">
        <f>'R1'!K33</f>
        <v>0.16078294075522701</v>
      </c>
      <c r="L11" s="37">
        <f>'R1'!L33</f>
        <v>0.20834651797658782</v>
      </c>
      <c r="M11" s="37">
        <f>'R1'!M33</f>
        <v>0.97618117744100807</v>
      </c>
      <c r="O11" s="37">
        <f>'R1'!P33</f>
        <v>1.1296434080913988</v>
      </c>
      <c r="P11" s="37">
        <f>'R1'!Q33</f>
        <v>1.034005938598821</v>
      </c>
      <c r="Q11" s="37">
        <f>'R1'!R33</f>
        <v>3.0485932220845724E-2</v>
      </c>
      <c r="R11" s="37">
        <f>'R1'!S33</f>
        <v>1.3938259028192366</v>
      </c>
      <c r="S11" s="37">
        <f>'R1'!T33</f>
        <v>9.4751061879563264E-3</v>
      </c>
      <c r="T11" s="37">
        <f>'R1'!U33</f>
        <v>1.1455798730974049</v>
      </c>
      <c r="U11" s="37">
        <f>'R1'!V33</f>
        <v>0.80680318324418077</v>
      </c>
      <c r="V11" s="37">
        <f>'R1'!W33</f>
        <v>1.6053630452877283</v>
      </c>
      <c r="W11" s="37" t="str">
        <f>'R1'!X33</f>
        <v/>
      </c>
      <c r="X11" s="37" t="str">
        <f>'R1'!Y33</f>
        <v/>
      </c>
      <c r="Y11" s="37" t="str">
        <f>'R1'!Z33</f>
        <v/>
      </c>
      <c r="Z11" s="37" t="str">
        <f>'R1'!AA33</f>
        <v/>
      </c>
      <c r="AA11" s="37" t="str">
        <f>'R1'!AB33</f>
        <v/>
      </c>
      <c r="AB11" s="37" t="str">
        <f>'R1'!AC33</f>
        <v/>
      </c>
      <c r="AC11" s="37" t="str">
        <f>'R1'!AD33</f>
        <v/>
      </c>
      <c r="AD11" s="37" t="str">
        <f>'R1'!AE33</f>
        <v/>
      </c>
      <c r="AE11" s="37" t="str">
        <f>'R1'!AF33</f>
        <v/>
      </c>
      <c r="AF11" s="37" t="str">
        <f>'R1'!AG33</f>
        <v/>
      </c>
      <c r="AG11" s="37" t="str">
        <f>'R1'!AH33</f>
        <v/>
      </c>
      <c r="AH11" s="37" t="str">
        <f>'R1'!AI33</f>
        <v/>
      </c>
      <c r="AI11" s="37" t="str">
        <f>'R1'!AJ33</f>
        <v/>
      </c>
      <c r="AJ11" s="37" t="str">
        <f>'R1'!AK33</f>
        <v/>
      </c>
      <c r="AK11" s="37" t="str">
        <f>'R1'!AL33</f>
        <v/>
      </c>
    </row>
    <row r="12" spans="1:53" x14ac:dyDescent="0.25">
      <c r="A12" s="201"/>
      <c r="B12" s="37">
        <f>'R1'!B34</f>
        <v>8.9245725350197383E-2</v>
      </c>
      <c r="C12" s="37">
        <f>'R1'!C34</f>
        <v>0.11925899029184592</v>
      </c>
      <c r="D12" s="37" t="str">
        <f>'R1'!D34</f>
        <v/>
      </c>
      <c r="E12" s="37" t="str">
        <f>'R1'!E34</f>
        <v/>
      </c>
      <c r="F12" s="37">
        <f>'R1'!F34</f>
        <v>0.66669878602428567</v>
      </c>
      <c r="G12" s="37">
        <f>'R1'!G34</f>
        <v>0.20597230127859556</v>
      </c>
      <c r="H12" s="37">
        <f>'R1'!H34</f>
        <v>1.488969811001331</v>
      </c>
      <c r="I12" s="37">
        <f>'R1'!I34</f>
        <v>5.8095613277670634E-2</v>
      </c>
      <c r="J12" s="37">
        <f>'R1'!J34</f>
        <v>0.25816876886578471</v>
      </c>
      <c r="K12" s="37">
        <f>'R1'!K34</f>
        <v>0.49451348133809753</v>
      </c>
      <c r="L12" s="37">
        <f>'R1'!L34</f>
        <v>0.26261428695104316</v>
      </c>
      <c r="M12" s="37" t="str">
        <f>'R1'!M34</f>
        <v/>
      </c>
      <c r="O12" s="37">
        <f>'R1'!P34</f>
        <v>0.41835502615611359</v>
      </c>
      <c r="P12" s="37">
        <f>'R1'!Q34</f>
        <v>0.9912282499723869</v>
      </c>
      <c r="Q12" s="37">
        <f>'R1'!R34</f>
        <v>0.12012951073821417</v>
      </c>
      <c r="R12" s="37">
        <f>'R1'!S34</f>
        <v>0.84858830909864413</v>
      </c>
      <c r="S12" s="37">
        <f>'R1'!T34</f>
        <v>1.5901326444818351</v>
      </c>
      <c r="T12" s="37">
        <f>'R1'!U34</f>
        <v>1.5415610506082202</v>
      </c>
      <c r="U12" s="37">
        <f>'R1'!V34</f>
        <v>1.429551807743523</v>
      </c>
      <c r="V12" s="37">
        <f>'R1'!W34</f>
        <v>1.366364020555153</v>
      </c>
      <c r="W12" s="37" t="str">
        <f>'R1'!X34</f>
        <v/>
      </c>
      <c r="X12" s="37" t="str">
        <f>'R1'!Y34</f>
        <v/>
      </c>
      <c r="Y12" s="37" t="str">
        <f>'R1'!Z34</f>
        <v/>
      </c>
      <c r="Z12" s="37" t="str">
        <f>'R1'!AA34</f>
        <v/>
      </c>
      <c r="AA12" s="37" t="str">
        <f>'R1'!AB34</f>
        <v/>
      </c>
      <c r="AB12" s="37" t="str">
        <f>'R1'!AC34</f>
        <v/>
      </c>
      <c r="AC12" s="37" t="str">
        <f>'R1'!AD34</f>
        <v/>
      </c>
      <c r="AD12" s="37" t="str">
        <f>'R1'!AE34</f>
        <v/>
      </c>
      <c r="AE12" s="37" t="str">
        <f>'R1'!AF34</f>
        <v/>
      </c>
      <c r="AF12" s="37" t="str">
        <f>'R1'!AG34</f>
        <v/>
      </c>
      <c r="AG12" s="37" t="str">
        <f>'R1'!AH34</f>
        <v/>
      </c>
      <c r="AH12" s="37" t="str">
        <f>'R1'!AI34</f>
        <v/>
      </c>
      <c r="AI12" s="37" t="str">
        <f>'R1'!AJ34</f>
        <v/>
      </c>
      <c r="AJ12" s="37" t="str">
        <f>'R1'!AK34</f>
        <v/>
      </c>
      <c r="AK12" s="37" t="str">
        <f>'R1'!AL34</f>
        <v/>
      </c>
    </row>
    <row r="13" spans="1:53" x14ac:dyDescent="0.25">
      <c r="A13" s="201"/>
      <c r="B13" s="37">
        <f>'R1'!B35</f>
        <v>7.5437851817243329E-2</v>
      </c>
      <c r="C13" s="37">
        <f>'R1'!C35</f>
        <v>0.24964766296348445</v>
      </c>
      <c r="D13" s="37">
        <f>'R1'!D35</f>
        <v>7.8218202266234521E-2</v>
      </c>
      <c r="E13" s="37">
        <f>'R1'!E35</f>
        <v>6.6331376038414394E-2</v>
      </c>
      <c r="F13" s="37">
        <f>'R1'!F35</f>
        <v>0.49198087440293287</v>
      </c>
      <c r="G13" s="37">
        <f>'R1'!G35</f>
        <v>0.9342052611579994</v>
      </c>
      <c r="H13" s="37">
        <f>'R1'!H35</f>
        <v>1.6884651551528058</v>
      </c>
      <c r="I13" s="37">
        <f>'R1'!I35</f>
        <v>5.1075026193665114E-2</v>
      </c>
      <c r="J13" s="37">
        <f>'R1'!J35</f>
        <v>0.11919650076970313</v>
      </c>
      <c r="K13" s="37" t="str">
        <f>'R1'!K35</f>
        <v/>
      </c>
      <c r="L13" s="37">
        <f>'R1'!L35</f>
        <v>0.33862272876554106</v>
      </c>
      <c r="M13" s="37" t="str">
        <f>'R1'!M35</f>
        <v/>
      </c>
      <c r="O13" s="37">
        <f>'R1'!P35</f>
        <v>1.315955485073772</v>
      </c>
      <c r="P13" s="37">
        <f>'R1'!Q35</f>
        <v>1.256873760176648</v>
      </c>
      <c r="Q13" s="37">
        <f>'R1'!R35</f>
        <v>2.6230963849486474E-2</v>
      </c>
      <c r="R13" s="37">
        <f>'R1'!S35</f>
        <v>0.79941805790003262</v>
      </c>
      <c r="S13" s="37">
        <f>'R1'!T35</f>
        <v>0.60750358824296224</v>
      </c>
      <c r="T13" s="37">
        <f>'R1'!U35</f>
        <v>1.1701240049924699</v>
      </c>
      <c r="U13" s="37">
        <f>'R1'!V35</f>
        <v>1.5230274671418791</v>
      </c>
      <c r="V13" s="37">
        <f>'R1'!W35</f>
        <v>1.3502214075261769</v>
      </c>
      <c r="W13" s="37" t="str">
        <f>'R1'!X35</f>
        <v/>
      </c>
      <c r="X13" s="37" t="str">
        <f>'R1'!Y35</f>
        <v/>
      </c>
      <c r="Y13" s="37" t="str">
        <f>'R1'!Z35</f>
        <v/>
      </c>
      <c r="Z13" s="37" t="str">
        <f>'R1'!AA35</f>
        <v/>
      </c>
      <c r="AA13" s="37" t="str">
        <f>'R1'!AB35</f>
        <v/>
      </c>
      <c r="AB13" s="37" t="str">
        <f>'R1'!AC35</f>
        <v/>
      </c>
      <c r="AC13" s="37" t="str">
        <f>'R1'!AD35</f>
        <v/>
      </c>
      <c r="AD13" s="37" t="str">
        <f>'R1'!AE35</f>
        <v/>
      </c>
      <c r="AE13" s="37" t="str">
        <f>'R1'!AF35</f>
        <v/>
      </c>
      <c r="AF13" s="37" t="str">
        <f>'R1'!AG35</f>
        <v/>
      </c>
      <c r="AG13" s="37" t="str">
        <f>'R1'!AH35</f>
        <v/>
      </c>
      <c r="AH13" s="37" t="str">
        <f>'R1'!AI35</f>
        <v/>
      </c>
      <c r="AI13" s="37" t="str">
        <f>'R1'!AJ35</f>
        <v/>
      </c>
      <c r="AJ13" s="37" t="str">
        <f>'R1'!AK35</f>
        <v/>
      </c>
      <c r="AK13" s="37" t="str">
        <f>'R1'!AL35</f>
        <v/>
      </c>
    </row>
    <row r="14" spans="1:53" x14ac:dyDescent="0.25">
      <c r="A14" s="201"/>
      <c r="B14" s="37" t="str">
        <f>'R1'!B36</f>
        <v/>
      </c>
      <c r="C14" s="37" t="str">
        <f>'R1'!C36</f>
        <v/>
      </c>
      <c r="D14" s="37" t="str">
        <f>'R1'!D36</f>
        <v/>
      </c>
      <c r="E14" s="37" t="str">
        <f>'R1'!E36</f>
        <v/>
      </c>
      <c r="F14" s="37" t="str">
        <f>'R1'!F36</f>
        <v/>
      </c>
      <c r="G14" s="37" t="str">
        <f>'R1'!G36</f>
        <v/>
      </c>
      <c r="H14" s="37" t="str">
        <f>'R1'!H36</f>
        <v/>
      </c>
      <c r="I14" s="37" t="str">
        <f>'R1'!I36</f>
        <v/>
      </c>
      <c r="J14" s="37" t="str">
        <f>'R1'!J36</f>
        <v/>
      </c>
      <c r="K14" s="37" t="str">
        <f>'R1'!K36</f>
        <v/>
      </c>
      <c r="L14" s="37" t="str">
        <f>'R1'!L36</f>
        <v/>
      </c>
      <c r="M14" s="37" t="str">
        <f>'R1'!M36</f>
        <v/>
      </c>
      <c r="O14" s="37">
        <f>'R1'!P36</f>
        <v>0.9958808789392003</v>
      </c>
      <c r="P14" s="37" t="str">
        <f>'R1'!Q36</f>
        <v/>
      </c>
      <c r="Q14" s="37" t="str">
        <f>'R1'!R36</f>
        <v/>
      </c>
      <c r="R14" s="37" t="str">
        <f>'R1'!S36</f>
        <v/>
      </c>
      <c r="S14" s="37" t="str">
        <f>'R1'!T36</f>
        <v/>
      </c>
      <c r="T14" s="37" t="str">
        <f>'R1'!U36</f>
        <v/>
      </c>
      <c r="U14" s="37" t="str">
        <f>'R1'!V36</f>
        <v/>
      </c>
      <c r="V14" s="37" t="str">
        <f>'R1'!W36</f>
        <v/>
      </c>
      <c r="W14" s="37" t="str">
        <f>'R1'!X36</f>
        <v/>
      </c>
      <c r="X14" s="37" t="str">
        <f>'R1'!Y36</f>
        <v/>
      </c>
      <c r="Y14" s="37" t="str">
        <f>'R1'!Z36</f>
        <v/>
      </c>
      <c r="Z14" s="37" t="str">
        <f>'R1'!AA36</f>
        <v/>
      </c>
      <c r="AA14" s="37" t="str">
        <f>'R1'!AB36</f>
        <v/>
      </c>
      <c r="AB14" s="37" t="str">
        <f>'R1'!AC36</f>
        <v/>
      </c>
      <c r="AC14" s="37" t="str">
        <f>'R1'!AD36</f>
        <v/>
      </c>
      <c r="AD14" s="37" t="str">
        <f>'R1'!AE36</f>
        <v/>
      </c>
      <c r="AE14" s="37" t="str">
        <f>'R1'!AF36</f>
        <v/>
      </c>
      <c r="AF14" s="37" t="str">
        <f>'R1'!AG36</f>
        <v/>
      </c>
      <c r="AG14" s="37" t="str">
        <f>'R1'!AH36</f>
        <v/>
      </c>
      <c r="AH14" s="37" t="str">
        <f>'R1'!AI36</f>
        <v/>
      </c>
      <c r="AI14" s="37" t="str">
        <f>'R1'!AJ36</f>
        <v/>
      </c>
      <c r="AJ14" s="37" t="str">
        <f>'R1'!AK36</f>
        <v/>
      </c>
      <c r="AK14" s="37" t="str">
        <f>'R1'!AL36</f>
        <v/>
      </c>
    </row>
    <row r="15" spans="1:53" x14ac:dyDescent="0.25">
      <c r="A15" s="201"/>
      <c r="B15" s="37" t="str">
        <f>'R1'!B37</f>
        <v/>
      </c>
      <c r="C15" s="37" t="str">
        <f>'R1'!C37</f>
        <v/>
      </c>
      <c r="D15" s="37" t="str">
        <f>'R1'!D37</f>
        <v/>
      </c>
      <c r="E15" s="37" t="str">
        <f>'R1'!E37</f>
        <v/>
      </c>
      <c r="F15" s="37" t="str">
        <f>'R1'!F37</f>
        <v/>
      </c>
      <c r="G15" s="37" t="str">
        <f>'R1'!G37</f>
        <v/>
      </c>
      <c r="H15" s="37" t="str">
        <f>'R1'!H37</f>
        <v/>
      </c>
      <c r="I15" s="37" t="str">
        <f>'R1'!I37</f>
        <v/>
      </c>
      <c r="J15" s="37" t="str">
        <f>'R1'!J37</f>
        <v/>
      </c>
      <c r="K15" s="37" t="str">
        <f>'R1'!K37</f>
        <v/>
      </c>
      <c r="L15" s="37" t="str">
        <f>'R1'!L37</f>
        <v/>
      </c>
      <c r="M15" s="37" t="str">
        <f>'R1'!M37</f>
        <v/>
      </c>
      <c r="O15" s="37">
        <f>'R1'!P37</f>
        <v>0.78337317501739678</v>
      </c>
      <c r="P15" s="37" t="str">
        <f>'R1'!Q37</f>
        <v/>
      </c>
      <c r="Q15" s="37" t="str">
        <f>'R1'!R37</f>
        <v/>
      </c>
      <c r="R15" s="37" t="str">
        <f>'R1'!S37</f>
        <v/>
      </c>
      <c r="S15" s="37" t="str">
        <f>'R1'!T37</f>
        <v/>
      </c>
      <c r="T15" s="37" t="str">
        <f>'R1'!U37</f>
        <v/>
      </c>
      <c r="U15" s="37" t="str">
        <f>'R1'!V37</f>
        <v/>
      </c>
      <c r="V15" s="37" t="str">
        <f>'R1'!W37</f>
        <v/>
      </c>
      <c r="W15" s="37" t="str">
        <f>'R1'!X37</f>
        <v/>
      </c>
      <c r="X15" s="37" t="str">
        <f>'R1'!Y37</f>
        <v/>
      </c>
      <c r="Y15" s="37" t="str">
        <f>'R1'!Z37</f>
        <v/>
      </c>
      <c r="Z15" s="37" t="str">
        <f>'R1'!AA37</f>
        <v/>
      </c>
      <c r="AA15" s="37" t="str">
        <f>'R1'!AB37</f>
        <v/>
      </c>
      <c r="AB15" s="37" t="str">
        <f>'R1'!AC37</f>
        <v/>
      </c>
      <c r="AC15" s="37" t="str">
        <f>'R1'!AD37</f>
        <v/>
      </c>
      <c r="AD15" s="37" t="str">
        <f>'R1'!AE37</f>
        <v/>
      </c>
      <c r="AE15" s="37" t="str">
        <f>'R1'!AF37</f>
        <v/>
      </c>
      <c r="AF15" s="37" t="str">
        <f>'R1'!AG37</f>
        <v/>
      </c>
      <c r="AG15" s="37" t="str">
        <f>'R1'!AH37</f>
        <v/>
      </c>
      <c r="AH15" s="37" t="str">
        <f>'R1'!AI37</f>
        <v/>
      </c>
      <c r="AI15" s="37" t="str">
        <f>'R1'!AJ37</f>
        <v/>
      </c>
      <c r="AJ15" s="37" t="str">
        <f>'R1'!AK37</f>
        <v/>
      </c>
      <c r="AK15" s="37" t="str">
        <f>'R1'!AL37</f>
        <v/>
      </c>
    </row>
    <row r="16" spans="1:53" x14ac:dyDescent="0.25">
      <c r="A16" s="201"/>
      <c r="B16" s="37" t="str">
        <f>'R1'!B38</f>
        <v/>
      </c>
      <c r="C16" s="37" t="str">
        <f>'R1'!C38</f>
        <v/>
      </c>
      <c r="D16" s="37" t="str">
        <f>'R1'!D38</f>
        <v/>
      </c>
      <c r="E16" s="37" t="str">
        <f>'R1'!E38</f>
        <v/>
      </c>
      <c r="F16" s="37" t="str">
        <f>'R1'!F38</f>
        <v/>
      </c>
      <c r="G16" s="37" t="str">
        <f>'R1'!G38</f>
        <v/>
      </c>
      <c r="H16" s="37" t="str">
        <f>'R1'!H38</f>
        <v/>
      </c>
      <c r="I16" s="37" t="str">
        <f>'R1'!I38</f>
        <v/>
      </c>
      <c r="J16" s="37" t="str">
        <f>'R1'!J38</f>
        <v/>
      </c>
      <c r="K16" s="37" t="str">
        <f>'R1'!K38</f>
        <v/>
      </c>
      <c r="L16" s="37" t="str">
        <f>'R1'!L38</f>
        <v/>
      </c>
      <c r="M16" s="37" t="str">
        <f>'R1'!M38</f>
        <v/>
      </c>
      <c r="O16" s="37">
        <f>'R1'!P38</f>
        <v>1.0138376619704161</v>
      </c>
      <c r="P16" s="37" t="str">
        <f>'R1'!Q38</f>
        <v/>
      </c>
      <c r="Q16" s="37" t="str">
        <f>'R1'!R38</f>
        <v/>
      </c>
      <c r="R16" s="37" t="str">
        <f>'R1'!S38</f>
        <v/>
      </c>
      <c r="S16" s="37" t="str">
        <f>'R1'!T38</f>
        <v/>
      </c>
      <c r="T16" s="37" t="str">
        <f>'R1'!U38</f>
        <v/>
      </c>
      <c r="U16" s="37" t="str">
        <f>'R1'!V38</f>
        <v/>
      </c>
      <c r="V16" s="37" t="str">
        <f>'R1'!W38</f>
        <v/>
      </c>
      <c r="W16" s="37" t="str">
        <f>'R1'!X38</f>
        <v/>
      </c>
      <c r="X16" s="37" t="str">
        <f>'R1'!Y38</f>
        <v/>
      </c>
      <c r="Y16" s="37" t="str">
        <f>'R1'!Z38</f>
        <v/>
      </c>
      <c r="Z16" s="37" t="str">
        <f>'R1'!AA38</f>
        <v/>
      </c>
      <c r="AA16" s="37" t="str">
        <f>'R1'!AB38</f>
        <v/>
      </c>
      <c r="AB16" s="37" t="str">
        <f>'R1'!AC38</f>
        <v/>
      </c>
      <c r="AC16" s="37" t="str">
        <f>'R1'!AD38</f>
        <v/>
      </c>
      <c r="AD16" s="37" t="str">
        <f>'R1'!AE38</f>
        <v/>
      </c>
      <c r="AE16" s="37" t="str">
        <f>'R1'!AF38</f>
        <v/>
      </c>
      <c r="AF16" s="37" t="str">
        <f>'R1'!AG38</f>
        <v/>
      </c>
      <c r="AG16" s="37" t="str">
        <f>'R1'!AH38</f>
        <v/>
      </c>
      <c r="AH16" s="37" t="str">
        <f>'R1'!AI38</f>
        <v/>
      </c>
      <c r="AI16" s="37" t="str">
        <f>'R1'!AJ38</f>
        <v/>
      </c>
      <c r="AJ16" s="37" t="str">
        <f>'R1'!AK38</f>
        <v/>
      </c>
      <c r="AK16" s="37" t="str">
        <f>'R1'!AL38</f>
        <v/>
      </c>
    </row>
    <row r="17" spans="1:37" x14ac:dyDescent="0.25">
      <c r="A17" s="201"/>
      <c r="B17" s="37" t="str">
        <f>'R1'!B39</f>
        <v/>
      </c>
      <c r="C17" s="37" t="str">
        <f>'R1'!C39</f>
        <v/>
      </c>
      <c r="D17" s="37" t="str">
        <f>'R1'!D39</f>
        <v/>
      </c>
      <c r="E17" s="37" t="str">
        <f>'R1'!E39</f>
        <v/>
      </c>
      <c r="F17" s="37" t="str">
        <f>'R1'!F39</f>
        <v/>
      </c>
      <c r="G17" s="37" t="str">
        <f>'R1'!G39</f>
        <v/>
      </c>
      <c r="H17" s="37" t="str">
        <f>'R1'!H39</f>
        <v/>
      </c>
      <c r="I17" s="37" t="str">
        <f>'R1'!I39</f>
        <v/>
      </c>
      <c r="J17" s="37" t="str">
        <f>'R1'!J39</f>
        <v/>
      </c>
      <c r="K17" s="37" t="str">
        <f>'R1'!K39</f>
        <v/>
      </c>
      <c r="L17" s="37" t="str">
        <f>'R1'!L39</f>
        <v/>
      </c>
      <c r="M17" s="37" t="str">
        <f>'R1'!M39</f>
        <v/>
      </c>
      <c r="O17" s="37">
        <f>'R1'!P39</f>
        <v>0.9338386046089705</v>
      </c>
      <c r="P17" s="37" t="str">
        <f>'R1'!Q39</f>
        <v/>
      </c>
      <c r="Q17" s="37" t="str">
        <f>'R1'!R39</f>
        <v/>
      </c>
      <c r="R17" s="37" t="str">
        <f>'R1'!S39</f>
        <v/>
      </c>
      <c r="S17" s="37" t="str">
        <f>'R1'!T39</f>
        <v/>
      </c>
      <c r="T17" s="37" t="str">
        <f>'R1'!U39</f>
        <v/>
      </c>
      <c r="U17" s="37" t="str">
        <f>'R1'!V39</f>
        <v/>
      </c>
      <c r="V17" s="37" t="str">
        <f>'R1'!W39</f>
        <v/>
      </c>
      <c r="W17" s="37" t="str">
        <f>'R1'!X39</f>
        <v/>
      </c>
      <c r="X17" s="37" t="str">
        <f>'R1'!Y39</f>
        <v/>
      </c>
      <c r="Y17" s="37" t="str">
        <f>'R1'!Z39</f>
        <v/>
      </c>
      <c r="Z17" s="37" t="str">
        <f>'R1'!AA39</f>
        <v/>
      </c>
      <c r="AA17" s="37" t="str">
        <f>'R1'!AB39</f>
        <v/>
      </c>
      <c r="AB17" s="37" t="str">
        <f>'R1'!AC39</f>
        <v/>
      </c>
      <c r="AC17" s="37" t="str">
        <f>'R1'!AD39</f>
        <v/>
      </c>
      <c r="AD17" s="37" t="str">
        <f>'R1'!AE39</f>
        <v/>
      </c>
      <c r="AE17" s="37" t="str">
        <f>'R1'!AF39</f>
        <v/>
      </c>
      <c r="AF17" s="37" t="str">
        <f>'R1'!AG39</f>
        <v/>
      </c>
      <c r="AG17" s="37" t="str">
        <f>'R1'!AH39</f>
        <v/>
      </c>
      <c r="AH17" s="37" t="str">
        <f>'R1'!AI39</f>
        <v/>
      </c>
      <c r="AI17" s="37" t="str">
        <f>'R1'!AJ39</f>
        <v/>
      </c>
      <c r="AJ17" s="37" t="str">
        <f>'R1'!AK39</f>
        <v/>
      </c>
      <c r="AK17" s="37" t="str">
        <f>'R1'!AL39</f>
        <v/>
      </c>
    </row>
    <row r="18" spans="1:37" x14ac:dyDescent="0.25">
      <c r="A18" s="201"/>
      <c r="B18" s="37" t="str">
        <f>'R1'!B40</f>
        <v/>
      </c>
      <c r="C18" s="37" t="str">
        <f>'R1'!C40</f>
        <v/>
      </c>
      <c r="D18" s="37" t="str">
        <f>'R1'!D40</f>
        <v/>
      </c>
      <c r="E18" s="37" t="str">
        <f>'R1'!E40</f>
        <v/>
      </c>
      <c r="F18" s="37" t="str">
        <f>'R1'!F40</f>
        <v/>
      </c>
      <c r="G18" s="37" t="str">
        <f>'R1'!G40</f>
        <v/>
      </c>
      <c r="H18" s="37" t="str">
        <f>'R1'!H40</f>
        <v/>
      </c>
      <c r="I18" s="37" t="str">
        <f>'R1'!I40</f>
        <v/>
      </c>
      <c r="J18" s="37" t="str">
        <f>'R1'!J40</f>
        <v/>
      </c>
      <c r="K18" s="37" t="str">
        <f>'R1'!K40</f>
        <v/>
      </c>
      <c r="L18" s="37" t="str">
        <f>'R1'!L40</f>
        <v/>
      </c>
      <c r="M18" s="37" t="str">
        <f>'R1'!M40</f>
        <v/>
      </c>
      <c r="O18" s="37">
        <f>'R1'!P40</f>
        <v>1.2841366677142165</v>
      </c>
      <c r="P18" s="37" t="str">
        <f>'R1'!Q40</f>
        <v/>
      </c>
      <c r="Q18" s="37" t="str">
        <f>'R1'!R40</f>
        <v/>
      </c>
      <c r="R18" s="37" t="str">
        <f>'R1'!S40</f>
        <v/>
      </c>
      <c r="S18" s="37" t="str">
        <f>'R1'!T40</f>
        <v/>
      </c>
      <c r="T18" s="37" t="str">
        <f>'R1'!U40</f>
        <v/>
      </c>
      <c r="U18" s="37" t="str">
        <f>'R1'!V40</f>
        <v/>
      </c>
      <c r="V18" s="37" t="str">
        <f>'R1'!W40</f>
        <v/>
      </c>
      <c r="W18" s="37" t="str">
        <f>'R1'!X40</f>
        <v/>
      </c>
      <c r="X18" s="37" t="str">
        <f>'R1'!Y40</f>
        <v/>
      </c>
      <c r="Y18" s="37" t="str">
        <f>'R1'!Z40</f>
        <v/>
      </c>
      <c r="Z18" s="37" t="str">
        <f>'R1'!AA40</f>
        <v/>
      </c>
      <c r="AA18" s="37" t="str">
        <f>'R1'!AB40</f>
        <v/>
      </c>
      <c r="AB18" s="37" t="str">
        <f>'R1'!AC40</f>
        <v/>
      </c>
      <c r="AC18" s="37" t="str">
        <f>'R1'!AD40</f>
        <v/>
      </c>
      <c r="AD18" s="37" t="str">
        <f>'R1'!AE40</f>
        <v/>
      </c>
      <c r="AE18" s="37" t="str">
        <f>'R1'!AF40</f>
        <v/>
      </c>
      <c r="AF18" s="37" t="str">
        <f>'R1'!AG40</f>
        <v/>
      </c>
      <c r="AG18" s="37" t="str">
        <f>'R1'!AH40</f>
        <v/>
      </c>
      <c r="AH18" s="37" t="str">
        <f>'R1'!AI40</f>
        <v/>
      </c>
      <c r="AI18" s="37" t="str">
        <f>'R1'!AJ40</f>
        <v/>
      </c>
      <c r="AJ18" s="37" t="str">
        <f>'R1'!AK40</f>
        <v/>
      </c>
      <c r="AK18" s="37" t="str">
        <f>'R1'!AL40</f>
        <v/>
      </c>
    </row>
    <row r="19" spans="1:37" x14ac:dyDescent="0.25">
      <c r="A19" s="201"/>
      <c r="B19" s="37" t="str">
        <f>'R1'!B41</f>
        <v/>
      </c>
      <c r="C19" s="37" t="str">
        <f>'R1'!C41</f>
        <v/>
      </c>
      <c r="D19" s="37" t="str">
        <f>'R1'!D41</f>
        <v/>
      </c>
      <c r="E19" s="37" t="str">
        <f>'R1'!E41</f>
        <v/>
      </c>
      <c r="F19" s="37" t="str">
        <f>'R1'!F41</f>
        <v/>
      </c>
      <c r="G19" s="37" t="str">
        <f>'R1'!G41</f>
        <v/>
      </c>
      <c r="H19" s="37" t="str">
        <f>'R1'!H41</f>
        <v/>
      </c>
      <c r="I19" s="37" t="str">
        <f>'R1'!I41</f>
        <v/>
      </c>
      <c r="J19" s="37" t="str">
        <f>'R1'!J41</f>
        <v/>
      </c>
      <c r="K19" s="37" t="str">
        <f>'R1'!K41</f>
        <v/>
      </c>
      <c r="L19" s="37" t="str">
        <f>'R1'!L41</f>
        <v/>
      </c>
      <c r="M19" s="37" t="str">
        <f>'R1'!M41</f>
        <v/>
      </c>
      <c r="O19" s="37">
        <f>'R1'!P41</f>
        <v>1.0676720964388566</v>
      </c>
      <c r="P19" s="37" t="str">
        <f>'R1'!Q41</f>
        <v/>
      </c>
      <c r="Q19" s="37" t="str">
        <f>'R1'!R41</f>
        <v/>
      </c>
      <c r="R19" s="37" t="str">
        <f>'R1'!S41</f>
        <v/>
      </c>
      <c r="S19" s="37" t="str">
        <f>'R1'!T41</f>
        <v/>
      </c>
      <c r="T19" s="37" t="str">
        <f>'R1'!U41</f>
        <v/>
      </c>
      <c r="U19" s="37" t="str">
        <f>'R1'!V41</f>
        <v/>
      </c>
      <c r="V19" s="37" t="str">
        <f>'R1'!W41</f>
        <v/>
      </c>
      <c r="W19" s="37" t="str">
        <f>'R1'!X41</f>
        <v/>
      </c>
      <c r="X19" s="37" t="str">
        <f>'R1'!Y41</f>
        <v/>
      </c>
      <c r="Y19" s="37" t="str">
        <f>'R1'!Z41</f>
        <v/>
      </c>
      <c r="Z19" s="37" t="str">
        <f>'R1'!AA41</f>
        <v/>
      </c>
      <c r="AA19" s="37" t="str">
        <f>'R1'!AB41</f>
        <v/>
      </c>
      <c r="AB19" s="37" t="str">
        <f>'R1'!AC41</f>
        <v/>
      </c>
      <c r="AC19" s="37" t="str">
        <f>'R1'!AD41</f>
        <v/>
      </c>
      <c r="AD19" s="37" t="str">
        <f>'R1'!AE41</f>
        <v/>
      </c>
      <c r="AE19" s="37" t="str">
        <f>'R1'!AF41</f>
        <v/>
      </c>
      <c r="AF19" s="37" t="str">
        <f>'R1'!AG41</f>
        <v/>
      </c>
      <c r="AG19" s="37" t="str">
        <f>'R1'!AH41</f>
        <v/>
      </c>
      <c r="AH19" s="37" t="str">
        <f>'R1'!AI41</f>
        <v/>
      </c>
      <c r="AI19" s="37" t="str">
        <f>'R1'!AJ41</f>
        <v/>
      </c>
      <c r="AJ19" s="37" t="str">
        <f>'R1'!AK41</f>
        <v/>
      </c>
      <c r="AK19" s="37" t="str">
        <f>'R1'!AL41</f>
        <v/>
      </c>
    </row>
    <row r="20" spans="1:37" x14ac:dyDescent="0.25">
      <c r="A20" s="201"/>
      <c r="B20" s="37" t="str">
        <f>'R1'!B42</f>
        <v/>
      </c>
      <c r="C20" s="37" t="str">
        <f>'R1'!C42</f>
        <v/>
      </c>
      <c r="D20" s="37" t="str">
        <f>'R1'!D42</f>
        <v/>
      </c>
      <c r="E20" s="37" t="str">
        <f>'R1'!E42</f>
        <v/>
      </c>
      <c r="F20" s="37" t="str">
        <f>'R1'!F42</f>
        <v/>
      </c>
      <c r="G20" s="37" t="str">
        <f>'R1'!G42</f>
        <v/>
      </c>
      <c r="H20" s="37" t="str">
        <f>'R1'!H42</f>
        <v/>
      </c>
      <c r="I20" s="37" t="str">
        <f>'R1'!I42</f>
        <v/>
      </c>
      <c r="J20" s="37" t="str">
        <f>'R1'!J42</f>
        <v/>
      </c>
      <c r="K20" s="37" t="str">
        <f>'R1'!K42</f>
        <v/>
      </c>
      <c r="L20" s="37" t="str">
        <f>'R1'!L42</f>
        <v/>
      </c>
      <c r="M20" s="37" t="str">
        <f>'R1'!M42</f>
        <v/>
      </c>
      <c r="O20" s="37">
        <f>'R1'!P42</f>
        <v>0.83627055551127072</v>
      </c>
      <c r="P20" s="37" t="str">
        <f>'R1'!Q42</f>
        <v/>
      </c>
      <c r="Q20" s="37" t="str">
        <f>'R1'!R42</f>
        <v/>
      </c>
      <c r="R20" s="37" t="str">
        <f>'R1'!S42</f>
        <v/>
      </c>
      <c r="S20" s="37" t="str">
        <f>'R1'!T42</f>
        <v/>
      </c>
      <c r="T20" s="37" t="str">
        <f>'R1'!U42</f>
        <v/>
      </c>
      <c r="U20" s="37" t="str">
        <f>'R1'!V42</f>
        <v/>
      </c>
      <c r="V20" s="37" t="str">
        <f>'R1'!W42</f>
        <v/>
      </c>
      <c r="W20" s="37" t="str">
        <f>'R1'!X42</f>
        <v/>
      </c>
      <c r="X20" s="37" t="str">
        <f>'R1'!Y42</f>
        <v/>
      </c>
      <c r="Y20" s="37" t="str">
        <f>'R1'!Z42</f>
        <v/>
      </c>
      <c r="Z20" s="37" t="str">
        <f>'R1'!AA42</f>
        <v/>
      </c>
      <c r="AA20" s="37" t="str">
        <f>'R1'!AB42</f>
        <v/>
      </c>
      <c r="AB20" s="37" t="str">
        <f>'R1'!AC42</f>
        <v/>
      </c>
      <c r="AC20" s="37" t="str">
        <f>'R1'!AD42</f>
        <v/>
      </c>
      <c r="AD20" s="37" t="str">
        <f>'R1'!AE42</f>
        <v/>
      </c>
      <c r="AE20" s="37" t="str">
        <f>'R1'!AF42</f>
        <v/>
      </c>
      <c r="AF20" s="37" t="str">
        <f>'R1'!AG42</f>
        <v/>
      </c>
      <c r="AG20" s="37" t="str">
        <f>'R1'!AH42</f>
        <v/>
      </c>
      <c r="AH20" s="37" t="str">
        <f>'R1'!AI42</f>
        <v/>
      </c>
      <c r="AI20" s="37" t="str">
        <f>'R1'!AJ42</f>
        <v/>
      </c>
      <c r="AJ20" s="37" t="str">
        <f>'R1'!AK42</f>
        <v/>
      </c>
      <c r="AK20" s="37" t="str">
        <f>'R1'!AL42</f>
        <v/>
      </c>
    </row>
    <row r="21" spans="1:37" x14ac:dyDescent="0.25">
      <c r="A21" s="202"/>
      <c r="B21" s="37" t="str">
        <f>'R1'!B43</f>
        <v/>
      </c>
      <c r="C21" s="37" t="str">
        <f>'R1'!C43</f>
        <v/>
      </c>
      <c r="D21" s="37" t="str">
        <f>'R1'!D43</f>
        <v/>
      </c>
      <c r="E21" s="37" t="str">
        <f>'R1'!E43</f>
        <v/>
      </c>
      <c r="F21" s="37" t="str">
        <f>'R1'!F43</f>
        <v/>
      </c>
      <c r="G21" s="37" t="str">
        <f>'R1'!G43</f>
        <v/>
      </c>
      <c r="H21" s="37" t="str">
        <f>'R1'!H43</f>
        <v/>
      </c>
      <c r="I21" s="37" t="str">
        <f>'R1'!I43</f>
        <v/>
      </c>
      <c r="J21" s="37" t="str">
        <f>'R1'!J43</f>
        <v/>
      </c>
      <c r="K21" s="37" t="str">
        <f>'R1'!K43</f>
        <v/>
      </c>
      <c r="L21" s="37" t="str">
        <f>'R1'!L43</f>
        <v/>
      </c>
      <c r="M21" s="37" t="str">
        <f>'R1'!M43</f>
        <v/>
      </c>
      <c r="O21" s="37">
        <f>'R1'!P43</f>
        <v>1.1313970624315941</v>
      </c>
      <c r="P21" s="37" t="str">
        <f>'R1'!Q43</f>
        <v/>
      </c>
      <c r="Q21" s="37" t="str">
        <f>'R1'!R43</f>
        <v/>
      </c>
      <c r="R21" s="37" t="str">
        <f>'R1'!S43</f>
        <v/>
      </c>
      <c r="S21" s="37" t="str">
        <f>'R1'!T43</f>
        <v/>
      </c>
      <c r="T21" s="37" t="str">
        <f>'R1'!U43</f>
        <v/>
      </c>
      <c r="U21" s="37" t="str">
        <f>'R1'!V43</f>
        <v/>
      </c>
      <c r="V21" s="37" t="str">
        <f>'R1'!W43</f>
        <v/>
      </c>
      <c r="W21" s="37" t="str">
        <f>'R1'!X43</f>
        <v/>
      </c>
      <c r="X21" s="37" t="str">
        <f>'R1'!Y43</f>
        <v/>
      </c>
      <c r="Y21" s="37" t="str">
        <f>'R1'!Z43</f>
        <v/>
      </c>
      <c r="Z21" s="37" t="str">
        <f>'R1'!AA43</f>
        <v/>
      </c>
      <c r="AA21" s="37" t="str">
        <f>'R1'!AB43</f>
        <v/>
      </c>
      <c r="AB21" s="37" t="str">
        <f>'R1'!AC43</f>
        <v/>
      </c>
      <c r="AC21" s="37" t="str">
        <f>'R1'!AD43</f>
        <v/>
      </c>
      <c r="AD21" s="37" t="str">
        <f>'R1'!AE43</f>
        <v/>
      </c>
      <c r="AE21" s="37" t="str">
        <f>'R1'!AF43</f>
        <v/>
      </c>
      <c r="AF21" s="37" t="str">
        <f>'R1'!AG43</f>
        <v/>
      </c>
      <c r="AG21" s="37" t="str">
        <f>'R1'!AH43</f>
        <v/>
      </c>
      <c r="AH21" s="37" t="str">
        <f>'R1'!AI43</f>
        <v/>
      </c>
      <c r="AI21" s="37" t="str">
        <f>'R1'!AJ43</f>
        <v/>
      </c>
      <c r="AJ21" s="37" t="str">
        <f>'R1'!AK43</f>
        <v/>
      </c>
      <c r="AK21" s="37" t="str">
        <f>'R1'!AL43</f>
        <v/>
      </c>
    </row>
    <row r="22" spans="1:37" x14ac:dyDescent="0.25">
      <c r="A22" s="23" t="s">
        <v>5</v>
      </c>
      <c r="B22" s="38">
        <f>'R2'!B28</f>
        <v>1.3613817947310812E-2</v>
      </c>
      <c r="C22" s="38">
        <f>'R2'!C28</f>
        <v>7.0073316654404041E-2</v>
      </c>
      <c r="D22" s="38">
        <f>'R2'!D28</f>
        <v>0.20684061891139538</v>
      </c>
      <c r="E22" s="38">
        <f>'R2'!E28</f>
        <v>0.20695139536508586</v>
      </c>
      <c r="F22" s="38">
        <f>'R2'!F28</f>
        <v>7.4652532329229873E-2</v>
      </c>
      <c r="G22" s="38">
        <f>'R2'!G28</f>
        <v>1.4154095418477226</v>
      </c>
      <c r="H22" s="38">
        <f>'R2'!H28</f>
        <v>2.7962807485639933</v>
      </c>
      <c r="I22" s="38">
        <f>'R2'!I28</f>
        <v>0.1354635433529153</v>
      </c>
      <c r="J22" s="38" t="str">
        <f>'R2'!J28</f>
        <v/>
      </c>
      <c r="K22" s="38">
        <f>'R2'!K28</f>
        <v>5.6348585576717125E-2</v>
      </c>
      <c r="L22" s="38">
        <f>'R2'!L28</f>
        <v>0.16112445440033873</v>
      </c>
      <c r="M22" s="38">
        <f>'R2'!M28</f>
        <v>2.162106531057153</v>
      </c>
      <c r="O22" s="38">
        <f>'R2'!AE28</f>
        <v>1.4600674187820666</v>
      </c>
      <c r="P22" s="38">
        <f>'R2'!AF28</f>
        <v>0.83250056228788472</v>
      </c>
      <c r="Q22" s="38">
        <f>'R2'!AG28</f>
        <v>5.1528272228467446E-2</v>
      </c>
      <c r="R22" s="38">
        <f>'R2'!AH28</f>
        <v>0.60001707365156709</v>
      </c>
      <c r="S22" s="38">
        <f>'R2'!AI28</f>
        <v>1.2952328757507243</v>
      </c>
      <c r="T22" s="38">
        <f>'R2'!AJ28</f>
        <v>1.6853539231839854</v>
      </c>
      <c r="U22" s="38">
        <f>'R2'!AK28</f>
        <v>1.2664710440600806</v>
      </c>
      <c r="V22" s="38">
        <f>'R2'!AL28</f>
        <v>1.7679900140733253</v>
      </c>
      <c r="W22" s="38" t="str">
        <f>'R2'!AM28</f>
        <v/>
      </c>
      <c r="X22" s="38" t="str">
        <f>'R2'!AN28</f>
        <v/>
      </c>
      <c r="Y22" s="38" t="str">
        <f>'R2'!AO28</f>
        <v/>
      </c>
      <c r="Z22" s="38" t="str">
        <f>'R2'!AP28</f>
        <v/>
      </c>
      <c r="AA22" s="38" t="str">
        <f>'R2'!AQ28</f>
        <v/>
      </c>
      <c r="AB22" s="38" t="str">
        <f>'R2'!AR28</f>
        <v/>
      </c>
      <c r="AC22" s="38" t="str">
        <f>'R2'!AS28</f>
        <v/>
      </c>
      <c r="AD22" s="38" t="str">
        <f>'R2'!AT28</f>
        <v/>
      </c>
      <c r="AE22" s="38" t="str">
        <f>'R2'!AU28</f>
        <v/>
      </c>
      <c r="AF22" s="38" t="str">
        <f>'R2'!AV28</f>
        <v/>
      </c>
      <c r="AG22" s="38" t="str">
        <f>'R2'!AW28</f>
        <v/>
      </c>
      <c r="AH22" s="38" t="str">
        <f>'R2'!AX28</f>
        <v/>
      </c>
      <c r="AI22" s="38" t="str">
        <f>'R2'!AY28</f>
        <v/>
      </c>
      <c r="AJ22" s="38" t="str">
        <f>'R2'!AZ28</f>
        <v/>
      </c>
      <c r="AK22" s="38" t="str">
        <f>'R2'!BA28</f>
        <v/>
      </c>
    </row>
    <row r="23" spans="1:37" x14ac:dyDescent="0.25">
      <c r="A23" s="200" t="s">
        <v>34</v>
      </c>
      <c r="B23" s="38">
        <f>'R2'!B29</f>
        <v>0.17452519339477665</v>
      </c>
      <c r="C23" s="38">
        <f>'R2'!C29</f>
        <v>0.11142293441345091</v>
      </c>
      <c r="D23" s="38">
        <f>'R2'!D29</f>
        <v>3.2007971312329082E-2</v>
      </c>
      <c r="E23" s="38">
        <f>'R2'!E29</f>
        <v>0.26228905183665585</v>
      </c>
      <c r="F23" s="38">
        <f>'R2'!F29</f>
        <v>0.55944623964715123</v>
      </c>
      <c r="G23" s="38" t="str">
        <f>'R2'!G29</f>
        <v/>
      </c>
      <c r="H23" s="38">
        <f>'R2'!H29</f>
        <v>2.3691009112398644</v>
      </c>
      <c r="I23" s="38">
        <f>'R2'!I29</f>
        <v>0.13989815509436107</v>
      </c>
      <c r="J23" s="38">
        <f>'R2'!J29</f>
        <v>2.7966510057053227E-2</v>
      </c>
      <c r="K23" s="38">
        <f>'R2'!K29</f>
        <v>0.10583559150553307</v>
      </c>
      <c r="L23" s="38">
        <f>'R2'!L29</f>
        <v>0.15393758424067519</v>
      </c>
      <c r="M23" s="38">
        <f>'R2'!M29</f>
        <v>0.3956035593233127</v>
      </c>
      <c r="O23" s="38">
        <f>'R2'!AE29</f>
        <v>0.73483932999557944</v>
      </c>
      <c r="P23" s="38">
        <f>'R2'!AF29</f>
        <v>0.33049099131162718</v>
      </c>
      <c r="Q23" s="38">
        <f>'R2'!AG29</f>
        <v>0.16159735573256465</v>
      </c>
      <c r="R23" s="38">
        <f>'R2'!AH29</f>
        <v>1.9560936261538384</v>
      </c>
      <c r="S23" s="38">
        <f>'R2'!AI29</f>
        <v>1.3641857169364613</v>
      </c>
      <c r="T23" s="38">
        <f>'R2'!AJ29</f>
        <v>1.1168495728744234</v>
      </c>
      <c r="U23" s="38">
        <f>'R2'!AK29</f>
        <v>0.22335444277407315</v>
      </c>
      <c r="V23" s="38">
        <f>'R2'!AL29</f>
        <v>0.95379182675606866</v>
      </c>
      <c r="W23" s="38" t="str">
        <f>'R2'!AM29</f>
        <v/>
      </c>
      <c r="X23" s="38" t="str">
        <f>'R2'!AN29</f>
        <v/>
      </c>
      <c r="Y23" s="38" t="str">
        <f>'R2'!AO29</f>
        <v/>
      </c>
      <c r="Z23" s="38" t="str">
        <f>'R2'!AP29</f>
        <v/>
      </c>
      <c r="AA23" s="38" t="str">
        <f>'R2'!AQ29</f>
        <v/>
      </c>
      <c r="AB23" s="38" t="str">
        <f>'R2'!AR29</f>
        <v/>
      </c>
      <c r="AC23" s="38" t="str">
        <f>'R2'!AS29</f>
        <v/>
      </c>
      <c r="AD23" s="38" t="str">
        <f>'R2'!AT29</f>
        <v/>
      </c>
      <c r="AE23" s="38" t="str">
        <f>'R2'!AU29</f>
        <v/>
      </c>
      <c r="AF23" s="38" t="str">
        <f>'R2'!AV29</f>
        <v/>
      </c>
      <c r="AG23" s="38" t="str">
        <f>'R2'!AW29</f>
        <v/>
      </c>
      <c r="AH23" s="38" t="str">
        <f>'R2'!AX29</f>
        <v/>
      </c>
      <c r="AI23" s="38" t="str">
        <f>'R2'!AY29</f>
        <v/>
      </c>
      <c r="AJ23" s="38" t="str">
        <f>'R2'!AZ29</f>
        <v/>
      </c>
      <c r="AK23" s="38" t="str">
        <f>'R2'!BA29</f>
        <v/>
      </c>
    </row>
    <row r="24" spans="1:37" x14ac:dyDescent="0.25">
      <c r="A24" s="201"/>
      <c r="B24" s="38">
        <f>'R2'!B30</f>
        <v>0.11719376577180615</v>
      </c>
      <c r="C24" s="38">
        <f>'R2'!C30</f>
        <v>0.38280870807620354</v>
      </c>
      <c r="D24" s="38">
        <f>'R2'!D30</f>
        <v>3.0018300461497033E-2</v>
      </c>
      <c r="E24" s="38">
        <f>'R2'!E30</f>
        <v>0.11598745734457321</v>
      </c>
      <c r="F24" s="38">
        <f>'R2'!F30</f>
        <v>1.5251297581117889</v>
      </c>
      <c r="G24" s="38">
        <f>'R2'!G30</f>
        <v>1.3734507561008922</v>
      </c>
      <c r="H24" s="38">
        <f>'R2'!H30</f>
        <v>1.4571022180876616</v>
      </c>
      <c r="I24" s="38">
        <f>'R2'!I30</f>
        <v>0.14721500478204391</v>
      </c>
      <c r="J24" s="38">
        <f>'R2'!J30</f>
        <v>0.31843207567820886</v>
      </c>
      <c r="K24" s="38">
        <f>'R2'!K30</f>
        <v>7.6024356222741896E-2</v>
      </c>
      <c r="L24" s="38">
        <f>'R2'!L30</f>
        <v>0.13436971983794302</v>
      </c>
      <c r="M24" s="38">
        <f>'R2'!M30</f>
        <v>1.2348652438951719</v>
      </c>
      <c r="O24" s="38">
        <f>'R2'!AE30</f>
        <v>1.0946330509811693</v>
      </c>
      <c r="P24" s="38">
        <f>'R2'!AF30</f>
        <v>1.7257295828813437</v>
      </c>
      <c r="Q24" s="38">
        <f>'R2'!AG30</f>
        <v>0.12368584000014873</v>
      </c>
      <c r="R24" s="38">
        <f>'R2'!AH30</f>
        <v>1.6372505636819872</v>
      </c>
      <c r="S24" s="38">
        <f>'R2'!AI30</f>
        <v>2.8242472586210465</v>
      </c>
      <c r="T24" s="38">
        <f>'R2'!AJ30</f>
        <v>0.16914491566556464</v>
      </c>
      <c r="U24" s="38">
        <f>'R2'!AK30</f>
        <v>1.7138895549599371</v>
      </c>
      <c r="V24" s="38">
        <f>'R2'!AL30</f>
        <v>1.9610808217352234</v>
      </c>
      <c r="W24" s="38" t="str">
        <f>'R2'!AM30</f>
        <v/>
      </c>
      <c r="X24" s="38" t="str">
        <f>'R2'!AN30</f>
        <v/>
      </c>
      <c r="Y24" s="38" t="str">
        <f>'R2'!AO30</f>
        <v/>
      </c>
      <c r="Z24" s="38" t="str">
        <f>'R2'!AP30</f>
        <v/>
      </c>
      <c r="AA24" s="38" t="str">
        <f>'R2'!AQ30</f>
        <v/>
      </c>
      <c r="AB24" s="38" t="str">
        <f>'R2'!AR30</f>
        <v/>
      </c>
      <c r="AC24" s="38" t="str">
        <f>'R2'!AS30</f>
        <v/>
      </c>
      <c r="AD24" s="38" t="str">
        <f>'R2'!AT30</f>
        <v/>
      </c>
      <c r="AE24" s="38" t="str">
        <f>'R2'!AU30</f>
        <v/>
      </c>
      <c r="AF24" s="38" t="str">
        <f>'R2'!AV30</f>
        <v/>
      </c>
      <c r="AG24" s="38" t="str">
        <f>'R2'!AW30</f>
        <v/>
      </c>
      <c r="AH24" s="38" t="str">
        <f>'R2'!AX30</f>
        <v/>
      </c>
      <c r="AI24" s="38" t="str">
        <f>'R2'!AY30</f>
        <v/>
      </c>
      <c r="AJ24" s="38" t="str">
        <f>'R2'!AZ30</f>
        <v/>
      </c>
      <c r="AK24" s="38" t="str">
        <f>'R2'!BA30</f>
        <v/>
      </c>
    </row>
    <row r="25" spans="1:37" x14ac:dyDescent="0.25">
      <c r="A25" s="201"/>
      <c r="B25" s="38">
        <f>'R2'!B31</f>
        <v>0.19677738790297622</v>
      </c>
      <c r="C25" s="38">
        <f>'R2'!C31</f>
        <v>3.3879280153419039E-2</v>
      </c>
      <c r="D25" s="38">
        <f>'R2'!D31</f>
        <v>0.12555407361581236</v>
      </c>
      <c r="E25" s="38">
        <f>'R2'!E31</f>
        <v>0.29474627941459958</v>
      </c>
      <c r="F25" s="38">
        <f>'R2'!F31</f>
        <v>0.33494330268385997</v>
      </c>
      <c r="G25" s="38">
        <f>'R2'!G31</f>
        <v>1.5285973823025125</v>
      </c>
      <c r="H25" s="38">
        <f>'R2'!H31</f>
        <v>1.8314293860997188</v>
      </c>
      <c r="I25" s="38">
        <f>'R2'!I31</f>
        <v>0.19936126064451698</v>
      </c>
      <c r="J25" s="38">
        <f>'R2'!J31</f>
        <v>8.7948371967458722E-2</v>
      </c>
      <c r="K25" s="38">
        <f>'R2'!K31</f>
        <v>8.4331428497701283E-2</v>
      </c>
      <c r="L25" s="38">
        <f>'R2'!L31</f>
        <v>0.53122981627045196</v>
      </c>
      <c r="M25" s="38">
        <f>'R2'!M31</f>
        <v>1.0817050766422716</v>
      </c>
      <c r="O25" s="38">
        <f>'R2'!AE31</f>
        <v>1.1327191028411148</v>
      </c>
      <c r="P25" s="38">
        <f>'R2'!AF31</f>
        <v>2.5837698239965121</v>
      </c>
      <c r="Q25" s="38">
        <f>'R2'!AG31</f>
        <v>0.29730937729992696</v>
      </c>
      <c r="R25" s="38">
        <f>'R2'!AH31</f>
        <v>1.1642612800088699</v>
      </c>
      <c r="S25" s="38">
        <f>'R2'!AI31</f>
        <v>1.0346970440987875</v>
      </c>
      <c r="T25" s="38">
        <f>'R2'!AJ31</f>
        <v>2.6529695032764686</v>
      </c>
      <c r="U25" s="38">
        <f>'R2'!AK31</f>
        <v>1.3178959203758807</v>
      </c>
      <c r="V25" s="38">
        <f>'R2'!AL31</f>
        <v>2.3434934407765167</v>
      </c>
      <c r="W25" s="38" t="str">
        <f>'R2'!AM31</f>
        <v/>
      </c>
      <c r="X25" s="38" t="str">
        <f>'R2'!AN31</f>
        <v/>
      </c>
      <c r="Y25" s="38" t="str">
        <f>'R2'!AO31</f>
        <v/>
      </c>
      <c r="Z25" s="38" t="str">
        <f>'R2'!AP31</f>
        <v/>
      </c>
      <c r="AA25" s="38" t="str">
        <f>'R2'!AQ31</f>
        <v/>
      </c>
      <c r="AB25" s="38" t="str">
        <f>'R2'!AR31</f>
        <v/>
      </c>
      <c r="AC25" s="38" t="str">
        <f>'R2'!AS31</f>
        <v/>
      </c>
      <c r="AD25" s="38" t="str">
        <f>'R2'!AT31</f>
        <v/>
      </c>
      <c r="AE25" s="38" t="str">
        <f>'R2'!AU31</f>
        <v/>
      </c>
      <c r="AF25" s="38" t="str">
        <f>'R2'!AV31</f>
        <v/>
      </c>
      <c r="AG25" s="38" t="str">
        <f>'R2'!AW31</f>
        <v/>
      </c>
      <c r="AH25" s="38" t="str">
        <f>'R2'!AX31</f>
        <v/>
      </c>
      <c r="AI25" s="38" t="str">
        <f>'R2'!AY31</f>
        <v/>
      </c>
      <c r="AJ25" s="38" t="str">
        <f>'R2'!AZ31</f>
        <v/>
      </c>
      <c r="AK25" s="38" t="str">
        <f>'R2'!BA31</f>
        <v/>
      </c>
    </row>
    <row r="26" spans="1:37" x14ac:dyDescent="0.25">
      <c r="A26" s="201"/>
      <c r="B26" s="38">
        <f>'R2'!B32</f>
        <v>6.9656452763280044E-2</v>
      </c>
      <c r="C26" s="38">
        <f>'R2'!C32</f>
        <v>0.10086602721659244</v>
      </c>
      <c r="D26" s="38">
        <f>'R2'!D32</f>
        <v>2.4170725144169306E-2</v>
      </c>
      <c r="E26" s="38">
        <f>'R2'!E32</f>
        <v>0.61125695424644078</v>
      </c>
      <c r="F26" s="38">
        <f>'R2'!F32</f>
        <v>0.33630009214195444</v>
      </c>
      <c r="G26" s="38">
        <f>'R2'!G32</f>
        <v>1.8591386022961029</v>
      </c>
      <c r="H26" s="38">
        <f>'R2'!H32</f>
        <v>2.1881691348835974</v>
      </c>
      <c r="I26" s="38">
        <f>'R2'!I32</f>
        <v>0.11451237421507948</v>
      </c>
      <c r="J26" s="38">
        <f>'R2'!J32</f>
        <v>3.2590145654703744E-2</v>
      </c>
      <c r="K26" s="38">
        <f>'R2'!K32</f>
        <v>0.25625224764809496</v>
      </c>
      <c r="L26" s="38">
        <f>'R2'!L32</f>
        <v>0.28304238147206479</v>
      </c>
      <c r="M26" s="38">
        <f>'R2'!M32</f>
        <v>1.2423269708696061</v>
      </c>
      <c r="O26" s="38">
        <f>'R2'!AE32</f>
        <v>1.1927319220208119</v>
      </c>
      <c r="P26" s="38">
        <f>'R2'!AF32</f>
        <v>2.1477062754608167</v>
      </c>
      <c r="Q26" s="38">
        <f>'R2'!AG32</f>
        <v>0.23742503420470737</v>
      </c>
      <c r="R26" s="38">
        <f>'R2'!AH32</f>
        <v>1.5560527215553679</v>
      </c>
      <c r="S26" s="38">
        <f>'R2'!AI32</f>
        <v>2.2504734753743056</v>
      </c>
      <c r="T26" s="38">
        <f>'R2'!AJ32</f>
        <v>2.4159434283170698</v>
      </c>
      <c r="U26" s="38">
        <f>'R2'!AK32</f>
        <v>2.5250887141030991</v>
      </c>
      <c r="V26" s="38">
        <f>'R2'!AL32</f>
        <v>1.7270806319186425</v>
      </c>
      <c r="W26" s="38" t="str">
        <f>'R2'!AM32</f>
        <v/>
      </c>
      <c r="X26" s="38" t="str">
        <f>'R2'!AN32</f>
        <v/>
      </c>
      <c r="Y26" s="38" t="str">
        <f>'R2'!AO32</f>
        <v/>
      </c>
      <c r="Z26" s="38" t="str">
        <f>'R2'!AP32</f>
        <v/>
      </c>
      <c r="AA26" s="38" t="str">
        <f>'R2'!AQ32</f>
        <v/>
      </c>
      <c r="AB26" s="38" t="str">
        <f>'R2'!AR32</f>
        <v/>
      </c>
      <c r="AC26" s="38" t="str">
        <f>'R2'!AS32</f>
        <v/>
      </c>
      <c r="AD26" s="38" t="str">
        <f>'R2'!AT32</f>
        <v/>
      </c>
      <c r="AE26" s="38" t="str">
        <f>'R2'!AU32</f>
        <v/>
      </c>
      <c r="AF26" s="38" t="str">
        <f>'R2'!AV32</f>
        <v/>
      </c>
      <c r="AG26" s="38" t="str">
        <f>'R2'!AW32</f>
        <v/>
      </c>
      <c r="AH26" s="38" t="str">
        <f>'R2'!AX32</f>
        <v/>
      </c>
      <c r="AI26" s="38" t="str">
        <f>'R2'!AY32</f>
        <v/>
      </c>
      <c r="AJ26" s="38" t="str">
        <f>'R2'!AZ32</f>
        <v/>
      </c>
      <c r="AK26" s="38" t="str">
        <f>'R2'!BA32</f>
        <v/>
      </c>
    </row>
    <row r="27" spans="1:37" x14ac:dyDescent="0.25">
      <c r="A27" s="201"/>
      <c r="B27" s="38">
        <f>'R2'!B33</f>
        <v>4.5113283650811409E-2</v>
      </c>
      <c r="C27" s="38">
        <f>'R2'!C33</f>
        <v>5.5451371474001213E-2</v>
      </c>
      <c r="D27" s="38">
        <f>'R2'!D33</f>
        <v>2.9941488164181726E-2</v>
      </c>
      <c r="E27" s="38">
        <f>'R2'!E33</f>
        <v>0.19954153719284243</v>
      </c>
      <c r="F27" s="38">
        <f>'R2'!F33</f>
        <v>1.1480534069069401</v>
      </c>
      <c r="G27" s="38">
        <f>'R2'!G33</f>
        <v>1.3516435808810532</v>
      </c>
      <c r="H27" s="38">
        <f>'R2'!H33</f>
        <v>2.811156775702953</v>
      </c>
      <c r="I27" s="38">
        <f>'R2'!I33</f>
        <v>0.2243478089251188</v>
      </c>
      <c r="J27" s="38">
        <f>'R2'!J33</f>
        <v>8.0804623302106554E-2</v>
      </c>
      <c r="K27" s="38">
        <f>'R2'!K33</f>
        <v>0.10749115619838064</v>
      </c>
      <c r="L27" s="38">
        <f>'R2'!L33</f>
        <v>2.4558066871200598E-2</v>
      </c>
      <c r="M27" s="38">
        <f>'R2'!M33</f>
        <v>2.21906688147868</v>
      </c>
      <c r="O27" s="38">
        <f>'R2'!AE33</f>
        <v>1.0701873323455438</v>
      </c>
      <c r="P27" s="38">
        <f>'R2'!AF33</f>
        <v>1.495569734577157</v>
      </c>
      <c r="Q27" s="38">
        <f>'R2'!AG33</f>
        <v>2.4005209677890233E-2</v>
      </c>
      <c r="R27" s="38">
        <f>'R2'!AH33</f>
        <v>1.5437840755478742</v>
      </c>
      <c r="S27" s="38">
        <f>'R2'!AI33</f>
        <v>1.1622967576681911</v>
      </c>
      <c r="T27" s="38">
        <f>'R2'!AJ33</f>
        <v>1.9569391081310492</v>
      </c>
      <c r="U27" s="38">
        <f>'R2'!AK33</f>
        <v>1.4005600299857717</v>
      </c>
      <c r="V27" s="38">
        <f>'R2'!AL33</f>
        <v>2.2106815618012066</v>
      </c>
      <c r="W27" s="38" t="str">
        <f>'R2'!AM33</f>
        <v/>
      </c>
      <c r="X27" s="38" t="str">
        <f>'R2'!AN33</f>
        <v/>
      </c>
      <c r="Y27" s="38" t="str">
        <f>'R2'!AO33</f>
        <v/>
      </c>
      <c r="Z27" s="38" t="str">
        <f>'R2'!AP33</f>
        <v/>
      </c>
      <c r="AA27" s="38" t="str">
        <f>'R2'!AQ33</f>
        <v/>
      </c>
      <c r="AB27" s="38" t="str">
        <f>'R2'!AR33</f>
        <v/>
      </c>
      <c r="AC27" s="38" t="str">
        <f>'R2'!AS33</f>
        <v/>
      </c>
      <c r="AD27" s="38" t="str">
        <f>'R2'!AT33</f>
        <v/>
      </c>
      <c r="AE27" s="38" t="str">
        <f>'R2'!AU33</f>
        <v/>
      </c>
      <c r="AF27" s="38" t="str">
        <f>'R2'!AV33</f>
        <v/>
      </c>
      <c r="AG27" s="38" t="str">
        <f>'R2'!AW33</f>
        <v/>
      </c>
      <c r="AH27" s="38" t="str">
        <f>'R2'!AX33</f>
        <v/>
      </c>
      <c r="AI27" s="38" t="str">
        <f>'R2'!AY33</f>
        <v/>
      </c>
      <c r="AJ27" s="38" t="str">
        <f>'R2'!AZ33</f>
        <v/>
      </c>
      <c r="AK27" s="38" t="str">
        <f>'R2'!BA33</f>
        <v/>
      </c>
    </row>
    <row r="28" spans="1:37" x14ac:dyDescent="0.25">
      <c r="A28" s="201"/>
      <c r="B28" s="38">
        <f>'R2'!B34</f>
        <v>9.1317247252825959E-2</v>
      </c>
      <c r="C28" s="38">
        <f>'R2'!C34</f>
        <v>2.7685776144801187E-2</v>
      </c>
      <c r="D28" s="38">
        <f>'R2'!D34</f>
        <v>5.7559199319546929E-2</v>
      </c>
      <c r="E28" s="38">
        <f>'R2'!E34</f>
        <v>0.30336989489344202</v>
      </c>
      <c r="F28" s="38">
        <f>'R2'!F34</f>
        <v>0.57887797407101138</v>
      </c>
      <c r="G28" s="38">
        <f>'R2'!G34</f>
        <v>1.661400513969943</v>
      </c>
      <c r="H28" s="38">
        <f>'R2'!H34</f>
        <v>2.2106193739092519</v>
      </c>
      <c r="I28" s="38">
        <f>'R2'!I34</f>
        <v>0.29353122367948731</v>
      </c>
      <c r="J28" s="38">
        <f>'R2'!J34</f>
        <v>0.16789733087927614</v>
      </c>
      <c r="K28" s="38">
        <f>'R2'!K34</f>
        <v>0.32577858420667005</v>
      </c>
      <c r="L28" s="38">
        <f>'R2'!L34</f>
        <v>0.26218852613438648</v>
      </c>
      <c r="M28" s="38">
        <f>'R2'!M34</f>
        <v>0.48608263680160818</v>
      </c>
      <c r="O28" s="38">
        <f>'R2'!AE34</f>
        <v>1.5269746200142125</v>
      </c>
      <c r="P28" s="38">
        <f>'R2'!AF34</f>
        <v>2.1496485878400833</v>
      </c>
      <c r="Q28" s="38">
        <f>'R2'!AG34</f>
        <v>5.0406429992944209E-2</v>
      </c>
      <c r="R28" s="38">
        <f>'R2'!AH34</f>
        <v>0.39155348743684315</v>
      </c>
      <c r="S28" s="38">
        <f>'R2'!AI34</f>
        <v>2.2214425272896872</v>
      </c>
      <c r="T28" s="38">
        <f>'R2'!AJ34</f>
        <v>1.503034331761989</v>
      </c>
      <c r="U28" s="38">
        <f>'R2'!AK34</f>
        <v>1.1967495331944482</v>
      </c>
      <c r="V28" s="38">
        <f>'R2'!AL34</f>
        <v>0.98633775750297614</v>
      </c>
      <c r="W28" s="38" t="str">
        <f>'R2'!AM34</f>
        <v/>
      </c>
      <c r="X28" s="38" t="str">
        <f>'R2'!AN34</f>
        <v/>
      </c>
      <c r="Y28" s="38" t="str">
        <f>'R2'!AO34</f>
        <v/>
      </c>
      <c r="Z28" s="38" t="str">
        <f>'R2'!AP34</f>
        <v/>
      </c>
      <c r="AA28" s="38" t="str">
        <f>'R2'!AQ34</f>
        <v/>
      </c>
      <c r="AB28" s="38" t="str">
        <f>'R2'!AR34</f>
        <v/>
      </c>
      <c r="AC28" s="38" t="str">
        <f>'R2'!AS34</f>
        <v/>
      </c>
      <c r="AD28" s="38" t="str">
        <f>'R2'!AT34</f>
        <v/>
      </c>
      <c r="AE28" s="38" t="str">
        <f>'R2'!AU34</f>
        <v/>
      </c>
      <c r="AF28" s="38" t="str">
        <f>'R2'!AV34</f>
        <v/>
      </c>
      <c r="AG28" s="38" t="str">
        <f>'R2'!AW34</f>
        <v/>
      </c>
      <c r="AH28" s="38" t="str">
        <f>'R2'!AX34</f>
        <v/>
      </c>
      <c r="AI28" s="38" t="str">
        <f>'R2'!AY34</f>
        <v/>
      </c>
      <c r="AJ28" s="38" t="str">
        <f>'R2'!AZ34</f>
        <v/>
      </c>
      <c r="AK28" s="38" t="str">
        <f>'R2'!BA34</f>
        <v/>
      </c>
    </row>
    <row r="29" spans="1:37" x14ac:dyDescent="0.25">
      <c r="A29" s="201"/>
      <c r="B29" s="38">
        <f>'R2'!B35</f>
        <v>0.17429619160802967</v>
      </c>
      <c r="C29" s="38">
        <f>'R2'!C35</f>
        <v>2.7413789540428477E-2</v>
      </c>
      <c r="D29" s="38" t="str">
        <f>'R2'!D35</f>
        <v/>
      </c>
      <c r="E29" s="38">
        <f>'R2'!E35</f>
        <v>0.5383544301998181</v>
      </c>
      <c r="F29" s="38">
        <f>'R2'!F35</f>
        <v>1.3806582644400835</v>
      </c>
      <c r="G29" s="38">
        <f>'R2'!G35</f>
        <v>1.5779855026492864</v>
      </c>
      <c r="H29" s="38">
        <f>'R2'!H35</f>
        <v>2.4072963044483018</v>
      </c>
      <c r="I29" s="38">
        <f>'R2'!I35</f>
        <v>0.11870452151624525</v>
      </c>
      <c r="J29" s="38">
        <f>'R2'!J35</f>
        <v>0.15485564153794731</v>
      </c>
      <c r="K29" s="38">
        <f>'R2'!K35</f>
        <v>0.32503656648046936</v>
      </c>
      <c r="L29" s="38">
        <f>'R2'!L35</f>
        <v>0.71336168226475682</v>
      </c>
      <c r="M29" s="38">
        <f>'R2'!M35</f>
        <v>0.49539339431737711</v>
      </c>
      <c r="O29" s="38">
        <f>'R2'!AE35</f>
        <v>1.0163825049031397E-2</v>
      </c>
      <c r="P29" s="38">
        <f>'R2'!AF35</f>
        <v>1.6674964308250322</v>
      </c>
      <c r="Q29" s="38">
        <f>'R2'!AG35</f>
        <v>2.4889097803758743E-2</v>
      </c>
      <c r="R29" s="38">
        <f>'R2'!AH35</f>
        <v>1.5961963042405529</v>
      </c>
      <c r="S29" s="38">
        <f>'R2'!AI35</f>
        <v>1.924538123009236</v>
      </c>
      <c r="T29" s="38">
        <f>'R2'!AJ35</f>
        <v>1.0517518342831271</v>
      </c>
      <c r="U29" s="38">
        <f>'R2'!AK35</f>
        <v>2.4444597886803496</v>
      </c>
      <c r="V29" s="38">
        <f>'R2'!AL35</f>
        <v>1.886756450128154</v>
      </c>
      <c r="W29" s="38" t="str">
        <f>'R2'!AM35</f>
        <v/>
      </c>
      <c r="X29" s="38" t="str">
        <f>'R2'!AN35</f>
        <v/>
      </c>
      <c r="Y29" s="38" t="str">
        <f>'R2'!AO35</f>
        <v/>
      </c>
      <c r="Z29" s="38" t="str">
        <f>'R2'!AP35</f>
        <v/>
      </c>
      <c r="AA29" s="38" t="str">
        <f>'R2'!AQ35</f>
        <v/>
      </c>
      <c r="AB29" s="38" t="str">
        <f>'R2'!AR35</f>
        <v/>
      </c>
      <c r="AC29" s="38" t="str">
        <f>'R2'!AS35</f>
        <v/>
      </c>
      <c r="AD29" s="38" t="str">
        <f>'R2'!AT35</f>
        <v/>
      </c>
      <c r="AE29" s="38" t="str">
        <f>'R2'!AU35</f>
        <v/>
      </c>
      <c r="AF29" s="38" t="str">
        <f>'R2'!AV35</f>
        <v/>
      </c>
      <c r="AG29" s="38" t="str">
        <f>'R2'!AW35</f>
        <v/>
      </c>
      <c r="AH29" s="38" t="str">
        <f>'R2'!AX35</f>
        <v/>
      </c>
      <c r="AI29" s="38" t="str">
        <f>'R2'!AY35</f>
        <v/>
      </c>
      <c r="AJ29" s="38" t="str">
        <f>'R2'!AZ35</f>
        <v/>
      </c>
      <c r="AK29" s="38" t="str">
        <f>'R2'!BA35</f>
        <v/>
      </c>
    </row>
    <row r="30" spans="1:37" x14ac:dyDescent="0.25">
      <c r="A30" s="201"/>
      <c r="B30" s="38" t="str">
        <f>'R2'!B36</f>
        <v/>
      </c>
      <c r="C30" s="38" t="str">
        <f>'R2'!C36</f>
        <v/>
      </c>
      <c r="D30" s="38" t="str">
        <f>'R2'!D36</f>
        <v/>
      </c>
      <c r="E30" s="38" t="str">
        <f>'R2'!E36</f>
        <v/>
      </c>
      <c r="F30" s="38" t="str">
        <f>'R2'!F36</f>
        <v/>
      </c>
      <c r="G30" s="38" t="str">
        <f>'R2'!G36</f>
        <v/>
      </c>
      <c r="H30" s="38" t="str">
        <f>'R2'!H36</f>
        <v/>
      </c>
      <c r="I30" s="38" t="str">
        <f>'R2'!I36</f>
        <v/>
      </c>
      <c r="J30" s="38" t="str">
        <f>'R2'!J36</f>
        <v/>
      </c>
      <c r="K30" s="38" t="str">
        <f>'R2'!K36</f>
        <v/>
      </c>
      <c r="L30" s="38" t="str">
        <f>'R2'!L36</f>
        <v/>
      </c>
      <c r="M30" s="38" t="str">
        <f>'R2'!M36</f>
        <v/>
      </c>
      <c r="O30" s="38">
        <f>'R2'!AE36</f>
        <v>1.4231360115621918</v>
      </c>
      <c r="P30" s="38" t="str">
        <f>'R2'!AF36</f>
        <v/>
      </c>
      <c r="Q30" s="38" t="str">
        <f>'R2'!AG36</f>
        <v/>
      </c>
      <c r="R30" s="38" t="str">
        <f>'R2'!AH36</f>
        <v/>
      </c>
      <c r="S30" s="38" t="str">
        <f>'R2'!AI36</f>
        <v/>
      </c>
      <c r="T30" s="38" t="str">
        <f>'R2'!AJ36</f>
        <v/>
      </c>
      <c r="U30" s="38" t="str">
        <f>'R2'!AK36</f>
        <v/>
      </c>
      <c r="V30" s="38" t="str">
        <f>'R2'!AL36</f>
        <v/>
      </c>
      <c r="W30" s="38" t="str">
        <f>'R2'!AM36</f>
        <v/>
      </c>
      <c r="X30" s="38" t="str">
        <f>'R2'!AN36</f>
        <v/>
      </c>
      <c r="Y30" s="38" t="str">
        <f>'R2'!AO36</f>
        <v/>
      </c>
      <c r="Z30" s="38" t="str">
        <f>'R2'!AP36</f>
        <v/>
      </c>
      <c r="AA30" s="38" t="str">
        <f>'R2'!AQ36</f>
        <v/>
      </c>
      <c r="AB30" s="38" t="str">
        <f>'R2'!AR36</f>
        <v/>
      </c>
      <c r="AC30" s="38" t="str">
        <f>'R2'!AS36</f>
        <v/>
      </c>
      <c r="AD30" s="38" t="str">
        <f>'R2'!AT36</f>
        <v/>
      </c>
      <c r="AE30" s="38" t="str">
        <f>'R2'!AU36</f>
        <v/>
      </c>
      <c r="AF30" s="38" t="str">
        <f>'R2'!AV36</f>
        <v/>
      </c>
      <c r="AG30" s="38" t="str">
        <f>'R2'!AW36</f>
        <v/>
      </c>
      <c r="AH30" s="38" t="str">
        <f>'R2'!AX36</f>
        <v/>
      </c>
      <c r="AI30" s="38" t="str">
        <f>'R2'!AY36</f>
        <v/>
      </c>
      <c r="AJ30" s="38" t="str">
        <f>'R2'!AZ36</f>
        <v/>
      </c>
      <c r="AK30" s="38" t="str">
        <f>'R2'!BA36</f>
        <v/>
      </c>
    </row>
    <row r="31" spans="1:37" x14ac:dyDescent="0.25">
      <c r="A31" s="201"/>
      <c r="B31" s="38" t="str">
        <f>'R2'!B37</f>
        <v/>
      </c>
      <c r="C31" s="38" t="str">
        <f>'R2'!C37</f>
        <v/>
      </c>
      <c r="D31" s="38" t="str">
        <f>'R2'!D37</f>
        <v/>
      </c>
      <c r="E31" s="38" t="str">
        <f>'R2'!E37</f>
        <v/>
      </c>
      <c r="F31" s="38" t="str">
        <f>'R2'!F37</f>
        <v/>
      </c>
      <c r="G31" s="38" t="str">
        <f>'R2'!G37</f>
        <v/>
      </c>
      <c r="H31" s="38" t="str">
        <f>'R2'!H37</f>
        <v/>
      </c>
      <c r="I31" s="38" t="str">
        <f>'R2'!I37</f>
        <v/>
      </c>
      <c r="J31" s="38" t="str">
        <f>'R2'!J37</f>
        <v/>
      </c>
      <c r="K31" s="38" t="str">
        <f>'R2'!K37</f>
        <v/>
      </c>
      <c r="L31" s="38" t="str">
        <f>'R2'!L37</f>
        <v/>
      </c>
      <c r="M31" s="38" t="str">
        <f>'R2'!M37</f>
        <v/>
      </c>
      <c r="O31" s="38">
        <f>'R2'!AE37</f>
        <v>0.66657376752345465</v>
      </c>
      <c r="P31" s="38" t="str">
        <f>'R2'!AF37</f>
        <v/>
      </c>
      <c r="Q31" s="38" t="str">
        <f>'R2'!AG37</f>
        <v/>
      </c>
      <c r="R31" s="38" t="str">
        <f>'R2'!AH37</f>
        <v/>
      </c>
      <c r="S31" s="38" t="str">
        <f>'R2'!AI37</f>
        <v/>
      </c>
      <c r="T31" s="38" t="str">
        <f>'R2'!AJ37</f>
        <v/>
      </c>
      <c r="U31" s="38" t="str">
        <f>'R2'!AK37</f>
        <v/>
      </c>
      <c r="V31" s="38" t="str">
        <f>'R2'!AL37</f>
        <v/>
      </c>
      <c r="W31" s="38" t="str">
        <f>'R2'!AM37</f>
        <v/>
      </c>
      <c r="X31" s="38" t="str">
        <f>'R2'!AN37</f>
        <v/>
      </c>
      <c r="Y31" s="38" t="str">
        <f>'R2'!AO37</f>
        <v/>
      </c>
      <c r="Z31" s="38" t="str">
        <f>'R2'!AP37</f>
        <v/>
      </c>
      <c r="AA31" s="38" t="str">
        <f>'R2'!AQ37</f>
        <v/>
      </c>
      <c r="AB31" s="38" t="str">
        <f>'R2'!AR37</f>
        <v/>
      </c>
      <c r="AC31" s="38" t="str">
        <f>'R2'!AS37</f>
        <v/>
      </c>
      <c r="AD31" s="38" t="str">
        <f>'R2'!AT37</f>
        <v/>
      </c>
      <c r="AE31" s="38" t="str">
        <f>'R2'!AU37</f>
        <v/>
      </c>
      <c r="AF31" s="38" t="str">
        <f>'R2'!AV37</f>
        <v/>
      </c>
      <c r="AG31" s="38" t="str">
        <f>'R2'!AW37</f>
        <v/>
      </c>
      <c r="AH31" s="38" t="str">
        <f>'R2'!AX37</f>
        <v/>
      </c>
      <c r="AI31" s="38" t="str">
        <f>'R2'!AY37</f>
        <v/>
      </c>
      <c r="AJ31" s="38" t="str">
        <f>'R2'!AZ37</f>
        <v/>
      </c>
      <c r="AK31" s="38" t="str">
        <f>'R2'!BA37</f>
        <v/>
      </c>
    </row>
    <row r="32" spans="1:37" x14ac:dyDescent="0.25">
      <c r="A32" s="201"/>
      <c r="B32" s="38" t="str">
        <f>'R2'!B38</f>
        <v/>
      </c>
      <c r="C32" s="38" t="str">
        <f>'R2'!C38</f>
        <v/>
      </c>
      <c r="D32" s="38" t="str">
        <f>'R2'!D38</f>
        <v/>
      </c>
      <c r="E32" s="38" t="str">
        <f>'R2'!E38</f>
        <v/>
      </c>
      <c r="F32" s="38" t="str">
        <f>'R2'!F38</f>
        <v/>
      </c>
      <c r="G32" s="38" t="str">
        <f>'R2'!G38</f>
        <v/>
      </c>
      <c r="H32" s="38" t="str">
        <f>'R2'!H38</f>
        <v/>
      </c>
      <c r="I32" s="38" t="str">
        <f>'R2'!I38</f>
        <v/>
      </c>
      <c r="J32" s="38" t="str">
        <f>'R2'!J38</f>
        <v/>
      </c>
      <c r="K32" s="38" t="str">
        <f>'R2'!K38</f>
        <v/>
      </c>
      <c r="L32" s="38" t="str">
        <f>'R2'!L38</f>
        <v/>
      </c>
      <c r="M32" s="38" t="str">
        <f>'R2'!M38</f>
        <v/>
      </c>
      <c r="O32" s="38">
        <f>'R2'!AE38</f>
        <v>1.6549143851774246</v>
      </c>
      <c r="P32" s="38" t="str">
        <f>'R2'!AF38</f>
        <v/>
      </c>
      <c r="Q32" s="38" t="str">
        <f>'R2'!AG38</f>
        <v/>
      </c>
      <c r="R32" s="38" t="str">
        <f>'R2'!AH38</f>
        <v/>
      </c>
      <c r="S32" s="38" t="str">
        <f>'R2'!AI38</f>
        <v/>
      </c>
      <c r="T32" s="38" t="str">
        <f>'R2'!AJ38</f>
        <v/>
      </c>
      <c r="U32" s="38" t="str">
        <f>'R2'!AK38</f>
        <v/>
      </c>
      <c r="V32" s="38" t="str">
        <f>'R2'!AL38</f>
        <v/>
      </c>
      <c r="W32" s="38" t="str">
        <f>'R2'!AM38</f>
        <v/>
      </c>
      <c r="X32" s="38" t="str">
        <f>'R2'!AN38</f>
        <v/>
      </c>
      <c r="Y32" s="38" t="str">
        <f>'R2'!AO38</f>
        <v/>
      </c>
      <c r="Z32" s="38" t="str">
        <f>'R2'!AP38</f>
        <v/>
      </c>
      <c r="AA32" s="38" t="str">
        <f>'R2'!AQ38</f>
        <v/>
      </c>
      <c r="AB32" s="38" t="str">
        <f>'R2'!AR38</f>
        <v/>
      </c>
      <c r="AC32" s="38" t="str">
        <f>'R2'!AS38</f>
        <v/>
      </c>
      <c r="AD32" s="38" t="str">
        <f>'R2'!AT38</f>
        <v/>
      </c>
      <c r="AE32" s="38" t="str">
        <f>'R2'!AU38</f>
        <v/>
      </c>
      <c r="AF32" s="38" t="str">
        <f>'R2'!AV38</f>
        <v/>
      </c>
      <c r="AG32" s="38" t="str">
        <f>'R2'!AW38</f>
        <v/>
      </c>
      <c r="AH32" s="38" t="str">
        <f>'R2'!AX38</f>
        <v/>
      </c>
      <c r="AI32" s="38" t="str">
        <f>'R2'!AY38</f>
        <v/>
      </c>
      <c r="AJ32" s="38" t="str">
        <f>'R2'!AZ38</f>
        <v/>
      </c>
      <c r="AK32" s="38" t="str">
        <f>'R2'!BA38</f>
        <v/>
      </c>
    </row>
    <row r="33" spans="1:37" x14ac:dyDescent="0.25">
      <c r="A33" s="201"/>
      <c r="B33" s="38" t="str">
        <f>'R2'!B39</f>
        <v/>
      </c>
      <c r="C33" s="38" t="str">
        <f>'R2'!C39</f>
        <v/>
      </c>
      <c r="D33" s="38" t="str">
        <f>'R2'!D39</f>
        <v/>
      </c>
      <c r="E33" s="38" t="str">
        <f>'R2'!E39</f>
        <v/>
      </c>
      <c r="F33" s="38" t="str">
        <f>'R2'!F39</f>
        <v/>
      </c>
      <c r="G33" s="38" t="str">
        <f>'R2'!G39</f>
        <v/>
      </c>
      <c r="H33" s="38" t="str">
        <f>'R2'!H39</f>
        <v/>
      </c>
      <c r="I33" s="38" t="str">
        <f>'R2'!I39</f>
        <v/>
      </c>
      <c r="J33" s="38" t="str">
        <f>'R2'!J39</f>
        <v/>
      </c>
      <c r="K33" s="38" t="str">
        <f>'R2'!K39</f>
        <v/>
      </c>
      <c r="L33" s="38" t="str">
        <f>'R2'!L39</f>
        <v/>
      </c>
      <c r="M33" s="38" t="str">
        <f>'R2'!M39</f>
        <v/>
      </c>
      <c r="O33" s="38">
        <f>'R2'!AE39</f>
        <v>1.031075521960062</v>
      </c>
      <c r="P33" s="38" t="str">
        <f>'R2'!AF39</f>
        <v/>
      </c>
      <c r="Q33" s="38" t="str">
        <f>'R2'!AG39</f>
        <v/>
      </c>
      <c r="R33" s="38" t="str">
        <f>'R2'!AH39</f>
        <v/>
      </c>
      <c r="S33" s="38" t="str">
        <f>'R2'!AI39</f>
        <v/>
      </c>
      <c r="T33" s="38" t="str">
        <f>'R2'!AJ39</f>
        <v/>
      </c>
      <c r="U33" s="38" t="str">
        <f>'R2'!AK39</f>
        <v/>
      </c>
      <c r="V33" s="38" t="str">
        <f>'R2'!AL39</f>
        <v/>
      </c>
      <c r="W33" s="38" t="str">
        <f>'R2'!AM39</f>
        <v/>
      </c>
      <c r="X33" s="38" t="str">
        <f>'R2'!AN39</f>
        <v/>
      </c>
      <c r="Y33" s="38" t="str">
        <f>'R2'!AO39</f>
        <v/>
      </c>
      <c r="Z33" s="38" t="str">
        <f>'R2'!AP39</f>
        <v/>
      </c>
      <c r="AA33" s="38" t="str">
        <f>'R2'!AQ39</f>
        <v/>
      </c>
      <c r="AB33" s="38" t="str">
        <f>'R2'!AR39</f>
        <v/>
      </c>
      <c r="AC33" s="38" t="str">
        <f>'R2'!AS39</f>
        <v/>
      </c>
      <c r="AD33" s="38" t="str">
        <f>'R2'!AT39</f>
        <v/>
      </c>
      <c r="AE33" s="38" t="str">
        <f>'R2'!AU39</f>
        <v/>
      </c>
      <c r="AF33" s="38" t="str">
        <f>'R2'!AV39</f>
        <v/>
      </c>
      <c r="AG33" s="38" t="str">
        <f>'R2'!AW39</f>
        <v/>
      </c>
      <c r="AH33" s="38" t="str">
        <f>'R2'!AX39</f>
        <v/>
      </c>
      <c r="AI33" s="38" t="str">
        <f>'R2'!AY39</f>
        <v/>
      </c>
      <c r="AJ33" s="38" t="str">
        <f>'R2'!AZ39</f>
        <v/>
      </c>
      <c r="AK33" s="38" t="str">
        <f>'R2'!BA39</f>
        <v/>
      </c>
    </row>
    <row r="34" spans="1:37" x14ac:dyDescent="0.25">
      <c r="A34" s="201"/>
      <c r="B34" s="38" t="str">
        <f>'R2'!B40</f>
        <v/>
      </c>
      <c r="C34" s="38" t="str">
        <f>'R2'!C40</f>
        <v/>
      </c>
      <c r="D34" s="38" t="str">
        <f>'R2'!D40</f>
        <v/>
      </c>
      <c r="E34" s="38" t="str">
        <f>'R2'!E40</f>
        <v/>
      </c>
      <c r="F34" s="38" t="str">
        <f>'R2'!F40</f>
        <v/>
      </c>
      <c r="G34" s="38" t="str">
        <f>'R2'!G40</f>
        <v/>
      </c>
      <c r="H34" s="38" t="str">
        <f>'R2'!H40</f>
        <v/>
      </c>
      <c r="I34" s="38" t="str">
        <f>'R2'!I40</f>
        <v/>
      </c>
      <c r="J34" s="38" t="str">
        <f>'R2'!J40</f>
        <v/>
      </c>
      <c r="K34" s="38" t="str">
        <f>'R2'!K40</f>
        <v/>
      </c>
      <c r="L34" s="38" t="str">
        <f>'R2'!L40</f>
        <v/>
      </c>
      <c r="M34" s="38" t="str">
        <f>'R2'!M40</f>
        <v/>
      </c>
      <c r="O34" s="38">
        <f>'R2'!AE40</f>
        <v>1.2616906403040302</v>
      </c>
      <c r="P34" s="38" t="str">
        <f>'R2'!AF40</f>
        <v/>
      </c>
      <c r="Q34" s="38" t="str">
        <f>'R2'!AG40</f>
        <v/>
      </c>
      <c r="R34" s="38" t="str">
        <f>'R2'!AH40</f>
        <v/>
      </c>
      <c r="S34" s="38" t="str">
        <f>'R2'!AI40</f>
        <v/>
      </c>
      <c r="T34" s="38" t="str">
        <f>'R2'!AJ40</f>
        <v/>
      </c>
      <c r="U34" s="38" t="str">
        <f>'R2'!AK40</f>
        <v/>
      </c>
      <c r="V34" s="38" t="str">
        <f>'R2'!AL40</f>
        <v/>
      </c>
      <c r="W34" s="38" t="str">
        <f>'R2'!AM40</f>
        <v/>
      </c>
      <c r="X34" s="38" t="str">
        <f>'R2'!AN40</f>
        <v/>
      </c>
      <c r="Y34" s="38" t="str">
        <f>'R2'!AO40</f>
        <v/>
      </c>
      <c r="Z34" s="38" t="str">
        <f>'R2'!AP40</f>
        <v/>
      </c>
      <c r="AA34" s="38" t="str">
        <f>'R2'!AQ40</f>
        <v/>
      </c>
      <c r="AB34" s="38" t="str">
        <f>'R2'!AR40</f>
        <v/>
      </c>
      <c r="AC34" s="38" t="str">
        <f>'R2'!AS40</f>
        <v/>
      </c>
      <c r="AD34" s="38" t="str">
        <f>'R2'!AT40</f>
        <v/>
      </c>
      <c r="AE34" s="38" t="str">
        <f>'R2'!AU40</f>
        <v/>
      </c>
      <c r="AF34" s="38" t="str">
        <f>'R2'!AV40</f>
        <v/>
      </c>
      <c r="AG34" s="38" t="str">
        <f>'R2'!AW40</f>
        <v/>
      </c>
      <c r="AH34" s="38" t="str">
        <f>'R2'!AX40</f>
        <v/>
      </c>
      <c r="AI34" s="38" t="str">
        <f>'R2'!AY40</f>
        <v/>
      </c>
      <c r="AJ34" s="38" t="str">
        <f>'R2'!AZ40</f>
        <v/>
      </c>
      <c r="AK34" s="38" t="str">
        <f>'R2'!BA40</f>
        <v/>
      </c>
    </row>
    <row r="35" spans="1:37" x14ac:dyDescent="0.25">
      <c r="A35" s="201"/>
      <c r="B35" s="38" t="str">
        <f>'R2'!B41</f>
        <v/>
      </c>
      <c r="C35" s="38" t="str">
        <f>'R2'!C41</f>
        <v/>
      </c>
      <c r="D35" s="38" t="str">
        <f>'R2'!D41</f>
        <v/>
      </c>
      <c r="E35" s="38" t="str">
        <f>'R2'!E41</f>
        <v/>
      </c>
      <c r="F35" s="38" t="str">
        <f>'R2'!F41</f>
        <v/>
      </c>
      <c r="G35" s="38" t="str">
        <f>'R2'!G41</f>
        <v/>
      </c>
      <c r="H35" s="38" t="str">
        <f>'R2'!H41</f>
        <v/>
      </c>
      <c r="I35" s="38" t="str">
        <f>'R2'!I41</f>
        <v/>
      </c>
      <c r="J35" s="38" t="str">
        <f>'R2'!J41</f>
        <v/>
      </c>
      <c r="K35" s="38" t="str">
        <f>'R2'!K41</f>
        <v/>
      </c>
      <c r="L35" s="38" t="str">
        <f>'R2'!L41</f>
        <v/>
      </c>
      <c r="M35" s="38" t="str">
        <f>'R2'!M41</f>
        <v/>
      </c>
      <c r="O35" s="38">
        <f>'R2'!AE41</f>
        <v>1.1982189442414888</v>
      </c>
      <c r="P35" s="38" t="str">
        <f>'R2'!AF41</f>
        <v/>
      </c>
      <c r="Q35" s="38" t="str">
        <f>'R2'!AG41</f>
        <v/>
      </c>
      <c r="R35" s="38" t="str">
        <f>'R2'!AH41</f>
        <v/>
      </c>
      <c r="S35" s="38" t="str">
        <f>'R2'!AI41</f>
        <v/>
      </c>
      <c r="T35" s="38" t="str">
        <f>'R2'!AJ41</f>
        <v/>
      </c>
      <c r="U35" s="38" t="str">
        <f>'R2'!AK41</f>
        <v/>
      </c>
      <c r="V35" s="38" t="str">
        <f>'R2'!AL41</f>
        <v/>
      </c>
      <c r="W35" s="38" t="str">
        <f>'R2'!AM41</f>
        <v/>
      </c>
      <c r="X35" s="38" t="str">
        <f>'R2'!AN41</f>
        <v/>
      </c>
      <c r="Y35" s="38" t="str">
        <f>'R2'!AO41</f>
        <v/>
      </c>
      <c r="Z35" s="38" t="str">
        <f>'R2'!AP41</f>
        <v/>
      </c>
      <c r="AA35" s="38" t="str">
        <f>'R2'!AQ41</f>
        <v/>
      </c>
      <c r="AB35" s="38" t="str">
        <f>'R2'!AR41</f>
        <v/>
      </c>
      <c r="AC35" s="38" t="str">
        <f>'R2'!AS41</f>
        <v/>
      </c>
      <c r="AD35" s="38" t="str">
        <f>'R2'!AT41</f>
        <v/>
      </c>
      <c r="AE35" s="38" t="str">
        <f>'R2'!AU41</f>
        <v/>
      </c>
      <c r="AF35" s="38" t="str">
        <f>'R2'!AV41</f>
        <v/>
      </c>
      <c r="AG35" s="38" t="str">
        <f>'R2'!AW41</f>
        <v/>
      </c>
      <c r="AH35" s="38" t="str">
        <f>'R2'!AX41</f>
        <v/>
      </c>
      <c r="AI35" s="38" t="str">
        <f>'R2'!AY41</f>
        <v/>
      </c>
      <c r="AJ35" s="38" t="str">
        <f>'R2'!AZ41</f>
        <v/>
      </c>
      <c r="AK35" s="38" t="str">
        <f>'R2'!BA41</f>
        <v/>
      </c>
    </row>
    <row r="36" spans="1:37" x14ac:dyDescent="0.25">
      <c r="A36" s="201"/>
      <c r="B36" s="38" t="str">
        <f>'R2'!B42</f>
        <v/>
      </c>
      <c r="C36" s="38" t="str">
        <f>'R2'!C42</f>
        <v/>
      </c>
      <c r="D36" s="38" t="str">
        <f>'R2'!D42</f>
        <v/>
      </c>
      <c r="E36" s="38" t="str">
        <f>'R2'!E42</f>
        <v/>
      </c>
      <c r="F36" s="38" t="str">
        <f>'R2'!F42</f>
        <v/>
      </c>
      <c r="G36" s="38" t="str">
        <f>'R2'!G42</f>
        <v/>
      </c>
      <c r="H36" s="38" t="str">
        <f>'R2'!H42</f>
        <v/>
      </c>
      <c r="I36" s="38" t="str">
        <f>'R2'!I42</f>
        <v/>
      </c>
      <c r="J36" s="38" t="str">
        <f>'R2'!J42</f>
        <v/>
      </c>
      <c r="K36" s="38" t="str">
        <f>'R2'!K42</f>
        <v/>
      </c>
      <c r="L36" s="38" t="str">
        <f>'R2'!L42</f>
        <v/>
      </c>
      <c r="M36" s="38" t="str">
        <f>'R2'!M42</f>
        <v/>
      </c>
      <c r="O36" s="38">
        <f>'R2'!AE42</f>
        <v>0.79117745980584708</v>
      </c>
      <c r="P36" s="38" t="str">
        <f>'R2'!AF42</f>
        <v/>
      </c>
      <c r="Q36" s="38" t="str">
        <f>'R2'!AG42</f>
        <v/>
      </c>
      <c r="R36" s="38" t="str">
        <f>'R2'!AH42</f>
        <v/>
      </c>
      <c r="S36" s="38" t="str">
        <f>'R2'!AI42</f>
        <v/>
      </c>
      <c r="T36" s="38" t="str">
        <f>'R2'!AJ42</f>
        <v/>
      </c>
      <c r="U36" s="38" t="str">
        <f>'R2'!AK42</f>
        <v/>
      </c>
      <c r="V36" s="38" t="str">
        <f>'R2'!AL42</f>
        <v/>
      </c>
      <c r="W36" s="38" t="str">
        <f>'R2'!AM42</f>
        <v/>
      </c>
      <c r="X36" s="38" t="str">
        <f>'R2'!AN42</f>
        <v/>
      </c>
      <c r="Y36" s="38" t="str">
        <f>'R2'!AO42</f>
        <v/>
      </c>
      <c r="Z36" s="38" t="str">
        <f>'R2'!AP42</f>
        <v/>
      </c>
      <c r="AA36" s="38" t="str">
        <f>'R2'!AQ42</f>
        <v/>
      </c>
      <c r="AB36" s="38" t="str">
        <f>'R2'!AR42</f>
        <v/>
      </c>
      <c r="AC36" s="38" t="str">
        <f>'R2'!AS42</f>
        <v/>
      </c>
      <c r="AD36" s="38" t="str">
        <f>'R2'!AT42</f>
        <v/>
      </c>
      <c r="AE36" s="38" t="str">
        <f>'R2'!AU42</f>
        <v/>
      </c>
      <c r="AF36" s="38" t="str">
        <f>'R2'!AV42</f>
        <v/>
      </c>
      <c r="AG36" s="38" t="str">
        <f>'R2'!AW42</f>
        <v/>
      </c>
      <c r="AH36" s="38" t="str">
        <f>'R2'!AX42</f>
        <v/>
      </c>
      <c r="AI36" s="38" t="str">
        <f>'R2'!AY42</f>
        <v/>
      </c>
      <c r="AJ36" s="38" t="str">
        <f>'R2'!AZ42</f>
        <v/>
      </c>
      <c r="AK36" s="38" t="str">
        <f>'R2'!BA42</f>
        <v/>
      </c>
    </row>
    <row r="37" spans="1:37" x14ac:dyDescent="0.25">
      <c r="A37" s="202"/>
      <c r="B37" s="38" t="str">
        <f>'R2'!B43</f>
        <v/>
      </c>
      <c r="C37" s="38" t="str">
        <f>'R2'!C43</f>
        <v/>
      </c>
      <c r="D37" s="38" t="str">
        <f>'R2'!D43</f>
        <v/>
      </c>
      <c r="E37" s="38" t="str">
        <f>'R2'!E43</f>
        <v/>
      </c>
      <c r="F37" s="38" t="str">
        <f>'R2'!F43</f>
        <v/>
      </c>
      <c r="G37" s="38" t="str">
        <f>'R2'!G43</f>
        <v/>
      </c>
      <c r="H37" s="38" t="str">
        <f>'R2'!H43</f>
        <v/>
      </c>
      <c r="I37" s="38" t="str">
        <f>'R2'!I43</f>
        <v/>
      </c>
      <c r="J37" s="38" t="str">
        <f>'R2'!J43</f>
        <v/>
      </c>
      <c r="K37" s="38" t="str">
        <f>'R2'!K43</f>
        <v/>
      </c>
      <c r="L37" s="38" t="str">
        <f>'R2'!L43</f>
        <v/>
      </c>
      <c r="M37" s="38" t="str">
        <f>'R2'!M43</f>
        <v/>
      </c>
      <c r="O37" s="38">
        <f>'R2'!AE43</f>
        <v>0.71783743368857256</v>
      </c>
      <c r="P37" s="38" t="str">
        <f>'R2'!AF43</f>
        <v/>
      </c>
      <c r="Q37" s="38" t="str">
        <f>'R2'!AG43</f>
        <v/>
      </c>
      <c r="R37" s="38" t="str">
        <f>'R2'!AH43</f>
        <v/>
      </c>
      <c r="S37" s="38" t="str">
        <f>'R2'!AI43</f>
        <v/>
      </c>
      <c r="T37" s="38" t="str">
        <f>'R2'!AJ43</f>
        <v/>
      </c>
      <c r="U37" s="38" t="str">
        <f>'R2'!AK43</f>
        <v/>
      </c>
      <c r="V37" s="38" t="str">
        <f>'R2'!AL43</f>
        <v/>
      </c>
      <c r="W37" s="38" t="str">
        <f>'R2'!AM43</f>
        <v/>
      </c>
      <c r="X37" s="38" t="str">
        <f>'R2'!AN43</f>
        <v/>
      </c>
      <c r="Y37" s="38" t="str">
        <f>'R2'!AO43</f>
        <v/>
      </c>
      <c r="Z37" s="38" t="str">
        <f>'R2'!AP43</f>
        <v/>
      </c>
      <c r="AA37" s="38" t="str">
        <f>'R2'!AQ43</f>
        <v/>
      </c>
      <c r="AB37" s="38" t="str">
        <f>'R2'!AR43</f>
        <v/>
      </c>
      <c r="AC37" s="38" t="str">
        <f>'R2'!AS43</f>
        <v/>
      </c>
      <c r="AD37" s="38" t="str">
        <f>'R2'!AT43</f>
        <v/>
      </c>
      <c r="AE37" s="38" t="str">
        <f>'R2'!AU43</f>
        <v/>
      </c>
      <c r="AF37" s="38" t="str">
        <f>'R2'!AV43</f>
        <v/>
      </c>
      <c r="AG37" s="38" t="str">
        <f>'R2'!AW43</f>
        <v/>
      </c>
      <c r="AH37" s="38" t="str">
        <f>'R2'!AX43</f>
        <v/>
      </c>
      <c r="AI37" s="38" t="str">
        <f>'R2'!AY43</f>
        <v/>
      </c>
      <c r="AJ37" s="38" t="str">
        <f>'R2'!AZ43</f>
        <v/>
      </c>
      <c r="AK37" s="38" t="str">
        <f>'R2'!BA43</f>
        <v/>
      </c>
    </row>
    <row r="38" spans="1:37" x14ac:dyDescent="0.25">
      <c r="A38" s="131" t="s">
        <v>116</v>
      </c>
      <c r="B38" s="132">
        <f>'R3'!B28</f>
        <v>7.889648897050977E-2</v>
      </c>
      <c r="C38" s="132">
        <f>'R3'!C28</f>
        <v>7.1593890974202268E-2</v>
      </c>
      <c r="D38" s="132">
        <f>'R3'!D28</f>
        <v>4.7282886331771204E-2</v>
      </c>
      <c r="E38" s="132">
        <f>'R3'!E28</f>
        <v>8.7843632962670837E-2</v>
      </c>
      <c r="F38" s="132">
        <f>'R3'!F28</f>
        <v>0.45734473912530865</v>
      </c>
      <c r="G38" s="132">
        <f>'R3'!G28</f>
        <v>1.815467657969601</v>
      </c>
      <c r="H38" s="132">
        <f>'R3'!H28</f>
        <v>2.2285071279064299</v>
      </c>
      <c r="I38" s="132">
        <f>'R3'!I28</f>
        <v>0.11381888415978461</v>
      </c>
      <c r="J38" s="132">
        <f>'R3'!J28</f>
        <v>9.1435057713402743E-3</v>
      </c>
      <c r="K38" s="132">
        <f>'R3'!K28</f>
        <v>0.20248272993122363</v>
      </c>
      <c r="L38" s="132">
        <f>'R3'!L28</f>
        <v>0.18309004061948619</v>
      </c>
      <c r="M38" s="132">
        <f>'R3'!M28</f>
        <v>1.1390799377898524</v>
      </c>
      <c r="O38" s="132">
        <f>'R3'!AE28</f>
        <v>1.3558710677130299</v>
      </c>
      <c r="P38" s="132">
        <f>'R3'!AF28</f>
        <v>2.2146009798476927</v>
      </c>
      <c r="Q38" s="132">
        <f>'R3'!AG28</f>
        <v>9.7052549739796712E-2</v>
      </c>
      <c r="R38" s="132">
        <f>'R3'!AH28</f>
        <v>1.0841382338800691</v>
      </c>
      <c r="S38" s="132">
        <f>'R3'!AI28</f>
        <v>2.0870711505519481</v>
      </c>
      <c r="T38" s="132">
        <f>'R3'!AJ28</f>
        <v>2.5891754305752088</v>
      </c>
      <c r="U38" s="132">
        <f>'R3'!AK28</f>
        <v>1.5769150074877618</v>
      </c>
      <c r="V38" s="132">
        <f>'R3'!AL28</f>
        <v>0.49205828263863027</v>
      </c>
      <c r="W38" s="132" t="str">
        <f>'R3'!AM28</f>
        <v/>
      </c>
      <c r="X38" s="132" t="str">
        <f>'R3'!AN28</f>
        <v/>
      </c>
      <c r="Y38" s="132" t="str">
        <f>'R3'!AO28</f>
        <v/>
      </c>
      <c r="Z38" s="132" t="str">
        <f>'R3'!AP28</f>
        <v/>
      </c>
      <c r="AA38" s="132" t="str">
        <f>'R3'!AQ28</f>
        <v/>
      </c>
      <c r="AB38" s="132" t="str">
        <f>'R3'!AR28</f>
        <v/>
      </c>
      <c r="AC38" s="132" t="str">
        <f>'R3'!AS28</f>
        <v/>
      </c>
      <c r="AD38" s="132" t="str">
        <f>'R3'!AT28</f>
        <v/>
      </c>
      <c r="AE38" s="132" t="str">
        <f>'R3'!AU28</f>
        <v/>
      </c>
      <c r="AF38" s="132" t="str">
        <f>'R3'!AV28</f>
        <v/>
      </c>
      <c r="AG38" s="132" t="str">
        <f>'R3'!AW28</f>
        <v/>
      </c>
      <c r="AH38" s="132" t="str">
        <f>'R3'!AX28</f>
        <v/>
      </c>
      <c r="AI38" s="132" t="str">
        <f>'R3'!AY28</f>
        <v/>
      </c>
      <c r="AJ38" s="132" t="str">
        <f>'R3'!AZ28</f>
        <v/>
      </c>
      <c r="AK38" s="132" t="str">
        <f>'R3'!BA28</f>
        <v/>
      </c>
    </row>
    <row r="39" spans="1:37" x14ac:dyDescent="0.25">
      <c r="A39" s="200" t="s">
        <v>34</v>
      </c>
      <c r="B39" s="132">
        <f>'R3'!B29</f>
        <v>3.8680888404587069E-2</v>
      </c>
      <c r="C39" s="132">
        <f>'R3'!C29</f>
        <v>8.3565714555746226E-2</v>
      </c>
      <c r="D39" s="132">
        <f>'R3'!D29</f>
        <v>8.6732289673427804E-2</v>
      </c>
      <c r="E39" s="132">
        <f>'R3'!E29</f>
        <v>0.12127174720284759</v>
      </c>
      <c r="F39" s="132">
        <f>'R3'!F29</f>
        <v>0.41657102044013861</v>
      </c>
      <c r="G39" s="132">
        <f>'R3'!G29</f>
        <v>1.454356543393545</v>
      </c>
      <c r="H39" s="132">
        <f>'R3'!H29</f>
        <v>2.1856053625822471</v>
      </c>
      <c r="I39" s="132">
        <f>'R3'!I29</f>
        <v>0.9311581153371874</v>
      </c>
      <c r="J39" s="132">
        <f>'R3'!J29</f>
        <v>7.9701379122410848E-2</v>
      </c>
      <c r="K39" s="132">
        <f>'R3'!K29</f>
        <v>0.10219104778681586</v>
      </c>
      <c r="L39" s="132">
        <f>'R3'!L29</f>
        <v>0.55988692040184362</v>
      </c>
      <c r="M39" s="132">
        <f>'R3'!M29</f>
        <v>0.15591009381188026</v>
      </c>
      <c r="O39" s="132">
        <f>'R3'!AE29</f>
        <v>1.3141823031368849</v>
      </c>
      <c r="P39" s="132">
        <f>'R3'!AF29</f>
        <v>2.0138227989215669</v>
      </c>
      <c r="Q39" s="132">
        <f>'R3'!AG29</f>
        <v>6.5213098864546473E-2</v>
      </c>
      <c r="R39" s="132">
        <f>'R3'!AH29</f>
        <v>1.5200405242426545</v>
      </c>
      <c r="S39" s="132">
        <f>'R3'!AI29</f>
        <v>2.121631467496599</v>
      </c>
      <c r="T39" s="132">
        <f>'R3'!AJ29</f>
        <v>2.867393417974891</v>
      </c>
      <c r="U39" s="132">
        <f>'R3'!AK29</f>
        <v>1.8640622409862895</v>
      </c>
      <c r="V39" s="132">
        <f>'R3'!AL29</f>
        <v>2.1003170079853537</v>
      </c>
      <c r="W39" s="132" t="str">
        <f>'R3'!AM29</f>
        <v/>
      </c>
      <c r="X39" s="132" t="str">
        <f>'R3'!AN29</f>
        <v/>
      </c>
      <c r="Y39" s="132" t="str">
        <f>'R3'!AO29</f>
        <v/>
      </c>
      <c r="Z39" s="132" t="str">
        <f>'R3'!AP29</f>
        <v/>
      </c>
      <c r="AA39" s="132" t="str">
        <f>'R3'!AQ29</f>
        <v/>
      </c>
      <c r="AB39" s="132" t="str">
        <f>'R3'!AR29</f>
        <v/>
      </c>
      <c r="AC39" s="132" t="str">
        <f>'R3'!AS29</f>
        <v/>
      </c>
      <c r="AD39" s="132" t="str">
        <f>'R3'!AT29</f>
        <v/>
      </c>
      <c r="AE39" s="132" t="str">
        <f>'R3'!AU29</f>
        <v/>
      </c>
      <c r="AF39" s="132" t="str">
        <f>'R3'!AV29</f>
        <v/>
      </c>
      <c r="AG39" s="132" t="str">
        <f>'R3'!AW29</f>
        <v/>
      </c>
      <c r="AH39" s="132" t="str">
        <f>'R3'!AX29</f>
        <v/>
      </c>
      <c r="AI39" s="132" t="str">
        <f>'R3'!AY29</f>
        <v/>
      </c>
      <c r="AJ39" s="132" t="str">
        <f>'R3'!AZ29</f>
        <v/>
      </c>
      <c r="AK39" s="132" t="str">
        <f>'R3'!BA29</f>
        <v/>
      </c>
    </row>
    <row r="40" spans="1:37" x14ac:dyDescent="0.25">
      <c r="A40" s="201"/>
      <c r="B40" s="132">
        <f>'R3'!B30</f>
        <v>0.26624210782073199</v>
      </c>
      <c r="C40" s="132">
        <f>'R3'!C30</f>
        <v>3.5827590800835328E-2</v>
      </c>
      <c r="D40" s="132">
        <f>'R3'!D30</f>
        <v>0.13288278015799149</v>
      </c>
      <c r="E40" s="132">
        <f>'R3'!E30</f>
        <v>0.24074443422294653</v>
      </c>
      <c r="F40" s="132">
        <f>'R3'!F30</f>
        <v>0.12578381898382951</v>
      </c>
      <c r="G40" s="132">
        <f>'R3'!G30</f>
        <v>1.8444382954414988</v>
      </c>
      <c r="H40" s="132">
        <f>'R3'!H30</f>
        <v>2.1393236638006448</v>
      </c>
      <c r="I40" s="132">
        <f>'R3'!I30</f>
        <v>0.10755230378660878</v>
      </c>
      <c r="J40" s="132">
        <f>'R3'!J30</f>
        <v>1.9930269920309995E-2</v>
      </c>
      <c r="K40" s="132">
        <f>'R3'!K30</f>
        <v>0.26437325873023565</v>
      </c>
      <c r="L40" s="132">
        <f>'R3'!L30</f>
        <v>0.42375657393987309</v>
      </c>
      <c r="M40" s="132">
        <f>'R3'!M30</f>
        <v>1.3240889802296645</v>
      </c>
      <c r="O40" s="132">
        <f>'R3'!AE30</f>
        <v>0.81719141260527306</v>
      </c>
      <c r="P40" s="132">
        <f>'R3'!AF30</f>
        <v>1.7393898940535253</v>
      </c>
      <c r="Q40" s="132">
        <f>'R3'!AG30</f>
        <v>0.1041044484678669</v>
      </c>
      <c r="R40" s="132">
        <f>'R3'!AH30</f>
        <v>0.81020363726476441</v>
      </c>
      <c r="S40" s="132">
        <f>'R3'!AI30</f>
        <v>2.2416332368449914</v>
      </c>
      <c r="T40" s="132">
        <f>'R3'!AJ30</f>
        <v>2.1359245448316861</v>
      </c>
      <c r="U40" s="132">
        <f>'R3'!AK30</f>
        <v>1.9425658776366184</v>
      </c>
      <c r="V40" s="132">
        <f>'R3'!AL30</f>
        <v>1.274101838103584</v>
      </c>
      <c r="W40" s="132" t="str">
        <f>'R3'!AM30</f>
        <v/>
      </c>
      <c r="X40" s="132" t="str">
        <f>'R3'!AN30</f>
        <v/>
      </c>
      <c r="Y40" s="132" t="str">
        <f>'R3'!AO30</f>
        <v/>
      </c>
      <c r="Z40" s="132" t="str">
        <f>'R3'!AP30</f>
        <v/>
      </c>
      <c r="AA40" s="132" t="str">
        <f>'R3'!AQ30</f>
        <v/>
      </c>
      <c r="AB40" s="132" t="str">
        <f>'R3'!AR30</f>
        <v/>
      </c>
      <c r="AC40" s="132" t="str">
        <f>'R3'!AS30</f>
        <v/>
      </c>
      <c r="AD40" s="132" t="str">
        <f>'R3'!AT30</f>
        <v/>
      </c>
      <c r="AE40" s="132" t="str">
        <f>'R3'!AU30</f>
        <v/>
      </c>
      <c r="AF40" s="132" t="str">
        <f>'R3'!AV30</f>
        <v/>
      </c>
      <c r="AG40" s="132" t="str">
        <f>'R3'!AW30</f>
        <v/>
      </c>
      <c r="AH40" s="132" t="str">
        <f>'R3'!AX30</f>
        <v/>
      </c>
      <c r="AI40" s="132" t="str">
        <f>'R3'!AY30</f>
        <v/>
      </c>
      <c r="AJ40" s="132" t="str">
        <f>'R3'!AZ30</f>
        <v/>
      </c>
      <c r="AK40" s="132" t="str">
        <f>'R3'!BA30</f>
        <v/>
      </c>
    </row>
    <row r="41" spans="1:37" x14ac:dyDescent="0.25">
      <c r="A41" s="201"/>
      <c r="B41" s="132">
        <f>'R3'!B31</f>
        <v>2.7777208520866715E-2</v>
      </c>
      <c r="C41" s="132">
        <f>'R3'!C31</f>
        <v>0.16419430756135012</v>
      </c>
      <c r="D41" s="132">
        <f>'R3'!D31</f>
        <v>9.7581889591734861E-2</v>
      </c>
      <c r="E41" s="132">
        <f>'R3'!E31</f>
        <v>0.19278773727449025</v>
      </c>
      <c r="F41" s="132">
        <f>'R3'!F31</f>
        <v>0.23864445766121961</v>
      </c>
      <c r="G41" s="132">
        <f>'R3'!G31</f>
        <v>1.0919866532415836</v>
      </c>
      <c r="H41" s="132">
        <f>'R3'!H31</f>
        <v>2.0967032430584331</v>
      </c>
      <c r="I41" s="132">
        <f>'R3'!I31</f>
        <v>5.7350901988033852E-2</v>
      </c>
      <c r="J41" s="132">
        <f>'R3'!J31</f>
        <v>0.13252643181446466</v>
      </c>
      <c r="K41" s="132">
        <f>'R3'!K31</f>
        <v>0.21974750136577065</v>
      </c>
      <c r="L41" s="132">
        <f>'R3'!L31</f>
        <v>0.94827790095969777</v>
      </c>
      <c r="M41" s="132">
        <f>'R3'!M31</f>
        <v>0.6898424936700186</v>
      </c>
      <c r="O41" s="132">
        <f>'R3'!AE31</f>
        <v>1.6647489833137517</v>
      </c>
      <c r="P41" s="132">
        <f>'R3'!AF31</f>
        <v>1.3989774999539375</v>
      </c>
      <c r="Q41" s="132">
        <f>'R3'!AG31</f>
        <v>0.20203154850548993</v>
      </c>
      <c r="R41" s="132">
        <f>'R3'!AH31</f>
        <v>1.5136279279628628</v>
      </c>
      <c r="S41" s="132">
        <f>'R3'!AI31</f>
        <v>1.7256090312479957</v>
      </c>
      <c r="T41" s="132">
        <f>'R3'!AJ31</f>
        <v>1.4021414354542598</v>
      </c>
      <c r="U41" s="132">
        <f>'R3'!AK31</f>
        <v>2.4795200599431353</v>
      </c>
      <c r="V41" s="132">
        <f>'R3'!AL31</f>
        <v>1.123113021144313</v>
      </c>
      <c r="W41" s="132" t="str">
        <f>'R3'!AM31</f>
        <v/>
      </c>
      <c r="X41" s="132" t="str">
        <f>'R3'!AN31</f>
        <v/>
      </c>
      <c r="Y41" s="132" t="str">
        <f>'R3'!AO31</f>
        <v/>
      </c>
      <c r="Z41" s="132" t="str">
        <f>'R3'!AP31</f>
        <v/>
      </c>
      <c r="AA41" s="132" t="str">
        <f>'R3'!AQ31</f>
        <v/>
      </c>
      <c r="AB41" s="132" t="str">
        <f>'R3'!AR31</f>
        <v/>
      </c>
      <c r="AC41" s="132" t="str">
        <f>'R3'!AS31</f>
        <v/>
      </c>
      <c r="AD41" s="132" t="str">
        <f>'R3'!AT31</f>
        <v/>
      </c>
      <c r="AE41" s="132" t="str">
        <f>'R3'!AU31</f>
        <v/>
      </c>
      <c r="AF41" s="132" t="str">
        <f>'R3'!AV31</f>
        <v/>
      </c>
      <c r="AG41" s="132" t="str">
        <f>'R3'!AW31</f>
        <v/>
      </c>
      <c r="AH41" s="132" t="str">
        <f>'R3'!AX31</f>
        <v/>
      </c>
      <c r="AI41" s="132" t="str">
        <f>'R3'!AY31</f>
        <v/>
      </c>
      <c r="AJ41" s="132" t="str">
        <f>'R3'!AZ31</f>
        <v/>
      </c>
      <c r="AK41" s="132" t="str">
        <f>'R3'!BA31</f>
        <v/>
      </c>
    </row>
    <row r="42" spans="1:37" x14ac:dyDescent="0.25">
      <c r="A42" s="201"/>
      <c r="B42" s="132">
        <f>'R3'!B32</f>
        <v>0.11436470552499156</v>
      </c>
      <c r="C42" s="132">
        <f>'R3'!C32</f>
        <v>0.10461408776097594</v>
      </c>
      <c r="D42" s="132">
        <f>'R3'!D32</f>
        <v>0.21552121644963348</v>
      </c>
      <c r="E42" s="132">
        <f>'R3'!E32</f>
        <v>7.2377921710872511E-2</v>
      </c>
      <c r="F42" s="132">
        <f>'R3'!F32</f>
        <v>0.52041627135948898</v>
      </c>
      <c r="G42" s="132">
        <f>'R3'!G32</f>
        <v>1.6381679077421867</v>
      </c>
      <c r="H42" s="132">
        <f>'R3'!H32</f>
        <v>2.2086770346839568</v>
      </c>
      <c r="I42" s="132">
        <f>'R3'!I32</f>
        <v>0.4290996101417946</v>
      </c>
      <c r="J42" s="132">
        <f>'R3'!J32</f>
        <v>0.22998432377121619</v>
      </c>
      <c r="K42" s="132">
        <f>'R3'!K32</f>
        <v>7.3816320029043522E-2</v>
      </c>
      <c r="L42" s="132">
        <f>'R3'!L32</f>
        <v>0.61924019749021575</v>
      </c>
      <c r="M42" s="132" t="str">
        <f>'R3'!M32</f>
        <v/>
      </c>
      <c r="O42" s="132">
        <f>'R3'!AE32</f>
        <v>1.2923750077503553</v>
      </c>
      <c r="P42" s="132">
        <f>'R3'!AF32</f>
        <v>1.9747783515113977</v>
      </c>
      <c r="Q42" s="132">
        <f>'R3'!AG32</f>
        <v>5.4880606425048356E-2</v>
      </c>
      <c r="R42" s="132">
        <f>'R3'!AH32</f>
        <v>1.5559682917413267</v>
      </c>
      <c r="S42" s="132">
        <f>'R3'!AI32</f>
        <v>2.360791229971114</v>
      </c>
      <c r="T42" s="132">
        <f>'R3'!AJ32</f>
        <v>2.0072974072853418</v>
      </c>
      <c r="U42" s="132">
        <f>'R3'!AK32</f>
        <v>1.5097496218717956</v>
      </c>
      <c r="V42" s="132">
        <f>'R3'!AL32</f>
        <v>2.4812775300572447</v>
      </c>
      <c r="W42" s="132" t="str">
        <f>'R3'!AM32</f>
        <v/>
      </c>
      <c r="X42" s="132" t="str">
        <f>'R3'!AN32</f>
        <v/>
      </c>
      <c r="Y42" s="132" t="str">
        <f>'R3'!AO32</f>
        <v/>
      </c>
      <c r="Z42" s="132" t="str">
        <f>'R3'!AP32</f>
        <v/>
      </c>
      <c r="AA42" s="132" t="str">
        <f>'R3'!AQ32</f>
        <v/>
      </c>
      <c r="AB42" s="132" t="str">
        <f>'R3'!AR32</f>
        <v/>
      </c>
      <c r="AC42" s="132" t="str">
        <f>'R3'!AS32</f>
        <v/>
      </c>
      <c r="AD42" s="132" t="str">
        <f>'R3'!AT32</f>
        <v/>
      </c>
      <c r="AE42" s="132" t="str">
        <f>'R3'!AU32</f>
        <v/>
      </c>
      <c r="AF42" s="132" t="str">
        <f>'R3'!AV32</f>
        <v/>
      </c>
      <c r="AG42" s="132" t="str">
        <f>'R3'!AW32</f>
        <v/>
      </c>
      <c r="AH42" s="132" t="str">
        <f>'R3'!AX32</f>
        <v/>
      </c>
      <c r="AI42" s="132" t="str">
        <f>'R3'!AY32</f>
        <v/>
      </c>
      <c r="AJ42" s="132" t="str">
        <f>'R3'!AZ32</f>
        <v/>
      </c>
      <c r="AK42" s="132" t="str">
        <f>'R3'!BA32</f>
        <v/>
      </c>
    </row>
    <row r="43" spans="1:37" x14ac:dyDescent="0.25">
      <c r="A43" s="201"/>
      <c r="B43" s="132">
        <f>'R3'!B33</f>
        <v>4.5394336682445774E-2</v>
      </c>
      <c r="C43" s="132">
        <f>'R3'!C33</f>
        <v>9.392202793239067E-2</v>
      </c>
      <c r="D43" s="132">
        <f>'R3'!D33</f>
        <v>0.10805930346235834</v>
      </c>
      <c r="E43" s="132">
        <f>'R3'!E33</f>
        <v>0.15947795514911065</v>
      </c>
      <c r="F43" s="132">
        <f>'R3'!F33</f>
        <v>0.87665066067349073</v>
      </c>
      <c r="G43" s="132">
        <f>'R3'!G33</f>
        <v>1.6040587722232695</v>
      </c>
      <c r="H43" s="132">
        <f>'R3'!H33</f>
        <v>1.6097459243955889</v>
      </c>
      <c r="I43" s="132">
        <f>'R3'!I33</f>
        <v>0.22616994792497691</v>
      </c>
      <c r="J43" s="132">
        <f>'R3'!J33</f>
        <v>0.10461286452366302</v>
      </c>
      <c r="K43" s="132">
        <f>'R3'!K33</f>
        <v>0.16857961332816684</v>
      </c>
      <c r="L43" s="132">
        <f>'R3'!L33</f>
        <v>0.63573490884582418</v>
      </c>
      <c r="M43" s="132">
        <f>'R3'!M33</f>
        <v>1.7552593379994983</v>
      </c>
      <c r="O43" s="132">
        <f>'R3'!AE33</f>
        <v>0.65170053787313942</v>
      </c>
      <c r="P43" s="132">
        <f>'R3'!AF33</f>
        <v>1.3966019730922479</v>
      </c>
      <c r="Q43" s="132">
        <f>'R3'!AG33</f>
        <v>0.60141556965181875</v>
      </c>
      <c r="R43" s="132">
        <f>'R3'!AH33</f>
        <v>2.3917447995081655</v>
      </c>
      <c r="S43" s="132">
        <f>'R3'!AI33</f>
        <v>1.8642335585910093</v>
      </c>
      <c r="T43" s="132">
        <f>'R3'!AJ33</f>
        <v>1.784087886800364</v>
      </c>
      <c r="U43" s="132">
        <f>'R3'!AK33</f>
        <v>2.0162375981390923</v>
      </c>
      <c r="V43" s="132">
        <f>'R3'!AL33</f>
        <v>2.1504155290878213</v>
      </c>
      <c r="W43" s="132" t="str">
        <f>'R3'!AM33</f>
        <v/>
      </c>
      <c r="X43" s="132" t="str">
        <f>'R3'!AN33</f>
        <v/>
      </c>
      <c r="Y43" s="132" t="str">
        <f>'R3'!AO33</f>
        <v/>
      </c>
      <c r="Z43" s="132" t="str">
        <f>'R3'!AP33</f>
        <v/>
      </c>
      <c r="AA43" s="132" t="str">
        <f>'R3'!AQ33</f>
        <v/>
      </c>
      <c r="AB43" s="132" t="str">
        <f>'R3'!AR33</f>
        <v/>
      </c>
      <c r="AC43" s="132" t="str">
        <f>'R3'!AS33</f>
        <v/>
      </c>
      <c r="AD43" s="132" t="str">
        <f>'R3'!AT33</f>
        <v/>
      </c>
      <c r="AE43" s="132" t="str">
        <f>'R3'!AU33</f>
        <v/>
      </c>
      <c r="AF43" s="132" t="str">
        <f>'R3'!AV33</f>
        <v/>
      </c>
      <c r="AG43" s="132" t="str">
        <f>'R3'!AW33</f>
        <v/>
      </c>
      <c r="AH43" s="132" t="str">
        <f>'R3'!AX33</f>
        <v/>
      </c>
      <c r="AI43" s="132" t="str">
        <f>'R3'!AY33</f>
        <v/>
      </c>
      <c r="AJ43" s="132" t="str">
        <f>'R3'!AZ33</f>
        <v/>
      </c>
      <c r="AK43" s="132" t="str">
        <f>'R3'!BA33</f>
        <v/>
      </c>
    </row>
    <row r="44" spans="1:37" x14ac:dyDescent="0.25">
      <c r="A44" s="201"/>
      <c r="B44" s="132">
        <f>'R3'!B34</f>
        <v>4.8903740152300861E-2</v>
      </c>
      <c r="C44" s="132">
        <f>'R3'!C34</f>
        <v>0.32288559235643111</v>
      </c>
      <c r="D44" s="132">
        <f>'R3'!D34</f>
        <v>7.2368264574191557E-2</v>
      </c>
      <c r="E44" s="132">
        <f>'R3'!E34</f>
        <v>5.6189470349872317E-2</v>
      </c>
      <c r="F44" s="132">
        <f>'R3'!F34</f>
        <v>0.34396042611616656</v>
      </c>
      <c r="G44" s="132">
        <f>'R3'!G34</f>
        <v>0.33351076041827299</v>
      </c>
      <c r="H44" s="132">
        <f>'R3'!H34</f>
        <v>3.2485209441304508</v>
      </c>
      <c r="I44" s="132">
        <f>'R3'!I34</f>
        <v>0.30702432478618125</v>
      </c>
      <c r="J44" s="132">
        <f>'R3'!J34</f>
        <v>4.0849173113103841E-2</v>
      </c>
      <c r="K44" s="132">
        <f>'R3'!K34</f>
        <v>0.46102397943892598</v>
      </c>
      <c r="L44" s="132">
        <f>'R3'!L34</f>
        <v>0.33851547493180545</v>
      </c>
      <c r="M44" s="132" t="str">
        <f>'R3'!M34</f>
        <v/>
      </c>
      <c r="O44" s="132">
        <f>'R3'!AE34</f>
        <v>0.84209034372884006</v>
      </c>
      <c r="P44" s="132">
        <f>'R3'!AF34</f>
        <v>0.8842401400101334</v>
      </c>
      <c r="Q44" s="132">
        <f>'R3'!AG34</f>
        <v>0.11773195594290314</v>
      </c>
      <c r="R44" s="132">
        <f>'R3'!AH34</f>
        <v>1.2672559582913741</v>
      </c>
      <c r="S44" s="132">
        <f>'R3'!AI34</f>
        <v>1.3187720182967815</v>
      </c>
      <c r="T44" s="132">
        <f>'R3'!AJ34</f>
        <v>1.8876296461042876</v>
      </c>
      <c r="U44" s="132">
        <f>'R3'!AK34</f>
        <v>2.3890990015812319</v>
      </c>
      <c r="V44" s="132">
        <f>'R3'!AL34</f>
        <v>2.710474861569875</v>
      </c>
      <c r="W44" s="132" t="str">
        <f>'R3'!AM34</f>
        <v/>
      </c>
      <c r="X44" s="132" t="str">
        <f>'R3'!AN34</f>
        <v/>
      </c>
      <c r="Y44" s="132" t="str">
        <f>'R3'!AO34</f>
        <v/>
      </c>
      <c r="Z44" s="132" t="str">
        <f>'R3'!AP34</f>
        <v/>
      </c>
      <c r="AA44" s="132" t="str">
        <f>'R3'!AQ34</f>
        <v/>
      </c>
      <c r="AB44" s="132" t="str">
        <f>'R3'!AR34</f>
        <v/>
      </c>
      <c r="AC44" s="132" t="str">
        <f>'R3'!AS34</f>
        <v/>
      </c>
      <c r="AD44" s="132" t="str">
        <f>'R3'!AT34</f>
        <v/>
      </c>
      <c r="AE44" s="132" t="str">
        <f>'R3'!AU34</f>
        <v/>
      </c>
      <c r="AF44" s="132" t="str">
        <f>'R3'!AV34</f>
        <v/>
      </c>
      <c r="AG44" s="132" t="str">
        <f>'R3'!AW34</f>
        <v/>
      </c>
      <c r="AH44" s="132" t="str">
        <f>'R3'!AX34</f>
        <v/>
      </c>
      <c r="AI44" s="132" t="str">
        <f>'R3'!AY34</f>
        <v/>
      </c>
      <c r="AJ44" s="132" t="str">
        <f>'R3'!AZ34</f>
        <v/>
      </c>
      <c r="AK44" s="132" t="str">
        <f>'R3'!BA34</f>
        <v/>
      </c>
    </row>
    <row r="45" spans="1:37" x14ac:dyDescent="0.25">
      <c r="A45" s="201"/>
      <c r="B45" s="132">
        <f>'R3'!B35</f>
        <v>0.25885607216350109</v>
      </c>
      <c r="C45" s="132">
        <f>'R3'!C35</f>
        <v>0.11555826323784504</v>
      </c>
      <c r="D45" s="132">
        <f>'R3'!D35</f>
        <v>0.11592452624169766</v>
      </c>
      <c r="E45" s="132">
        <f>'R3'!E35</f>
        <v>0.1386355364788299</v>
      </c>
      <c r="F45" s="132">
        <f>'R3'!F35</f>
        <v>0.70140916817734134</v>
      </c>
      <c r="G45" s="132">
        <f>'R3'!G35</f>
        <v>2.3529037957774084</v>
      </c>
      <c r="H45" s="132">
        <f>'R3'!H35</f>
        <v>2.6483895161335527</v>
      </c>
      <c r="I45" s="132">
        <f>'R3'!I35</f>
        <v>1.5134278320908336E-2</v>
      </c>
      <c r="J45" s="132">
        <f>'R3'!J35</f>
        <v>0.10650250864847893</v>
      </c>
      <c r="K45" s="132">
        <f>'R3'!K35</f>
        <v>9.1780268159290898E-2</v>
      </c>
      <c r="L45" s="132">
        <f>'R3'!L35</f>
        <v>0.70033117420010316</v>
      </c>
      <c r="M45" s="132">
        <f>'R3'!M35</f>
        <v>0.88945241858139501</v>
      </c>
      <c r="O45" s="132">
        <f>'R3'!AE35</f>
        <v>0.83462627840722725</v>
      </c>
      <c r="P45" s="132">
        <f>'R3'!AF35</f>
        <v>1.9810142865708396</v>
      </c>
      <c r="Q45" s="132">
        <f>'R3'!AG35</f>
        <v>0.23825173410286124</v>
      </c>
      <c r="R45" s="132">
        <f>'R3'!AH35</f>
        <v>1.0852244686139416</v>
      </c>
      <c r="S45" s="132">
        <f>'R3'!AI35</f>
        <v>1.9806076567356605</v>
      </c>
      <c r="T45" s="132">
        <f>'R3'!AJ35</f>
        <v>1.6411201588064626</v>
      </c>
      <c r="U45" s="132">
        <f>'R3'!AK35</f>
        <v>1.6868015055910659</v>
      </c>
      <c r="V45" s="132">
        <f>'R3'!AL35</f>
        <v>2.2546424300488024</v>
      </c>
      <c r="W45" s="132" t="str">
        <f>'R3'!AM35</f>
        <v/>
      </c>
      <c r="X45" s="132" t="str">
        <f>'R3'!AN35</f>
        <v/>
      </c>
      <c r="Y45" s="132" t="str">
        <f>'R3'!AO35</f>
        <v/>
      </c>
      <c r="Z45" s="132" t="str">
        <f>'R3'!AP35</f>
        <v/>
      </c>
      <c r="AA45" s="132" t="str">
        <f>'R3'!AQ35</f>
        <v/>
      </c>
      <c r="AB45" s="132" t="str">
        <f>'R3'!AR35</f>
        <v/>
      </c>
      <c r="AC45" s="132" t="str">
        <f>'R3'!AS35</f>
        <v/>
      </c>
      <c r="AD45" s="132" t="str">
        <f>'R3'!AT35</f>
        <v/>
      </c>
      <c r="AE45" s="132" t="str">
        <f>'R3'!AU35</f>
        <v/>
      </c>
      <c r="AF45" s="132" t="str">
        <f>'R3'!AV35</f>
        <v/>
      </c>
      <c r="AG45" s="132" t="str">
        <f>'R3'!AW35</f>
        <v/>
      </c>
      <c r="AH45" s="132" t="str">
        <f>'R3'!AX35</f>
        <v/>
      </c>
      <c r="AI45" s="132" t="str">
        <f>'R3'!AY35</f>
        <v/>
      </c>
      <c r="AJ45" s="132" t="str">
        <f>'R3'!AZ35</f>
        <v/>
      </c>
      <c r="AK45" s="132" t="str">
        <f>'R3'!BA35</f>
        <v/>
      </c>
    </row>
    <row r="46" spans="1:37" x14ac:dyDescent="0.25">
      <c r="A46" s="201"/>
      <c r="B46" s="132" t="str">
        <f>'R3'!B36</f>
        <v/>
      </c>
      <c r="C46" s="132" t="str">
        <f>'R3'!C36</f>
        <v/>
      </c>
      <c r="D46" s="132" t="str">
        <f>'R3'!D36</f>
        <v/>
      </c>
      <c r="E46" s="132" t="str">
        <f>'R3'!E36</f>
        <v/>
      </c>
      <c r="F46" s="132" t="str">
        <f>'R3'!F36</f>
        <v/>
      </c>
      <c r="G46" s="132" t="str">
        <f>'R3'!G36</f>
        <v/>
      </c>
      <c r="H46" s="132" t="str">
        <f>'R3'!H36</f>
        <v/>
      </c>
      <c r="I46" s="132" t="str">
        <f>'R3'!I36</f>
        <v/>
      </c>
      <c r="J46" s="132" t="str">
        <f>'R3'!J36</f>
        <v/>
      </c>
      <c r="K46" s="132" t="str">
        <f>'R3'!K36</f>
        <v/>
      </c>
      <c r="L46" s="132" t="str">
        <f>'R3'!L36</f>
        <v/>
      </c>
      <c r="M46" s="132" t="str">
        <f>'R3'!M36</f>
        <v/>
      </c>
      <c r="O46" s="132">
        <f>'R3'!AE36</f>
        <v>0.40118874684926364</v>
      </c>
      <c r="P46" s="132" t="str">
        <f>'R3'!AF36</f>
        <v/>
      </c>
      <c r="Q46" s="132" t="str">
        <f>'R3'!AG36</f>
        <v/>
      </c>
      <c r="R46" s="132" t="str">
        <f>'R3'!AH36</f>
        <v/>
      </c>
      <c r="S46" s="132" t="str">
        <f>'R3'!AI36</f>
        <v/>
      </c>
      <c r="T46" s="132" t="str">
        <f>'R3'!AJ36</f>
        <v/>
      </c>
      <c r="U46" s="132" t="str">
        <f>'R3'!AK36</f>
        <v/>
      </c>
      <c r="V46" s="132" t="str">
        <f>'R3'!AL36</f>
        <v/>
      </c>
      <c r="W46" s="132" t="str">
        <f>'R3'!AM36</f>
        <v/>
      </c>
      <c r="X46" s="132" t="str">
        <f>'R3'!AN36</f>
        <v/>
      </c>
      <c r="Y46" s="132" t="str">
        <f>'R3'!AO36</f>
        <v/>
      </c>
      <c r="Z46" s="132" t="str">
        <f>'R3'!AP36</f>
        <v/>
      </c>
      <c r="AA46" s="132" t="str">
        <f>'R3'!AQ36</f>
        <v/>
      </c>
      <c r="AB46" s="132" t="str">
        <f>'R3'!AR36</f>
        <v/>
      </c>
      <c r="AC46" s="132" t="str">
        <f>'R3'!AS36</f>
        <v/>
      </c>
      <c r="AD46" s="132" t="str">
        <f>'R3'!AT36</f>
        <v/>
      </c>
      <c r="AE46" s="132" t="str">
        <f>'R3'!AU36</f>
        <v/>
      </c>
      <c r="AF46" s="132" t="str">
        <f>'R3'!AV36</f>
        <v/>
      </c>
      <c r="AG46" s="132" t="str">
        <f>'R3'!AW36</f>
        <v/>
      </c>
      <c r="AH46" s="132" t="str">
        <f>'R3'!AX36</f>
        <v/>
      </c>
      <c r="AI46" s="132" t="str">
        <f>'R3'!AY36</f>
        <v/>
      </c>
      <c r="AJ46" s="132" t="str">
        <f>'R3'!AZ36</f>
        <v/>
      </c>
      <c r="AK46" s="132" t="str">
        <f>'R3'!BA36</f>
        <v/>
      </c>
    </row>
    <row r="47" spans="1:37" x14ac:dyDescent="0.25">
      <c r="A47" s="201"/>
      <c r="B47" s="132" t="str">
        <f>'R3'!B37</f>
        <v/>
      </c>
      <c r="C47" s="132" t="str">
        <f>'R3'!C37</f>
        <v/>
      </c>
      <c r="D47" s="132" t="str">
        <f>'R3'!D37</f>
        <v/>
      </c>
      <c r="E47" s="132" t="str">
        <f>'R3'!E37</f>
        <v/>
      </c>
      <c r="F47" s="132" t="str">
        <f>'R3'!F37</f>
        <v/>
      </c>
      <c r="G47" s="132" t="str">
        <f>'R3'!G37</f>
        <v/>
      </c>
      <c r="H47" s="132" t="str">
        <f>'R3'!H37</f>
        <v/>
      </c>
      <c r="I47" s="132" t="str">
        <f>'R3'!I37</f>
        <v/>
      </c>
      <c r="J47" s="132" t="str">
        <f>'R3'!J37</f>
        <v/>
      </c>
      <c r="K47" s="132" t="str">
        <f>'R3'!K37</f>
        <v/>
      </c>
      <c r="L47" s="132" t="str">
        <f>'R3'!L37</f>
        <v/>
      </c>
      <c r="M47" s="132" t="str">
        <f>'R3'!M37</f>
        <v/>
      </c>
      <c r="O47" s="132">
        <f>'R3'!AE37</f>
        <v>0.6866396077184167</v>
      </c>
      <c r="P47" s="132" t="str">
        <f>'R3'!AF37</f>
        <v/>
      </c>
      <c r="Q47" s="132" t="str">
        <f>'R3'!AG37</f>
        <v/>
      </c>
      <c r="R47" s="132" t="str">
        <f>'R3'!AH37</f>
        <v/>
      </c>
      <c r="S47" s="132" t="str">
        <f>'R3'!AI37</f>
        <v/>
      </c>
      <c r="T47" s="132" t="str">
        <f>'R3'!AJ37</f>
        <v/>
      </c>
      <c r="U47" s="132" t="str">
        <f>'R3'!AK37</f>
        <v/>
      </c>
      <c r="V47" s="132" t="str">
        <f>'R3'!AL37</f>
        <v/>
      </c>
      <c r="W47" s="132" t="str">
        <f>'R3'!AM37</f>
        <v/>
      </c>
      <c r="X47" s="132" t="str">
        <f>'R3'!AN37</f>
        <v/>
      </c>
      <c r="Y47" s="132" t="str">
        <f>'R3'!AO37</f>
        <v/>
      </c>
      <c r="Z47" s="132" t="str">
        <f>'R3'!AP37</f>
        <v/>
      </c>
      <c r="AA47" s="132" t="str">
        <f>'R3'!AQ37</f>
        <v/>
      </c>
      <c r="AB47" s="132" t="str">
        <f>'R3'!AR37</f>
        <v/>
      </c>
      <c r="AC47" s="132" t="str">
        <f>'R3'!AS37</f>
        <v/>
      </c>
      <c r="AD47" s="132" t="str">
        <f>'R3'!AT37</f>
        <v/>
      </c>
      <c r="AE47" s="132" t="str">
        <f>'R3'!AU37</f>
        <v/>
      </c>
      <c r="AF47" s="132" t="str">
        <f>'R3'!AV37</f>
        <v/>
      </c>
      <c r="AG47" s="132" t="str">
        <f>'R3'!AW37</f>
        <v/>
      </c>
      <c r="AH47" s="132" t="str">
        <f>'R3'!AX37</f>
        <v/>
      </c>
      <c r="AI47" s="132" t="str">
        <f>'R3'!AY37</f>
        <v/>
      </c>
      <c r="AJ47" s="132" t="str">
        <f>'R3'!AZ37</f>
        <v/>
      </c>
      <c r="AK47" s="132" t="str">
        <f>'R3'!BA37</f>
        <v/>
      </c>
    </row>
    <row r="48" spans="1:37" x14ac:dyDescent="0.25">
      <c r="A48" s="201"/>
      <c r="B48" s="132" t="str">
        <f>'R3'!B38</f>
        <v/>
      </c>
      <c r="C48" s="132" t="str">
        <f>'R3'!C38</f>
        <v/>
      </c>
      <c r="D48" s="132" t="str">
        <f>'R3'!D38</f>
        <v/>
      </c>
      <c r="E48" s="132" t="str">
        <f>'R3'!E38</f>
        <v/>
      </c>
      <c r="F48" s="132" t="str">
        <f>'R3'!F38</f>
        <v/>
      </c>
      <c r="G48" s="132" t="str">
        <f>'R3'!G38</f>
        <v/>
      </c>
      <c r="H48" s="132" t="str">
        <f>'R3'!H38</f>
        <v/>
      </c>
      <c r="I48" s="132" t="str">
        <f>'R3'!I38</f>
        <v/>
      </c>
      <c r="J48" s="132" t="str">
        <f>'R3'!J38</f>
        <v/>
      </c>
      <c r="K48" s="132" t="str">
        <f>'R3'!K38</f>
        <v/>
      </c>
      <c r="L48" s="132" t="str">
        <f>'R3'!L38</f>
        <v/>
      </c>
      <c r="M48" s="132" t="str">
        <f>'R3'!M38</f>
        <v/>
      </c>
      <c r="O48" s="132">
        <f>'R3'!AE38</f>
        <v>0.59477583751729124</v>
      </c>
      <c r="P48" s="132" t="str">
        <f>'R3'!AF38</f>
        <v/>
      </c>
      <c r="Q48" s="132" t="str">
        <f>'R3'!AG38</f>
        <v/>
      </c>
      <c r="R48" s="132" t="str">
        <f>'R3'!AH38</f>
        <v/>
      </c>
      <c r="S48" s="132" t="str">
        <f>'R3'!AI38</f>
        <v/>
      </c>
      <c r="T48" s="132" t="str">
        <f>'R3'!AJ38</f>
        <v/>
      </c>
      <c r="U48" s="132" t="str">
        <f>'R3'!AK38</f>
        <v/>
      </c>
      <c r="V48" s="132" t="str">
        <f>'R3'!AL38</f>
        <v/>
      </c>
      <c r="W48" s="132" t="str">
        <f>'R3'!AM38</f>
        <v/>
      </c>
      <c r="X48" s="132" t="str">
        <f>'R3'!AN38</f>
        <v/>
      </c>
      <c r="Y48" s="132" t="str">
        <f>'R3'!AO38</f>
        <v/>
      </c>
      <c r="Z48" s="132" t="str">
        <f>'R3'!AP38</f>
        <v/>
      </c>
      <c r="AA48" s="132" t="str">
        <f>'R3'!AQ38</f>
        <v/>
      </c>
      <c r="AB48" s="132" t="str">
        <f>'R3'!AR38</f>
        <v/>
      </c>
      <c r="AC48" s="132" t="str">
        <f>'R3'!AS38</f>
        <v/>
      </c>
      <c r="AD48" s="132" t="str">
        <f>'R3'!AT38</f>
        <v/>
      </c>
      <c r="AE48" s="132" t="str">
        <f>'R3'!AU38</f>
        <v/>
      </c>
      <c r="AF48" s="132" t="str">
        <f>'R3'!AV38</f>
        <v/>
      </c>
      <c r="AG48" s="132" t="str">
        <f>'R3'!AW38</f>
        <v/>
      </c>
      <c r="AH48" s="132" t="str">
        <f>'R3'!AX38</f>
        <v/>
      </c>
      <c r="AI48" s="132" t="str">
        <f>'R3'!AY38</f>
        <v/>
      </c>
      <c r="AJ48" s="132" t="str">
        <f>'R3'!AZ38</f>
        <v/>
      </c>
      <c r="AK48" s="132" t="str">
        <f>'R3'!BA38</f>
        <v/>
      </c>
    </row>
    <row r="49" spans="1:53" x14ac:dyDescent="0.25">
      <c r="A49" s="201"/>
      <c r="B49" s="132" t="str">
        <f>'R3'!B39</f>
        <v/>
      </c>
      <c r="C49" s="132" t="str">
        <f>'R3'!C39</f>
        <v/>
      </c>
      <c r="D49" s="132" t="str">
        <f>'R3'!D39</f>
        <v/>
      </c>
      <c r="E49" s="132" t="str">
        <f>'R3'!E39</f>
        <v/>
      </c>
      <c r="F49" s="132" t="str">
        <f>'R3'!F39</f>
        <v/>
      </c>
      <c r="G49" s="132" t="str">
        <f>'R3'!G39</f>
        <v/>
      </c>
      <c r="H49" s="132" t="str">
        <f>'R3'!H39</f>
        <v/>
      </c>
      <c r="I49" s="132" t="str">
        <f>'R3'!I39</f>
        <v/>
      </c>
      <c r="J49" s="132" t="str">
        <f>'R3'!J39</f>
        <v/>
      </c>
      <c r="K49" s="132" t="str">
        <f>'R3'!K39</f>
        <v/>
      </c>
      <c r="L49" s="132" t="str">
        <f>'R3'!L39</f>
        <v/>
      </c>
      <c r="M49" s="132" t="str">
        <f>'R3'!M39</f>
        <v/>
      </c>
      <c r="O49" s="132">
        <f>'R3'!AE39</f>
        <v>1.0965472038487039</v>
      </c>
      <c r="P49" s="132" t="str">
        <f>'R3'!AF39</f>
        <v/>
      </c>
      <c r="Q49" s="132" t="str">
        <f>'R3'!AG39</f>
        <v/>
      </c>
      <c r="R49" s="132" t="str">
        <f>'R3'!AH39</f>
        <v/>
      </c>
      <c r="S49" s="132" t="str">
        <f>'R3'!AI39</f>
        <v/>
      </c>
      <c r="T49" s="132" t="str">
        <f>'R3'!AJ39</f>
        <v/>
      </c>
      <c r="U49" s="132" t="str">
        <f>'R3'!AK39</f>
        <v/>
      </c>
      <c r="V49" s="132" t="str">
        <f>'R3'!AL39</f>
        <v/>
      </c>
      <c r="W49" s="132" t="str">
        <f>'R3'!AM39</f>
        <v/>
      </c>
      <c r="X49" s="132" t="str">
        <f>'R3'!AN39</f>
        <v/>
      </c>
      <c r="Y49" s="132" t="str">
        <f>'R3'!AO39</f>
        <v/>
      </c>
      <c r="Z49" s="132" t="str">
        <f>'R3'!AP39</f>
        <v/>
      </c>
      <c r="AA49" s="132" t="str">
        <f>'R3'!AQ39</f>
        <v/>
      </c>
      <c r="AB49" s="132" t="str">
        <f>'R3'!AR39</f>
        <v/>
      </c>
      <c r="AC49" s="132" t="str">
        <f>'R3'!AS39</f>
        <v/>
      </c>
      <c r="AD49" s="132" t="str">
        <f>'R3'!AT39</f>
        <v/>
      </c>
      <c r="AE49" s="132" t="str">
        <f>'R3'!AU39</f>
        <v/>
      </c>
      <c r="AF49" s="132" t="str">
        <f>'R3'!AV39</f>
        <v/>
      </c>
      <c r="AG49" s="132" t="str">
        <f>'R3'!AW39</f>
        <v/>
      </c>
      <c r="AH49" s="132" t="str">
        <f>'R3'!AX39</f>
        <v/>
      </c>
      <c r="AI49" s="132" t="str">
        <f>'R3'!AY39</f>
        <v/>
      </c>
      <c r="AJ49" s="132" t="str">
        <f>'R3'!AZ39</f>
        <v/>
      </c>
      <c r="AK49" s="132" t="str">
        <f>'R3'!BA39</f>
        <v/>
      </c>
    </row>
    <row r="50" spans="1:53" x14ac:dyDescent="0.25">
      <c r="A50" s="201"/>
      <c r="B50" s="132" t="str">
        <f>'R3'!B40</f>
        <v/>
      </c>
      <c r="C50" s="132" t="str">
        <f>'R3'!C40</f>
        <v/>
      </c>
      <c r="D50" s="132" t="str">
        <f>'R3'!D40</f>
        <v/>
      </c>
      <c r="E50" s="132" t="str">
        <f>'R3'!E40</f>
        <v/>
      </c>
      <c r="F50" s="132" t="str">
        <f>'R3'!F40</f>
        <v/>
      </c>
      <c r="G50" s="132" t="str">
        <f>'R3'!G40</f>
        <v/>
      </c>
      <c r="H50" s="132" t="str">
        <f>'R3'!H40</f>
        <v/>
      </c>
      <c r="I50" s="132" t="str">
        <f>'R3'!I40</f>
        <v/>
      </c>
      <c r="J50" s="132" t="str">
        <f>'R3'!J40</f>
        <v/>
      </c>
      <c r="K50" s="132" t="str">
        <f>'R3'!K40</f>
        <v/>
      </c>
      <c r="L50" s="132" t="str">
        <f>'R3'!L40</f>
        <v/>
      </c>
      <c r="M50" s="132" t="str">
        <f>'R3'!M40</f>
        <v/>
      </c>
      <c r="O50" s="132">
        <f>'R3'!AE40</f>
        <v>0.4826445701829572</v>
      </c>
      <c r="P50" s="132" t="str">
        <f>'R3'!AF40</f>
        <v/>
      </c>
      <c r="Q50" s="132" t="str">
        <f>'R3'!AG40</f>
        <v/>
      </c>
      <c r="R50" s="132" t="str">
        <f>'R3'!AH40</f>
        <v/>
      </c>
      <c r="S50" s="132" t="str">
        <f>'R3'!AI40</f>
        <v/>
      </c>
      <c r="T50" s="132" t="str">
        <f>'R3'!AJ40</f>
        <v/>
      </c>
      <c r="U50" s="132" t="str">
        <f>'R3'!AK40</f>
        <v/>
      </c>
      <c r="V50" s="132" t="str">
        <f>'R3'!AL40</f>
        <v/>
      </c>
      <c r="W50" s="132" t="str">
        <f>'R3'!AM40</f>
        <v/>
      </c>
      <c r="X50" s="132" t="str">
        <f>'R3'!AN40</f>
        <v/>
      </c>
      <c r="Y50" s="132" t="str">
        <f>'R3'!AO40</f>
        <v/>
      </c>
      <c r="Z50" s="132" t="str">
        <f>'R3'!AP40</f>
        <v/>
      </c>
      <c r="AA50" s="132" t="str">
        <f>'R3'!AQ40</f>
        <v/>
      </c>
      <c r="AB50" s="132" t="str">
        <f>'R3'!AR40</f>
        <v/>
      </c>
      <c r="AC50" s="132" t="str">
        <f>'R3'!AS40</f>
        <v/>
      </c>
      <c r="AD50" s="132" t="str">
        <f>'R3'!AT40</f>
        <v/>
      </c>
      <c r="AE50" s="132" t="str">
        <f>'R3'!AU40</f>
        <v/>
      </c>
      <c r="AF50" s="132" t="str">
        <f>'R3'!AV40</f>
        <v/>
      </c>
      <c r="AG50" s="132" t="str">
        <f>'R3'!AW40</f>
        <v/>
      </c>
      <c r="AH50" s="132" t="str">
        <f>'R3'!AX40</f>
        <v/>
      </c>
      <c r="AI50" s="132" t="str">
        <f>'R3'!AY40</f>
        <v/>
      </c>
      <c r="AJ50" s="132" t="str">
        <f>'R3'!AZ40</f>
        <v/>
      </c>
      <c r="AK50" s="132" t="str">
        <f>'R3'!BA40</f>
        <v/>
      </c>
    </row>
    <row r="51" spans="1:53" x14ac:dyDescent="0.25">
      <c r="A51" s="201"/>
      <c r="B51" s="132" t="str">
        <f>'R3'!B41</f>
        <v/>
      </c>
      <c r="C51" s="132" t="str">
        <f>'R3'!C41</f>
        <v/>
      </c>
      <c r="D51" s="132" t="str">
        <f>'R3'!D41</f>
        <v/>
      </c>
      <c r="E51" s="132" t="str">
        <f>'R3'!E41</f>
        <v/>
      </c>
      <c r="F51" s="132" t="str">
        <f>'R3'!F41</f>
        <v/>
      </c>
      <c r="G51" s="132" t="str">
        <f>'R3'!G41</f>
        <v/>
      </c>
      <c r="H51" s="132" t="str">
        <f>'R3'!H41</f>
        <v/>
      </c>
      <c r="I51" s="132" t="str">
        <f>'R3'!I41</f>
        <v/>
      </c>
      <c r="J51" s="132" t="str">
        <f>'R3'!J41</f>
        <v/>
      </c>
      <c r="K51" s="132" t="str">
        <f>'R3'!K41</f>
        <v/>
      </c>
      <c r="L51" s="132" t="str">
        <f>'R3'!L41</f>
        <v/>
      </c>
      <c r="M51" s="132" t="str">
        <f>'R3'!M41</f>
        <v/>
      </c>
      <c r="O51" s="132">
        <f>'R3'!AE41</f>
        <v>1.4653576959768317</v>
      </c>
      <c r="P51" s="132" t="str">
        <f>'R3'!AF41</f>
        <v/>
      </c>
      <c r="Q51" s="132" t="str">
        <f>'R3'!AG41</f>
        <v/>
      </c>
      <c r="R51" s="132" t="str">
        <f>'R3'!AH41</f>
        <v/>
      </c>
      <c r="S51" s="132" t="str">
        <f>'R3'!AI41</f>
        <v/>
      </c>
      <c r="T51" s="132" t="str">
        <f>'R3'!AJ41</f>
        <v/>
      </c>
      <c r="U51" s="132" t="str">
        <f>'R3'!AK41</f>
        <v/>
      </c>
      <c r="V51" s="132" t="str">
        <f>'R3'!AL41</f>
        <v/>
      </c>
      <c r="W51" s="132" t="str">
        <f>'R3'!AM41</f>
        <v/>
      </c>
      <c r="X51" s="132" t="str">
        <f>'R3'!AN41</f>
        <v/>
      </c>
      <c r="Y51" s="132" t="str">
        <f>'R3'!AO41</f>
        <v/>
      </c>
      <c r="Z51" s="132" t="str">
        <f>'R3'!AP41</f>
        <v/>
      </c>
      <c r="AA51" s="132" t="str">
        <f>'R3'!AQ41</f>
        <v/>
      </c>
      <c r="AB51" s="132" t="str">
        <f>'R3'!AR41</f>
        <v/>
      </c>
      <c r="AC51" s="132" t="str">
        <f>'R3'!AS41</f>
        <v/>
      </c>
      <c r="AD51" s="132" t="str">
        <f>'R3'!AT41</f>
        <v/>
      </c>
      <c r="AE51" s="132" t="str">
        <f>'R3'!AU41</f>
        <v/>
      </c>
      <c r="AF51" s="132" t="str">
        <f>'R3'!AV41</f>
        <v/>
      </c>
      <c r="AG51" s="132" t="str">
        <f>'R3'!AW41</f>
        <v/>
      </c>
      <c r="AH51" s="132" t="str">
        <f>'R3'!AX41</f>
        <v/>
      </c>
      <c r="AI51" s="132" t="str">
        <f>'R3'!AY41</f>
        <v/>
      </c>
      <c r="AJ51" s="132" t="str">
        <f>'R3'!AZ41</f>
        <v/>
      </c>
      <c r="AK51" s="132" t="str">
        <f>'R3'!BA41</f>
        <v/>
      </c>
    </row>
    <row r="52" spans="1:53" x14ac:dyDescent="0.25">
      <c r="A52" s="201"/>
      <c r="B52" s="132" t="str">
        <f>'R3'!B42</f>
        <v/>
      </c>
      <c r="C52" s="132" t="str">
        <f>'R3'!C42</f>
        <v/>
      </c>
      <c r="D52" s="132" t="str">
        <f>'R3'!D42</f>
        <v/>
      </c>
      <c r="E52" s="132" t="str">
        <f>'R3'!E42</f>
        <v/>
      </c>
      <c r="F52" s="132" t="str">
        <f>'R3'!F42</f>
        <v/>
      </c>
      <c r="G52" s="132" t="str">
        <f>'R3'!G42</f>
        <v/>
      </c>
      <c r="H52" s="132" t="str">
        <f>'R3'!H42</f>
        <v/>
      </c>
      <c r="I52" s="132" t="str">
        <f>'R3'!I42</f>
        <v/>
      </c>
      <c r="J52" s="132" t="str">
        <f>'R3'!J42</f>
        <v/>
      </c>
      <c r="K52" s="132" t="str">
        <f>'R3'!K42</f>
        <v/>
      </c>
      <c r="L52" s="132" t="str">
        <f>'R3'!L42</f>
        <v/>
      </c>
      <c r="M52" s="132" t="str">
        <f>'R3'!M42</f>
        <v/>
      </c>
      <c r="O52" s="132">
        <f>'R3'!AE42</f>
        <v>1.0639796692486216</v>
      </c>
      <c r="P52" s="132" t="str">
        <f>'R3'!AF42</f>
        <v/>
      </c>
      <c r="Q52" s="132" t="str">
        <f>'R3'!AG42</f>
        <v/>
      </c>
      <c r="R52" s="132" t="str">
        <f>'R3'!AH42</f>
        <v/>
      </c>
      <c r="S52" s="132" t="str">
        <f>'R3'!AI42</f>
        <v/>
      </c>
      <c r="T52" s="132" t="str">
        <f>'R3'!AJ42</f>
        <v/>
      </c>
      <c r="U52" s="132" t="str">
        <f>'R3'!AK42</f>
        <v/>
      </c>
      <c r="V52" s="132" t="str">
        <f>'R3'!AL42</f>
        <v/>
      </c>
      <c r="W52" s="132" t="str">
        <f>'R3'!AM42</f>
        <v/>
      </c>
      <c r="X52" s="132" t="str">
        <f>'R3'!AN42</f>
        <v/>
      </c>
      <c r="Y52" s="132" t="str">
        <f>'R3'!AO42</f>
        <v/>
      </c>
      <c r="Z52" s="132" t="str">
        <f>'R3'!AP42</f>
        <v/>
      </c>
      <c r="AA52" s="132" t="str">
        <f>'R3'!AQ42</f>
        <v/>
      </c>
      <c r="AB52" s="132" t="str">
        <f>'R3'!AR42</f>
        <v/>
      </c>
      <c r="AC52" s="132" t="str">
        <f>'R3'!AS42</f>
        <v/>
      </c>
      <c r="AD52" s="132" t="str">
        <f>'R3'!AT42</f>
        <v/>
      </c>
      <c r="AE52" s="132" t="str">
        <f>'R3'!AU42</f>
        <v/>
      </c>
      <c r="AF52" s="132" t="str">
        <f>'R3'!AV42</f>
        <v/>
      </c>
      <c r="AG52" s="132" t="str">
        <f>'R3'!AW42</f>
        <v/>
      </c>
      <c r="AH52" s="132" t="str">
        <f>'R3'!AX42</f>
        <v/>
      </c>
      <c r="AI52" s="132" t="str">
        <f>'R3'!AY42</f>
        <v/>
      </c>
      <c r="AJ52" s="132" t="str">
        <f>'R3'!AZ42</f>
        <v/>
      </c>
      <c r="AK52" s="132" t="str">
        <f>'R3'!BA42</f>
        <v/>
      </c>
    </row>
    <row r="53" spans="1:53" x14ac:dyDescent="0.25">
      <c r="A53" s="202"/>
      <c r="B53" s="132" t="str">
        <f>'R3'!B43</f>
        <v/>
      </c>
      <c r="C53" s="132" t="str">
        <f>'R3'!C43</f>
        <v/>
      </c>
      <c r="D53" s="132" t="str">
        <f>'R3'!D43</f>
        <v/>
      </c>
      <c r="E53" s="132" t="str">
        <f>'R3'!E43</f>
        <v/>
      </c>
      <c r="F53" s="132" t="str">
        <f>'R3'!F43</f>
        <v/>
      </c>
      <c r="G53" s="132" t="str">
        <f>'R3'!G43</f>
        <v/>
      </c>
      <c r="H53" s="132" t="str">
        <f>'R3'!H43</f>
        <v/>
      </c>
      <c r="I53" s="132" t="str">
        <f>'R3'!I43</f>
        <v/>
      </c>
      <c r="J53" s="132" t="str">
        <f>'R3'!J43</f>
        <v/>
      </c>
      <c r="K53" s="132" t="str">
        <f>'R3'!K43</f>
        <v/>
      </c>
      <c r="L53" s="132" t="str">
        <f>'R3'!L43</f>
        <v/>
      </c>
      <c r="M53" s="132" t="str">
        <f>'R3'!M43</f>
        <v/>
      </c>
      <c r="O53" s="132">
        <f>'R3'!AE43</f>
        <v>1.4360807341294144</v>
      </c>
      <c r="P53" s="132" t="str">
        <f>'R3'!AF43</f>
        <v/>
      </c>
      <c r="Q53" s="132" t="str">
        <f>'R3'!AG43</f>
        <v/>
      </c>
      <c r="R53" s="132" t="str">
        <f>'R3'!AH43</f>
        <v/>
      </c>
      <c r="S53" s="132" t="str">
        <f>'R3'!AI43</f>
        <v/>
      </c>
      <c r="T53" s="132" t="str">
        <f>'R3'!AJ43</f>
        <v/>
      </c>
      <c r="U53" s="132" t="str">
        <f>'R3'!AK43</f>
        <v/>
      </c>
      <c r="V53" s="132" t="str">
        <f>'R3'!AL43</f>
        <v/>
      </c>
      <c r="W53" s="132" t="str">
        <f>'R3'!AM43</f>
        <v/>
      </c>
      <c r="X53" s="132" t="str">
        <f>'R3'!AN43</f>
        <v/>
      </c>
      <c r="Y53" s="132" t="str">
        <f>'R3'!AO43</f>
        <v/>
      </c>
      <c r="Z53" s="132" t="str">
        <f>'R3'!AP43</f>
        <v/>
      </c>
      <c r="AA53" s="132" t="str">
        <f>'R3'!AQ43</f>
        <v/>
      </c>
      <c r="AB53" s="132" t="str">
        <f>'R3'!AR43</f>
        <v/>
      </c>
      <c r="AC53" s="132" t="str">
        <f>'R3'!AS43</f>
        <v/>
      </c>
      <c r="AD53" s="132" t="str">
        <f>'R3'!AT43</f>
        <v/>
      </c>
      <c r="AE53" s="132" t="str">
        <f>'R3'!AU43</f>
        <v/>
      </c>
      <c r="AF53" s="132" t="str">
        <f>'R3'!AV43</f>
        <v/>
      </c>
      <c r="AG53" s="132" t="str">
        <f>'R3'!AW43</f>
        <v/>
      </c>
      <c r="AH53" s="132" t="str">
        <f>'R3'!AX43</f>
        <v/>
      </c>
      <c r="AI53" s="132" t="str">
        <f>'R3'!AY43</f>
        <v/>
      </c>
      <c r="AJ53" s="132" t="str">
        <f>'R3'!AZ43</f>
        <v/>
      </c>
      <c r="AK53" s="132" t="str">
        <f>'R3'!BA43</f>
        <v/>
      </c>
    </row>
    <row r="54" spans="1:53" x14ac:dyDescent="0.25">
      <c r="A54" s="44"/>
      <c r="B54" s="6"/>
      <c r="C54" s="6"/>
      <c r="D54" s="6"/>
      <c r="E54" s="6"/>
      <c r="F54" s="6"/>
      <c r="G54" s="6"/>
      <c r="H54" s="6"/>
      <c r="I54" s="6"/>
      <c r="J54" s="6"/>
      <c r="K54" s="6"/>
      <c r="L54" s="6"/>
      <c r="M54" s="6"/>
      <c r="O54" s="6"/>
      <c r="P54" s="6"/>
      <c r="Q54" s="6"/>
      <c r="R54" s="6"/>
      <c r="S54" s="6"/>
      <c r="T54" s="6"/>
      <c r="U54" s="6"/>
      <c r="V54" s="6"/>
      <c r="W54" s="6"/>
      <c r="X54" s="6"/>
      <c r="Y54" s="6"/>
      <c r="Z54" s="6"/>
      <c r="AA54" s="6"/>
      <c r="AB54" s="6"/>
      <c r="AC54" s="6"/>
      <c r="AD54" s="6"/>
      <c r="AE54" s="6"/>
      <c r="AF54" s="6"/>
      <c r="AG54" s="6"/>
      <c r="AH54" s="6"/>
      <c r="AI54" s="6"/>
      <c r="AJ54" s="6"/>
      <c r="AK54" s="6"/>
    </row>
    <row r="55" spans="1:53" x14ac:dyDescent="0.25">
      <c r="A55" t="s">
        <v>47</v>
      </c>
      <c r="B55" s="2" t="str">
        <f t="shared" ref="B55:M55" si="0">B4</f>
        <v>Témoin solvant</v>
      </c>
      <c r="C55" s="2" t="str">
        <f t="shared" si="0"/>
        <v>EE2-33,8ng/L</v>
      </c>
      <c r="D55" s="2" t="str">
        <f t="shared" si="0"/>
        <v>EE2-50,6ng/L</v>
      </c>
      <c r="E55" s="2" t="str">
        <f t="shared" si="0"/>
        <v>EE2-76ng/L</v>
      </c>
      <c r="F55" s="2" t="str">
        <f t="shared" si="0"/>
        <v>EE2-114ng/L</v>
      </c>
      <c r="G55" s="2" t="str">
        <f t="shared" si="0"/>
        <v>EE2-170,9ng/L</v>
      </c>
      <c r="H55" s="2" t="str">
        <f t="shared" si="0"/>
        <v>EE2-488ng/L</v>
      </c>
      <c r="I55" s="2" t="str">
        <f t="shared" si="0"/>
        <v>Triphénylphosphate-0,18mg/L</v>
      </c>
      <c r="J55" s="2" t="str">
        <f t="shared" si="0"/>
        <v>Triphénylphosphate-0,26mg/L</v>
      </c>
      <c r="K55" s="2" t="str">
        <f t="shared" si="0"/>
        <v>Triphénylphosphate-0,4mg/L</v>
      </c>
      <c r="L55" s="2" t="str">
        <f t="shared" si="0"/>
        <v>Triphénylphosphate-0,59mg/L</v>
      </c>
      <c r="M55" s="2" t="str">
        <f t="shared" si="0"/>
        <v>Triphénylphosphate-0,89mg/L</v>
      </c>
      <c r="O55" s="2" t="str">
        <f t="shared" ref="O55:AD55" si="1">O4</f>
        <v>Testo -30µg/L</v>
      </c>
      <c r="P55" s="2" t="str">
        <f t="shared" si="1"/>
        <v>Testo 30µg/L + EE2 -64ng/L</v>
      </c>
      <c r="Q55" s="2" t="str">
        <f t="shared" si="1"/>
        <v>Testo 30µg/L + FAD-10mg/L</v>
      </c>
      <c r="R55" s="2" t="str">
        <f t="shared" si="1"/>
        <v>Triphénylphosphate-0,18mg/L + Testostérone</v>
      </c>
      <c r="S55" s="2" t="str">
        <f t="shared" si="1"/>
        <v>Triphénylphosphate-0,26mg/L + Testostérone</v>
      </c>
      <c r="T55" s="2" t="str">
        <f t="shared" si="1"/>
        <v>Triphénylphosphate-0,4mg/L + Testostérone</v>
      </c>
      <c r="U55" s="2" t="str">
        <f t="shared" si="1"/>
        <v>Triphénylphosphate-0,59mg/L + Testostérone</v>
      </c>
      <c r="V55" s="2" t="str">
        <f t="shared" si="1"/>
        <v>Triphénylphosphate-0,89mg/L + Testostérone</v>
      </c>
      <c r="W55" s="2" t="str">
        <f t="shared" si="1"/>
        <v>0-00 + Testostérone</v>
      </c>
      <c r="X55" s="2" t="str">
        <f t="shared" si="1"/>
        <v>0-00 + Testostérone</v>
      </c>
      <c r="Y55" s="2" t="str">
        <f t="shared" si="1"/>
        <v>0-00 + Testostérone</v>
      </c>
      <c r="Z55" s="2" t="str">
        <f t="shared" si="1"/>
        <v>0-00 + Testostérone</v>
      </c>
      <c r="AA55" s="2" t="str">
        <f t="shared" si="1"/>
        <v>0-00 + Testostérone</v>
      </c>
      <c r="AB55" s="2">
        <f t="shared" si="1"/>
        <v>0</v>
      </c>
      <c r="AC55" s="2">
        <f t="shared" si="1"/>
        <v>0</v>
      </c>
      <c r="AD55" s="2">
        <f t="shared" si="1"/>
        <v>0</v>
      </c>
      <c r="AE55" s="2">
        <f t="shared" ref="AE55:AK55" si="2">AE4</f>
        <v>0</v>
      </c>
      <c r="AF55" s="2">
        <f t="shared" si="2"/>
        <v>0</v>
      </c>
      <c r="AG55" s="2">
        <f t="shared" si="2"/>
        <v>0</v>
      </c>
      <c r="AH55" s="2">
        <f t="shared" si="2"/>
        <v>0</v>
      </c>
      <c r="AI55" s="2">
        <f t="shared" si="2"/>
        <v>0</v>
      </c>
      <c r="AJ55" s="2">
        <f t="shared" si="2"/>
        <v>0</v>
      </c>
      <c r="AK55" s="2">
        <f t="shared" si="2"/>
        <v>0</v>
      </c>
    </row>
    <row r="56" spans="1:53" x14ac:dyDescent="0.25">
      <c r="A56" t="s">
        <v>48</v>
      </c>
      <c r="B56" s="7">
        <f t="shared" ref="B56:AJ56" si="3">AVERAGE(B6:B53)</f>
        <v>0.11600485275828015</v>
      </c>
      <c r="C56" s="7">
        <f t="shared" si="3"/>
        <v>0.11686608890963675</v>
      </c>
      <c r="D56" s="7">
        <f t="shared" si="3"/>
        <v>0.11983302657629789</v>
      </c>
      <c r="E56" s="7">
        <f t="shared" si="3"/>
        <v>0.20428775416189354</v>
      </c>
      <c r="F56" s="7">
        <f t="shared" si="3"/>
        <v>0.55953660663054972</v>
      </c>
      <c r="G56" s="7">
        <f t="shared" si="3"/>
        <v>1.2611362913937061</v>
      </c>
      <c r="H56" s="7">
        <f t="shared" si="3"/>
        <v>2.0876757099859611</v>
      </c>
      <c r="I56" s="7">
        <f t="shared" si="3"/>
        <v>0.18047316417356765</v>
      </c>
      <c r="J56" s="7">
        <f t="shared" si="3"/>
        <v>0.12580410360235189</v>
      </c>
      <c r="K56" s="7">
        <f t="shared" si="3"/>
        <v>0.19316269500175312</v>
      </c>
      <c r="L56" s="7">
        <f t="shared" si="3"/>
        <v>0.41264715024110665</v>
      </c>
      <c r="M56" s="7">
        <f t="shared" si="3"/>
        <v>1.0613784513361271</v>
      </c>
      <c r="N56" s="7"/>
      <c r="O56" s="7">
        <f t="shared" si="3"/>
        <v>1.0201445992977629</v>
      </c>
      <c r="P56" s="7">
        <f t="shared" si="3"/>
        <v>1.4797886152756921</v>
      </c>
      <c r="Q56" s="7">
        <f t="shared" si="3"/>
        <v>0.12646172416157422</v>
      </c>
      <c r="R56" s="7">
        <f t="shared" si="3"/>
        <v>1.295990443584083</v>
      </c>
      <c r="S56" s="7">
        <f t="shared" si="3"/>
        <v>1.6188687674245983</v>
      </c>
      <c r="T56" s="7">
        <f t="shared" si="3"/>
        <v>1.6671982011063793</v>
      </c>
      <c r="U56" s="7">
        <f t="shared" si="3"/>
        <v>1.5739308181352347</v>
      </c>
      <c r="V56" s="7">
        <f t="shared" si="3"/>
        <v>1.6757802174923313</v>
      </c>
      <c r="W56" s="7" t="e">
        <f t="shared" si="3"/>
        <v>#DIV/0!</v>
      </c>
      <c r="X56" s="7" t="e">
        <f t="shared" si="3"/>
        <v>#DIV/0!</v>
      </c>
      <c r="Y56" s="7" t="e">
        <f t="shared" si="3"/>
        <v>#DIV/0!</v>
      </c>
      <c r="Z56" s="7" t="e">
        <f t="shared" si="3"/>
        <v>#DIV/0!</v>
      </c>
      <c r="AA56" s="7" t="e">
        <f t="shared" si="3"/>
        <v>#DIV/0!</v>
      </c>
      <c r="AB56" s="7" t="e">
        <f t="shared" si="3"/>
        <v>#DIV/0!</v>
      </c>
      <c r="AC56" s="7" t="e">
        <f t="shared" si="3"/>
        <v>#DIV/0!</v>
      </c>
      <c r="AD56" s="7" t="e">
        <f t="shared" si="3"/>
        <v>#DIV/0!</v>
      </c>
      <c r="AE56" s="7" t="e">
        <f t="shared" si="3"/>
        <v>#DIV/0!</v>
      </c>
      <c r="AF56" s="7" t="e">
        <f t="shared" si="3"/>
        <v>#DIV/0!</v>
      </c>
      <c r="AG56" s="7" t="e">
        <f t="shared" si="3"/>
        <v>#DIV/0!</v>
      </c>
      <c r="AH56" s="7" t="e">
        <f t="shared" si="3"/>
        <v>#DIV/0!</v>
      </c>
      <c r="AI56" s="7" t="e">
        <f t="shared" si="3"/>
        <v>#DIV/0!</v>
      </c>
      <c r="AJ56" s="7" t="e">
        <f t="shared" si="3"/>
        <v>#DIV/0!</v>
      </c>
      <c r="AK56" s="7" t="e">
        <f>AVERAGE(AK6:AK53)</f>
        <v>#DIV/0!</v>
      </c>
    </row>
    <row r="57" spans="1:53" x14ac:dyDescent="0.25">
      <c r="A57" t="s">
        <v>1</v>
      </c>
      <c r="B57" s="2">
        <f>STDEV(B6:B53)</f>
        <v>7.7368698648488499E-2</v>
      </c>
      <c r="C57" s="2">
        <f t="shared" ref="C57:AK57" si="4">STDEV(C6:C53)</f>
        <v>9.2443138000227049E-2</v>
      </c>
      <c r="D57" s="2">
        <f t="shared" si="4"/>
        <v>7.4817608924648477E-2</v>
      </c>
      <c r="E57" s="2">
        <f t="shared" si="4"/>
        <v>0.14253261194006139</v>
      </c>
      <c r="F57" s="2">
        <f t="shared" si="4"/>
        <v>0.39493637687891153</v>
      </c>
      <c r="G57" s="2">
        <f t="shared" si="4"/>
        <v>0.54318958468834178</v>
      </c>
      <c r="H57" s="2">
        <f t="shared" si="4"/>
        <v>0.5014647808640752</v>
      </c>
      <c r="I57" s="2">
        <f t="shared" si="4"/>
        <v>0.18758084041701995</v>
      </c>
      <c r="J57" s="2">
        <f t="shared" si="4"/>
        <v>9.9317860743152242E-2</v>
      </c>
      <c r="K57" s="2">
        <f t="shared" si="4"/>
        <v>0.12098530026094714</v>
      </c>
      <c r="L57" s="2">
        <f t="shared" si="4"/>
        <v>0.26523933130666355</v>
      </c>
      <c r="M57" s="2">
        <f t="shared" si="4"/>
        <v>0.57456167988005791</v>
      </c>
      <c r="N57" s="2"/>
      <c r="O57" s="2">
        <f t="shared" si="4"/>
        <v>0.35573296189881864</v>
      </c>
      <c r="P57" s="2">
        <f t="shared" si="4"/>
        <v>0.55662255166665631</v>
      </c>
      <c r="Q57" s="2">
        <f t="shared" si="4"/>
        <v>0.12659627214723163</v>
      </c>
      <c r="R57" s="2">
        <f t="shared" si="4"/>
        <v>0.43599907749263139</v>
      </c>
      <c r="S57" s="2">
        <f t="shared" si="4"/>
        <v>0.6236333189424168</v>
      </c>
      <c r="T57" s="2">
        <f t="shared" si="4"/>
        <v>0.60310228345986305</v>
      </c>
      <c r="U57" s="2">
        <f t="shared" si="4"/>
        <v>0.5623870208666053</v>
      </c>
      <c r="V57" s="2">
        <f t="shared" si="4"/>
        <v>0.5691429813618808</v>
      </c>
      <c r="W57" s="2" t="e">
        <f t="shared" si="4"/>
        <v>#DIV/0!</v>
      </c>
      <c r="X57" s="2" t="e">
        <f t="shared" si="4"/>
        <v>#DIV/0!</v>
      </c>
      <c r="Y57" s="2" t="e">
        <f t="shared" si="4"/>
        <v>#DIV/0!</v>
      </c>
      <c r="Z57" s="2" t="e">
        <f t="shared" si="4"/>
        <v>#DIV/0!</v>
      </c>
      <c r="AA57" s="2" t="e">
        <f t="shared" si="4"/>
        <v>#DIV/0!</v>
      </c>
      <c r="AB57" s="2" t="e">
        <f t="shared" si="4"/>
        <v>#DIV/0!</v>
      </c>
      <c r="AC57" s="2" t="e">
        <f t="shared" si="4"/>
        <v>#DIV/0!</v>
      </c>
      <c r="AD57" s="2" t="e">
        <f t="shared" si="4"/>
        <v>#DIV/0!</v>
      </c>
      <c r="AE57" s="2" t="e">
        <f t="shared" si="4"/>
        <v>#DIV/0!</v>
      </c>
      <c r="AF57" s="2" t="e">
        <f t="shared" si="4"/>
        <v>#DIV/0!</v>
      </c>
      <c r="AG57" s="2" t="e">
        <f t="shared" si="4"/>
        <v>#DIV/0!</v>
      </c>
      <c r="AH57" s="2" t="e">
        <f t="shared" si="4"/>
        <v>#DIV/0!</v>
      </c>
      <c r="AI57" s="2" t="e">
        <f t="shared" si="4"/>
        <v>#DIV/0!</v>
      </c>
      <c r="AJ57" s="2" t="e">
        <f t="shared" si="4"/>
        <v>#DIV/0!</v>
      </c>
      <c r="AK57" s="2" t="e">
        <f t="shared" si="4"/>
        <v>#DIV/0!</v>
      </c>
      <c r="AL57" s="2"/>
      <c r="AM57" s="2"/>
    </row>
    <row r="58" spans="1:53" x14ac:dyDescent="0.25">
      <c r="A58" t="s">
        <v>2</v>
      </c>
      <c r="B58" s="2">
        <f xml:space="preserve"> B57/SQRT(COUNT(B6:B53))</f>
        <v>1.579281947932961E-2</v>
      </c>
      <c r="C58" s="2">
        <f t="shared" ref="C58:AK58" si="5" xml:space="preserve"> C57/SQRT(COUNT(C6:C53))</f>
        <v>1.9275726753714646E-2</v>
      </c>
      <c r="D58" s="2">
        <f t="shared" si="5"/>
        <v>1.5951167818748967E-2</v>
      </c>
      <c r="E58" s="2">
        <f t="shared" si="5"/>
        <v>3.0388054969657321E-2</v>
      </c>
      <c r="F58" s="2">
        <f t="shared" si="5"/>
        <v>8.0616050351403776E-2</v>
      </c>
      <c r="G58" s="2">
        <f t="shared" si="5"/>
        <v>0.11326285797319538</v>
      </c>
      <c r="H58" s="2">
        <f t="shared" si="5"/>
        <v>0.1023610697577972</v>
      </c>
      <c r="I58" s="2">
        <f t="shared" si="5"/>
        <v>3.828977871201155E-2</v>
      </c>
      <c r="J58" s="2">
        <f t="shared" si="5"/>
        <v>2.0709205538260538E-2</v>
      </c>
      <c r="K58" s="2">
        <f t="shared" si="5"/>
        <v>2.522717899343065E-2</v>
      </c>
      <c r="L58" s="2">
        <f t="shared" si="5"/>
        <v>5.4141751784861795E-2</v>
      </c>
      <c r="M58" s="2">
        <f t="shared" si="5"/>
        <v>0.13181348944358626</v>
      </c>
      <c r="N58" s="2"/>
      <c r="O58" s="2">
        <f t="shared" si="5"/>
        <v>5.1345630327976462E-2</v>
      </c>
      <c r="P58" s="2">
        <f t="shared" si="5"/>
        <v>0.11362010257577286</v>
      </c>
      <c r="Q58" s="2">
        <f t="shared" si="5"/>
        <v>2.5841355841602635E-2</v>
      </c>
      <c r="R58" s="2">
        <f t="shared" si="5"/>
        <v>8.8997939015094063E-2</v>
      </c>
      <c r="S58" s="2">
        <f t="shared" si="5"/>
        <v>0.12729861816727336</v>
      </c>
      <c r="T58" s="2">
        <f t="shared" si="5"/>
        <v>0.12310773809867062</v>
      </c>
      <c r="U58" s="2">
        <f t="shared" si="5"/>
        <v>0.11479676992392825</v>
      </c>
      <c r="V58" s="2">
        <f t="shared" si="5"/>
        <v>0.11617582458524706</v>
      </c>
      <c r="W58" s="2" t="e">
        <f t="shared" si="5"/>
        <v>#DIV/0!</v>
      </c>
      <c r="X58" s="2" t="e">
        <f t="shared" si="5"/>
        <v>#DIV/0!</v>
      </c>
      <c r="Y58" s="2" t="e">
        <f t="shared" si="5"/>
        <v>#DIV/0!</v>
      </c>
      <c r="Z58" s="2" t="e">
        <f t="shared" si="5"/>
        <v>#DIV/0!</v>
      </c>
      <c r="AA58" s="2" t="e">
        <f t="shared" si="5"/>
        <v>#DIV/0!</v>
      </c>
      <c r="AB58" s="2" t="e">
        <f t="shared" si="5"/>
        <v>#DIV/0!</v>
      </c>
      <c r="AC58" s="2" t="e">
        <f t="shared" si="5"/>
        <v>#DIV/0!</v>
      </c>
      <c r="AD58" s="2" t="e">
        <f t="shared" si="5"/>
        <v>#DIV/0!</v>
      </c>
      <c r="AE58" s="2" t="e">
        <f t="shared" si="5"/>
        <v>#DIV/0!</v>
      </c>
      <c r="AF58" s="2" t="e">
        <f t="shared" si="5"/>
        <v>#DIV/0!</v>
      </c>
      <c r="AG58" s="2" t="e">
        <f t="shared" si="5"/>
        <v>#DIV/0!</v>
      </c>
      <c r="AH58" s="2" t="e">
        <f t="shared" si="5"/>
        <v>#DIV/0!</v>
      </c>
      <c r="AI58" s="2" t="e">
        <f t="shared" si="5"/>
        <v>#DIV/0!</v>
      </c>
      <c r="AJ58" s="2" t="e">
        <f t="shared" si="5"/>
        <v>#DIV/0!</v>
      </c>
      <c r="AK58" s="2" t="e">
        <f t="shared" si="5"/>
        <v>#DIV/0!</v>
      </c>
      <c r="AL58" s="2"/>
      <c r="AM58" s="2"/>
    </row>
    <row r="59" spans="1:53" ht="15.75" thickBot="1" x14ac:dyDescent="0.3">
      <c r="B59" s="2"/>
      <c r="C59" s="2"/>
      <c r="D59" s="2"/>
      <c r="E59" s="2"/>
      <c r="F59" s="2"/>
      <c r="G59" s="2"/>
      <c r="H59" s="2"/>
      <c r="I59" s="2"/>
      <c r="J59" s="2"/>
      <c r="K59" s="2"/>
      <c r="L59" s="2"/>
      <c r="M59" s="2"/>
      <c r="N59" s="2"/>
      <c r="O59" s="2"/>
      <c r="P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row>
    <row r="60" spans="1:53" s="31" customFormat="1" ht="27" thickBot="1" x14ac:dyDescent="0.3">
      <c r="A60" s="203" t="s">
        <v>46</v>
      </c>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5"/>
    </row>
    <row r="61" spans="1:53" x14ac:dyDescent="0.25">
      <c r="B61" s="2"/>
      <c r="C61" s="2"/>
      <c r="D61" s="2"/>
      <c r="E61" s="2"/>
      <c r="F61" s="2"/>
      <c r="G61" s="2"/>
      <c r="H61" s="2"/>
      <c r="I61" s="2"/>
      <c r="J61" s="2"/>
      <c r="K61" s="2"/>
      <c r="L61" s="2"/>
      <c r="M61" s="2"/>
      <c r="N61" s="2"/>
      <c r="O61" s="2"/>
      <c r="P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row>
    <row r="62" spans="1:53" x14ac:dyDescent="0.25">
      <c r="A62" t="s">
        <v>47</v>
      </c>
      <c r="B62" s="2" t="str">
        <f t="shared" ref="B62" si="6">B4</f>
        <v>Témoin solvant</v>
      </c>
      <c r="C62" s="2" t="str">
        <f t="shared" ref="C62:M62" si="7">C4</f>
        <v>EE2-33,8ng/L</v>
      </c>
      <c r="D62" s="2" t="str">
        <f t="shared" si="7"/>
        <v>EE2-50,6ng/L</v>
      </c>
      <c r="E62" s="2" t="str">
        <f t="shared" si="7"/>
        <v>EE2-76ng/L</v>
      </c>
      <c r="F62" s="2" t="str">
        <f t="shared" si="7"/>
        <v>EE2-114ng/L</v>
      </c>
      <c r="G62" s="2" t="str">
        <f t="shared" si="7"/>
        <v>EE2-170,9ng/L</v>
      </c>
      <c r="H62" s="2" t="str">
        <f t="shared" si="7"/>
        <v>EE2-488ng/L</v>
      </c>
      <c r="I62" s="2" t="str">
        <f t="shared" si="7"/>
        <v>Triphénylphosphate-0,18mg/L</v>
      </c>
      <c r="J62" s="2" t="str">
        <f t="shared" si="7"/>
        <v>Triphénylphosphate-0,26mg/L</v>
      </c>
      <c r="K62" s="2" t="str">
        <f t="shared" si="7"/>
        <v>Triphénylphosphate-0,4mg/L</v>
      </c>
      <c r="L62" s="2" t="str">
        <f t="shared" si="7"/>
        <v>Triphénylphosphate-0,59mg/L</v>
      </c>
      <c r="M62" s="2" t="str">
        <f t="shared" si="7"/>
        <v>Triphénylphosphate-0,89mg/L</v>
      </c>
      <c r="N62" s="2" t="e">
        <f>#REF!</f>
        <v>#REF!</v>
      </c>
      <c r="O62" s="2"/>
      <c r="P62" s="2" t="str">
        <f t="shared" ref="P62:AL62" si="8">O4</f>
        <v>Testo -30µg/L</v>
      </c>
      <c r="Q62" s="2" t="str">
        <f t="shared" si="8"/>
        <v>Testo 30µg/L + EE2 -64ng/L</v>
      </c>
      <c r="R62" s="2" t="str">
        <f t="shared" si="8"/>
        <v>Testo 30µg/L + FAD-10mg/L</v>
      </c>
      <c r="S62" s="2" t="str">
        <f t="shared" si="8"/>
        <v>Triphénylphosphate-0,18mg/L + Testostérone</v>
      </c>
      <c r="T62" s="2" t="str">
        <f t="shared" si="8"/>
        <v>Triphénylphosphate-0,26mg/L + Testostérone</v>
      </c>
      <c r="U62" s="2" t="str">
        <f t="shared" si="8"/>
        <v>Triphénylphosphate-0,4mg/L + Testostérone</v>
      </c>
      <c r="V62" s="2" t="str">
        <f t="shared" si="8"/>
        <v>Triphénylphosphate-0,59mg/L + Testostérone</v>
      </c>
      <c r="W62" s="2" t="str">
        <f t="shared" si="8"/>
        <v>Triphénylphosphate-0,89mg/L + Testostérone</v>
      </c>
      <c r="X62" s="2" t="str">
        <f t="shared" si="8"/>
        <v>0-00 + Testostérone</v>
      </c>
      <c r="Y62" s="2" t="str">
        <f t="shared" si="8"/>
        <v>0-00 + Testostérone</v>
      </c>
      <c r="Z62" s="2" t="str">
        <f t="shared" si="8"/>
        <v>0-00 + Testostérone</v>
      </c>
      <c r="AA62" s="2" t="str">
        <f t="shared" si="8"/>
        <v>0-00 + Testostérone</v>
      </c>
      <c r="AB62" s="2" t="str">
        <f t="shared" si="8"/>
        <v>0-00 + Testostérone</v>
      </c>
      <c r="AC62" s="2">
        <f t="shared" si="8"/>
        <v>0</v>
      </c>
      <c r="AD62" s="2">
        <f t="shared" si="8"/>
        <v>0</v>
      </c>
      <c r="AE62" s="2">
        <f t="shared" si="8"/>
        <v>0</v>
      </c>
      <c r="AF62" s="2">
        <f t="shared" si="8"/>
        <v>0</v>
      </c>
      <c r="AG62" s="2">
        <f t="shared" si="8"/>
        <v>0</v>
      </c>
      <c r="AH62" s="2">
        <f t="shared" si="8"/>
        <v>0</v>
      </c>
      <c r="AI62" s="2">
        <f t="shared" si="8"/>
        <v>0</v>
      </c>
      <c r="AJ62" s="2">
        <f t="shared" si="8"/>
        <v>0</v>
      </c>
      <c r="AK62" s="2">
        <f t="shared" si="8"/>
        <v>0</v>
      </c>
      <c r="AL62" s="2">
        <f t="shared" si="8"/>
        <v>0</v>
      </c>
    </row>
    <row r="63" spans="1:53" x14ac:dyDescent="0.25">
      <c r="A63" t="s">
        <v>49</v>
      </c>
      <c r="B63" s="2">
        <f>COUNT(B6:B53)</f>
        <v>24</v>
      </c>
      <c r="C63" s="2">
        <f t="shared" ref="C63:M63" si="9">COUNT(C6:C53)</f>
        <v>23</v>
      </c>
      <c r="D63" s="2">
        <f t="shared" si="9"/>
        <v>22</v>
      </c>
      <c r="E63" s="2">
        <f t="shared" si="9"/>
        <v>22</v>
      </c>
      <c r="F63" s="2">
        <f t="shared" si="9"/>
        <v>24</v>
      </c>
      <c r="G63" s="2">
        <f t="shared" si="9"/>
        <v>23</v>
      </c>
      <c r="H63" s="2">
        <f t="shared" si="9"/>
        <v>24</v>
      </c>
      <c r="I63" s="2">
        <f t="shared" si="9"/>
        <v>24</v>
      </c>
      <c r="J63" s="2">
        <f t="shared" si="9"/>
        <v>23</v>
      </c>
      <c r="K63" s="2">
        <f t="shared" si="9"/>
        <v>23</v>
      </c>
      <c r="L63" s="2">
        <f t="shared" si="9"/>
        <v>24</v>
      </c>
      <c r="M63" s="2">
        <f t="shared" si="9"/>
        <v>19</v>
      </c>
      <c r="N63" s="2">
        <f>COUNT(#REF!)</f>
        <v>0</v>
      </c>
      <c r="O63" s="2"/>
      <c r="P63" s="2">
        <f t="shared" ref="P63:AL63" si="10">COUNT(O6:O53)</f>
        <v>48</v>
      </c>
      <c r="Q63" s="2">
        <f t="shared" si="10"/>
        <v>24</v>
      </c>
      <c r="R63" s="2">
        <f t="shared" si="10"/>
        <v>24</v>
      </c>
      <c r="S63" s="2">
        <f t="shared" si="10"/>
        <v>24</v>
      </c>
      <c r="T63" s="2">
        <f t="shared" si="10"/>
        <v>24</v>
      </c>
      <c r="U63" s="2">
        <f t="shared" si="10"/>
        <v>24</v>
      </c>
      <c r="V63" s="2">
        <f t="shared" si="10"/>
        <v>24</v>
      </c>
      <c r="W63" s="2">
        <f t="shared" si="10"/>
        <v>24</v>
      </c>
      <c r="X63" s="2">
        <f t="shared" si="10"/>
        <v>0</v>
      </c>
      <c r="Y63" s="2">
        <f t="shared" si="10"/>
        <v>0</v>
      </c>
      <c r="Z63" s="2">
        <f t="shared" si="10"/>
        <v>0</v>
      </c>
      <c r="AA63" s="2">
        <f t="shared" si="10"/>
        <v>0</v>
      </c>
      <c r="AB63" s="2">
        <f t="shared" si="10"/>
        <v>0</v>
      </c>
      <c r="AC63" s="2">
        <f t="shared" si="10"/>
        <v>0</v>
      </c>
      <c r="AD63" s="2">
        <f t="shared" si="10"/>
        <v>0</v>
      </c>
      <c r="AE63" s="2">
        <f t="shared" si="10"/>
        <v>0</v>
      </c>
      <c r="AF63" s="2">
        <f t="shared" si="10"/>
        <v>0</v>
      </c>
      <c r="AG63" s="2">
        <f t="shared" si="10"/>
        <v>0</v>
      </c>
      <c r="AH63" s="2">
        <f t="shared" si="10"/>
        <v>0</v>
      </c>
      <c r="AI63" s="2">
        <f t="shared" si="10"/>
        <v>0</v>
      </c>
      <c r="AJ63" s="2">
        <f t="shared" si="10"/>
        <v>0</v>
      </c>
      <c r="AK63" s="2">
        <f t="shared" si="10"/>
        <v>0</v>
      </c>
      <c r="AL63" s="2">
        <f t="shared" si="10"/>
        <v>0</v>
      </c>
    </row>
    <row r="64" spans="1:53" ht="15.75" thickBot="1" x14ac:dyDescent="0.3">
      <c r="B64" s="2" t="str">
        <f>IF(B63&gt;=21,"OK","ATTENTION")</f>
        <v>OK</v>
      </c>
      <c r="C64" s="2" t="str">
        <f t="shared" ref="C64:AL64" si="11">IF(C63&gt;=21,"OK","ATTENTION")</f>
        <v>OK</v>
      </c>
      <c r="D64" s="2" t="str">
        <f t="shared" si="11"/>
        <v>OK</v>
      </c>
      <c r="E64" s="2" t="str">
        <f t="shared" si="11"/>
        <v>OK</v>
      </c>
      <c r="F64" s="2" t="str">
        <f t="shared" si="11"/>
        <v>OK</v>
      </c>
      <c r="G64" s="2" t="str">
        <f t="shared" si="11"/>
        <v>OK</v>
      </c>
      <c r="H64" s="2" t="str">
        <f t="shared" si="11"/>
        <v>OK</v>
      </c>
      <c r="I64" s="2" t="str">
        <f t="shared" si="11"/>
        <v>OK</v>
      </c>
      <c r="J64" s="2" t="str">
        <f t="shared" si="11"/>
        <v>OK</v>
      </c>
      <c r="K64" s="2" t="str">
        <f t="shared" si="11"/>
        <v>OK</v>
      </c>
      <c r="L64" s="2" t="str">
        <f t="shared" si="11"/>
        <v>OK</v>
      </c>
      <c r="M64" s="2" t="str">
        <f t="shared" si="11"/>
        <v>ATTENTION</v>
      </c>
      <c r="N64" s="2" t="str">
        <f t="shared" si="11"/>
        <v>ATTENTION</v>
      </c>
      <c r="O64" s="2"/>
      <c r="P64" s="2" t="str">
        <f>IF(P63&gt;=41,"OK","ATTENTION")</f>
        <v>OK</v>
      </c>
      <c r="Q64" s="2" t="str">
        <f t="shared" si="11"/>
        <v>OK</v>
      </c>
      <c r="R64" s="2" t="str">
        <f t="shared" si="11"/>
        <v>OK</v>
      </c>
      <c r="S64" s="2" t="str">
        <f t="shared" si="11"/>
        <v>OK</v>
      </c>
      <c r="T64" s="2" t="str">
        <f t="shared" si="11"/>
        <v>OK</v>
      </c>
      <c r="U64" s="2" t="str">
        <f t="shared" si="11"/>
        <v>OK</v>
      </c>
      <c r="V64" s="2" t="str">
        <f t="shared" si="11"/>
        <v>OK</v>
      </c>
      <c r="W64" s="2" t="str">
        <f t="shared" si="11"/>
        <v>OK</v>
      </c>
      <c r="X64" s="2" t="str">
        <f t="shared" si="11"/>
        <v>ATTENTION</v>
      </c>
      <c r="Y64" s="2" t="str">
        <f t="shared" si="11"/>
        <v>ATTENTION</v>
      </c>
      <c r="Z64" s="2" t="str">
        <f t="shared" si="11"/>
        <v>ATTENTION</v>
      </c>
      <c r="AA64" s="2" t="str">
        <f t="shared" si="11"/>
        <v>ATTENTION</v>
      </c>
      <c r="AB64" s="2" t="str">
        <f t="shared" si="11"/>
        <v>ATTENTION</v>
      </c>
      <c r="AC64" s="2" t="str">
        <f t="shared" si="11"/>
        <v>ATTENTION</v>
      </c>
      <c r="AD64" s="2" t="str">
        <f t="shared" si="11"/>
        <v>ATTENTION</v>
      </c>
      <c r="AE64" s="2" t="str">
        <f t="shared" si="11"/>
        <v>ATTENTION</v>
      </c>
      <c r="AF64" s="2" t="str">
        <f t="shared" si="11"/>
        <v>ATTENTION</v>
      </c>
      <c r="AG64" s="2" t="str">
        <f t="shared" si="11"/>
        <v>ATTENTION</v>
      </c>
      <c r="AH64" s="2" t="str">
        <f t="shared" si="11"/>
        <v>ATTENTION</v>
      </c>
      <c r="AI64" s="2" t="str">
        <f t="shared" si="11"/>
        <v>ATTENTION</v>
      </c>
      <c r="AJ64" s="2" t="str">
        <f t="shared" si="11"/>
        <v>ATTENTION</v>
      </c>
      <c r="AK64" s="2" t="str">
        <f t="shared" si="11"/>
        <v>ATTENTION</v>
      </c>
      <c r="AL64" s="2" t="str">
        <f t="shared" si="11"/>
        <v>ATTENTION</v>
      </c>
    </row>
    <row r="65" spans="1:53" s="31" customFormat="1" ht="27" thickBot="1" x14ac:dyDescent="0.3">
      <c r="A65" s="203" t="s">
        <v>58</v>
      </c>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5"/>
    </row>
    <row r="66" spans="1:53" x14ac:dyDescent="0.25">
      <c r="B66" t="s">
        <v>61</v>
      </c>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row>
    <row r="67" spans="1:53" x14ac:dyDescent="0.25">
      <c r="A67" t="s">
        <v>59</v>
      </c>
      <c r="B67" s="2">
        <v>3.5</v>
      </c>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row>
    <row r="68" spans="1:53" x14ac:dyDescent="0.25">
      <c r="A68" t="s">
        <v>62</v>
      </c>
      <c r="B68" s="2">
        <v>2</v>
      </c>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row>
    <row r="69" spans="1:53" ht="15.75" thickBot="1" x14ac:dyDescent="0.3">
      <c r="A69" t="s">
        <v>63</v>
      </c>
      <c r="B69" s="2">
        <v>0.5</v>
      </c>
      <c r="C69" s="2"/>
      <c r="D69" s="2"/>
      <c r="E69" s="2"/>
      <c r="F69" s="2"/>
      <c r="G69" s="2"/>
      <c r="H69" s="2"/>
      <c r="I69" s="2"/>
      <c r="J69" s="2"/>
      <c r="K69" s="2"/>
      <c r="L69" s="2"/>
      <c r="M69" s="2"/>
      <c r="N69" s="2"/>
      <c r="O69" s="2"/>
      <c r="P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row>
    <row r="70" spans="1:53" s="31" customFormat="1" ht="27" thickBot="1" x14ac:dyDescent="0.3">
      <c r="A70" s="203" t="s">
        <v>53</v>
      </c>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5"/>
    </row>
    <row r="71" spans="1:53" ht="15.75" thickBot="1" x14ac:dyDescent="0.3"/>
    <row r="72" spans="1:53" s="31" customFormat="1" ht="27" thickBot="1" x14ac:dyDescent="0.3">
      <c r="A72" s="203" t="s">
        <v>54</v>
      </c>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5"/>
    </row>
    <row r="73" spans="1:53" ht="15.75" thickBot="1" x14ac:dyDescent="0.3">
      <c r="J73" s="2">
        <v>1</v>
      </c>
      <c r="K73" s="2">
        <v>2</v>
      </c>
      <c r="L73" s="2">
        <v>3</v>
      </c>
      <c r="M73" s="2">
        <v>4</v>
      </c>
      <c r="N73" s="2">
        <v>5</v>
      </c>
      <c r="O73" s="2">
        <v>1</v>
      </c>
      <c r="P73" s="2">
        <v>2</v>
      </c>
      <c r="Q73" s="2">
        <v>3</v>
      </c>
      <c r="R73" s="2">
        <v>4</v>
      </c>
      <c r="S73" s="2">
        <v>5</v>
      </c>
      <c r="T73" s="2">
        <v>1</v>
      </c>
      <c r="U73" s="2">
        <v>2</v>
      </c>
      <c r="V73" s="2">
        <v>3</v>
      </c>
      <c r="W73" s="2">
        <v>4</v>
      </c>
      <c r="X73" s="2">
        <v>5</v>
      </c>
      <c r="Y73" s="2">
        <v>1</v>
      </c>
      <c r="Z73" s="2">
        <v>2</v>
      </c>
      <c r="AA73" s="2">
        <v>3</v>
      </c>
      <c r="AB73" s="2">
        <v>4</v>
      </c>
      <c r="AC73" s="2">
        <v>5</v>
      </c>
      <c r="AH73" s="2">
        <v>1</v>
      </c>
      <c r="AI73" s="2">
        <v>2</v>
      </c>
      <c r="AJ73" s="2">
        <v>3</v>
      </c>
      <c r="AK73" s="2">
        <v>4</v>
      </c>
      <c r="AL73" s="2">
        <v>5</v>
      </c>
      <c r="AM73" s="2">
        <v>1</v>
      </c>
      <c r="AN73" s="2">
        <v>2</v>
      </c>
      <c r="AO73" s="2">
        <v>3</v>
      </c>
      <c r="AP73" s="2">
        <v>4</v>
      </c>
      <c r="AQ73" s="2">
        <v>5</v>
      </c>
      <c r="AR73" s="2">
        <v>1</v>
      </c>
      <c r="AS73" s="2">
        <v>2</v>
      </c>
      <c r="AT73" s="2">
        <v>3</v>
      </c>
      <c r="AU73" s="2">
        <v>4</v>
      </c>
      <c r="AV73" s="2">
        <v>5</v>
      </c>
      <c r="AW73" s="2">
        <v>1</v>
      </c>
      <c r="AX73" s="2">
        <v>2</v>
      </c>
      <c r="AY73" s="2">
        <v>3</v>
      </c>
      <c r="AZ73" s="2">
        <v>4</v>
      </c>
      <c r="BA73" s="2">
        <v>5</v>
      </c>
    </row>
    <row r="74" spans="1:53" x14ac:dyDescent="0.25">
      <c r="A74" s="27" t="s">
        <v>41</v>
      </c>
      <c r="B74" s="28" t="str">
        <f t="shared" ref="B74:M74" si="12">B4</f>
        <v>Témoin solvant</v>
      </c>
      <c r="C74" s="28" t="str">
        <f t="shared" si="12"/>
        <v>EE2-33,8ng/L</v>
      </c>
      <c r="D74" s="28" t="str">
        <f t="shared" si="12"/>
        <v>EE2-50,6ng/L</v>
      </c>
      <c r="E74" s="28" t="str">
        <f t="shared" si="12"/>
        <v>EE2-76ng/L</v>
      </c>
      <c r="F74" s="28" t="str">
        <f t="shared" si="12"/>
        <v>EE2-114ng/L</v>
      </c>
      <c r="G74" s="28" t="str">
        <f t="shared" si="12"/>
        <v>EE2-170,9ng/L</v>
      </c>
      <c r="H74" s="28" t="str">
        <f t="shared" si="12"/>
        <v>EE2-488ng/L</v>
      </c>
      <c r="I74" s="28" t="str">
        <f t="shared" si="12"/>
        <v>Triphénylphosphate-0,18mg/L</v>
      </c>
      <c r="J74" s="28" t="str">
        <f t="shared" si="12"/>
        <v>Triphénylphosphate-0,26mg/L</v>
      </c>
      <c r="K74" s="28" t="str">
        <f t="shared" si="12"/>
        <v>Triphénylphosphate-0,4mg/L</v>
      </c>
      <c r="L74" s="28" t="str">
        <f t="shared" si="12"/>
        <v>Triphénylphosphate-0,59mg/L</v>
      </c>
      <c r="M74" s="28" t="str">
        <f t="shared" si="12"/>
        <v>Triphénylphosphate-0,89mg/L</v>
      </c>
      <c r="N74" s="28"/>
      <c r="O74" s="28" t="str">
        <f t="shared" ref="O74:V74" si="13">O4</f>
        <v>Testo -30µg/L</v>
      </c>
      <c r="P74" s="28" t="str">
        <f t="shared" si="13"/>
        <v>Testo 30µg/L + EE2 -64ng/L</v>
      </c>
      <c r="Q74" s="28" t="str">
        <f t="shared" si="13"/>
        <v>Testo 30µg/L + FAD-10mg/L</v>
      </c>
      <c r="R74" s="28" t="str">
        <f t="shared" si="13"/>
        <v>Triphénylphosphate-0,18mg/L + Testostérone</v>
      </c>
      <c r="S74" s="28" t="str">
        <f t="shared" si="13"/>
        <v>Triphénylphosphate-0,26mg/L + Testostérone</v>
      </c>
      <c r="T74" s="28" t="str">
        <f t="shared" si="13"/>
        <v>Triphénylphosphate-0,4mg/L + Testostérone</v>
      </c>
      <c r="U74" s="28" t="str">
        <f t="shared" si="13"/>
        <v>Triphénylphosphate-0,59mg/L + Testostérone</v>
      </c>
      <c r="V74" s="28" t="str">
        <f t="shared" si="13"/>
        <v>Triphénylphosphate-0,89mg/L + Testostérone</v>
      </c>
      <c r="W74" s="28"/>
      <c r="X74" s="28"/>
      <c r="Y74" s="28"/>
      <c r="Z74" s="28"/>
      <c r="AA74" s="28"/>
      <c r="AB74" s="28"/>
      <c r="AC74" s="28"/>
      <c r="AD74" s="28"/>
      <c r="AE74" s="28"/>
      <c r="AF74" s="28"/>
      <c r="AG74" s="28"/>
      <c r="AH74" s="28"/>
      <c r="AI74" s="28"/>
      <c r="AJ74" s="28"/>
      <c r="AK74" s="28"/>
    </row>
    <row r="75" spans="1:53" s="2" customFormat="1" x14ac:dyDescent="0.25">
      <c r="A75" s="45" t="s">
        <v>32</v>
      </c>
      <c r="B75" s="117">
        <f>B56</f>
        <v>0.11600485275828015</v>
      </c>
      <c r="C75" s="117">
        <f t="shared" ref="C75:M75" si="14">C56</f>
        <v>0.11686608890963675</v>
      </c>
      <c r="D75" s="117">
        <f t="shared" si="14"/>
        <v>0.11983302657629789</v>
      </c>
      <c r="E75" s="117">
        <f t="shared" si="14"/>
        <v>0.20428775416189354</v>
      </c>
      <c r="F75" s="117">
        <f t="shared" si="14"/>
        <v>0.55953660663054972</v>
      </c>
      <c r="G75" s="117">
        <f t="shared" si="14"/>
        <v>1.2611362913937061</v>
      </c>
      <c r="H75" s="117">
        <f t="shared" si="14"/>
        <v>2.0876757099859611</v>
      </c>
      <c r="I75" s="117">
        <f t="shared" si="14"/>
        <v>0.18047316417356765</v>
      </c>
      <c r="J75" s="117">
        <f t="shared" si="14"/>
        <v>0.12580410360235189</v>
      </c>
      <c r="K75" s="117">
        <f t="shared" si="14"/>
        <v>0.19316269500175312</v>
      </c>
      <c r="L75" s="117">
        <f t="shared" si="14"/>
        <v>0.41264715024110665</v>
      </c>
      <c r="M75" s="117">
        <f t="shared" si="14"/>
        <v>1.0613784513361271</v>
      </c>
      <c r="N75" s="117"/>
      <c r="O75" s="117">
        <f t="shared" ref="O75:V75" si="15">O56</f>
        <v>1.0201445992977629</v>
      </c>
      <c r="P75" s="117">
        <f t="shared" si="15"/>
        <v>1.4797886152756921</v>
      </c>
      <c r="Q75" s="117">
        <f t="shared" si="15"/>
        <v>0.12646172416157422</v>
      </c>
      <c r="R75" s="117">
        <f t="shared" si="15"/>
        <v>1.295990443584083</v>
      </c>
      <c r="S75" s="117">
        <f t="shared" si="15"/>
        <v>1.6188687674245983</v>
      </c>
      <c r="T75" s="117">
        <f t="shared" si="15"/>
        <v>1.6671982011063793</v>
      </c>
      <c r="U75" s="117">
        <f t="shared" si="15"/>
        <v>1.5739308181352347</v>
      </c>
      <c r="V75" s="117">
        <f t="shared" si="15"/>
        <v>1.6757802174923313</v>
      </c>
      <c r="W75" s="117"/>
      <c r="X75" s="117"/>
      <c r="Y75" s="117"/>
      <c r="Z75" s="117"/>
      <c r="AA75" s="117"/>
      <c r="AB75" s="117"/>
      <c r="AC75" s="117"/>
      <c r="AD75" s="117"/>
      <c r="AE75" s="117"/>
      <c r="AF75" s="117"/>
      <c r="AG75" s="117"/>
      <c r="AH75" s="117"/>
      <c r="AI75" s="117"/>
      <c r="AJ75" s="117"/>
      <c r="AK75" s="117"/>
    </row>
    <row r="76" spans="1:53" s="2" customFormat="1" x14ac:dyDescent="0.25">
      <c r="A76" s="45" t="s">
        <v>2</v>
      </c>
      <c r="B76" s="117">
        <f>B58</f>
        <v>1.579281947932961E-2</v>
      </c>
      <c r="C76" s="117">
        <f t="shared" ref="C76:M76" si="16">C58</f>
        <v>1.9275726753714646E-2</v>
      </c>
      <c r="D76" s="117">
        <f t="shared" si="16"/>
        <v>1.5951167818748967E-2</v>
      </c>
      <c r="E76" s="117">
        <f t="shared" si="16"/>
        <v>3.0388054969657321E-2</v>
      </c>
      <c r="F76" s="117">
        <f t="shared" si="16"/>
        <v>8.0616050351403776E-2</v>
      </c>
      <c r="G76" s="117">
        <f t="shared" si="16"/>
        <v>0.11326285797319538</v>
      </c>
      <c r="H76" s="117">
        <f t="shared" si="16"/>
        <v>0.1023610697577972</v>
      </c>
      <c r="I76" s="117">
        <f t="shared" si="16"/>
        <v>3.828977871201155E-2</v>
      </c>
      <c r="J76" s="117">
        <f t="shared" si="16"/>
        <v>2.0709205538260538E-2</v>
      </c>
      <c r="K76" s="117">
        <f t="shared" si="16"/>
        <v>2.522717899343065E-2</v>
      </c>
      <c r="L76" s="117">
        <f t="shared" si="16"/>
        <v>5.4141751784861795E-2</v>
      </c>
      <c r="M76" s="117">
        <f t="shared" si="16"/>
        <v>0.13181348944358626</v>
      </c>
      <c r="N76" s="117"/>
      <c r="O76" s="117">
        <f t="shared" ref="O76:V76" si="17">O58</f>
        <v>5.1345630327976462E-2</v>
      </c>
      <c r="P76" s="117">
        <f t="shared" si="17"/>
        <v>0.11362010257577286</v>
      </c>
      <c r="Q76" s="117">
        <f t="shared" si="17"/>
        <v>2.5841355841602635E-2</v>
      </c>
      <c r="R76" s="117">
        <f t="shared" si="17"/>
        <v>8.8997939015094063E-2</v>
      </c>
      <c r="S76" s="117">
        <f t="shared" si="17"/>
        <v>0.12729861816727336</v>
      </c>
      <c r="T76" s="117">
        <f t="shared" si="17"/>
        <v>0.12310773809867062</v>
      </c>
      <c r="U76" s="117">
        <f t="shared" si="17"/>
        <v>0.11479676992392825</v>
      </c>
      <c r="V76" s="117">
        <f t="shared" si="17"/>
        <v>0.11617582458524706</v>
      </c>
      <c r="W76" s="117"/>
      <c r="X76" s="117"/>
      <c r="Y76" s="117"/>
      <c r="Z76" s="117"/>
      <c r="AA76" s="117"/>
      <c r="AB76" s="117"/>
      <c r="AC76" s="117"/>
      <c r="AD76" s="117"/>
      <c r="AE76" s="117"/>
      <c r="AF76" s="117"/>
      <c r="AG76" s="117"/>
      <c r="AH76" s="117"/>
      <c r="AI76" s="117"/>
      <c r="AJ76" s="117"/>
      <c r="AK76" s="117"/>
    </row>
    <row r="77" spans="1:53" s="2" customFormat="1" x14ac:dyDescent="0.25">
      <c r="A77" s="45" t="s">
        <v>79</v>
      </c>
      <c r="B77" s="117">
        <f>(B75*100/$B$75)-100</f>
        <v>0</v>
      </c>
      <c r="C77" s="117">
        <f t="shared" ref="C77:M77" si="18">(C75*100/$B$75)-100</f>
        <v>0.74241389983154704</v>
      </c>
      <c r="D77" s="117">
        <f t="shared" si="18"/>
        <v>3.3000117900192691</v>
      </c>
      <c r="E77" s="117">
        <f t="shared" si="18"/>
        <v>76.102765793400778</v>
      </c>
      <c r="F77" s="117">
        <f t="shared" si="18"/>
        <v>382.33896541936804</v>
      </c>
      <c r="G77" s="117">
        <f t="shared" si="18"/>
        <v>987.14097850849521</v>
      </c>
      <c r="H77" s="117">
        <f t="shared" si="18"/>
        <v>1699.6451530661916</v>
      </c>
      <c r="I77" s="117">
        <f t="shared" si="18"/>
        <v>55.573805648993329</v>
      </c>
      <c r="J77" s="117">
        <f t="shared" si="18"/>
        <v>8.4472766535814543</v>
      </c>
      <c r="K77" s="117">
        <f t="shared" si="18"/>
        <v>66.512598748129221</v>
      </c>
      <c r="L77" s="117">
        <f t="shared" si="18"/>
        <v>255.71542088928072</v>
      </c>
      <c r="M77" s="117">
        <f t="shared" si="18"/>
        <v>814.94314772135112</v>
      </c>
      <c r="N77" s="117"/>
      <c r="O77" s="117">
        <f>(O75*100/$O$75)-100</f>
        <v>0</v>
      </c>
      <c r="P77" s="117">
        <f t="shared" ref="P77:V77" si="19">(P75*100/$O$75)-100</f>
        <v>45.056751395276137</v>
      </c>
      <c r="Q77" s="117">
        <f t="shared" si="19"/>
        <v>-87.603549119543771</v>
      </c>
      <c r="R77" s="117">
        <f t="shared" si="19"/>
        <v>27.039876942563239</v>
      </c>
      <c r="S77" s="117">
        <f t="shared" si="19"/>
        <v>58.69012770728574</v>
      </c>
      <c r="T77" s="117">
        <f t="shared" si="19"/>
        <v>63.427635871819433</v>
      </c>
      <c r="U77" s="117">
        <f t="shared" si="19"/>
        <v>54.285070882959303</v>
      </c>
      <c r="V77" s="117">
        <f t="shared" si="19"/>
        <v>64.268890767631206</v>
      </c>
      <c r="W77" s="117"/>
      <c r="X77" s="117"/>
      <c r="Y77" s="117"/>
      <c r="Z77" s="117"/>
      <c r="AA77" s="117"/>
      <c r="AB77" s="117"/>
      <c r="AC77" s="117"/>
      <c r="AD77" s="117"/>
      <c r="AE77" s="117"/>
      <c r="AF77" s="117"/>
      <c r="AG77" s="117"/>
      <c r="AH77" s="117"/>
      <c r="AI77" s="117"/>
      <c r="AJ77" s="117"/>
      <c r="AK77" s="117"/>
    </row>
    <row r="78" spans="1:53" s="2" customFormat="1" x14ac:dyDescent="0.25">
      <c r="A78" s="45" t="s">
        <v>81</v>
      </c>
      <c r="B78" s="117" t="e">
        <f ca="1">[1]!DPTEST(B6:B53)</f>
        <v>#NAME?</v>
      </c>
      <c r="C78" s="117" t="e">
        <f ca="1">[1]!DPTEST(C6:C53)</f>
        <v>#NAME?</v>
      </c>
      <c r="D78" s="117" t="e">
        <f ca="1">[1]!DPTEST(D6:D53)</f>
        <v>#NAME?</v>
      </c>
      <c r="E78" s="117" t="e">
        <f ca="1">[1]!DPTEST(E6:E53)</f>
        <v>#NAME?</v>
      </c>
      <c r="F78" s="117" t="e">
        <f ca="1">[1]!DPTEST(F6:F53)</f>
        <v>#NAME?</v>
      </c>
      <c r="G78" s="117" t="e">
        <f ca="1">[1]!DPTEST(G6:G53)</f>
        <v>#NAME?</v>
      </c>
      <c r="H78" s="117" t="e">
        <f ca="1">[1]!DPTEST(H6:H53)</f>
        <v>#NAME?</v>
      </c>
      <c r="I78" s="117" t="e">
        <f ca="1">[1]!DPTEST(I6:I53)</f>
        <v>#NAME?</v>
      </c>
      <c r="J78" s="117" t="e">
        <f ca="1">[1]!DPTEST(J6:J53)</f>
        <v>#NAME?</v>
      </c>
      <c r="K78" s="117" t="e">
        <f ca="1">[1]!DPTEST(K6:K53)</f>
        <v>#NAME?</v>
      </c>
      <c r="L78" s="117" t="e">
        <f ca="1">[1]!DPTEST(L6:L53)</f>
        <v>#NAME?</v>
      </c>
      <c r="M78" s="117" t="e">
        <f ca="1">[1]!DPTEST(M6:M53)</f>
        <v>#NAME?</v>
      </c>
      <c r="N78" s="117"/>
      <c r="O78" s="117" t="e">
        <f ca="1">[1]!DPTEST(O6:O53)</f>
        <v>#NAME?</v>
      </c>
      <c r="P78" s="117" t="e">
        <f ca="1">[1]!DPTEST(P6:P53)</f>
        <v>#NAME?</v>
      </c>
      <c r="Q78" s="117" t="e">
        <f ca="1">[1]!DPTEST(Q6:Q53)</f>
        <v>#NAME?</v>
      </c>
      <c r="R78" s="117" t="e">
        <f ca="1">[1]!DPTEST(R6:R53)</f>
        <v>#NAME?</v>
      </c>
      <c r="S78" s="117" t="e">
        <f ca="1">[1]!DPTEST(S6:S53)</f>
        <v>#NAME?</v>
      </c>
      <c r="T78" s="117" t="e">
        <f ca="1">[1]!DPTEST(T6:T53)</f>
        <v>#NAME?</v>
      </c>
      <c r="U78" s="117" t="e">
        <f ca="1">[1]!DPTEST(U6:U53)</f>
        <v>#NAME?</v>
      </c>
      <c r="V78" s="117" t="e">
        <f ca="1">[1]!DPTEST(V6:V53)</f>
        <v>#NAME?</v>
      </c>
      <c r="W78" s="117"/>
      <c r="X78" s="117"/>
      <c r="Y78" s="117"/>
      <c r="Z78" s="117"/>
      <c r="AA78" s="117"/>
      <c r="AB78" s="117"/>
      <c r="AC78" s="117"/>
      <c r="AD78" s="117"/>
      <c r="AE78" s="117"/>
      <c r="AF78" s="117"/>
      <c r="AG78" s="117"/>
      <c r="AH78" s="117"/>
      <c r="AI78" s="117"/>
      <c r="AJ78" s="117"/>
      <c r="AK78" s="117"/>
    </row>
    <row r="79" spans="1:53" s="2" customFormat="1" x14ac:dyDescent="0.25">
      <c r="A79" s="45" t="s">
        <v>85</v>
      </c>
      <c r="B79" s="117" t="e">
        <f ca="1">IF(B78&gt;0.05,"Oui","Non")</f>
        <v>#NAME?</v>
      </c>
      <c r="C79" s="117" t="e">
        <f t="shared" ref="C79:V79" ca="1" si="20">IF(C78&gt;0.05,"Oui","Non")</f>
        <v>#NAME?</v>
      </c>
      <c r="D79" s="117" t="e">
        <f t="shared" ca="1" si="20"/>
        <v>#NAME?</v>
      </c>
      <c r="E79" s="117" t="e">
        <f t="shared" ca="1" si="20"/>
        <v>#NAME?</v>
      </c>
      <c r="F79" s="117" t="e">
        <f t="shared" ca="1" si="20"/>
        <v>#NAME?</v>
      </c>
      <c r="G79" s="117" t="e">
        <f t="shared" ca="1" si="20"/>
        <v>#NAME?</v>
      </c>
      <c r="H79" s="117" t="e">
        <f t="shared" ca="1" si="20"/>
        <v>#NAME?</v>
      </c>
      <c r="I79" s="117" t="e">
        <f t="shared" ca="1" si="20"/>
        <v>#NAME?</v>
      </c>
      <c r="J79" s="117" t="e">
        <f t="shared" ca="1" si="20"/>
        <v>#NAME?</v>
      </c>
      <c r="K79" s="117" t="e">
        <f t="shared" ca="1" si="20"/>
        <v>#NAME?</v>
      </c>
      <c r="L79" s="117" t="e">
        <f t="shared" ca="1" si="20"/>
        <v>#NAME?</v>
      </c>
      <c r="M79" s="117" t="e">
        <f t="shared" ca="1" si="20"/>
        <v>#NAME?</v>
      </c>
      <c r="N79" s="117"/>
      <c r="O79" s="117" t="e">
        <f t="shared" ca="1" si="20"/>
        <v>#NAME?</v>
      </c>
      <c r="P79" s="117" t="e">
        <f t="shared" ca="1" si="20"/>
        <v>#NAME?</v>
      </c>
      <c r="Q79" s="117" t="e">
        <f t="shared" ca="1" si="20"/>
        <v>#NAME?</v>
      </c>
      <c r="R79" s="117" t="e">
        <f t="shared" ca="1" si="20"/>
        <v>#NAME?</v>
      </c>
      <c r="S79" s="117" t="e">
        <f t="shared" ca="1" si="20"/>
        <v>#NAME?</v>
      </c>
      <c r="T79" s="117" t="e">
        <f t="shared" ca="1" si="20"/>
        <v>#NAME?</v>
      </c>
      <c r="U79" s="117" t="e">
        <f t="shared" ca="1" si="20"/>
        <v>#NAME?</v>
      </c>
      <c r="V79" s="117" t="e">
        <f t="shared" ca="1" si="20"/>
        <v>#NAME?</v>
      </c>
      <c r="W79" s="117"/>
      <c r="X79" s="117"/>
      <c r="Y79" s="117"/>
      <c r="Z79" s="117"/>
      <c r="AA79" s="117"/>
      <c r="AB79" s="117"/>
      <c r="AC79" s="117"/>
      <c r="AD79" s="117"/>
      <c r="AE79" s="117"/>
      <c r="AF79" s="117"/>
      <c r="AG79" s="117"/>
      <c r="AH79" s="117"/>
      <c r="AI79" s="117"/>
      <c r="AJ79" s="117"/>
      <c r="AK79" s="117"/>
    </row>
    <row r="80" spans="1:53" s="2" customFormat="1" x14ac:dyDescent="0.25">
      <c r="A80" s="45" t="s">
        <v>122</v>
      </c>
      <c r="B80" s="117" t="str">
        <f ca="1">IF(COUNTIF(B79:I79, "Non")=0, "Oui","Non")</f>
        <v>Oui</v>
      </c>
      <c r="C80" s="117"/>
      <c r="D80" s="117"/>
      <c r="E80" s="117"/>
      <c r="F80" s="117"/>
      <c r="G80" s="117"/>
      <c r="H80" s="117"/>
      <c r="I80" s="117"/>
      <c r="J80" s="117" t="str">
        <f ca="1">IF(COUNTIF(J79:M79, "Non")&gt;0, "Oui","Non")</f>
        <v>Non</v>
      </c>
      <c r="K80" s="117"/>
      <c r="L80" s="117"/>
      <c r="M80" s="117"/>
      <c r="N80" s="117"/>
      <c r="O80" s="117"/>
      <c r="P80" s="117"/>
      <c r="Q80" s="117"/>
      <c r="R80" s="117" t="str">
        <f ca="1">IF(COUNTIF(R79:V79, "Non")&gt;0, "Oui","Non")</f>
        <v>Non</v>
      </c>
      <c r="S80" s="117"/>
      <c r="T80" s="117"/>
      <c r="U80" s="117"/>
      <c r="V80" s="117"/>
      <c r="W80" s="117"/>
      <c r="X80" s="117"/>
      <c r="Y80" s="117"/>
      <c r="Z80" s="117"/>
      <c r="AA80" s="117"/>
      <c r="AB80" s="117"/>
      <c r="AC80" s="117"/>
      <c r="AD80" s="117"/>
      <c r="AE80" s="117"/>
      <c r="AF80" s="117"/>
      <c r="AG80" s="117"/>
      <c r="AH80" s="117"/>
      <c r="AI80" s="117"/>
      <c r="AJ80" s="117"/>
      <c r="AK80" s="117"/>
    </row>
    <row r="81" spans="1:53" s="2" customFormat="1" x14ac:dyDescent="0.25">
      <c r="A81" s="45" t="s">
        <v>82</v>
      </c>
      <c r="B81" s="117"/>
      <c r="C81" s="117" t="str">
        <f t="shared" ref="C81:I81" ca="1" si="21">IF($B80="Non","Kruskal-Wallis","ANOVA")</f>
        <v>ANOVA</v>
      </c>
      <c r="D81" s="117" t="str">
        <f t="shared" ca="1" si="21"/>
        <v>ANOVA</v>
      </c>
      <c r="E81" s="117" t="str">
        <f t="shared" ca="1" si="21"/>
        <v>ANOVA</v>
      </c>
      <c r="F81" s="117" t="str">
        <f t="shared" ca="1" si="21"/>
        <v>ANOVA</v>
      </c>
      <c r="G81" s="117" t="str">
        <f t="shared" ca="1" si="21"/>
        <v>ANOVA</v>
      </c>
      <c r="H81" s="117" t="str">
        <f t="shared" ca="1" si="21"/>
        <v>ANOVA</v>
      </c>
      <c r="I81" s="117" t="str">
        <f t="shared" ca="1" si="21"/>
        <v>ANOVA</v>
      </c>
      <c r="J81" s="117" t="e">
        <f t="shared" ref="J81:M81" ca="1" si="22">IF($B79="Non",IF(J79="Non","Mann Withney",IF(J79="Oui","Mann Withney","")),IF($B79="Oui",IF(J79="Oui","T-Test Welch",IF(J79="Non","Mann Withney",""))))</f>
        <v>#NAME?</v>
      </c>
      <c r="K81" s="117" t="e">
        <f t="shared" ca="1" si="22"/>
        <v>#NAME?</v>
      </c>
      <c r="L81" s="117" t="e">
        <f t="shared" ca="1" si="22"/>
        <v>#NAME?</v>
      </c>
      <c r="M81" s="117" t="e">
        <f t="shared" ca="1" si="22"/>
        <v>#NAME?</v>
      </c>
      <c r="N81" s="117"/>
      <c r="O81" s="117" t="e">
        <f ca="1">IF($B79="Non",IF(O79="Non","Mann Withney",IF(O79="Oui","Mann Withney","")),IF($B79="Oui",IF(O79="Oui","T-Test Welch",IF(O79="Non","Mann Withney",""))))</f>
        <v>#NAME?</v>
      </c>
      <c r="P81" s="117" t="e">
        <f t="shared" ref="P81:V81" ca="1" si="23">IF($O79="Non",IF(P79="Non","Mann Withney",IF(P$79="Oui","Mann Withney","")),IF($O79="Oui",IF(P79="Oui","T-Test Welch",IF(P79="Non","Mann Withney",""))))</f>
        <v>#NAME?</v>
      </c>
      <c r="Q81" s="117" t="e">
        <f t="shared" ca="1" si="23"/>
        <v>#NAME?</v>
      </c>
      <c r="R81" s="117" t="e">
        <f t="shared" ca="1" si="23"/>
        <v>#NAME?</v>
      </c>
      <c r="S81" s="117" t="e">
        <f t="shared" ca="1" si="23"/>
        <v>#NAME?</v>
      </c>
      <c r="T81" s="117" t="e">
        <f t="shared" ca="1" si="23"/>
        <v>#NAME?</v>
      </c>
      <c r="U81" s="117" t="e">
        <f t="shared" ca="1" si="23"/>
        <v>#NAME?</v>
      </c>
      <c r="V81" s="117" t="e">
        <f t="shared" ca="1" si="23"/>
        <v>#NAME?</v>
      </c>
      <c r="W81" s="117"/>
      <c r="X81" s="117"/>
      <c r="Y81" s="117"/>
      <c r="Z81" s="117"/>
      <c r="AA81" s="117"/>
      <c r="AB81" s="117"/>
      <c r="AC81" s="117"/>
      <c r="AD81" s="117"/>
      <c r="AE81" s="117"/>
      <c r="AF81" s="117"/>
      <c r="AG81" s="117"/>
      <c r="AH81" s="117"/>
      <c r="AI81" s="117"/>
      <c r="AJ81" s="117"/>
      <c r="AK81" s="117"/>
    </row>
    <row r="82" spans="1:53" s="2" customFormat="1" x14ac:dyDescent="0.25">
      <c r="A82" s="45" t="s">
        <v>83</v>
      </c>
      <c r="B82" s="117"/>
      <c r="C82" s="165">
        <v>0.99990000000000001</v>
      </c>
      <c r="D82" s="165">
        <v>0.99990000000000001</v>
      </c>
      <c r="E82" s="165">
        <v>0.64229999999999998</v>
      </c>
      <c r="F82" s="165">
        <v>4.0000000000000002E-4</v>
      </c>
      <c r="G82" s="165">
        <v>1E-4</v>
      </c>
      <c r="H82" s="165">
        <v>1E-4</v>
      </c>
      <c r="I82" s="165">
        <v>0.99990000000000001</v>
      </c>
      <c r="J82" s="165">
        <v>0.99990000000000001</v>
      </c>
      <c r="K82" s="165">
        <v>0.29649999999999999</v>
      </c>
      <c r="L82" s="117">
        <v>1E-4</v>
      </c>
      <c r="M82" s="117">
        <v>1E-4</v>
      </c>
      <c r="N82" s="117"/>
      <c r="O82" s="117">
        <v>1E-4</v>
      </c>
      <c r="P82" s="117">
        <v>1E-4</v>
      </c>
      <c r="Q82" s="117">
        <v>1E-4</v>
      </c>
      <c r="R82" s="166">
        <v>0.12039999999999999</v>
      </c>
      <c r="S82" s="166">
        <v>1E-4</v>
      </c>
      <c r="T82" s="166">
        <v>1E-4</v>
      </c>
      <c r="U82" s="166">
        <v>1E-4</v>
      </c>
      <c r="V82" s="166">
        <v>1E-4</v>
      </c>
      <c r="W82" s="117"/>
      <c r="X82" s="117"/>
      <c r="Y82" s="117"/>
      <c r="Z82" s="117"/>
      <c r="AA82" s="117"/>
      <c r="AB82" s="117"/>
      <c r="AC82" s="117"/>
      <c r="AD82" s="117"/>
      <c r="AE82" s="117"/>
      <c r="AF82" s="117"/>
      <c r="AG82" s="117"/>
      <c r="AH82" s="117"/>
      <c r="AI82" s="117"/>
      <c r="AJ82" s="117"/>
      <c r="AK82" s="117"/>
    </row>
    <row r="83" spans="1:53" s="2" customFormat="1" ht="15.75" thickBot="1" x14ac:dyDescent="0.3">
      <c r="A83" s="46" t="s">
        <v>84</v>
      </c>
      <c r="B83" s="118"/>
      <c r="C83" s="118" t="str">
        <f t="shared" ref="C83:O83" si="24">IF(C82&gt;0.05,"NS",IF(C82&gt;0.01,"*",IF(C82&gt;0.001,"**","***")))</f>
        <v>NS</v>
      </c>
      <c r="D83" s="118" t="str">
        <f t="shared" si="24"/>
        <v>NS</v>
      </c>
      <c r="E83" s="118" t="str">
        <f t="shared" si="24"/>
        <v>NS</v>
      </c>
      <c r="F83" s="118" t="str">
        <f t="shared" si="24"/>
        <v>***</v>
      </c>
      <c r="G83" s="118" t="str">
        <f t="shared" si="24"/>
        <v>***</v>
      </c>
      <c r="H83" s="118" t="str">
        <f t="shared" si="24"/>
        <v>***</v>
      </c>
      <c r="I83" s="118" t="str">
        <f t="shared" si="24"/>
        <v>NS</v>
      </c>
      <c r="J83" s="118" t="str">
        <f t="shared" si="24"/>
        <v>NS</v>
      </c>
      <c r="K83" s="118" t="str">
        <f t="shared" si="24"/>
        <v>NS</v>
      </c>
      <c r="L83" s="118" t="str">
        <f t="shared" si="24"/>
        <v>***</v>
      </c>
      <c r="M83" s="118" t="str">
        <f t="shared" si="24"/>
        <v>***</v>
      </c>
      <c r="N83" s="118"/>
      <c r="O83" s="118" t="str">
        <f t="shared" si="24"/>
        <v>***</v>
      </c>
      <c r="P83" s="118" t="str">
        <f t="shared" ref="P83" si="25">IF(P82&gt;0.05,"NS",IF(P82&gt;0.01,"*",IF(P82&gt;0.001,"**","***")))</f>
        <v>***</v>
      </c>
      <c r="Q83" s="118" t="str">
        <f t="shared" ref="Q83:V83" si="26">IF(Q82&gt;0.05,"NS",IF(Q82&gt;0.01,"*",IF(Q82&gt;0.001,"**","***")))</f>
        <v>***</v>
      </c>
      <c r="R83" s="118" t="str">
        <f t="shared" si="26"/>
        <v>NS</v>
      </c>
      <c r="S83" s="118" t="str">
        <f t="shared" si="26"/>
        <v>***</v>
      </c>
      <c r="T83" s="118" t="str">
        <f t="shared" si="26"/>
        <v>***</v>
      </c>
      <c r="U83" s="118" t="str">
        <f t="shared" si="26"/>
        <v>***</v>
      </c>
      <c r="V83" s="118" t="str">
        <f t="shared" si="26"/>
        <v>***</v>
      </c>
      <c r="W83" s="118"/>
      <c r="X83" s="118"/>
      <c r="Y83" s="118"/>
      <c r="Z83" s="118"/>
      <c r="AA83" s="118"/>
      <c r="AB83" s="118"/>
      <c r="AC83" s="118"/>
      <c r="AD83" s="118"/>
      <c r="AE83" s="118"/>
      <c r="AF83" s="118"/>
      <c r="AG83" s="118"/>
      <c r="AH83" s="118"/>
      <c r="AI83" s="118"/>
      <c r="AJ83" s="118"/>
      <c r="AK83" s="118"/>
    </row>
    <row r="85" spans="1:53" x14ac:dyDescent="0.25">
      <c r="A85" s="1" t="s">
        <v>39</v>
      </c>
    </row>
    <row r="86" spans="1:53" x14ac:dyDescent="0.25">
      <c r="A86" t="s">
        <v>23</v>
      </c>
      <c r="B86">
        <f>B56+(3*B57)</f>
        <v>0.34811094870374565</v>
      </c>
    </row>
    <row r="87" spans="1:53" x14ac:dyDescent="0.25">
      <c r="A87" t="s">
        <v>24</v>
      </c>
      <c r="B87">
        <f>B56+(10*B57)</f>
        <v>0.88969183924316519</v>
      </c>
    </row>
    <row r="88" spans="1:53" ht="15.75" thickBot="1" x14ac:dyDescent="0.3"/>
    <row r="89" spans="1:53" s="31" customFormat="1" ht="27" thickBot="1" x14ac:dyDescent="0.3">
      <c r="A89" s="32" t="s">
        <v>55</v>
      </c>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4"/>
    </row>
    <row r="90" spans="1:53" ht="15.75" thickBot="1" x14ac:dyDescent="0.3"/>
    <row r="91" spans="1:53" s="31" customFormat="1" ht="27" thickBot="1" x14ac:dyDescent="0.3">
      <c r="A91" s="32" t="s">
        <v>56</v>
      </c>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4"/>
    </row>
    <row r="92" spans="1:53" ht="15.75" thickBot="1" x14ac:dyDescent="0.3"/>
    <row r="93" spans="1:53" s="31" customFormat="1" ht="27" thickBot="1" x14ac:dyDescent="0.3">
      <c r="A93" s="203" t="s">
        <v>57</v>
      </c>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5"/>
    </row>
    <row r="97" spans="4:19" x14ac:dyDescent="0.25">
      <c r="R97" s="165"/>
      <c r="S97" s="165"/>
    </row>
    <row r="98" spans="4:19" x14ac:dyDescent="0.25">
      <c r="K98" s="165"/>
      <c r="L98" s="165"/>
      <c r="R98" s="165"/>
      <c r="S98" s="165"/>
    </row>
    <row r="99" spans="4:19" x14ac:dyDescent="0.25">
      <c r="D99" s="165"/>
      <c r="E99" s="165"/>
      <c r="K99" s="165"/>
      <c r="L99" s="165"/>
      <c r="R99" s="165"/>
      <c r="S99" s="165"/>
    </row>
    <row r="100" spans="4:19" x14ac:dyDescent="0.25">
      <c r="D100" s="165"/>
      <c r="E100" s="165"/>
      <c r="K100" s="165"/>
      <c r="L100" s="165"/>
      <c r="R100" s="165"/>
      <c r="S100" s="165"/>
    </row>
    <row r="101" spans="4:19" x14ac:dyDescent="0.25">
      <c r="D101" s="165"/>
      <c r="E101" s="165"/>
      <c r="K101" s="165"/>
      <c r="L101" s="165"/>
      <c r="R101" s="165"/>
      <c r="S101" s="165"/>
    </row>
    <row r="102" spans="4:19" x14ac:dyDescent="0.25">
      <c r="D102" s="165"/>
      <c r="E102" s="165"/>
      <c r="K102" s="165"/>
      <c r="L102" s="165"/>
    </row>
    <row r="103" spans="4:19" x14ac:dyDescent="0.25">
      <c r="D103" s="165"/>
      <c r="E103" s="165"/>
    </row>
    <row r="104" spans="4:19" x14ac:dyDescent="0.25">
      <c r="D104" s="165"/>
      <c r="E104" s="165"/>
    </row>
  </sheetData>
  <mergeCells count="10">
    <mergeCell ref="B3:M3"/>
    <mergeCell ref="O3:V3"/>
    <mergeCell ref="A7:A21"/>
    <mergeCell ref="A23:A37"/>
    <mergeCell ref="A93:BA93"/>
    <mergeCell ref="A60:BA60"/>
    <mergeCell ref="A72:BA72"/>
    <mergeCell ref="A70:BA70"/>
    <mergeCell ref="A65:BA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140625" defaultRowHeight="15" x14ac:dyDescent="0.25"/>
  <cols>
    <col min="1" max="1" width="33.7109375" bestFit="1" customWidth="1"/>
    <col min="2" max="3" width="14" bestFit="1" customWidth="1"/>
    <col min="4" max="4" width="14" customWidth="1"/>
    <col min="5" max="5" width="16" style="2" bestFit="1" customWidth="1"/>
    <col min="6" max="8" width="16" style="2" customWidth="1"/>
    <col min="9" max="13" width="19.140625" style="2" customWidth="1"/>
    <col min="14" max="14" width="32.140625" style="2" bestFit="1" customWidth="1"/>
    <col min="15" max="15" width="19.5703125" customWidth="1"/>
  </cols>
  <sheetData>
    <row r="1" spans="1:15" s="31" customFormat="1" ht="27" thickBot="1" x14ac:dyDescent="0.3">
      <c r="A1" s="203" t="s">
        <v>104</v>
      </c>
      <c r="B1" s="204"/>
      <c r="C1" s="204"/>
      <c r="D1" s="204"/>
      <c r="E1" s="204"/>
      <c r="F1" s="204"/>
      <c r="G1" s="204"/>
      <c r="H1" s="204"/>
      <c r="I1" s="204"/>
      <c r="J1" s="204"/>
      <c r="K1" s="204"/>
      <c r="L1" s="204"/>
      <c r="M1" s="204"/>
      <c r="N1" s="204"/>
      <c r="O1" s="205"/>
    </row>
    <row r="2" spans="1:15" s="31" customFormat="1" ht="27" thickBot="1" x14ac:dyDescent="0.3">
      <c r="A2" s="203" t="s">
        <v>105</v>
      </c>
      <c r="B2" s="204"/>
      <c r="C2" s="204"/>
      <c r="D2" s="204"/>
      <c r="E2" s="204"/>
      <c r="F2" s="204"/>
      <c r="G2" s="204"/>
      <c r="H2" s="204"/>
      <c r="I2" s="204"/>
      <c r="J2" s="204"/>
      <c r="K2" s="204"/>
      <c r="L2" s="204"/>
      <c r="M2" s="204"/>
      <c r="N2" s="204"/>
      <c r="O2" s="205"/>
    </row>
    <row r="3" spans="1:15" s="58" customFormat="1" ht="15.75" x14ac:dyDescent="0.25">
      <c r="H3" s="59"/>
      <c r="I3" s="59"/>
      <c r="J3" s="59"/>
      <c r="K3" s="59"/>
      <c r="L3" s="59"/>
      <c r="M3" s="59"/>
      <c r="N3" s="59"/>
    </row>
    <row r="4" spans="1:15" s="58" customFormat="1" ht="15.75" x14ac:dyDescent="0.25">
      <c r="O4"/>
    </row>
    <row r="5" spans="1:15" s="58" customFormat="1" ht="45.75" customHeight="1" thickBot="1" x14ac:dyDescent="0.3">
      <c r="B5" s="68" t="s">
        <v>25</v>
      </c>
      <c r="C5" s="68" t="s">
        <v>26</v>
      </c>
      <c r="D5" s="68" t="s">
        <v>27</v>
      </c>
      <c r="E5" s="69" t="s">
        <v>64</v>
      </c>
      <c r="F5" s="104" t="s">
        <v>80</v>
      </c>
      <c r="G5" s="68" t="s">
        <v>42</v>
      </c>
      <c r="H5" s="68" t="s">
        <v>65</v>
      </c>
      <c r="I5" s="68" t="s">
        <v>66</v>
      </c>
      <c r="J5" s="75" t="s">
        <v>77</v>
      </c>
      <c r="K5" s="75" t="s">
        <v>67</v>
      </c>
      <c r="L5" s="76" t="s">
        <v>76</v>
      </c>
      <c r="M5" s="76" t="s">
        <v>68</v>
      </c>
      <c r="N5" s="76" t="s">
        <v>69</v>
      </c>
      <c r="O5"/>
    </row>
    <row r="6" spans="1:15" s="58" customFormat="1" ht="15.75" x14ac:dyDescent="0.25">
      <c r="A6" s="60" t="s">
        <v>28</v>
      </c>
      <c r="B6" s="78">
        <v>64</v>
      </c>
      <c r="C6" s="60"/>
      <c r="D6" s="60"/>
      <c r="E6" s="70"/>
      <c r="F6" s="71"/>
      <c r="G6" s="106">
        <f>IF(F6="NS","NC",ROUND(B6,2-(1+INT(LOG10(ABS(B6))))))</f>
        <v>64</v>
      </c>
      <c r="H6" s="98"/>
      <c r="I6" s="98"/>
      <c r="J6" s="99"/>
      <c r="K6" s="100"/>
      <c r="L6" s="102"/>
      <c r="M6" s="99"/>
      <c r="N6" s="72"/>
      <c r="O6"/>
    </row>
    <row r="7" spans="1:15" s="58" customFormat="1" ht="15.75" x14ac:dyDescent="0.25">
      <c r="A7" s="60" t="str">
        <f>'Page de garde'!A15</f>
        <v>Triphénylphosphate-0,18mg/L</v>
      </c>
      <c r="B7" s="63"/>
      <c r="C7" s="61"/>
      <c r="D7" s="61"/>
      <c r="E7" s="62"/>
      <c r="F7" s="77" t="str">
        <f>HLOOKUP(A7,'pooled normalised values'!$B$74:$AK$83,10,FALSE)</f>
        <v>NS</v>
      </c>
      <c r="G7" s="106" t="str">
        <f>IF(F7="NS","NC",ROUND(B7,2-(1+INT(LOG10(ABS(B7))))))</f>
        <v>NC</v>
      </c>
      <c r="H7" s="97" t="str">
        <f>IF(VLOOKUP(A7,liste_groupe[],4,FALSE)="%",VLOOKUP(A7,liste_groupe[],3,FALSE)/100,IF(ISBLANK(VLOOKUP(A7,liste_groupe[],4,FALSE)),"Non","Non"))</f>
        <v>Non</v>
      </c>
      <c r="I7" s="106" t="str">
        <f>IF(F7="NS","NC",IF(H7="Non",G7,G7*(1/H7)))</f>
        <v>NC</v>
      </c>
      <c r="J7" s="107">
        <v>64</v>
      </c>
      <c r="K7" s="108">
        <f>IF(F7="NS",0,ROUND(I7/J7*100,0))</f>
        <v>0</v>
      </c>
      <c r="L7" s="103">
        <v>1</v>
      </c>
      <c r="M7" s="109">
        <f>IF(K7&gt;100,125,K7)</f>
        <v>0</v>
      </c>
      <c r="N7" s="73" t="str">
        <f>IF(H7="Non",CONCATENATE(VLOOKUP(A7,liste_groupe[],5,FALSE),"-",VLOOKUP(A7,liste_groupe[],3,FALSE),VLOOKUP(A7,liste_groupe[],4,FALSE)," : ",ROUND(K7,0),"%"),CONCATENATE(VLOOKUP(A7,liste_groupe[],5,FALSE)," : ",ROUND(K7,0),"%"))</f>
        <v>Triphénylphosphate-0,18mg/L : 0%</v>
      </c>
      <c r="O7"/>
    </row>
    <row r="8" spans="1:15" s="58" customFormat="1" ht="15.75" x14ac:dyDescent="0.25">
      <c r="A8" s="60" t="str">
        <f>'Page de garde'!A16</f>
        <v>Triphénylphosphate-0,26mg/L</v>
      </c>
      <c r="B8" s="63"/>
      <c r="C8" s="63"/>
      <c r="D8" s="61"/>
      <c r="E8" s="62"/>
      <c r="F8" s="77" t="str">
        <f>HLOOKUP(A8,'pooled normalised values'!$B$74:$AK$83,10,FALSE)</f>
        <v>NS</v>
      </c>
      <c r="G8" s="106" t="str">
        <f t="shared" ref="G8:G13" si="0">IF(F8="NS","NC",ROUND(B8,2-(1+INT(LOG10(ABS(B8))))))</f>
        <v>NC</v>
      </c>
      <c r="H8" s="97" t="str">
        <f>IF(VLOOKUP(A8,liste_groupe[],4,FALSE)="%",VLOOKUP(A8,liste_groupe[],3,FALSE)/100,IF(ISBLANK(VLOOKUP(A8,liste_groupe[],4,FALSE)),"Non","Non"))</f>
        <v>Non</v>
      </c>
      <c r="I8" s="106" t="str">
        <f t="shared" ref="I8:I26" si="1">IF(F8="NS","NC",IF(H8="Non",G8,G8*(1/H8)))</f>
        <v>NC</v>
      </c>
      <c r="J8" s="107">
        <v>64</v>
      </c>
      <c r="K8" s="108">
        <f t="shared" ref="K8:K26" si="2">IF(F8="NS",0,ROUND(I8/J8*100,0))</f>
        <v>0</v>
      </c>
      <c r="L8" s="103"/>
      <c r="M8" s="109">
        <f t="shared" ref="M8:M26" si="3">IF(K8&gt;100,125,K8)</f>
        <v>0</v>
      </c>
      <c r="N8" s="73" t="str">
        <f>IF(H8="Non",CONCATENATE(VLOOKUP(A8,liste_groupe[],5,FALSE),"-",VLOOKUP(A8,liste_groupe[],3,FALSE),VLOOKUP(A8,liste_groupe[],4,FALSE)," : ",ROUND(K8,0),"%"),CONCATENATE(VLOOKUP(A8,liste_groupe[],5,FALSE)," : ",ROUND(K8,0),"%"))</f>
        <v>Triphénylphosphate-0,26mg/L : 0%</v>
      </c>
      <c r="O8"/>
    </row>
    <row r="9" spans="1:15" s="58" customFormat="1" ht="15.75" x14ac:dyDescent="0.25">
      <c r="A9" s="60" t="str">
        <f>'Page de garde'!A17</f>
        <v>Triphénylphosphate-0,4mg/L</v>
      </c>
      <c r="B9" s="63"/>
      <c r="C9" s="63"/>
      <c r="D9" s="61"/>
      <c r="E9" s="62"/>
      <c r="F9" s="77" t="str">
        <f>HLOOKUP(A9,'pooled normalised values'!$B$74:$AK$83,10,FALSE)</f>
        <v>NS</v>
      </c>
      <c r="G9" s="106" t="str">
        <f t="shared" si="0"/>
        <v>NC</v>
      </c>
      <c r="H9" s="97" t="str">
        <f>IF(VLOOKUP(A9,liste_groupe[],4,FALSE)="%",VLOOKUP(A9,liste_groupe[],3,FALSE)/100,IF(ISBLANK(VLOOKUP(A9,liste_groupe[],4,FALSE)),"Non","Non"))</f>
        <v>Non</v>
      </c>
      <c r="I9" s="106" t="str">
        <f t="shared" si="1"/>
        <v>NC</v>
      </c>
      <c r="J9" s="107">
        <v>64</v>
      </c>
      <c r="K9" s="108">
        <f t="shared" si="2"/>
        <v>0</v>
      </c>
      <c r="L9" s="103"/>
      <c r="M9" s="109">
        <f t="shared" si="3"/>
        <v>0</v>
      </c>
      <c r="N9" s="73" t="str">
        <f>IF(H9="Non",CONCATENATE(VLOOKUP(A9,liste_groupe[],5,FALSE),"-",VLOOKUP(A9,liste_groupe[],3,FALSE),VLOOKUP(A9,liste_groupe[],4,FALSE)," : ",ROUND(K9,0),"%"),CONCATENATE(VLOOKUP(A9,liste_groupe[],5,FALSE)," : ",ROUND(K9,0),"%"))</f>
        <v>Triphénylphosphate-0,4mg/L : 0%</v>
      </c>
      <c r="O9"/>
    </row>
    <row r="10" spans="1:15" s="58" customFormat="1" ht="15.75" x14ac:dyDescent="0.25">
      <c r="A10" s="60" t="str">
        <f>'Page de garde'!A18</f>
        <v>Triphénylphosphate-0,59mg/L</v>
      </c>
      <c r="B10" s="78"/>
      <c r="C10" s="60"/>
      <c r="D10" s="65"/>
      <c r="E10" s="62"/>
      <c r="F10" s="77" t="str">
        <f>HLOOKUP(A10,'pooled normalised values'!$B$74:$AK$83,10,FALSE)</f>
        <v>***</v>
      </c>
      <c r="G10" s="106" t="e">
        <f t="shared" si="0"/>
        <v>#NUM!</v>
      </c>
      <c r="H10" s="97" t="str">
        <f>IF(VLOOKUP(A10,liste_groupe[],4,FALSE)="%",VLOOKUP(A10,liste_groupe[],3,FALSE)/100,IF(ISBLANK(VLOOKUP(A10,liste_groupe[],4,FALSE)),"Non","Non"))</f>
        <v>Non</v>
      </c>
      <c r="I10" s="106" t="e">
        <f t="shared" si="1"/>
        <v>#NUM!</v>
      </c>
      <c r="J10" s="107">
        <v>64</v>
      </c>
      <c r="K10" s="108" t="e">
        <f t="shared" si="2"/>
        <v>#NUM!</v>
      </c>
      <c r="L10" s="103"/>
      <c r="M10" s="109" t="e">
        <f t="shared" si="3"/>
        <v>#NUM!</v>
      </c>
      <c r="N10" s="73" t="e">
        <f>IF(H10="Non",CONCATENATE(VLOOKUP(A10,liste_groupe[],5,FALSE),"-",VLOOKUP(A10,liste_groupe[],3,FALSE),VLOOKUP(A10,liste_groupe[],4,FALSE)," : ",ROUND(K10,0),"%"),CONCATENATE(VLOOKUP(A10,liste_groupe[],5,FALSE)," : ",ROUND(K10,0),"%"))</f>
        <v>#NUM!</v>
      </c>
      <c r="O10"/>
    </row>
    <row r="11" spans="1:15" s="58" customFormat="1" ht="15.75" x14ac:dyDescent="0.25">
      <c r="A11" s="60" t="str">
        <f>'Page de garde'!A19</f>
        <v>Triphénylphosphate-0,89mg/L</v>
      </c>
      <c r="B11" s="78"/>
      <c r="C11" s="60"/>
      <c r="D11" s="65"/>
      <c r="E11" s="62"/>
      <c r="F11" s="77" t="str">
        <f>HLOOKUP(A11,'pooled normalised values'!$B$74:$AK$83,10,FALSE)</f>
        <v>***</v>
      </c>
      <c r="G11" s="106" t="e">
        <f t="shared" si="0"/>
        <v>#NUM!</v>
      </c>
      <c r="H11" s="97" t="str">
        <f>IF(VLOOKUP(A11,liste_groupe[],4,FALSE)="%",VLOOKUP(A11,liste_groupe[],3,FALSE)/100,IF(ISBLANK(VLOOKUP(A11,liste_groupe[],4,FALSE)),"Non","Non"))</f>
        <v>Non</v>
      </c>
      <c r="I11" s="106" t="e">
        <f t="shared" si="1"/>
        <v>#NUM!</v>
      </c>
      <c r="J11" s="107">
        <v>64</v>
      </c>
      <c r="K11" s="108" t="e">
        <f t="shared" si="2"/>
        <v>#NUM!</v>
      </c>
      <c r="L11" s="103"/>
      <c r="M11" s="109" t="e">
        <f t="shared" si="3"/>
        <v>#NUM!</v>
      </c>
      <c r="N11" s="73" t="e">
        <f>IF(H11="Non",CONCATENATE(VLOOKUP(A11,liste_groupe[],5,FALSE),"-",VLOOKUP(A11,liste_groupe[],3,FALSE),VLOOKUP(A11,liste_groupe[],4,FALSE)," : ",ROUND(K11,0),"%"),CONCATENATE(VLOOKUP(A11,liste_groupe[],5,FALSE)," : ",ROUND(K11,0),"%"))</f>
        <v>#NUM!</v>
      </c>
      <c r="O11"/>
    </row>
    <row r="12" spans="1:15" s="58" customFormat="1" ht="15.75" x14ac:dyDescent="0.25">
      <c r="A12" s="60" t="str">
        <f>'Page de garde'!A20</f>
        <v xml:space="preserve"> </v>
      </c>
      <c r="B12" s="78"/>
      <c r="C12" s="60"/>
      <c r="D12" s="65"/>
      <c r="E12" s="62"/>
      <c r="F12" s="77" t="e">
        <f>HLOOKUP(A12,'pooled normalised values'!$B$74:$AK$83,10,FALSE)</f>
        <v>#N/A</v>
      </c>
      <c r="G12" s="106" t="e">
        <f t="shared" si="0"/>
        <v>#N/A</v>
      </c>
      <c r="H12" s="97" t="str">
        <f>IF(VLOOKUP(A12,liste_groupe[],4,FALSE)="%",VLOOKUP(A12,liste_groupe[],3,FALSE)/100,IF(ISBLANK(VLOOKUP(A12,liste_groupe[],4,FALSE)),"Non","Non"))</f>
        <v>Non</v>
      </c>
      <c r="I12" s="106" t="e">
        <f t="shared" si="1"/>
        <v>#N/A</v>
      </c>
      <c r="J12" s="107">
        <v>64</v>
      </c>
      <c r="K12" s="108" t="e">
        <f t="shared" si="2"/>
        <v>#N/A</v>
      </c>
      <c r="L12" s="103"/>
      <c r="M12" s="109" t="e">
        <f t="shared" si="3"/>
        <v>#N/A</v>
      </c>
      <c r="N12" s="73" t="e">
        <f>IF(H12="Non",CONCATENATE(VLOOKUP(A12,liste_groupe[],5,FALSE),"-",VLOOKUP(A12,liste_groupe[],3,FALSE),VLOOKUP(A12,liste_groupe[],4,FALSE)," : ",ROUND(K12,0),"%"),CONCATENATE(VLOOKUP(A12,liste_groupe[],5,FALSE)," : ",ROUND(K12,0),"%"))</f>
        <v>#N/A</v>
      </c>
      <c r="O12"/>
    </row>
    <row r="13" spans="1:15" s="58" customFormat="1" ht="15.75" x14ac:dyDescent="0.25">
      <c r="A13" s="60" t="str">
        <f>'Page de garde'!A21</f>
        <v xml:space="preserve"> </v>
      </c>
      <c r="B13" s="78"/>
      <c r="C13" s="60"/>
      <c r="D13" s="60"/>
      <c r="E13" s="62"/>
      <c r="F13" s="77" t="e">
        <f>HLOOKUP(A13,'pooled normalised values'!$B$74:$AK$83,10,FALSE)</f>
        <v>#N/A</v>
      </c>
      <c r="G13" s="106" t="e">
        <f t="shared" si="0"/>
        <v>#N/A</v>
      </c>
      <c r="H13" s="97" t="str">
        <f>IF(VLOOKUP(A13,liste_groupe[],4,FALSE)="%",VLOOKUP(A13,liste_groupe[],3,FALSE)/100,IF(ISBLANK(VLOOKUP(A13,liste_groupe[],4,FALSE)),"Non","Non"))</f>
        <v>Non</v>
      </c>
      <c r="I13" s="106" t="e">
        <f t="shared" si="1"/>
        <v>#N/A</v>
      </c>
      <c r="J13" s="107">
        <v>64</v>
      </c>
      <c r="K13" s="108" t="e">
        <f t="shared" si="2"/>
        <v>#N/A</v>
      </c>
      <c r="L13" s="103"/>
      <c r="M13" s="109" t="e">
        <f t="shared" si="3"/>
        <v>#N/A</v>
      </c>
      <c r="N13" s="73" t="e">
        <f>IF(H13="Non",CONCATENATE(VLOOKUP(A13,liste_groupe[],5,FALSE),"-",VLOOKUP(A13,liste_groupe[],3,FALSE),VLOOKUP(A13,liste_groupe[],4,FALSE)," : ",ROUND(K13,0),"%"),CONCATENATE(VLOOKUP(A13,liste_groupe[],5,FALSE)," : ",ROUND(K13,0),"%"))</f>
        <v>#N/A</v>
      </c>
      <c r="O13"/>
    </row>
    <row r="14" spans="1:15" s="58" customFormat="1" ht="15.75" x14ac:dyDescent="0.25">
      <c r="A14" s="60" t="str">
        <f>'Page de garde'!A22</f>
        <v xml:space="preserve"> </v>
      </c>
      <c r="B14" s="78"/>
      <c r="C14" s="60"/>
      <c r="D14" s="60"/>
      <c r="E14" s="62"/>
      <c r="F14" s="77" t="e">
        <f>HLOOKUP(A14,'pooled normalised values'!$B$74:$AK$83,10,FALSE)</f>
        <v>#N/A</v>
      </c>
      <c r="G14" s="106" t="e">
        <f t="shared" ref="G14:G25" si="4">IF(F14="NS","NC",ROUND(B14,2-(1+INT(LOG10(ABS(B14))))))</f>
        <v>#N/A</v>
      </c>
      <c r="H14" s="97" t="str">
        <f>IF(VLOOKUP(A14,liste_groupe[],4,FALSE)="%",VLOOKUP(A14,liste_groupe[],3,FALSE)/100,IF(ISBLANK(VLOOKUP(A14,liste_groupe[],4,FALSE)),"Non","Non"))</f>
        <v>Non</v>
      </c>
      <c r="I14" s="106" t="e">
        <f t="shared" si="1"/>
        <v>#N/A</v>
      </c>
      <c r="J14" s="107">
        <v>64</v>
      </c>
      <c r="K14" s="108" t="e">
        <f t="shared" si="2"/>
        <v>#N/A</v>
      </c>
      <c r="L14" s="103"/>
      <c r="M14" s="109" t="e">
        <f t="shared" si="3"/>
        <v>#N/A</v>
      </c>
      <c r="N14" s="73" t="e">
        <f>IF(H14="Non",CONCATENATE(VLOOKUP(A14,liste_groupe[],5,FALSE),"-",VLOOKUP(A14,liste_groupe[],3,FALSE),VLOOKUP(A14,liste_groupe[],4,FALSE)," : ",ROUND(K14,0),"%"),CONCATENATE(VLOOKUP(A14,liste_groupe[],5,FALSE)," : ",ROUND(K14,0),"%"))</f>
        <v>#N/A</v>
      </c>
      <c r="O14"/>
    </row>
    <row r="15" spans="1:15" s="58" customFormat="1" ht="15.75" x14ac:dyDescent="0.25">
      <c r="A15" s="60" t="str">
        <f>'Page de garde'!A23</f>
        <v xml:space="preserve"> </v>
      </c>
      <c r="B15" s="78"/>
      <c r="C15" s="60"/>
      <c r="D15" s="60"/>
      <c r="E15" s="62"/>
      <c r="F15" s="77" t="e">
        <f>HLOOKUP(A15,'pooled normalised values'!$B$74:$AK$83,10,FALSE)</f>
        <v>#N/A</v>
      </c>
      <c r="G15" s="106" t="e">
        <f t="shared" si="4"/>
        <v>#N/A</v>
      </c>
      <c r="H15" s="97" t="str">
        <f>IF(VLOOKUP(A15,liste_groupe[],4,FALSE)="%",VLOOKUP(A15,liste_groupe[],3,FALSE)/100,IF(ISBLANK(VLOOKUP(A15,liste_groupe[],4,FALSE)),"Non","Non"))</f>
        <v>Non</v>
      </c>
      <c r="I15" s="106" t="e">
        <f t="shared" si="1"/>
        <v>#N/A</v>
      </c>
      <c r="J15" s="107">
        <v>64</v>
      </c>
      <c r="K15" s="108" t="e">
        <f t="shared" si="2"/>
        <v>#N/A</v>
      </c>
      <c r="L15" s="103"/>
      <c r="M15" s="109" t="e">
        <f t="shared" si="3"/>
        <v>#N/A</v>
      </c>
      <c r="N15" s="73" t="e">
        <f>IF(H15="Non",CONCATENATE(VLOOKUP(A15,liste_groupe[],5,FALSE),"-",VLOOKUP(A15,liste_groupe[],3,FALSE),VLOOKUP(A15,liste_groupe[],4,FALSE)," : ",ROUND(K15,0),"%"),CONCATENATE(VLOOKUP(A15,liste_groupe[],5,FALSE)," : ",ROUND(K15,0),"%"))</f>
        <v>#N/A</v>
      </c>
      <c r="O15"/>
    </row>
    <row r="16" spans="1:15" s="58" customFormat="1" ht="15.75" x14ac:dyDescent="0.25">
      <c r="A16" s="60" t="str">
        <f>'Page de garde'!A24</f>
        <v xml:space="preserve"> </v>
      </c>
      <c r="B16" s="78"/>
      <c r="C16" s="60"/>
      <c r="D16" s="60"/>
      <c r="E16" s="62"/>
      <c r="F16" s="77" t="e">
        <f>HLOOKUP(A16,'pooled normalised values'!$B$74:$AK$83,10,FALSE)</f>
        <v>#N/A</v>
      </c>
      <c r="G16" s="106" t="e">
        <f t="shared" si="4"/>
        <v>#N/A</v>
      </c>
      <c r="H16" s="97" t="str">
        <f>IF(VLOOKUP(A16,liste_groupe[],4,FALSE)="%",VLOOKUP(A16,liste_groupe[],3,FALSE)/100,IF(ISBLANK(VLOOKUP(A16,liste_groupe[],4,FALSE)),"Non","Non"))</f>
        <v>Non</v>
      </c>
      <c r="I16" s="106" t="e">
        <f t="shared" si="1"/>
        <v>#N/A</v>
      </c>
      <c r="J16" s="107">
        <v>64</v>
      </c>
      <c r="K16" s="108" t="e">
        <f t="shared" si="2"/>
        <v>#N/A</v>
      </c>
      <c r="L16" s="103"/>
      <c r="M16" s="109" t="e">
        <f t="shared" si="3"/>
        <v>#N/A</v>
      </c>
      <c r="N16" s="73" t="e">
        <f>IF(H16="Non",CONCATENATE(VLOOKUP(A16,liste_groupe[],5,FALSE),"-",VLOOKUP(A16,liste_groupe[],3,FALSE),VLOOKUP(A16,liste_groupe[],4,FALSE)," : ",ROUND(K16,0),"%"),CONCATENATE(VLOOKUP(A16,liste_groupe[],5,FALSE)," : ",ROUND(K16,0),"%"))</f>
        <v>#N/A</v>
      </c>
      <c r="O16"/>
    </row>
    <row r="17" spans="1:15" s="58" customFormat="1" ht="15.75" x14ac:dyDescent="0.25">
      <c r="A17" s="60" t="str">
        <f>'Page de garde'!A25</f>
        <v xml:space="preserve"> </v>
      </c>
      <c r="B17" s="78"/>
      <c r="C17" s="60"/>
      <c r="D17" s="60"/>
      <c r="E17" s="62"/>
      <c r="F17" s="77" t="e">
        <f>HLOOKUP(A17,'pooled normalised values'!$B$74:$AK$83,10,FALSE)</f>
        <v>#N/A</v>
      </c>
      <c r="G17" s="106" t="e">
        <f t="shared" si="4"/>
        <v>#N/A</v>
      </c>
      <c r="H17" s="97" t="str">
        <f>IF(VLOOKUP(A17,liste_groupe[],4,FALSE)="%",VLOOKUP(A17,liste_groupe[],3,FALSE)/100,IF(ISBLANK(VLOOKUP(A17,liste_groupe[],4,FALSE)),"Non","Non"))</f>
        <v>Non</v>
      </c>
      <c r="I17" s="106" t="e">
        <f t="shared" si="1"/>
        <v>#N/A</v>
      </c>
      <c r="J17" s="107">
        <v>64</v>
      </c>
      <c r="K17" s="108" t="e">
        <f t="shared" si="2"/>
        <v>#N/A</v>
      </c>
      <c r="L17" s="103"/>
      <c r="M17" s="109" t="e">
        <f t="shared" si="3"/>
        <v>#N/A</v>
      </c>
      <c r="N17" s="73" t="e">
        <f>IF(H17="Non",CONCATENATE(VLOOKUP(A17,liste_groupe[],5,FALSE),"-",VLOOKUP(A17,liste_groupe[],3,FALSE),VLOOKUP(A17,liste_groupe[],4,FALSE)," : ",ROUND(K17,0),"%"),CONCATENATE(VLOOKUP(A17,liste_groupe[],5,FALSE)," : ",ROUND(K17,0),"%"))</f>
        <v>#N/A</v>
      </c>
      <c r="O17"/>
    </row>
    <row r="18" spans="1:15" s="58" customFormat="1" ht="15.75" x14ac:dyDescent="0.25">
      <c r="A18" s="60" t="str">
        <f>'Page de garde'!A26</f>
        <v xml:space="preserve"> </v>
      </c>
      <c r="B18" s="78"/>
      <c r="C18" s="60"/>
      <c r="D18" s="60"/>
      <c r="E18" s="62"/>
      <c r="F18" s="77" t="e">
        <f>HLOOKUP(A18,'pooled normalised values'!$B$74:$AK$83,10,FALSE)</f>
        <v>#N/A</v>
      </c>
      <c r="G18" s="106" t="e">
        <f t="shared" si="4"/>
        <v>#N/A</v>
      </c>
      <c r="H18" s="97" t="str">
        <f>IF(VLOOKUP(A18,liste_groupe[],4,FALSE)="%",VLOOKUP(A18,liste_groupe[],3,FALSE)/100,IF(ISBLANK(VLOOKUP(A18,liste_groupe[],4,FALSE)),"Non","Non"))</f>
        <v>Non</v>
      </c>
      <c r="I18" s="106" t="e">
        <f t="shared" si="1"/>
        <v>#N/A</v>
      </c>
      <c r="J18" s="107">
        <v>64</v>
      </c>
      <c r="K18" s="108" t="e">
        <f t="shared" si="2"/>
        <v>#N/A</v>
      </c>
      <c r="L18" s="103"/>
      <c r="M18" s="109" t="e">
        <f t="shared" si="3"/>
        <v>#N/A</v>
      </c>
      <c r="N18" s="73" t="e">
        <f>IF(H18="Non",CONCATENATE(VLOOKUP(A18,liste_groupe[],5,FALSE),"-",VLOOKUP(A18,liste_groupe[],3,FALSE),VLOOKUP(A18,liste_groupe[],4,FALSE)," : ",ROUND(K18,0),"%"),CONCATENATE(VLOOKUP(A18,liste_groupe[],5,FALSE)," : ",ROUND(K18,0),"%"))</f>
        <v>#N/A</v>
      </c>
      <c r="O18"/>
    </row>
    <row r="19" spans="1:15" s="58" customFormat="1" ht="15.75" x14ac:dyDescent="0.25">
      <c r="A19" s="60" t="str">
        <f>'Page de garde'!A27</f>
        <v xml:space="preserve"> </v>
      </c>
      <c r="B19" s="78"/>
      <c r="C19" s="60"/>
      <c r="D19" s="60"/>
      <c r="E19" s="62"/>
      <c r="F19" s="77" t="e">
        <f>HLOOKUP(A19,'pooled normalised values'!$B$74:$AK$83,10,FALSE)</f>
        <v>#N/A</v>
      </c>
      <c r="G19" s="106" t="e">
        <f t="shared" si="4"/>
        <v>#N/A</v>
      </c>
      <c r="H19" s="97" t="str">
        <f>IF(VLOOKUP(A19,liste_groupe[],4,FALSE)="%",VLOOKUP(A19,liste_groupe[],3,FALSE)/100,IF(ISBLANK(VLOOKUP(A19,liste_groupe[],4,FALSE)),"Non","Non"))</f>
        <v>Non</v>
      </c>
      <c r="I19" s="106" t="e">
        <f t="shared" si="1"/>
        <v>#N/A</v>
      </c>
      <c r="J19" s="107">
        <v>64</v>
      </c>
      <c r="K19" s="108" t="e">
        <f t="shared" si="2"/>
        <v>#N/A</v>
      </c>
      <c r="L19" s="103"/>
      <c r="M19" s="109" t="e">
        <f t="shared" si="3"/>
        <v>#N/A</v>
      </c>
      <c r="N19" s="73" t="e">
        <f>IF(H19="Non",CONCATENATE(VLOOKUP(A19,liste_groupe[],5,FALSE),"-",VLOOKUP(A19,liste_groupe[],3,FALSE),VLOOKUP(A19,liste_groupe[],4,FALSE)," : ",ROUND(K19,0),"%"),CONCATENATE(VLOOKUP(A19,liste_groupe[],5,FALSE)," : ",ROUND(K19,0),"%"))</f>
        <v>#N/A</v>
      </c>
      <c r="O19"/>
    </row>
    <row r="20" spans="1:15" s="58" customFormat="1" ht="15.75" x14ac:dyDescent="0.25">
      <c r="A20" s="60" t="str">
        <f>'Page de garde'!A28</f>
        <v xml:space="preserve"> </v>
      </c>
      <c r="B20" s="78"/>
      <c r="C20" s="60"/>
      <c r="D20" s="60"/>
      <c r="E20" s="62"/>
      <c r="F20" s="77" t="e">
        <f>HLOOKUP(A20,'pooled normalised values'!$B$74:$AK$83,10,FALSE)</f>
        <v>#N/A</v>
      </c>
      <c r="G20" s="106" t="e">
        <f t="shared" si="4"/>
        <v>#N/A</v>
      </c>
      <c r="H20" s="97" t="str">
        <f>IF(VLOOKUP(A20,liste_groupe[],4,FALSE)="%",VLOOKUP(A20,liste_groupe[],3,FALSE)/100,IF(ISBLANK(VLOOKUP(A20,liste_groupe[],4,FALSE)),"Non","Non"))</f>
        <v>Non</v>
      </c>
      <c r="I20" s="106" t="e">
        <f t="shared" si="1"/>
        <v>#N/A</v>
      </c>
      <c r="J20" s="107">
        <v>64</v>
      </c>
      <c r="K20" s="108" t="e">
        <f t="shared" si="2"/>
        <v>#N/A</v>
      </c>
      <c r="L20" s="103"/>
      <c r="M20" s="109" t="e">
        <f t="shared" si="3"/>
        <v>#N/A</v>
      </c>
      <c r="N20" s="73" t="e">
        <f>IF(H20="Non",CONCATENATE(VLOOKUP(A20,liste_groupe[],5,FALSE),"-",VLOOKUP(A20,liste_groupe[],3,FALSE),VLOOKUP(A20,liste_groupe[],4,FALSE)," : ",ROUND(K20,0),"%"),CONCATENATE(VLOOKUP(A20,liste_groupe[],5,FALSE)," : ",ROUND(K20,0),"%"))</f>
        <v>#N/A</v>
      </c>
      <c r="O20"/>
    </row>
    <row r="21" spans="1:15" s="58" customFormat="1" ht="15.75" x14ac:dyDescent="0.25">
      <c r="A21" s="60" t="str">
        <f>'Page de garde'!A29</f>
        <v xml:space="preserve"> </v>
      </c>
      <c r="B21" s="78"/>
      <c r="C21" s="60"/>
      <c r="D21" s="60"/>
      <c r="E21" s="62"/>
      <c r="F21" s="77" t="e">
        <f>HLOOKUP(A21,'pooled normalised values'!$B$74:$AK$83,10,FALSE)</f>
        <v>#N/A</v>
      </c>
      <c r="G21" s="106" t="e">
        <f t="shared" si="4"/>
        <v>#N/A</v>
      </c>
      <c r="H21" s="97" t="str">
        <f>IF(VLOOKUP(A21,liste_groupe[],4,FALSE)="%",VLOOKUP(A21,liste_groupe[],3,FALSE)/100,IF(ISBLANK(VLOOKUP(A21,liste_groupe[],4,FALSE)),"Non","Non"))</f>
        <v>Non</v>
      </c>
      <c r="I21" s="106" t="e">
        <f t="shared" si="1"/>
        <v>#N/A</v>
      </c>
      <c r="J21" s="107">
        <v>64</v>
      </c>
      <c r="K21" s="108" t="e">
        <f t="shared" si="2"/>
        <v>#N/A</v>
      </c>
      <c r="L21" s="103"/>
      <c r="M21" s="109" t="e">
        <f t="shared" si="3"/>
        <v>#N/A</v>
      </c>
      <c r="N21" s="73" t="e">
        <f>IF(H21="Non",CONCATENATE(VLOOKUP(A21,liste_groupe[],5,FALSE),"-",VLOOKUP(A21,liste_groupe[],3,FALSE),VLOOKUP(A21,liste_groupe[],4,FALSE)," : ",ROUND(K21,0),"%"),CONCATENATE(VLOOKUP(A21,liste_groupe[],5,FALSE)," : ",ROUND(K21,0),"%"))</f>
        <v>#N/A</v>
      </c>
      <c r="O21"/>
    </row>
    <row r="22" spans="1:15" s="58" customFormat="1" ht="15.75" x14ac:dyDescent="0.25">
      <c r="A22" s="60" t="str">
        <f>'Page de garde'!A30</f>
        <v xml:space="preserve"> </v>
      </c>
      <c r="B22" s="78"/>
      <c r="C22" s="60"/>
      <c r="D22" s="60"/>
      <c r="E22" s="62"/>
      <c r="F22" s="77" t="e">
        <f>HLOOKUP(A22,'pooled normalised values'!$B$74:$AK$83,10,FALSE)</f>
        <v>#N/A</v>
      </c>
      <c r="G22" s="106" t="e">
        <f t="shared" si="4"/>
        <v>#N/A</v>
      </c>
      <c r="H22" s="97" t="str">
        <f>IF(VLOOKUP(A22,liste_groupe[],4,FALSE)="%",VLOOKUP(A22,liste_groupe[],3,FALSE)/100,IF(ISBLANK(VLOOKUP(A22,liste_groupe[],4,FALSE)),"Non","Non"))</f>
        <v>Non</v>
      </c>
      <c r="I22" s="106" t="e">
        <f t="shared" si="1"/>
        <v>#N/A</v>
      </c>
      <c r="J22" s="107">
        <v>64</v>
      </c>
      <c r="K22" s="108" t="e">
        <f t="shared" si="2"/>
        <v>#N/A</v>
      </c>
      <c r="L22" s="103"/>
      <c r="M22" s="109" t="e">
        <f t="shared" si="3"/>
        <v>#N/A</v>
      </c>
      <c r="N22" s="73" t="e">
        <f>IF(H22="Non",CONCATENATE(VLOOKUP(A22,liste_groupe[],5,FALSE),"-",VLOOKUP(A22,liste_groupe[],3,FALSE),VLOOKUP(A22,liste_groupe[],4,FALSE)," : ",ROUND(K22,0),"%"),CONCATENATE(VLOOKUP(A22,liste_groupe[],5,FALSE)," : ",ROUND(K22,0),"%"))</f>
        <v>#N/A</v>
      </c>
      <c r="O22"/>
    </row>
    <row r="23" spans="1:15" s="58" customFormat="1" ht="15.75" x14ac:dyDescent="0.25">
      <c r="A23" s="60" t="str">
        <f>'Page de garde'!A31</f>
        <v xml:space="preserve"> </v>
      </c>
      <c r="B23" s="78"/>
      <c r="C23" s="60"/>
      <c r="D23" s="60"/>
      <c r="E23" s="62"/>
      <c r="F23" s="77" t="e">
        <f>HLOOKUP(A23,'pooled normalised values'!$B$74:$AK$83,10,FALSE)</f>
        <v>#N/A</v>
      </c>
      <c r="G23" s="106" t="e">
        <f t="shared" si="4"/>
        <v>#N/A</v>
      </c>
      <c r="H23" s="97" t="str">
        <f>IF(VLOOKUP(A23,liste_groupe[],4,FALSE)="%",VLOOKUP(A23,liste_groupe[],3,FALSE)/100,IF(ISBLANK(VLOOKUP(A23,liste_groupe[],4,FALSE)),"Non","Non"))</f>
        <v>Non</v>
      </c>
      <c r="I23" s="106" t="e">
        <f t="shared" si="1"/>
        <v>#N/A</v>
      </c>
      <c r="J23" s="107">
        <v>64</v>
      </c>
      <c r="K23" s="108" t="e">
        <f t="shared" si="2"/>
        <v>#N/A</v>
      </c>
      <c r="L23" s="103"/>
      <c r="M23" s="109" t="e">
        <f t="shared" si="3"/>
        <v>#N/A</v>
      </c>
      <c r="N23" s="73" t="e">
        <f>IF(H23="Non",CONCATENATE(VLOOKUP(A23,liste_groupe[],5,FALSE),"-",VLOOKUP(A23,liste_groupe[],3,FALSE),VLOOKUP(A23,liste_groupe[],4,FALSE)," : ",ROUND(K23,0),"%"),CONCATENATE(VLOOKUP(A23,liste_groupe[],5,FALSE)," : ",ROUND(K23,0),"%"))</f>
        <v>#N/A</v>
      </c>
      <c r="O23"/>
    </row>
    <row r="24" spans="1:15" s="58" customFormat="1" ht="15.75" x14ac:dyDescent="0.25">
      <c r="A24" s="60" t="str">
        <f>'Page de garde'!A32</f>
        <v xml:space="preserve"> </v>
      </c>
      <c r="B24" s="78"/>
      <c r="C24" s="60"/>
      <c r="D24" s="60"/>
      <c r="E24" s="62"/>
      <c r="F24" s="77" t="e">
        <f>HLOOKUP(A24,'pooled normalised values'!$B$74:$AK$83,10,FALSE)</f>
        <v>#N/A</v>
      </c>
      <c r="G24" s="106" t="e">
        <f t="shared" si="4"/>
        <v>#N/A</v>
      </c>
      <c r="H24" s="97" t="str">
        <f>IF(VLOOKUP(A24,liste_groupe[],4,FALSE)="%",VLOOKUP(A24,liste_groupe[],3,FALSE)/100,IF(ISBLANK(VLOOKUP(A24,liste_groupe[],4,FALSE)),"Non","Non"))</f>
        <v>Non</v>
      </c>
      <c r="I24" s="106" t="e">
        <f t="shared" si="1"/>
        <v>#N/A</v>
      </c>
      <c r="J24" s="107">
        <v>64</v>
      </c>
      <c r="K24" s="108" t="e">
        <f t="shared" si="2"/>
        <v>#N/A</v>
      </c>
      <c r="L24" s="103"/>
      <c r="M24" s="109" t="e">
        <f t="shared" si="3"/>
        <v>#N/A</v>
      </c>
      <c r="N24" s="73" t="e">
        <f>IF(H24="Non",CONCATENATE(VLOOKUP(A24,liste_groupe[],5,FALSE),"-",VLOOKUP(A24,liste_groupe[],3,FALSE),VLOOKUP(A24,liste_groupe[],4,FALSE)," : ",ROUND(K24,0),"%"),CONCATENATE(VLOOKUP(A24,liste_groupe[],5,FALSE)," : ",ROUND(K24,0),"%"))</f>
        <v>#N/A</v>
      </c>
      <c r="O24"/>
    </row>
    <row r="25" spans="1:15" s="58" customFormat="1" ht="15.75" x14ac:dyDescent="0.25">
      <c r="A25" s="60" t="str">
        <f>'Page de garde'!A33</f>
        <v xml:space="preserve"> </v>
      </c>
      <c r="B25" s="78"/>
      <c r="C25" s="60"/>
      <c r="D25" s="60"/>
      <c r="E25" s="62"/>
      <c r="F25" s="77" t="e">
        <f>HLOOKUP(A25,'pooled normalised values'!$B$74:$AK$83,10,FALSE)</f>
        <v>#N/A</v>
      </c>
      <c r="G25" s="106" t="e">
        <f t="shared" si="4"/>
        <v>#N/A</v>
      </c>
      <c r="H25" s="97" t="str">
        <f>IF(VLOOKUP(A25,liste_groupe[],4,FALSE)="%",VLOOKUP(A25,liste_groupe[],3,FALSE)/100,IF(ISBLANK(VLOOKUP(A25,liste_groupe[],4,FALSE)),"Non","Non"))</f>
        <v>Non</v>
      </c>
      <c r="I25" s="106" t="e">
        <f t="shared" si="1"/>
        <v>#N/A</v>
      </c>
      <c r="J25" s="107">
        <v>64</v>
      </c>
      <c r="K25" s="108" t="e">
        <f t="shared" si="2"/>
        <v>#N/A</v>
      </c>
      <c r="L25" s="103"/>
      <c r="M25" s="109" t="e">
        <f t="shared" si="3"/>
        <v>#N/A</v>
      </c>
      <c r="N25" s="73" t="e">
        <f>IF(H25="Non",CONCATENATE(VLOOKUP(A25,liste_groupe[],5,FALSE),"-",VLOOKUP(A25,liste_groupe[],3,FALSE),VLOOKUP(A25,liste_groupe[],4,FALSE)," : ",ROUND(K25,0),"%"),CONCATENATE(VLOOKUP(A25,liste_groupe[],5,FALSE)," : ",ROUND(K25,0),"%"))</f>
        <v>#N/A</v>
      </c>
      <c r="O25"/>
    </row>
    <row r="26" spans="1:15" s="58" customFormat="1" ht="15.75" x14ac:dyDescent="0.25">
      <c r="A26" s="60" t="str">
        <f>'Page de garde'!A34</f>
        <v xml:space="preserve"> </v>
      </c>
      <c r="B26" s="63"/>
      <c r="C26" s="66"/>
      <c r="D26" s="66"/>
      <c r="E26" s="62"/>
      <c r="F26" s="77" t="e">
        <f>HLOOKUP(A26,'pooled normalised values'!$B$74:$AK$83,10,FALSE)</f>
        <v>#N/A</v>
      </c>
      <c r="G26" s="106" t="e">
        <f t="shared" ref="G26" si="5">IF(F26="NS","NC",ROUND(B26,2-(1+INT(LOG10(ABS(B26))))))</f>
        <v>#N/A</v>
      </c>
      <c r="H26" s="97" t="str">
        <f>IF(VLOOKUP(A26,liste_groupe[],4,FALSE)="%",VLOOKUP(A26,liste_groupe[],3,FALSE)/100,IF(ISBLANK(VLOOKUP(A26,liste_groupe[],4,FALSE)),"Non","Non"))</f>
        <v>Non</v>
      </c>
      <c r="I26" s="106" t="e">
        <f t="shared" si="1"/>
        <v>#N/A</v>
      </c>
      <c r="J26" s="107">
        <v>64</v>
      </c>
      <c r="K26" s="108" t="e">
        <f t="shared" si="2"/>
        <v>#N/A</v>
      </c>
      <c r="L26" s="103"/>
      <c r="M26" s="109" t="e">
        <f t="shared" si="3"/>
        <v>#N/A</v>
      </c>
      <c r="N26" s="73" t="e">
        <f>IF(H26="Non",CONCATENATE(VLOOKUP(A26,liste_groupe[],5,FALSE),"-",VLOOKUP(A26,liste_groupe[],3,FALSE),VLOOKUP(A26,liste_groupe[],4,FALSE)," : ",ROUND(K26,0),"%"),CONCATENATE(VLOOKUP(A26,liste_groupe[],5,FALSE)," : ",ROUND(K26,0),"%"))</f>
        <v>#N/A</v>
      </c>
      <c r="O26"/>
    </row>
    <row r="27" spans="1:15" s="58" customFormat="1" ht="15.75" x14ac:dyDescent="0.25">
      <c r="A27"/>
      <c r="B27"/>
      <c r="C27"/>
      <c r="D27"/>
      <c r="E27"/>
      <c r="F27"/>
      <c r="G27"/>
      <c r="H27"/>
      <c r="I27"/>
      <c r="J27"/>
      <c r="K27"/>
      <c r="L27"/>
      <c r="M27"/>
      <c r="N27"/>
      <c r="O27"/>
    </row>
    <row r="28" spans="1:15" s="58" customFormat="1" ht="32.25" thickBot="1" x14ac:dyDescent="0.3">
      <c r="A28"/>
      <c r="B28" s="68" t="s">
        <v>25</v>
      </c>
      <c r="C28" s="68" t="s">
        <v>26</v>
      </c>
      <c r="D28" s="68" t="s">
        <v>27</v>
      </c>
      <c r="E28" s="69" t="s">
        <v>64</v>
      </c>
      <c r="F28" s="104" t="s">
        <v>80</v>
      </c>
      <c r="G28" s="68" t="s">
        <v>42</v>
      </c>
      <c r="H28" s="68" t="s">
        <v>65</v>
      </c>
      <c r="I28" s="68" t="s">
        <v>66</v>
      </c>
      <c r="J28" s="75" t="s">
        <v>77</v>
      </c>
      <c r="K28" s="75" t="s">
        <v>67</v>
      </c>
      <c r="L28" s="76" t="s">
        <v>76</v>
      </c>
      <c r="M28" s="76" t="s">
        <v>68</v>
      </c>
      <c r="N28" s="76" t="s">
        <v>69</v>
      </c>
      <c r="O28"/>
    </row>
    <row r="29" spans="1:15" s="58" customFormat="1" ht="15.75" x14ac:dyDescent="0.25">
      <c r="A29" s="64" t="s">
        <v>29</v>
      </c>
      <c r="B29" s="78"/>
      <c r="C29" s="60"/>
      <c r="D29" s="60"/>
      <c r="E29" s="62"/>
      <c r="F29" s="71"/>
      <c r="G29" s="111"/>
      <c r="H29" s="98"/>
      <c r="I29" s="98"/>
      <c r="J29" s="99"/>
      <c r="K29" s="100"/>
      <c r="L29" s="102"/>
      <c r="M29" s="99"/>
      <c r="N29" s="72"/>
      <c r="O29"/>
    </row>
    <row r="30" spans="1:15" s="58" customFormat="1" ht="15.75" x14ac:dyDescent="0.25">
      <c r="A30" s="64" t="s">
        <v>31</v>
      </c>
      <c r="B30" s="78"/>
      <c r="C30" s="60"/>
      <c r="D30" s="60"/>
      <c r="E30" s="62"/>
      <c r="F30" s="71"/>
      <c r="G30" s="110" t="e">
        <f>IF(F30="NS","NC",ROUND(B30-$B$29,2-(1+INT(LOG10(ABS(B30-$B$29))))))</f>
        <v>#NUM!</v>
      </c>
      <c r="H30" s="98"/>
      <c r="I30" s="111"/>
      <c r="J30" s="112"/>
      <c r="K30" s="113"/>
      <c r="L30" s="112"/>
      <c r="M30" s="112"/>
      <c r="N30" s="72"/>
      <c r="O30"/>
    </row>
    <row r="31" spans="1:15" s="58" customFormat="1" ht="15.75" x14ac:dyDescent="0.25">
      <c r="A31" s="64" t="s">
        <v>30</v>
      </c>
      <c r="B31" s="78"/>
      <c r="C31" s="60"/>
      <c r="D31" s="60"/>
      <c r="E31" s="62"/>
      <c r="F31" s="71"/>
      <c r="G31" s="110" t="e">
        <f t="shared" ref="G31:G51" si="6">IF(F31="NS","NC",ROUND(B31-$B$29,2-(1+INT(LOG10(ABS(B31-$B$29))))))</f>
        <v>#NUM!</v>
      </c>
      <c r="H31" s="98"/>
      <c r="I31" s="111"/>
      <c r="J31" s="112"/>
      <c r="K31" s="113"/>
      <c r="L31" s="112"/>
      <c r="M31" s="112"/>
      <c r="N31" s="72"/>
    </row>
    <row r="32" spans="1:15" s="58" customFormat="1" ht="15.75" x14ac:dyDescent="0.25">
      <c r="A32" s="105" t="str">
        <f>'Page de garde'!A39</f>
        <v>Triphénylphosphate-0,18mg/L + Testostérone</v>
      </c>
      <c r="B32" s="78"/>
      <c r="C32" s="60"/>
      <c r="D32" s="60"/>
      <c r="E32" s="62"/>
      <c r="F32" s="74" t="str">
        <f>HLOOKUP(A32,'pooled normalised values'!$B$74:$AK$83,10,FALSE)</f>
        <v>NS</v>
      </c>
      <c r="G32" s="110" t="str">
        <f t="shared" si="6"/>
        <v>NC</v>
      </c>
      <c r="H32" s="101" t="str">
        <f>IF(VLOOKUP(A32,liste_groupe[],4,FALSE)="%",VLOOKUP(A32,liste_groupe[],3,FALSE)/100,IF(ISBLANK(VLOOKUP(A32,liste_groupe[],4,FALSE)),"Non","Non"))</f>
        <v>Non</v>
      </c>
      <c r="I32" s="110" t="str">
        <f>IF(F32="NS","NC",IF(H32="Non",G32,G32*(1/H32)))</f>
        <v>NC</v>
      </c>
      <c r="J32" s="114" t="e">
        <f>IF(G32&lt;0,$G$31,$G$30)</f>
        <v>#NUM!</v>
      </c>
      <c r="K32" s="115">
        <f>IF(F32="NS",0,IF(I32&lt;0,-ROUND(I32/J32*100,0),ROUND(I32/J32*100,0)))</f>
        <v>0</v>
      </c>
      <c r="L32" s="116">
        <v>1</v>
      </c>
      <c r="M32" s="109">
        <f>IF(I32&lt;0,IF(K32&lt;-100,-125,K32),IF(K32&gt;100,125,K32))</f>
        <v>0</v>
      </c>
      <c r="N32" s="73" t="str">
        <f>IF(H32="Non",CONCATENATE(VLOOKUP(A32,liste_groupe[],5,FALSE),"-",VLOOKUP(A32,liste_groupe[],3,FALSE),VLOOKUP(A32,liste_groupe[],4,FALSE)," : ",ROUND(K32,0),"%"),CONCATENATE(VLOOKUP(A32,liste_groupe[],5,FALSE)," : ",ROUND(K32,0),"%"))</f>
        <v>Triphénylphosphate-0,18mg/L : 0%</v>
      </c>
    </row>
    <row r="33" spans="1:14" s="58" customFormat="1" ht="15.75" x14ac:dyDescent="0.25">
      <c r="A33" s="105" t="str">
        <f>'Page de garde'!A40</f>
        <v>Triphénylphosphate-0,26mg/L + Testostérone</v>
      </c>
      <c r="B33" s="63"/>
      <c r="C33" s="67"/>
      <c r="D33" s="67"/>
      <c r="E33" s="62"/>
      <c r="F33" s="74" t="str">
        <f>HLOOKUP(A33,'pooled normalised values'!$B$74:$AK$83,10,FALSE)</f>
        <v>***</v>
      </c>
      <c r="G33" s="110" t="e">
        <f>IF(F33="NS","NC",ROUND(B33-$B$29,2-(1+INT(LOG10(ABS(B33-$B$29))))))</f>
        <v>#NUM!</v>
      </c>
      <c r="H33" s="101" t="str">
        <f>IF(VLOOKUP(A33,liste_groupe[],4,FALSE)="%",VLOOKUP(A33,liste_groupe[],3,FALSE)/100,IF(ISBLANK(VLOOKUP(A33,liste_groupe[],4,FALSE)),"Non","Non"))</f>
        <v>Non</v>
      </c>
      <c r="I33" s="110" t="e">
        <f t="shared" ref="I33:I51" si="7">IF(F33="NS","NC",IF(H33="Non",G33,G33*(1/H33)))</f>
        <v>#NUM!</v>
      </c>
      <c r="J33" s="114" t="e">
        <f t="shared" ref="J33:J51" si="8">IF(G33&lt;0,$G$31,$G$30)</f>
        <v>#NUM!</v>
      </c>
      <c r="K33" s="115" t="e">
        <f t="shared" ref="K33:K51" si="9">IF(F33="NS",0,IF(I33&lt;0,-ROUND(I33/J33*100,0),ROUND(I33/J33*100,0)))</f>
        <v>#NUM!</v>
      </c>
      <c r="L33" s="116"/>
      <c r="M33" s="109" t="e">
        <f t="shared" ref="M33:M51" si="10">IF(I33&lt;0,IF(K33&lt;-100,-125,K33),IF(K33&gt;100,125,K33))</f>
        <v>#NUM!</v>
      </c>
      <c r="N33" s="73" t="e">
        <f>IF(H33="Non",CONCATENATE(VLOOKUP(A33,liste_groupe[],5,FALSE),"-",VLOOKUP(A33,liste_groupe[],3,FALSE),VLOOKUP(A33,liste_groupe[],4,FALSE)," : ",ROUND(K33,0),"%"),CONCATENATE(VLOOKUP(A33,liste_groupe[],5,FALSE)," : ",ROUND(K33,0),"%"))</f>
        <v>#NUM!</v>
      </c>
    </row>
    <row r="34" spans="1:14" s="58" customFormat="1" ht="15.75" x14ac:dyDescent="0.25">
      <c r="A34" s="105" t="str">
        <f>'Page de garde'!A41</f>
        <v>Triphénylphosphate-0,4mg/L + Testostérone</v>
      </c>
      <c r="B34" s="78"/>
      <c r="C34" s="60"/>
      <c r="D34" s="60"/>
      <c r="E34" s="62"/>
      <c r="F34" s="74" t="str">
        <f>HLOOKUP(A34,'pooled normalised values'!$B$74:$AK$83,10,FALSE)</f>
        <v>***</v>
      </c>
      <c r="G34" s="110" t="e">
        <f t="shared" si="6"/>
        <v>#NUM!</v>
      </c>
      <c r="H34" s="101" t="str">
        <f>IF(VLOOKUP(A34,liste_groupe[],4,FALSE)="%",VLOOKUP(A34,liste_groupe[],3,FALSE)/100,IF(ISBLANK(VLOOKUP(A34,liste_groupe[],4,FALSE)),"Non","Non"))</f>
        <v>Non</v>
      </c>
      <c r="I34" s="110" t="e">
        <f t="shared" si="7"/>
        <v>#NUM!</v>
      </c>
      <c r="J34" s="114" t="e">
        <f t="shared" si="8"/>
        <v>#NUM!</v>
      </c>
      <c r="K34" s="115" t="e">
        <f t="shared" si="9"/>
        <v>#NUM!</v>
      </c>
      <c r="L34" s="116"/>
      <c r="M34" s="109" t="e">
        <f t="shared" si="10"/>
        <v>#NUM!</v>
      </c>
      <c r="N34" s="73" t="e">
        <f>IF(H34="Non",CONCATENATE(VLOOKUP(A34,liste_groupe[],5,FALSE),"-",VLOOKUP(A34,liste_groupe[],3,FALSE),VLOOKUP(A34,liste_groupe[],4,FALSE)," : ",ROUND(K34,0),"%"),CONCATENATE(VLOOKUP(A34,liste_groupe[],5,FALSE)," : ",ROUND(K34,0),"%"))</f>
        <v>#NUM!</v>
      </c>
    </row>
    <row r="35" spans="1:14" s="58" customFormat="1" ht="15.75" x14ac:dyDescent="0.25">
      <c r="A35" s="105" t="str">
        <f>'Page de garde'!A42</f>
        <v>Triphénylphosphate-0,59mg/L + Testostérone</v>
      </c>
      <c r="B35" s="63"/>
      <c r="C35" s="67"/>
      <c r="D35" s="67"/>
      <c r="E35" s="62"/>
      <c r="F35" s="74" t="str">
        <f>HLOOKUP(A35,'pooled normalised values'!$B$74:$AK$83,10,FALSE)</f>
        <v>***</v>
      </c>
      <c r="G35" s="110" t="e">
        <f t="shared" si="6"/>
        <v>#NUM!</v>
      </c>
      <c r="H35" s="101" t="str">
        <f>IF(VLOOKUP(A35,liste_groupe[],4,FALSE)="%",VLOOKUP(A35,liste_groupe[],3,FALSE)/100,IF(ISBLANK(VLOOKUP(A35,liste_groupe[],4,FALSE)),"Non","Non"))</f>
        <v>Non</v>
      </c>
      <c r="I35" s="110" t="e">
        <f t="shared" si="7"/>
        <v>#NUM!</v>
      </c>
      <c r="J35" s="114" t="e">
        <f t="shared" si="8"/>
        <v>#NUM!</v>
      </c>
      <c r="K35" s="115" t="e">
        <f t="shared" si="9"/>
        <v>#NUM!</v>
      </c>
      <c r="L35" s="116"/>
      <c r="M35" s="109" t="e">
        <f t="shared" si="10"/>
        <v>#NUM!</v>
      </c>
      <c r="N35" s="73" t="e">
        <f>IF(H35="Non",CONCATENATE(VLOOKUP(A35,liste_groupe[],5,FALSE),"-",VLOOKUP(A35,liste_groupe[],3,FALSE),VLOOKUP(A35,liste_groupe[],4,FALSE)," : ",ROUND(K35,0),"%"),CONCATENATE(VLOOKUP(A35,liste_groupe[],5,FALSE)," : ",ROUND(K35,0),"%"))</f>
        <v>#NUM!</v>
      </c>
    </row>
    <row r="36" spans="1:14" s="58" customFormat="1" ht="15.75" x14ac:dyDescent="0.25">
      <c r="A36" s="105" t="str">
        <f>'Page de garde'!A43</f>
        <v>Triphénylphosphate-0,89mg/L + Testostérone</v>
      </c>
      <c r="B36" s="63"/>
      <c r="C36" s="67"/>
      <c r="D36" s="67"/>
      <c r="E36" s="62"/>
      <c r="F36" s="74" t="str">
        <f>HLOOKUP(A36,'pooled normalised values'!$B$74:$AK$83,10,FALSE)</f>
        <v>***</v>
      </c>
      <c r="G36" s="110" t="e">
        <f t="shared" si="6"/>
        <v>#NUM!</v>
      </c>
      <c r="H36" s="101" t="str">
        <f>IF(VLOOKUP(A36,liste_groupe[],4,FALSE)="%",VLOOKUP(A36,liste_groupe[],3,FALSE)/100,IF(ISBLANK(VLOOKUP(A36,liste_groupe[],4,FALSE)),"Non","Non"))</f>
        <v>Non</v>
      </c>
      <c r="I36" s="110" t="e">
        <f t="shared" si="7"/>
        <v>#NUM!</v>
      </c>
      <c r="J36" s="114" t="e">
        <f t="shared" si="8"/>
        <v>#NUM!</v>
      </c>
      <c r="K36" s="115" t="e">
        <f t="shared" si="9"/>
        <v>#NUM!</v>
      </c>
      <c r="L36" s="116"/>
      <c r="M36" s="109" t="e">
        <f t="shared" si="10"/>
        <v>#NUM!</v>
      </c>
      <c r="N36" s="73" t="e">
        <f>IF(H36="Non",CONCATENATE(VLOOKUP(A36,liste_groupe[],5,FALSE),"-",VLOOKUP(A36,liste_groupe[],3,FALSE),VLOOKUP(A36,liste_groupe[],4,FALSE)," : ",ROUND(K36,0),"%"),CONCATENATE(VLOOKUP(A36,liste_groupe[],5,FALSE)," : ",ROUND(K36,0),"%"))</f>
        <v>#NUM!</v>
      </c>
    </row>
    <row r="37" spans="1:14" s="58" customFormat="1" ht="15.75" x14ac:dyDescent="0.25">
      <c r="A37" s="105" t="str">
        <f>'Page de garde'!A44</f>
        <v>0-00 + Testostérone</v>
      </c>
      <c r="B37" s="63"/>
      <c r="C37" s="67"/>
      <c r="D37" s="67"/>
      <c r="E37" s="62"/>
      <c r="F37" s="74" t="e">
        <f>HLOOKUP(A37,'pooled normalised values'!$B$74:$AK$83,10,FALSE)</f>
        <v>#N/A</v>
      </c>
      <c r="G37" s="110" t="e">
        <f t="shared" si="6"/>
        <v>#N/A</v>
      </c>
      <c r="H37" s="101" t="str">
        <f>IF(VLOOKUP(A37,liste_groupe[],4,FALSE)="%",VLOOKUP(A37,liste_groupe[],3,FALSE)/100,IF(ISBLANK(VLOOKUP(A37,liste_groupe[],4,FALSE)),"Non","Non"))</f>
        <v>Non</v>
      </c>
      <c r="I37" s="110" t="e">
        <f t="shared" si="7"/>
        <v>#N/A</v>
      </c>
      <c r="J37" s="114" t="e">
        <f t="shared" si="8"/>
        <v>#N/A</v>
      </c>
      <c r="K37" s="115" t="e">
        <f t="shared" si="9"/>
        <v>#N/A</v>
      </c>
      <c r="L37" s="116"/>
      <c r="M37" s="109" t="e">
        <f t="shared" si="10"/>
        <v>#N/A</v>
      </c>
      <c r="N37" s="73" t="e">
        <f>IF(H37="Non",CONCATENATE(VLOOKUP(A37,liste_groupe[],5,FALSE),"-",VLOOKUP(A37,liste_groupe[],3,FALSE),VLOOKUP(A37,liste_groupe[],4,FALSE)," : ",ROUND(K37,0),"%"),CONCATENATE(VLOOKUP(A37,liste_groupe[],5,FALSE)," : ",ROUND(K37,0),"%"))</f>
        <v>#N/A</v>
      </c>
    </row>
    <row r="38" spans="1:14" s="58" customFormat="1" ht="15.75" x14ac:dyDescent="0.25">
      <c r="A38" s="105" t="str">
        <f>'Page de garde'!A45</f>
        <v>0-00 + Testostérone</v>
      </c>
      <c r="B38" s="63"/>
      <c r="C38" s="67"/>
      <c r="D38" s="67"/>
      <c r="E38" s="62"/>
      <c r="F38" s="74" t="e">
        <f>HLOOKUP(A38,'pooled normalised values'!$B$74:$AK$83,10,FALSE)</f>
        <v>#N/A</v>
      </c>
      <c r="G38" s="110" t="e">
        <f t="shared" si="6"/>
        <v>#N/A</v>
      </c>
      <c r="H38" s="101" t="str">
        <f>IF(VLOOKUP(A38,liste_groupe[],4,FALSE)="%",VLOOKUP(A38,liste_groupe[],3,FALSE)/100,IF(ISBLANK(VLOOKUP(A38,liste_groupe[],4,FALSE)),"Non","Non"))</f>
        <v>Non</v>
      </c>
      <c r="I38" s="110" t="e">
        <f t="shared" si="7"/>
        <v>#N/A</v>
      </c>
      <c r="J38" s="114" t="e">
        <f t="shared" si="8"/>
        <v>#N/A</v>
      </c>
      <c r="K38" s="115" t="e">
        <f t="shared" si="9"/>
        <v>#N/A</v>
      </c>
      <c r="L38" s="116"/>
      <c r="M38" s="109" t="e">
        <f t="shared" si="10"/>
        <v>#N/A</v>
      </c>
      <c r="N38" s="73" t="e">
        <f>IF(H38="Non",CONCATENATE(VLOOKUP(A38,liste_groupe[],5,FALSE),"-",VLOOKUP(A38,liste_groupe[],3,FALSE),VLOOKUP(A38,liste_groupe[],4,FALSE)," : ",ROUND(K38,0),"%"),CONCATENATE(VLOOKUP(A38,liste_groupe[],5,FALSE)," : ",ROUND(K38,0),"%"))</f>
        <v>#N/A</v>
      </c>
    </row>
    <row r="39" spans="1:14" s="58" customFormat="1" ht="15.75" x14ac:dyDescent="0.25">
      <c r="A39" s="105" t="str">
        <f>'Page de garde'!A46</f>
        <v>0-00 + Testostérone</v>
      </c>
      <c r="B39" s="63"/>
      <c r="C39" s="67"/>
      <c r="D39" s="67"/>
      <c r="E39" s="62"/>
      <c r="F39" s="74" t="e">
        <f>HLOOKUP(A39,'pooled normalised values'!$B$74:$AK$83,10,FALSE)</f>
        <v>#N/A</v>
      </c>
      <c r="G39" s="110" t="e">
        <f t="shared" ref="G39:G50" si="11">IF(F39="NS","NC",ROUND(B39-$B$29,2-(1+INT(LOG10(ABS(B39-$B$29))))))</f>
        <v>#N/A</v>
      </c>
      <c r="H39" s="101" t="str">
        <f>IF(VLOOKUP(A39,liste_groupe[],4,FALSE)="%",VLOOKUP(A39,liste_groupe[],3,FALSE)/100,IF(ISBLANK(VLOOKUP(A39,liste_groupe[],4,FALSE)),"Non","Non"))</f>
        <v>Non</v>
      </c>
      <c r="I39" s="110" t="e">
        <f t="shared" si="7"/>
        <v>#N/A</v>
      </c>
      <c r="J39" s="114" t="e">
        <f t="shared" ref="J39:J50" si="12">IF(G39&lt;0,$G$31,$G$30)</f>
        <v>#N/A</v>
      </c>
      <c r="K39" s="115" t="e">
        <f t="shared" si="9"/>
        <v>#N/A</v>
      </c>
      <c r="L39" s="116"/>
      <c r="M39" s="109" t="e">
        <f t="shared" si="10"/>
        <v>#N/A</v>
      </c>
      <c r="N39" s="73" t="e">
        <f>IF(H39="Non",CONCATENATE(VLOOKUP(A39,liste_groupe[],5,FALSE),"-",VLOOKUP(A39,liste_groupe[],3,FALSE),VLOOKUP(A39,liste_groupe[],4,FALSE)," : ",ROUND(K39,0),"%"),CONCATENATE(VLOOKUP(A39,liste_groupe[],5,FALSE)," : ",ROUND(K39,0),"%"))</f>
        <v>#N/A</v>
      </c>
    </row>
    <row r="40" spans="1:14" s="58" customFormat="1" ht="15.75" x14ac:dyDescent="0.25">
      <c r="A40" s="105" t="str">
        <f>'Page de garde'!A47</f>
        <v>0-00 + Testostérone</v>
      </c>
      <c r="B40" s="63"/>
      <c r="C40" s="67"/>
      <c r="D40" s="67"/>
      <c r="E40" s="62"/>
      <c r="F40" s="74" t="e">
        <f>HLOOKUP(A40,'pooled normalised values'!$B$74:$AK$83,10,FALSE)</f>
        <v>#N/A</v>
      </c>
      <c r="G40" s="110" t="e">
        <f t="shared" si="11"/>
        <v>#N/A</v>
      </c>
      <c r="H40" s="101" t="str">
        <f>IF(VLOOKUP(A40,liste_groupe[],4,FALSE)="%",VLOOKUP(A40,liste_groupe[],3,FALSE)/100,IF(ISBLANK(VLOOKUP(A40,liste_groupe[],4,FALSE)),"Non","Non"))</f>
        <v>Non</v>
      </c>
      <c r="I40" s="110" t="e">
        <f t="shared" si="7"/>
        <v>#N/A</v>
      </c>
      <c r="J40" s="114" t="e">
        <f t="shared" si="12"/>
        <v>#N/A</v>
      </c>
      <c r="K40" s="115" t="e">
        <f t="shared" si="9"/>
        <v>#N/A</v>
      </c>
      <c r="L40" s="116"/>
      <c r="M40" s="109" t="e">
        <f t="shared" si="10"/>
        <v>#N/A</v>
      </c>
      <c r="N40" s="73" t="e">
        <f>IF(H40="Non",CONCATENATE(VLOOKUP(A40,liste_groupe[],5,FALSE),"-",VLOOKUP(A40,liste_groupe[],3,FALSE),VLOOKUP(A40,liste_groupe[],4,FALSE)," : ",ROUND(K40,0),"%"),CONCATENATE(VLOOKUP(A40,liste_groupe[],5,FALSE)," : ",ROUND(K40,0),"%"))</f>
        <v>#N/A</v>
      </c>
    </row>
    <row r="41" spans="1:14" s="58" customFormat="1" ht="15.75" x14ac:dyDescent="0.25">
      <c r="A41" s="105" t="str">
        <f>'Page de garde'!A48</f>
        <v>0-00 + Testostérone</v>
      </c>
      <c r="B41" s="63"/>
      <c r="C41" s="67"/>
      <c r="D41" s="67"/>
      <c r="E41" s="62"/>
      <c r="F41" s="74" t="e">
        <f>HLOOKUP(A41,'pooled normalised values'!$B$74:$AK$83,10,FALSE)</f>
        <v>#N/A</v>
      </c>
      <c r="G41" s="110" t="e">
        <f t="shared" si="11"/>
        <v>#N/A</v>
      </c>
      <c r="H41" s="101" t="str">
        <f>IF(VLOOKUP(A41,liste_groupe[],4,FALSE)="%",VLOOKUP(A41,liste_groupe[],3,FALSE)/100,IF(ISBLANK(VLOOKUP(A41,liste_groupe[],4,FALSE)),"Non","Non"))</f>
        <v>Non</v>
      </c>
      <c r="I41" s="110" t="e">
        <f t="shared" si="7"/>
        <v>#N/A</v>
      </c>
      <c r="J41" s="114" t="e">
        <f t="shared" si="12"/>
        <v>#N/A</v>
      </c>
      <c r="K41" s="115" t="e">
        <f t="shared" si="9"/>
        <v>#N/A</v>
      </c>
      <c r="L41" s="116"/>
      <c r="M41" s="109" t="e">
        <f t="shared" si="10"/>
        <v>#N/A</v>
      </c>
      <c r="N41" s="73" t="e">
        <f>IF(H41="Non",CONCATENATE(VLOOKUP(A41,liste_groupe[],5,FALSE),"-",VLOOKUP(A41,liste_groupe[],3,FALSE),VLOOKUP(A41,liste_groupe[],4,FALSE)," : ",ROUND(K41,0),"%"),CONCATENATE(VLOOKUP(A41,liste_groupe[],5,FALSE)," : ",ROUND(K41,0),"%"))</f>
        <v>#N/A</v>
      </c>
    </row>
    <row r="42" spans="1:14" s="58" customFormat="1" ht="15.75" x14ac:dyDescent="0.25">
      <c r="A42" s="105" t="str">
        <f>'Page de garde'!A49</f>
        <v>0-00 + Testostérone</v>
      </c>
      <c r="B42" s="63"/>
      <c r="C42" s="67"/>
      <c r="D42" s="67"/>
      <c r="E42" s="62"/>
      <c r="F42" s="74" t="e">
        <f>HLOOKUP(A42,'pooled normalised values'!$B$74:$AK$83,10,FALSE)</f>
        <v>#N/A</v>
      </c>
      <c r="G42" s="110" t="e">
        <f t="shared" si="11"/>
        <v>#N/A</v>
      </c>
      <c r="H42" s="101" t="str">
        <f>IF(VLOOKUP(A42,liste_groupe[],4,FALSE)="%",VLOOKUP(A42,liste_groupe[],3,FALSE)/100,IF(ISBLANK(VLOOKUP(A42,liste_groupe[],4,FALSE)),"Non","Non"))</f>
        <v>Non</v>
      </c>
      <c r="I42" s="110" t="e">
        <f t="shared" si="7"/>
        <v>#N/A</v>
      </c>
      <c r="J42" s="114" t="e">
        <f t="shared" si="12"/>
        <v>#N/A</v>
      </c>
      <c r="K42" s="115" t="e">
        <f t="shared" si="9"/>
        <v>#N/A</v>
      </c>
      <c r="L42" s="116"/>
      <c r="M42" s="109" t="e">
        <f t="shared" si="10"/>
        <v>#N/A</v>
      </c>
      <c r="N42" s="73" t="e">
        <f>IF(H42="Non",CONCATENATE(VLOOKUP(A42,liste_groupe[],5,FALSE),"-",VLOOKUP(A42,liste_groupe[],3,FALSE),VLOOKUP(A42,liste_groupe[],4,FALSE)," : ",ROUND(K42,0),"%"),CONCATENATE(VLOOKUP(A42,liste_groupe[],5,FALSE)," : ",ROUND(K42,0),"%"))</f>
        <v>#N/A</v>
      </c>
    </row>
    <row r="43" spans="1:14" s="58" customFormat="1" ht="15.75" x14ac:dyDescent="0.25">
      <c r="A43" s="105" t="str">
        <f>'Page de garde'!A50</f>
        <v>0-00 + Testostérone</v>
      </c>
      <c r="B43" s="63"/>
      <c r="C43" s="67"/>
      <c r="D43" s="67"/>
      <c r="E43" s="62"/>
      <c r="F43" s="74" t="e">
        <f>HLOOKUP(A43,'pooled normalised values'!$B$74:$AK$83,10,FALSE)</f>
        <v>#N/A</v>
      </c>
      <c r="G43" s="110" t="e">
        <f t="shared" si="11"/>
        <v>#N/A</v>
      </c>
      <c r="H43" s="101" t="str">
        <f>IF(VLOOKUP(A43,liste_groupe[],4,FALSE)="%",VLOOKUP(A43,liste_groupe[],3,FALSE)/100,IF(ISBLANK(VLOOKUP(A43,liste_groupe[],4,FALSE)),"Non","Non"))</f>
        <v>Non</v>
      </c>
      <c r="I43" s="110" t="e">
        <f t="shared" si="7"/>
        <v>#N/A</v>
      </c>
      <c r="J43" s="114" t="e">
        <f t="shared" si="12"/>
        <v>#N/A</v>
      </c>
      <c r="K43" s="115" t="e">
        <f t="shared" si="9"/>
        <v>#N/A</v>
      </c>
      <c r="L43" s="116"/>
      <c r="M43" s="109" t="e">
        <f t="shared" si="10"/>
        <v>#N/A</v>
      </c>
      <c r="N43" s="73" t="e">
        <f>IF(H43="Non",CONCATENATE(VLOOKUP(A43,liste_groupe[],5,FALSE),"-",VLOOKUP(A43,liste_groupe[],3,FALSE),VLOOKUP(A43,liste_groupe[],4,FALSE)," : ",ROUND(K43,0),"%"),CONCATENATE(VLOOKUP(A43,liste_groupe[],5,FALSE)," : ",ROUND(K43,0),"%"))</f>
        <v>#N/A</v>
      </c>
    </row>
    <row r="44" spans="1:14" s="58" customFormat="1" ht="15.75" x14ac:dyDescent="0.25">
      <c r="A44" s="105" t="str">
        <f>'Page de garde'!A51</f>
        <v>0-00 + Testostérone</v>
      </c>
      <c r="B44" s="63"/>
      <c r="C44" s="67"/>
      <c r="D44" s="67"/>
      <c r="E44" s="62"/>
      <c r="F44" s="74" t="e">
        <f>HLOOKUP(A44,'pooled normalised values'!$B$74:$AK$83,10,FALSE)</f>
        <v>#N/A</v>
      </c>
      <c r="G44" s="110" t="e">
        <f t="shared" si="11"/>
        <v>#N/A</v>
      </c>
      <c r="H44" s="101" t="str">
        <f>IF(VLOOKUP(A44,liste_groupe[],4,FALSE)="%",VLOOKUP(A44,liste_groupe[],3,FALSE)/100,IF(ISBLANK(VLOOKUP(A44,liste_groupe[],4,FALSE)),"Non","Non"))</f>
        <v>Non</v>
      </c>
      <c r="I44" s="110" t="e">
        <f t="shared" si="7"/>
        <v>#N/A</v>
      </c>
      <c r="J44" s="114" t="e">
        <f t="shared" si="12"/>
        <v>#N/A</v>
      </c>
      <c r="K44" s="115" t="e">
        <f t="shared" si="9"/>
        <v>#N/A</v>
      </c>
      <c r="L44" s="116"/>
      <c r="M44" s="109" t="e">
        <f t="shared" si="10"/>
        <v>#N/A</v>
      </c>
      <c r="N44" s="73" t="e">
        <f>IF(H44="Non",CONCATENATE(VLOOKUP(A44,liste_groupe[],5,FALSE),"-",VLOOKUP(A44,liste_groupe[],3,FALSE),VLOOKUP(A44,liste_groupe[],4,FALSE)," : ",ROUND(K44,0),"%"),CONCATENATE(VLOOKUP(A44,liste_groupe[],5,FALSE)," : ",ROUND(K44,0),"%"))</f>
        <v>#N/A</v>
      </c>
    </row>
    <row r="45" spans="1:14" s="58" customFormat="1" ht="15.75" x14ac:dyDescent="0.25">
      <c r="A45" s="105" t="str">
        <f>'Page de garde'!A52</f>
        <v>0-00 + Testostérone</v>
      </c>
      <c r="B45" s="63"/>
      <c r="C45" s="67"/>
      <c r="D45" s="67"/>
      <c r="E45" s="62"/>
      <c r="F45" s="74" t="e">
        <f>HLOOKUP(A45,'pooled normalised values'!$B$74:$AK$83,10,FALSE)</f>
        <v>#N/A</v>
      </c>
      <c r="G45" s="110" t="e">
        <f t="shared" si="11"/>
        <v>#N/A</v>
      </c>
      <c r="H45" s="101" t="str">
        <f>IF(VLOOKUP(A45,liste_groupe[],4,FALSE)="%",VLOOKUP(A45,liste_groupe[],3,FALSE)/100,IF(ISBLANK(VLOOKUP(A45,liste_groupe[],4,FALSE)),"Non","Non"))</f>
        <v>Non</v>
      </c>
      <c r="I45" s="110" t="e">
        <f t="shared" si="7"/>
        <v>#N/A</v>
      </c>
      <c r="J45" s="114" t="e">
        <f t="shared" si="12"/>
        <v>#N/A</v>
      </c>
      <c r="K45" s="115" t="e">
        <f t="shared" si="9"/>
        <v>#N/A</v>
      </c>
      <c r="L45" s="116"/>
      <c r="M45" s="109" t="e">
        <f t="shared" si="10"/>
        <v>#N/A</v>
      </c>
      <c r="N45" s="73" t="e">
        <f>IF(H45="Non",CONCATENATE(VLOOKUP(A45,liste_groupe[],5,FALSE),"-",VLOOKUP(A45,liste_groupe[],3,FALSE),VLOOKUP(A45,liste_groupe[],4,FALSE)," : ",ROUND(K45,0),"%"),CONCATENATE(VLOOKUP(A45,liste_groupe[],5,FALSE)," : ",ROUND(K45,0),"%"))</f>
        <v>#N/A</v>
      </c>
    </row>
    <row r="46" spans="1:14" s="58" customFormat="1" ht="15.75" x14ac:dyDescent="0.25">
      <c r="A46" s="105" t="str">
        <f>'Page de garde'!A53</f>
        <v>0-00 + Testostérone</v>
      </c>
      <c r="B46" s="63"/>
      <c r="C46" s="67"/>
      <c r="D46" s="67"/>
      <c r="E46" s="62"/>
      <c r="F46" s="74" t="e">
        <f>HLOOKUP(A46,'pooled normalised values'!$B$74:$AK$83,10,FALSE)</f>
        <v>#N/A</v>
      </c>
      <c r="G46" s="110" t="e">
        <f t="shared" si="11"/>
        <v>#N/A</v>
      </c>
      <c r="H46" s="101" t="str">
        <f>IF(VLOOKUP(A46,liste_groupe[],4,FALSE)="%",VLOOKUP(A46,liste_groupe[],3,FALSE)/100,IF(ISBLANK(VLOOKUP(A46,liste_groupe[],4,FALSE)),"Non","Non"))</f>
        <v>Non</v>
      </c>
      <c r="I46" s="110" t="e">
        <f t="shared" si="7"/>
        <v>#N/A</v>
      </c>
      <c r="J46" s="114" t="e">
        <f t="shared" si="12"/>
        <v>#N/A</v>
      </c>
      <c r="K46" s="115" t="e">
        <f t="shared" si="9"/>
        <v>#N/A</v>
      </c>
      <c r="L46" s="116"/>
      <c r="M46" s="109" t="e">
        <f t="shared" si="10"/>
        <v>#N/A</v>
      </c>
      <c r="N46" s="73" t="e">
        <f>IF(H46="Non",CONCATENATE(VLOOKUP(A46,liste_groupe[],5,FALSE),"-",VLOOKUP(A46,liste_groupe[],3,FALSE),VLOOKUP(A46,liste_groupe[],4,FALSE)," : ",ROUND(K46,0),"%"),CONCATENATE(VLOOKUP(A46,liste_groupe[],5,FALSE)," : ",ROUND(K46,0),"%"))</f>
        <v>#N/A</v>
      </c>
    </row>
    <row r="47" spans="1:14" s="58" customFormat="1" ht="15.75" x14ac:dyDescent="0.25">
      <c r="A47" s="105" t="str">
        <f>'Page de garde'!A54</f>
        <v>0-00 + Testostérone</v>
      </c>
      <c r="B47" s="63"/>
      <c r="C47" s="67"/>
      <c r="D47" s="67"/>
      <c r="E47" s="62"/>
      <c r="F47" s="74" t="e">
        <f>HLOOKUP(A47,'pooled normalised values'!$B$74:$AK$83,10,FALSE)</f>
        <v>#N/A</v>
      </c>
      <c r="G47" s="110" t="e">
        <f t="shared" si="11"/>
        <v>#N/A</v>
      </c>
      <c r="H47" s="101" t="str">
        <f>IF(VLOOKUP(A47,liste_groupe[],4,FALSE)="%",VLOOKUP(A47,liste_groupe[],3,FALSE)/100,IF(ISBLANK(VLOOKUP(A47,liste_groupe[],4,FALSE)),"Non","Non"))</f>
        <v>Non</v>
      </c>
      <c r="I47" s="110" t="e">
        <f t="shared" si="7"/>
        <v>#N/A</v>
      </c>
      <c r="J47" s="114" t="e">
        <f t="shared" si="12"/>
        <v>#N/A</v>
      </c>
      <c r="K47" s="115" t="e">
        <f t="shared" si="9"/>
        <v>#N/A</v>
      </c>
      <c r="L47" s="116"/>
      <c r="M47" s="109" t="e">
        <f t="shared" si="10"/>
        <v>#N/A</v>
      </c>
      <c r="N47" s="73" t="e">
        <f>IF(H47="Non",CONCATENATE(VLOOKUP(A47,liste_groupe[],5,FALSE),"-",VLOOKUP(A47,liste_groupe[],3,FALSE),VLOOKUP(A47,liste_groupe[],4,FALSE)," : ",ROUND(K47,0),"%"),CONCATENATE(VLOOKUP(A47,liste_groupe[],5,FALSE)," : ",ROUND(K47,0),"%"))</f>
        <v>#N/A</v>
      </c>
    </row>
    <row r="48" spans="1:14" s="58" customFormat="1" ht="15.75" x14ac:dyDescent="0.25">
      <c r="A48" s="105" t="str">
        <f>'Page de garde'!A55</f>
        <v>0-00 + Testostérone</v>
      </c>
      <c r="B48" s="63"/>
      <c r="C48" s="67"/>
      <c r="D48" s="67"/>
      <c r="E48" s="62"/>
      <c r="F48" s="74" t="e">
        <f>HLOOKUP(A48,'pooled normalised values'!$B$74:$AK$83,10,FALSE)</f>
        <v>#N/A</v>
      </c>
      <c r="G48" s="110" t="e">
        <f t="shared" si="11"/>
        <v>#N/A</v>
      </c>
      <c r="H48" s="101" t="str">
        <f>IF(VLOOKUP(A48,liste_groupe[],4,FALSE)="%",VLOOKUP(A48,liste_groupe[],3,FALSE)/100,IF(ISBLANK(VLOOKUP(A48,liste_groupe[],4,FALSE)),"Non","Non"))</f>
        <v>Non</v>
      </c>
      <c r="I48" s="110" t="e">
        <f t="shared" si="7"/>
        <v>#N/A</v>
      </c>
      <c r="J48" s="114" t="e">
        <f t="shared" si="12"/>
        <v>#N/A</v>
      </c>
      <c r="K48" s="115" t="e">
        <f t="shared" si="9"/>
        <v>#N/A</v>
      </c>
      <c r="L48" s="116"/>
      <c r="M48" s="109" t="e">
        <f t="shared" si="10"/>
        <v>#N/A</v>
      </c>
      <c r="N48" s="73" t="e">
        <f>IF(H48="Non",CONCATENATE(VLOOKUP(A48,liste_groupe[],5,FALSE),"-",VLOOKUP(A48,liste_groupe[],3,FALSE),VLOOKUP(A48,liste_groupe[],4,FALSE)," : ",ROUND(K48,0),"%"),CONCATENATE(VLOOKUP(A48,liste_groupe[],5,FALSE)," : ",ROUND(K48,0),"%"))</f>
        <v>#N/A</v>
      </c>
    </row>
    <row r="49" spans="1:15" s="58" customFormat="1" ht="15.75" x14ac:dyDescent="0.25">
      <c r="A49" s="105" t="str">
        <f>'Page de garde'!A56</f>
        <v>0-00 + Testostérone</v>
      </c>
      <c r="B49" s="63"/>
      <c r="C49" s="67"/>
      <c r="D49" s="67"/>
      <c r="E49" s="62"/>
      <c r="F49" s="74" t="e">
        <f>HLOOKUP(A49,'pooled normalised values'!$B$74:$AK$83,10,FALSE)</f>
        <v>#N/A</v>
      </c>
      <c r="G49" s="110" t="e">
        <f t="shared" si="11"/>
        <v>#N/A</v>
      </c>
      <c r="H49" s="101" t="str">
        <f>IF(VLOOKUP(A49,liste_groupe[],4,FALSE)="%",VLOOKUP(A49,liste_groupe[],3,FALSE)/100,IF(ISBLANK(VLOOKUP(A49,liste_groupe[],4,FALSE)),"Non","Non"))</f>
        <v>Non</v>
      </c>
      <c r="I49" s="110" t="e">
        <f t="shared" si="7"/>
        <v>#N/A</v>
      </c>
      <c r="J49" s="114" t="e">
        <f t="shared" si="12"/>
        <v>#N/A</v>
      </c>
      <c r="K49" s="115" t="e">
        <f t="shared" si="9"/>
        <v>#N/A</v>
      </c>
      <c r="L49" s="116"/>
      <c r="M49" s="109" t="e">
        <f t="shared" si="10"/>
        <v>#N/A</v>
      </c>
      <c r="N49" s="73" t="e">
        <f>IF(H49="Non",CONCATENATE(VLOOKUP(A49,liste_groupe[],5,FALSE),"-",VLOOKUP(A49,liste_groupe[],3,FALSE),VLOOKUP(A49,liste_groupe[],4,FALSE)," : ",ROUND(K49,0),"%"),CONCATENATE(VLOOKUP(A49,liste_groupe[],5,FALSE)," : ",ROUND(K49,0),"%"))</f>
        <v>#N/A</v>
      </c>
    </row>
    <row r="50" spans="1:15" s="58" customFormat="1" ht="15.75" x14ac:dyDescent="0.25">
      <c r="A50" s="105" t="str">
        <f>'Page de garde'!A57</f>
        <v>0-00 + Testostérone</v>
      </c>
      <c r="B50" s="63"/>
      <c r="C50" s="67"/>
      <c r="D50" s="67"/>
      <c r="E50" s="62"/>
      <c r="F50" s="74" t="e">
        <f>HLOOKUP(A50,'pooled normalised values'!$B$74:$AK$83,10,FALSE)</f>
        <v>#N/A</v>
      </c>
      <c r="G50" s="110" t="e">
        <f t="shared" si="11"/>
        <v>#N/A</v>
      </c>
      <c r="H50" s="101" t="str">
        <f>IF(VLOOKUP(A50,liste_groupe[],4,FALSE)="%",VLOOKUP(A50,liste_groupe[],3,FALSE)/100,IF(ISBLANK(VLOOKUP(A50,liste_groupe[],4,FALSE)),"Non","Non"))</f>
        <v>Non</v>
      </c>
      <c r="I50" s="110" t="e">
        <f t="shared" si="7"/>
        <v>#N/A</v>
      </c>
      <c r="J50" s="114" t="e">
        <f t="shared" si="12"/>
        <v>#N/A</v>
      </c>
      <c r="K50" s="115" t="e">
        <f t="shared" si="9"/>
        <v>#N/A</v>
      </c>
      <c r="L50" s="116"/>
      <c r="M50" s="109" t="e">
        <f t="shared" si="10"/>
        <v>#N/A</v>
      </c>
      <c r="N50" s="73" t="e">
        <f>IF(H50="Non",CONCATENATE(VLOOKUP(A50,liste_groupe[],5,FALSE),"-",VLOOKUP(A50,liste_groupe[],3,FALSE),VLOOKUP(A50,liste_groupe[],4,FALSE)," : ",ROUND(K50,0),"%"),CONCATENATE(VLOOKUP(A50,liste_groupe[],5,FALSE)," : ",ROUND(K50,0),"%"))</f>
        <v>#N/A</v>
      </c>
    </row>
    <row r="51" spans="1:15" s="58" customFormat="1" ht="15.75" x14ac:dyDescent="0.25">
      <c r="A51" s="105" t="str">
        <f>'Page de garde'!A58</f>
        <v>0-00 + Testostérone</v>
      </c>
      <c r="B51" s="63"/>
      <c r="C51" s="67"/>
      <c r="D51" s="67"/>
      <c r="E51" s="62"/>
      <c r="F51" s="74" t="e">
        <f>HLOOKUP(A51,'pooled normalised values'!$B$74:$AK$83,10,FALSE)</f>
        <v>#N/A</v>
      </c>
      <c r="G51" s="110" t="e">
        <f t="shared" si="6"/>
        <v>#N/A</v>
      </c>
      <c r="H51" s="101" t="str">
        <f>IF(VLOOKUP(A51,liste_groupe[],4,FALSE)="%",VLOOKUP(A51,liste_groupe[],3,FALSE)/100,IF(ISBLANK(VLOOKUP(A51,liste_groupe[],4,FALSE)),"Non","Non"))</f>
        <v>Non</v>
      </c>
      <c r="I51" s="110" t="e">
        <f t="shared" si="7"/>
        <v>#N/A</v>
      </c>
      <c r="J51" s="114" t="e">
        <f t="shared" si="8"/>
        <v>#N/A</v>
      </c>
      <c r="K51" s="115" t="e">
        <f t="shared" si="9"/>
        <v>#N/A</v>
      </c>
      <c r="L51" s="116"/>
      <c r="M51" s="109" t="e">
        <f t="shared" si="10"/>
        <v>#N/A</v>
      </c>
      <c r="N51" s="73" t="e">
        <f>IF(H51="Non",CONCATENATE(VLOOKUP(A51,liste_groupe[],5,FALSE),"-",VLOOKUP(A51,liste_groupe[],3,FALSE),VLOOKUP(A51,liste_groupe[],4,FALSE)," : ",ROUND(K51,0),"%"),CONCATENATE(VLOOKUP(A51,liste_groupe[],5,FALSE)," : ",ROUND(K51,0),"%"))</f>
        <v>#N/A</v>
      </c>
    </row>
    <row r="52" spans="1:15" s="58" customFormat="1" ht="16.5" thickBot="1" x14ac:dyDescent="0.3">
      <c r="E52" s="59"/>
      <c r="F52" s="59"/>
      <c r="G52" s="59"/>
      <c r="H52" s="59"/>
      <c r="I52" s="59"/>
      <c r="J52" s="59"/>
      <c r="K52" s="59"/>
      <c r="L52" s="59"/>
      <c r="M52" s="59"/>
      <c r="N52" s="59"/>
    </row>
    <row r="53" spans="1:15" s="31" customFormat="1" ht="27" thickBot="1" x14ac:dyDescent="0.3">
      <c r="A53" s="203" t="s">
        <v>60</v>
      </c>
      <c r="B53" s="204"/>
      <c r="C53" s="204"/>
      <c r="D53" s="204"/>
      <c r="E53" s="204"/>
      <c r="F53" s="204"/>
      <c r="G53" s="204"/>
      <c r="H53" s="204"/>
      <c r="I53" s="204"/>
      <c r="J53" s="204"/>
      <c r="K53" s="204"/>
      <c r="L53" s="204"/>
      <c r="M53" s="204"/>
      <c r="N53" s="204"/>
      <c r="O53" s="205"/>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2578125" defaultRowHeight="15" x14ac:dyDescent="0.25"/>
  <cols>
    <col min="1" max="1" width="22.85546875" style="123" customWidth="1"/>
    <col min="2" max="2" width="46.28515625" style="123" customWidth="1"/>
    <col min="3" max="3" width="15.28515625" style="123" customWidth="1"/>
    <col min="4" max="4" width="24.7109375" style="123" customWidth="1"/>
    <col min="5" max="5" width="24.42578125" style="123" customWidth="1"/>
    <col min="6" max="6" width="23.140625" style="123" customWidth="1"/>
    <col min="7" max="7" width="21.28515625" style="123" customWidth="1"/>
    <col min="8" max="16384" width="11.42578125" style="123"/>
  </cols>
  <sheetData>
    <row r="1" spans="1:7" ht="30.75" thickBot="1" x14ac:dyDescent="0.3">
      <c r="A1" s="153" t="s">
        <v>132</v>
      </c>
      <c r="B1" s="154" t="s">
        <v>133</v>
      </c>
      <c r="C1" s="154" t="s">
        <v>139</v>
      </c>
      <c r="D1" s="154" t="s">
        <v>138</v>
      </c>
      <c r="E1" s="154" t="s">
        <v>140</v>
      </c>
      <c r="F1" s="155" t="s">
        <v>141</v>
      </c>
      <c r="G1" s="156" t="s">
        <v>142</v>
      </c>
    </row>
    <row r="2" spans="1:7" ht="60" x14ac:dyDescent="0.25">
      <c r="A2" s="149" t="s">
        <v>134</v>
      </c>
      <c r="B2" s="150" t="s">
        <v>135</v>
      </c>
      <c r="C2" s="150" t="s">
        <v>136</v>
      </c>
      <c r="D2" s="150" t="s">
        <v>143</v>
      </c>
      <c r="E2" s="150" t="s">
        <v>137</v>
      </c>
      <c r="F2" s="151" t="s">
        <v>136</v>
      </c>
      <c r="G2" s="152"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3"/>
  <sheetViews>
    <sheetView zoomScale="70" zoomScaleNormal="70" workbookViewId="0">
      <selection activeCell="A16" sqref="A16"/>
    </sheetView>
  </sheetViews>
  <sheetFormatPr defaultColWidth="11.42578125" defaultRowHeight="12.75" x14ac:dyDescent="0.2"/>
  <cols>
    <col min="1" max="1" width="18.85546875" style="13" customWidth="1"/>
    <col min="2" max="2" width="7.28515625" style="13" bestFit="1" customWidth="1"/>
    <col min="3" max="3" width="10.5703125" style="13" customWidth="1"/>
    <col min="4" max="4" width="13.7109375" style="13" bestFit="1" customWidth="1"/>
    <col min="5" max="5" width="12" style="13" bestFit="1" customWidth="1"/>
    <col min="6" max="19" width="14.85546875" style="13" customWidth="1"/>
    <col min="20" max="21" width="11.42578125" style="13"/>
    <col min="22" max="22" width="13.5703125" style="13" bestFit="1" customWidth="1"/>
    <col min="23" max="34" width="13.5703125" style="13" customWidth="1"/>
    <col min="35" max="35" width="13.5703125" style="13" bestFit="1" customWidth="1"/>
    <col min="36" max="282" width="11.42578125" style="13"/>
    <col min="283" max="283" width="18.7109375" style="13" customWidth="1"/>
    <col min="284" max="284" width="13.7109375" style="13" bestFit="1" customWidth="1"/>
    <col min="285" max="285" width="17.28515625" style="13" customWidth="1"/>
    <col min="286" max="286" width="11" style="13" customWidth="1"/>
    <col min="287" max="287" width="12" style="13" bestFit="1" customWidth="1"/>
    <col min="288" max="288" width="14.85546875" style="13" customWidth="1"/>
    <col min="289" max="538" width="11.42578125" style="13"/>
    <col min="539" max="539" width="18.7109375" style="13" customWidth="1"/>
    <col min="540" max="540" width="13.7109375" style="13" bestFit="1" customWidth="1"/>
    <col min="541" max="541" width="17.28515625" style="13" customWidth="1"/>
    <col min="542" max="542" width="11" style="13" customWidth="1"/>
    <col min="543" max="543" width="12" style="13" bestFit="1" customWidth="1"/>
    <col min="544" max="544" width="14.85546875" style="13" customWidth="1"/>
    <col min="545" max="794" width="11.42578125" style="13"/>
    <col min="795" max="795" width="18.7109375" style="13" customWidth="1"/>
    <col min="796" max="796" width="13.7109375" style="13" bestFit="1" customWidth="1"/>
    <col min="797" max="797" width="17.28515625" style="13" customWidth="1"/>
    <col min="798" max="798" width="11" style="13" customWidth="1"/>
    <col min="799" max="799" width="12" style="13" bestFit="1" customWidth="1"/>
    <col min="800" max="800" width="14.85546875" style="13" customWidth="1"/>
    <col min="801" max="1050" width="11.42578125" style="13"/>
    <col min="1051" max="1051" width="18.7109375" style="13" customWidth="1"/>
    <col min="1052" max="1052" width="13.7109375" style="13" bestFit="1" customWidth="1"/>
    <col min="1053" max="1053" width="17.28515625" style="13" customWidth="1"/>
    <col min="1054" max="1054" width="11" style="13" customWidth="1"/>
    <col min="1055" max="1055" width="12" style="13" bestFit="1" customWidth="1"/>
    <col min="1056" max="1056" width="14.85546875" style="13" customWidth="1"/>
    <col min="1057" max="1306" width="11.42578125" style="13"/>
    <col min="1307" max="1307" width="18.7109375" style="13" customWidth="1"/>
    <col min="1308" max="1308" width="13.7109375" style="13" bestFit="1" customWidth="1"/>
    <col min="1309" max="1309" width="17.28515625" style="13" customWidth="1"/>
    <col min="1310" max="1310" width="11" style="13" customWidth="1"/>
    <col min="1311" max="1311" width="12" style="13" bestFit="1" customWidth="1"/>
    <col min="1312" max="1312" width="14.85546875" style="13" customWidth="1"/>
    <col min="1313" max="1562" width="11.42578125" style="13"/>
    <col min="1563" max="1563" width="18.7109375" style="13" customWidth="1"/>
    <col min="1564" max="1564" width="13.7109375" style="13" bestFit="1" customWidth="1"/>
    <col min="1565" max="1565" width="17.28515625" style="13" customWidth="1"/>
    <col min="1566" max="1566" width="11" style="13" customWidth="1"/>
    <col min="1567" max="1567" width="12" style="13" bestFit="1" customWidth="1"/>
    <col min="1568" max="1568" width="14.85546875" style="13" customWidth="1"/>
    <col min="1569" max="1818" width="11.42578125" style="13"/>
    <col min="1819" max="1819" width="18.7109375" style="13" customWidth="1"/>
    <col min="1820" max="1820" width="13.7109375" style="13" bestFit="1" customWidth="1"/>
    <col min="1821" max="1821" width="17.28515625" style="13" customWidth="1"/>
    <col min="1822" max="1822" width="11" style="13" customWidth="1"/>
    <col min="1823" max="1823" width="12" style="13" bestFit="1" customWidth="1"/>
    <col min="1824" max="1824" width="14.85546875" style="13" customWidth="1"/>
    <col min="1825" max="2074" width="11.42578125" style="13"/>
    <col min="2075" max="2075" width="18.7109375" style="13" customWidth="1"/>
    <col min="2076" max="2076" width="13.7109375" style="13" bestFit="1" customWidth="1"/>
    <col min="2077" max="2077" width="17.28515625" style="13" customWidth="1"/>
    <col min="2078" max="2078" width="11" style="13" customWidth="1"/>
    <col min="2079" max="2079" width="12" style="13" bestFit="1" customWidth="1"/>
    <col min="2080" max="2080" width="14.85546875" style="13" customWidth="1"/>
    <col min="2081" max="2330" width="11.42578125" style="13"/>
    <col min="2331" max="2331" width="18.7109375" style="13" customWidth="1"/>
    <col min="2332" max="2332" width="13.7109375" style="13" bestFit="1" customWidth="1"/>
    <col min="2333" max="2333" width="17.28515625" style="13" customWidth="1"/>
    <col min="2334" max="2334" width="11" style="13" customWidth="1"/>
    <col min="2335" max="2335" width="12" style="13" bestFit="1" customWidth="1"/>
    <col min="2336" max="2336" width="14.85546875" style="13" customWidth="1"/>
    <col min="2337" max="2586" width="11.42578125" style="13"/>
    <col min="2587" max="2587" width="18.7109375" style="13" customWidth="1"/>
    <col min="2588" max="2588" width="13.7109375" style="13" bestFit="1" customWidth="1"/>
    <col min="2589" max="2589" width="17.28515625" style="13" customWidth="1"/>
    <col min="2590" max="2590" width="11" style="13" customWidth="1"/>
    <col min="2591" max="2591" width="12" style="13" bestFit="1" customWidth="1"/>
    <col min="2592" max="2592" width="14.85546875" style="13" customWidth="1"/>
    <col min="2593" max="2842" width="11.42578125" style="13"/>
    <col min="2843" max="2843" width="18.7109375" style="13" customWidth="1"/>
    <col min="2844" max="2844" width="13.7109375" style="13" bestFit="1" customWidth="1"/>
    <col min="2845" max="2845" width="17.28515625" style="13" customWidth="1"/>
    <col min="2846" max="2846" width="11" style="13" customWidth="1"/>
    <col min="2847" max="2847" width="12" style="13" bestFit="1" customWidth="1"/>
    <col min="2848" max="2848" width="14.85546875" style="13" customWidth="1"/>
    <col min="2849" max="3098" width="11.42578125" style="13"/>
    <col min="3099" max="3099" width="18.7109375" style="13" customWidth="1"/>
    <col min="3100" max="3100" width="13.7109375" style="13" bestFit="1" customWidth="1"/>
    <col min="3101" max="3101" width="17.28515625" style="13" customWidth="1"/>
    <col min="3102" max="3102" width="11" style="13" customWidth="1"/>
    <col min="3103" max="3103" width="12" style="13" bestFit="1" customWidth="1"/>
    <col min="3104" max="3104" width="14.85546875" style="13" customWidth="1"/>
    <col min="3105" max="3354" width="11.42578125" style="13"/>
    <col min="3355" max="3355" width="18.7109375" style="13" customWidth="1"/>
    <col min="3356" max="3356" width="13.7109375" style="13" bestFit="1" customWidth="1"/>
    <col min="3357" max="3357" width="17.28515625" style="13" customWidth="1"/>
    <col min="3358" max="3358" width="11" style="13" customWidth="1"/>
    <col min="3359" max="3359" width="12" style="13" bestFit="1" customWidth="1"/>
    <col min="3360" max="3360" width="14.85546875" style="13" customWidth="1"/>
    <col min="3361" max="3610" width="11.42578125" style="13"/>
    <col min="3611" max="3611" width="18.7109375" style="13" customWidth="1"/>
    <col min="3612" max="3612" width="13.7109375" style="13" bestFit="1" customWidth="1"/>
    <col min="3613" max="3613" width="17.28515625" style="13" customWidth="1"/>
    <col min="3614" max="3614" width="11" style="13" customWidth="1"/>
    <col min="3615" max="3615" width="12" style="13" bestFit="1" customWidth="1"/>
    <col min="3616" max="3616" width="14.85546875" style="13" customWidth="1"/>
    <col min="3617" max="3866" width="11.42578125" style="13"/>
    <col min="3867" max="3867" width="18.7109375" style="13" customWidth="1"/>
    <col min="3868" max="3868" width="13.7109375" style="13" bestFit="1" customWidth="1"/>
    <col min="3869" max="3869" width="17.28515625" style="13" customWidth="1"/>
    <col min="3870" max="3870" width="11" style="13" customWidth="1"/>
    <col min="3871" max="3871" width="12" style="13" bestFit="1" customWidth="1"/>
    <col min="3872" max="3872" width="14.85546875" style="13" customWidth="1"/>
    <col min="3873" max="4122" width="11.42578125" style="13"/>
    <col min="4123" max="4123" width="18.7109375" style="13" customWidth="1"/>
    <col min="4124" max="4124" width="13.7109375" style="13" bestFit="1" customWidth="1"/>
    <col min="4125" max="4125" width="17.28515625" style="13" customWidth="1"/>
    <col min="4126" max="4126" width="11" style="13" customWidth="1"/>
    <col min="4127" max="4127" width="12" style="13" bestFit="1" customWidth="1"/>
    <col min="4128" max="4128" width="14.85546875" style="13" customWidth="1"/>
    <col min="4129" max="4378" width="11.42578125" style="13"/>
    <col min="4379" max="4379" width="18.7109375" style="13" customWidth="1"/>
    <col min="4380" max="4380" width="13.7109375" style="13" bestFit="1" customWidth="1"/>
    <col min="4381" max="4381" width="17.28515625" style="13" customWidth="1"/>
    <col min="4382" max="4382" width="11" style="13" customWidth="1"/>
    <col min="4383" max="4383" width="12" style="13" bestFit="1" customWidth="1"/>
    <col min="4384" max="4384" width="14.85546875" style="13" customWidth="1"/>
    <col min="4385" max="4634" width="11.42578125" style="13"/>
    <col min="4635" max="4635" width="18.7109375" style="13" customWidth="1"/>
    <col min="4636" max="4636" width="13.7109375" style="13" bestFit="1" customWidth="1"/>
    <col min="4637" max="4637" width="17.28515625" style="13" customWidth="1"/>
    <col min="4638" max="4638" width="11" style="13" customWidth="1"/>
    <col min="4639" max="4639" width="12" style="13" bestFit="1" customWidth="1"/>
    <col min="4640" max="4640" width="14.85546875" style="13" customWidth="1"/>
    <col min="4641" max="4890" width="11.42578125" style="13"/>
    <col min="4891" max="4891" width="18.7109375" style="13" customWidth="1"/>
    <col min="4892" max="4892" width="13.7109375" style="13" bestFit="1" customWidth="1"/>
    <col min="4893" max="4893" width="17.28515625" style="13" customWidth="1"/>
    <col min="4894" max="4894" width="11" style="13" customWidth="1"/>
    <col min="4895" max="4895" width="12" style="13" bestFit="1" customWidth="1"/>
    <col min="4896" max="4896" width="14.85546875" style="13" customWidth="1"/>
    <col min="4897" max="5146" width="11.42578125" style="13"/>
    <col min="5147" max="5147" width="18.7109375" style="13" customWidth="1"/>
    <col min="5148" max="5148" width="13.7109375" style="13" bestFit="1" customWidth="1"/>
    <col min="5149" max="5149" width="17.28515625" style="13" customWidth="1"/>
    <col min="5150" max="5150" width="11" style="13" customWidth="1"/>
    <col min="5151" max="5151" width="12" style="13" bestFit="1" customWidth="1"/>
    <col min="5152" max="5152" width="14.85546875" style="13" customWidth="1"/>
    <col min="5153" max="5402" width="11.42578125" style="13"/>
    <col min="5403" max="5403" width="18.7109375" style="13" customWidth="1"/>
    <col min="5404" max="5404" width="13.7109375" style="13" bestFit="1" customWidth="1"/>
    <col min="5405" max="5405" width="17.28515625" style="13" customWidth="1"/>
    <col min="5406" max="5406" width="11" style="13" customWidth="1"/>
    <col min="5407" max="5407" width="12" style="13" bestFit="1" customWidth="1"/>
    <col min="5408" max="5408" width="14.85546875" style="13" customWidth="1"/>
    <col min="5409" max="5658" width="11.42578125" style="13"/>
    <col min="5659" max="5659" width="18.7109375" style="13" customWidth="1"/>
    <col min="5660" max="5660" width="13.7109375" style="13" bestFit="1" customWidth="1"/>
    <col min="5661" max="5661" width="17.28515625" style="13" customWidth="1"/>
    <col min="5662" max="5662" width="11" style="13" customWidth="1"/>
    <col min="5663" max="5663" width="12" style="13" bestFit="1" customWidth="1"/>
    <col min="5664" max="5664" width="14.85546875" style="13" customWidth="1"/>
    <col min="5665" max="5914" width="11.42578125" style="13"/>
    <col min="5915" max="5915" width="18.7109375" style="13" customWidth="1"/>
    <col min="5916" max="5916" width="13.7109375" style="13" bestFit="1" customWidth="1"/>
    <col min="5917" max="5917" width="17.28515625" style="13" customWidth="1"/>
    <col min="5918" max="5918" width="11" style="13" customWidth="1"/>
    <col min="5919" max="5919" width="12" style="13" bestFit="1" customWidth="1"/>
    <col min="5920" max="5920" width="14.85546875" style="13" customWidth="1"/>
    <col min="5921" max="6170" width="11.42578125" style="13"/>
    <col min="6171" max="6171" width="18.7109375" style="13" customWidth="1"/>
    <col min="6172" max="6172" width="13.7109375" style="13" bestFit="1" customWidth="1"/>
    <col min="6173" max="6173" width="17.28515625" style="13" customWidth="1"/>
    <col min="6174" max="6174" width="11" style="13" customWidth="1"/>
    <col min="6175" max="6175" width="12" style="13" bestFit="1" customWidth="1"/>
    <col min="6176" max="6176" width="14.85546875" style="13" customWidth="1"/>
    <col min="6177" max="6426" width="11.42578125" style="13"/>
    <col min="6427" max="6427" width="18.7109375" style="13" customWidth="1"/>
    <col min="6428" max="6428" width="13.7109375" style="13" bestFit="1" customWidth="1"/>
    <col min="6429" max="6429" width="17.28515625" style="13" customWidth="1"/>
    <col min="6430" max="6430" width="11" style="13" customWidth="1"/>
    <col min="6431" max="6431" width="12" style="13" bestFit="1" customWidth="1"/>
    <col min="6432" max="6432" width="14.85546875" style="13" customWidth="1"/>
    <col min="6433" max="6682" width="11.42578125" style="13"/>
    <col min="6683" max="6683" width="18.7109375" style="13" customWidth="1"/>
    <col min="6684" max="6684" width="13.7109375" style="13" bestFit="1" customWidth="1"/>
    <col min="6685" max="6685" width="17.28515625" style="13" customWidth="1"/>
    <col min="6686" max="6686" width="11" style="13" customWidth="1"/>
    <col min="6687" max="6687" width="12" style="13" bestFit="1" customWidth="1"/>
    <col min="6688" max="6688" width="14.85546875" style="13" customWidth="1"/>
    <col min="6689" max="6938" width="11.42578125" style="13"/>
    <col min="6939" max="6939" width="18.7109375" style="13" customWidth="1"/>
    <col min="6940" max="6940" width="13.7109375" style="13" bestFit="1" customWidth="1"/>
    <col min="6941" max="6941" width="17.28515625" style="13" customWidth="1"/>
    <col min="6942" max="6942" width="11" style="13" customWidth="1"/>
    <col min="6943" max="6943" width="12" style="13" bestFit="1" customWidth="1"/>
    <col min="6944" max="6944" width="14.85546875" style="13" customWidth="1"/>
    <col min="6945" max="7194" width="11.42578125" style="13"/>
    <col min="7195" max="7195" width="18.7109375" style="13" customWidth="1"/>
    <col min="7196" max="7196" width="13.7109375" style="13" bestFit="1" customWidth="1"/>
    <col min="7197" max="7197" width="17.28515625" style="13" customWidth="1"/>
    <col min="7198" max="7198" width="11" style="13" customWidth="1"/>
    <col min="7199" max="7199" width="12" style="13" bestFit="1" customWidth="1"/>
    <col min="7200" max="7200" width="14.85546875" style="13" customWidth="1"/>
    <col min="7201" max="7450" width="11.42578125" style="13"/>
    <col min="7451" max="7451" width="18.7109375" style="13" customWidth="1"/>
    <col min="7452" max="7452" width="13.7109375" style="13" bestFit="1" customWidth="1"/>
    <col min="7453" max="7453" width="17.28515625" style="13" customWidth="1"/>
    <col min="7454" max="7454" width="11" style="13" customWidth="1"/>
    <col min="7455" max="7455" width="12" style="13" bestFit="1" customWidth="1"/>
    <col min="7456" max="7456" width="14.85546875" style="13" customWidth="1"/>
    <col min="7457" max="7706" width="11.42578125" style="13"/>
    <col min="7707" max="7707" width="18.7109375" style="13" customWidth="1"/>
    <col min="7708" max="7708" width="13.7109375" style="13" bestFit="1" customWidth="1"/>
    <col min="7709" max="7709" width="17.28515625" style="13" customWidth="1"/>
    <col min="7710" max="7710" width="11" style="13" customWidth="1"/>
    <col min="7711" max="7711" width="12" style="13" bestFit="1" customWidth="1"/>
    <col min="7712" max="7712" width="14.85546875" style="13" customWidth="1"/>
    <col min="7713" max="7962" width="11.42578125" style="13"/>
    <col min="7963" max="7963" width="18.7109375" style="13" customWidth="1"/>
    <col min="7964" max="7964" width="13.7109375" style="13" bestFit="1" customWidth="1"/>
    <col min="7965" max="7965" width="17.28515625" style="13" customWidth="1"/>
    <col min="7966" max="7966" width="11" style="13" customWidth="1"/>
    <col min="7967" max="7967" width="12" style="13" bestFit="1" customWidth="1"/>
    <col min="7968" max="7968" width="14.85546875" style="13" customWidth="1"/>
    <col min="7969" max="8218" width="11.42578125" style="13"/>
    <col min="8219" max="8219" width="18.7109375" style="13" customWidth="1"/>
    <col min="8220" max="8220" width="13.7109375" style="13" bestFit="1" customWidth="1"/>
    <col min="8221" max="8221" width="17.28515625" style="13" customWidth="1"/>
    <col min="8222" max="8222" width="11" style="13" customWidth="1"/>
    <col min="8223" max="8223" width="12" style="13" bestFit="1" customWidth="1"/>
    <col min="8224" max="8224" width="14.85546875" style="13" customWidth="1"/>
    <col min="8225" max="8474" width="11.42578125" style="13"/>
    <col min="8475" max="8475" width="18.7109375" style="13" customWidth="1"/>
    <col min="8476" max="8476" width="13.7109375" style="13" bestFit="1" customWidth="1"/>
    <col min="8477" max="8477" width="17.28515625" style="13" customWidth="1"/>
    <col min="8478" max="8478" width="11" style="13" customWidth="1"/>
    <col min="8479" max="8479" width="12" style="13" bestFit="1" customWidth="1"/>
    <col min="8480" max="8480" width="14.85546875" style="13" customWidth="1"/>
    <col min="8481" max="8730" width="11.42578125" style="13"/>
    <col min="8731" max="8731" width="18.7109375" style="13" customWidth="1"/>
    <col min="8732" max="8732" width="13.7109375" style="13" bestFit="1" customWidth="1"/>
    <col min="8733" max="8733" width="17.28515625" style="13" customWidth="1"/>
    <col min="8734" max="8734" width="11" style="13" customWidth="1"/>
    <col min="8735" max="8735" width="12" style="13" bestFit="1" customWidth="1"/>
    <col min="8736" max="8736" width="14.85546875" style="13" customWidth="1"/>
    <col min="8737" max="8986" width="11.42578125" style="13"/>
    <col min="8987" max="8987" width="18.7109375" style="13" customWidth="1"/>
    <col min="8988" max="8988" width="13.7109375" style="13" bestFit="1" customWidth="1"/>
    <col min="8989" max="8989" width="17.28515625" style="13" customWidth="1"/>
    <col min="8990" max="8990" width="11" style="13" customWidth="1"/>
    <col min="8991" max="8991" width="12" style="13" bestFit="1" customWidth="1"/>
    <col min="8992" max="8992" width="14.85546875" style="13" customWidth="1"/>
    <col min="8993" max="9242" width="11.42578125" style="13"/>
    <col min="9243" max="9243" width="18.7109375" style="13" customWidth="1"/>
    <col min="9244" max="9244" width="13.7109375" style="13" bestFit="1" customWidth="1"/>
    <col min="9245" max="9245" width="17.28515625" style="13" customWidth="1"/>
    <col min="9246" max="9246" width="11" style="13" customWidth="1"/>
    <col min="9247" max="9247" width="12" style="13" bestFit="1" customWidth="1"/>
    <col min="9248" max="9248" width="14.85546875" style="13" customWidth="1"/>
    <col min="9249" max="9498" width="11.42578125" style="13"/>
    <col min="9499" max="9499" width="18.7109375" style="13" customWidth="1"/>
    <col min="9500" max="9500" width="13.7109375" style="13" bestFit="1" customWidth="1"/>
    <col min="9501" max="9501" width="17.28515625" style="13" customWidth="1"/>
    <col min="9502" max="9502" width="11" style="13" customWidth="1"/>
    <col min="9503" max="9503" width="12" style="13" bestFit="1" customWidth="1"/>
    <col min="9504" max="9504" width="14.85546875" style="13" customWidth="1"/>
    <col min="9505" max="9754" width="11.42578125" style="13"/>
    <col min="9755" max="9755" width="18.7109375" style="13" customWidth="1"/>
    <col min="9756" max="9756" width="13.7109375" style="13" bestFit="1" customWidth="1"/>
    <col min="9757" max="9757" width="17.28515625" style="13" customWidth="1"/>
    <col min="9758" max="9758" width="11" style="13" customWidth="1"/>
    <col min="9759" max="9759" width="12" style="13" bestFit="1" customWidth="1"/>
    <col min="9760" max="9760" width="14.85546875" style="13" customWidth="1"/>
    <col min="9761" max="10010" width="11.42578125" style="13"/>
    <col min="10011" max="10011" width="18.7109375" style="13" customWidth="1"/>
    <col min="10012" max="10012" width="13.7109375" style="13" bestFit="1" customWidth="1"/>
    <col min="10013" max="10013" width="17.28515625" style="13" customWidth="1"/>
    <col min="10014" max="10014" width="11" style="13" customWidth="1"/>
    <col min="10015" max="10015" width="12" style="13" bestFit="1" customWidth="1"/>
    <col min="10016" max="10016" width="14.85546875" style="13" customWidth="1"/>
    <col min="10017" max="10266" width="11.42578125" style="13"/>
    <col min="10267" max="10267" width="18.7109375" style="13" customWidth="1"/>
    <col min="10268" max="10268" width="13.7109375" style="13" bestFit="1" customWidth="1"/>
    <col min="10269" max="10269" width="17.28515625" style="13" customWidth="1"/>
    <col min="10270" max="10270" width="11" style="13" customWidth="1"/>
    <col min="10271" max="10271" width="12" style="13" bestFit="1" customWidth="1"/>
    <col min="10272" max="10272" width="14.85546875" style="13" customWidth="1"/>
    <col min="10273" max="10522" width="11.42578125" style="13"/>
    <col min="10523" max="10523" width="18.7109375" style="13" customWidth="1"/>
    <col min="10524" max="10524" width="13.7109375" style="13" bestFit="1" customWidth="1"/>
    <col min="10525" max="10525" width="17.28515625" style="13" customWidth="1"/>
    <col min="10526" max="10526" width="11" style="13" customWidth="1"/>
    <col min="10527" max="10527" width="12" style="13" bestFit="1" customWidth="1"/>
    <col min="10528" max="10528" width="14.85546875" style="13" customWidth="1"/>
    <col min="10529" max="10778" width="11.42578125" style="13"/>
    <col min="10779" max="10779" width="18.7109375" style="13" customWidth="1"/>
    <col min="10780" max="10780" width="13.7109375" style="13" bestFit="1" customWidth="1"/>
    <col min="10781" max="10781" width="17.28515625" style="13" customWidth="1"/>
    <col min="10782" max="10782" width="11" style="13" customWidth="1"/>
    <col min="10783" max="10783" width="12" style="13" bestFit="1" customWidth="1"/>
    <col min="10784" max="10784" width="14.85546875" style="13" customWidth="1"/>
    <col min="10785" max="11034" width="11.42578125" style="13"/>
    <col min="11035" max="11035" width="18.7109375" style="13" customWidth="1"/>
    <col min="11036" max="11036" width="13.7109375" style="13" bestFit="1" customWidth="1"/>
    <col min="11037" max="11037" width="17.28515625" style="13" customWidth="1"/>
    <col min="11038" max="11038" width="11" style="13" customWidth="1"/>
    <col min="11039" max="11039" width="12" style="13" bestFit="1" customWidth="1"/>
    <col min="11040" max="11040" width="14.85546875" style="13" customWidth="1"/>
    <col min="11041" max="11290" width="11.42578125" style="13"/>
    <col min="11291" max="11291" width="18.7109375" style="13" customWidth="1"/>
    <col min="11292" max="11292" width="13.7109375" style="13" bestFit="1" customWidth="1"/>
    <col min="11293" max="11293" width="17.28515625" style="13" customWidth="1"/>
    <col min="11294" max="11294" width="11" style="13" customWidth="1"/>
    <col min="11295" max="11295" width="12" style="13" bestFit="1" customWidth="1"/>
    <col min="11296" max="11296" width="14.85546875" style="13" customWidth="1"/>
    <col min="11297" max="11546" width="11.42578125" style="13"/>
    <col min="11547" max="11547" width="18.7109375" style="13" customWidth="1"/>
    <col min="11548" max="11548" width="13.7109375" style="13" bestFit="1" customWidth="1"/>
    <col min="11549" max="11549" width="17.28515625" style="13" customWidth="1"/>
    <col min="11550" max="11550" width="11" style="13" customWidth="1"/>
    <col min="11551" max="11551" width="12" style="13" bestFit="1" customWidth="1"/>
    <col min="11552" max="11552" width="14.85546875" style="13" customWidth="1"/>
    <col min="11553" max="11802" width="11.42578125" style="13"/>
    <col min="11803" max="11803" width="18.7109375" style="13" customWidth="1"/>
    <col min="11804" max="11804" width="13.7109375" style="13" bestFit="1" customWidth="1"/>
    <col min="11805" max="11805" width="17.28515625" style="13" customWidth="1"/>
    <col min="11806" max="11806" width="11" style="13" customWidth="1"/>
    <col min="11807" max="11807" width="12" style="13" bestFit="1" customWidth="1"/>
    <col min="11808" max="11808" width="14.85546875" style="13" customWidth="1"/>
    <col min="11809" max="12058" width="11.42578125" style="13"/>
    <col min="12059" max="12059" width="18.7109375" style="13" customWidth="1"/>
    <col min="12060" max="12060" width="13.7109375" style="13" bestFit="1" customWidth="1"/>
    <col min="12061" max="12061" width="17.28515625" style="13" customWidth="1"/>
    <col min="12062" max="12062" width="11" style="13" customWidth="1"/>
    <col min="12063" max="12063" width="12" style="13" bestFit="1" customWidth="1"/>
    <col min="12064" max="12064" width="14.85546875" style="13" customWidth="1"/>
    <col min="12065" max="12314" width="11.42578125" style="13"/>
    <col min="12315" max="12315" width="18.7109375" style="13" customWidth="1"/>
    <col min="12316" max="12316" width="13.7109375" style="13" bestFit="1" customWidth="1"/>
    <col min="12317" max="12317" width="17.28515625" style="13" customWidth="1"/>
    <col min="12318" max="12318" width="11" style="13" customWidth="1"/>
    <col min="12319" max="12319" width="12" style="13" bestFit="1" customWidth="1"/>
    <col min="12320" max="12320" width="14.85546875" style="13" customWidth="1"/>
    <col min="12321" max="12570" width="11.42578125" style="13"/>
    <col min="12571" max="12571" width="18.7109375" style="13" customWidth="1"/>
    <col min="12572" max="12572" width="13.7109375" style="13" bestFit="1" customWidth="1"/>
    <col min="12573" max="12573" width="17.28515625" style="13" customWidth="1"/>
    <col min="12574" max="12574" width="11" style="13" customWidth="1"/>
    <col min="12575" max="12575" width="12" style="13" bestFit="1" customWidth="1"/>
    <col min="12576" max="12576" width="14.85546875" style="13" customWidth="1"/>
    <col min="12577" max="12826" width="11.42578125" style="13"/>
    <col min="12827" max="12827" width="18.7109375" style="13" customWidth="1"/>
    <col min="12828" max="12828" width="13.7109375" style="13" bestFit="1" customWidth="1"/>
    <col min="12829" max="12829" width="17.28515625" style="13" customWidth="1"/>
    <col min="12830" max="12830" width="11" style="13" customWidth="1"/>
    <col min="12831" max="12831" width="12" style="13" bestFit="1" customWidth="1"/>
    <col min="12832" max="12832" width="14.85546875" style="13" customWidth="1"/>
    <col min="12833" max="13082" width="11.42578125" style="13"/>
    <col min="13083" max="13083" width="18.7109375" style="13" customWidth="1"/>
    <col min="13084" max="13084" width="13.7109375" style="13" bestFit="1" customWidth="1"/>
    <col min="13085" max="13085" width="17.28515625" style="13" customWidth="1"/>
    <col min="13086" max="13086" width="11" style="13" customWidth="1"/>
    <col min="13087" max="13087" width="12" style="13" bestFit="1" customWidth="1"/>
    <col min="13088" max="13088" width="14.85546875" style="13" customWidth="1"/>
    <col min="13089" max="13338" width="11.42578125" style="13"/>
    <col min="13339" max="13339" width="18.7109375" style="13" customWidth="1"/>
    <col min="13340" max="13340" width="13.7109375" style="13" bestFit="1" customWidth="1"/>
    <col min="13341" max="13341" width="17.28515625" style="13" customWidth="1"/>
    <col min="13342" max="13342" width="11" style="13" customWidth="1"/>
    <col min="13343" max="13343" width="12" style="13" bestFit="1" customWidth="1"/>
    <col min="13344" max="13344" width="14.85546875" style="13" customWidth="1"/>
    <col min="13345" max="13594" width="11.42578125" style="13"/>
    <col min="13595" max="13595" width="18.7109375" style="13" customWidth="1"/>
    <col min="13596" max="13596" width="13.7109375" style="13" bestFit="1" customWidth="1"/>
    <col min="13597" max="13597" width="17.28515625" style="13" customWidth="1"/>
    <col min="13598" max="13598" width="11" style="13" customWidth="1"/>
    <col min="13599" max="13599" width="12" style="13" bestFit="1" customWidth="1"/>
    <col min="13600" max="13600" width="14.85546875" style="13" customWidth="1"/>
    <col min="13601" max="13850" width="11.42578125" style="13"/>
    <col min="13851" max="13851" width="18.7109375" style="13" customWidth="1"/>
    <col min="13852" max="13852" width="13.7109375" style="13" bestFit="1" customWidth="1"/>
    <col min="13853" max="13853" width="17.28515625" style="13" customWidth="1"/>
    <col min="13854" max="13854" width="11" style="13" customWidth="1"/>
    <col min="13855" max="13855" width="12" style="13" bestFit="1" customWidth="1"/>
    <col min="13856" max="13856" width="14.85546875" style="13" customWidth="1"/>
    <col min="13857" max="14106" width="11.42578125" style="13"/>
    <col min="14107" max="14107" width="18.7109375" style="13" customWidth="1"/>
    <col min="14108" max="14108" width="13.7109375" style="13" bestFit="1" customWidth="1"/>
    <col min="14109" max="14109" width="17.28515625" style="13" customWidth="1"/>
    <col min="14110" max="14110" width="11" style="13" customWidth="1"/>
    <col min="14111" max="14111" width="12" style="13" bestFit="1" customWidth="1"/>
    <col min="14112" max="14112" width="14.85546875" style="13" customWidth="1"/>
    <col min="14113" max="14362" width="11.42578125" style="13"/>
    <col min="14363" max="14363" width="18.7109375" style="13" customWidth="1"/>
    <col min="14364" max="14364" width="13.7109375" style="13" bestFit="1" customWidth="1"/>
    <col min="14365" max="14365" width="17.28515625" style="13" customWidth="1"/>
    <col min="14366" max="14366" width="11" style="13" customWidth="1"/>
    <col min="14367" max="14367" width="12" style="13" bestFit="1" customWidth="1"/>
    <col min="14368" max="14368" width="14.85546875" style="13" customWidth="1"/>
    <col min="14369" max="14618" width="11.42578125" style="13"/>
    <col min="14619" max="14619" width="18.7109375" style="13" customWidth="1"/>
    <col min="14620" max="14620" width="13.7109375" style="13" bestFit="1" customWidth="1"/>
    <col min="14621" max="14621" width="17.28515625" style="13" customWidth="1"/>
    <col min="14622" max="14622" width="11" style="13" customWidth="1"/>
    <col min="14623" max="14623" width="12" style="13" bestFit="1" customWidth="1"/>
    <col min="14624" max="14624" width="14.85546875" style="13" customWidth="1"/>
    <col min="14625" max="14874" width="11.42578125" style="13"/>
    <col min="14875" max="14875" width="18.7109375" style="13" customWidth="1"/>
    <col min="14876" max="14876" width="13.7109375" style="13" bestFit="1" customWidth="1"/>
    <col min="14877" max="14877" width="17.28515625" style="13" customWidth="1"/>
    <col min="14878" max="14878" width="11" style="13" customWidth="1"/>
    <col min="14879" max="14879" width="12" style="13" bestFit="1" customWidth="1"/>
    <col min="14880" max="14880" width="14.85546875" style="13" customWidth="1"/>
    <col min="14881" max="15130" width="11.42578125" style="13"/>
    <col min="15131" max="15131" width="18.7109375" style="13" customWidth="1"/>
    <col min="15132" max="15132" width="13.7109375" style="13" bestFit="1" customWidth="1"/>
    <col min="15133" max="15133" width="17.28515625" style="13" customWidth="1"/>
    <col min="15134" max="15134" width="11" style="13" customWidth="1"/>
    <col min="15135" max="15135" width="12" style="13" bestFit="1" customWidth="1"/>
    <col min="15136" max="15136" width="14.85546875" style="13" customWidth="1"/>
    <col min="15137" max="15386" width="11.42578125" style="13"/>
    <col min="15387" max="15387" width="18.7109375" style="13" customWidth="1"/>
    <col min="15388" max="15388" width="13.7109375" style="13" bestFit="1" customWidth="1"/>
    <col min="15389" max="15389" width="17.28515625" style="13" customWidth="1"/>
    <col min="15390" max="15390" width="11" style="13" customWidth="1"/>
    <col min="15391" max="15391" width="12" style="13" bestFit="1" customWidth="1"/>
    <col min="15392" max="15392" width="14.85546875" style="13" customWidth="1"/>
    <col min="15393" max="15642" width="11.42578125" style="13"/>
    <col min="15643" max="15643" width="18.7109375" style="13" customWidth="1"/>
    <col min="15644" max="15644" width="13.7109375" style="13" bestFit="1" customWidth="1"/>
    <col min="15645" max="15645" width="17.28515625" style="13" customWidth="1"/>
    <col min="15646" max="15646" width="11" style="13" customWidth="1"/>
    <col min="15647" max="15647" width="12" style="13" bestFit="1" customWidth="1"/>
    <col min="15648" max="15648" width="14.85546875" style="13" customWidth="1"/>
    <col min="15649" max="15898" width="11.42578125" style="13"/>
    <col min="15899" max="15899" width="18.7109375" style="13" customWidth="1"/>
    <col min="15900" max="15900" width="13.7109375" style="13" bestFit="1" customWidth="1"/>
    <col min="15901" max="15901" width="17.28515625" style="13" customWidth="1"/>
    <col min="15902" max="15902" width="11" style="13" customWidth="1"/>
    <col min="15903" max="15903" width="12" style="13" bestFit="1" customWidth="1"/>
    <col min="15904" max="15904" width="14.85546875" style="13" customWidth="1"/>
    <col min="15905" max="16154" width="11.42578125" style="13"/>
    <col min="16155" max="16155" width="18.7109375" style="13" customWidth="1"/>
    <col min="16156" max="16156" width="13.7109375" style="13" bestFit="1" customWidth="1"/>
    <col min="16157" max="16157" width="17.28515625" style="13" customWidth="1"/>
    <col min="16158" max="16158" width="11" style="13" customWidth="1"/>
    <col min="16159" max="16159" width="12" style="13" bestFit="1" customWidth="1"/>
    <col min="16160" max="16160" width="14.85546875" style="13" customWidth="1"/>
    <col min="16161" max="16384" width="11.42578125" style="13"/>
  </cols>
  <sheetData>
    <row r="2" spans="1:37" x14ac:dyDescent="0.2">
      <c r="A2" s="13" t="s">
        <v>70</v>
      </c>
      <c r="B2" s="47">
        <f>'pooled normalised values'!B75</f>
        <v>0.11600485275828015</v>
      </c>
      <c r="D2" s="13" t="s">
        <v>9</v>
      </c>
      <c r="E2" s="14"/>
      <c r="F2" s="15" t="str">
        <f>'pooled normalised values'!J74</f>
        <v>Triphénylphosphate-0,26mg/L</v>
      </c>
      <c r="G2" s="15" t="str">
        <f>'pooled normalised values'!K74</f>
        <v>Triphénylphosphate-0,4mg/L</v>
      </c>
      <c r="H2" s="15" t="str">
        <f>'pooled normalised values'!L74</f>
        <v>Triphénylphosphate-0,59mg/L</v>
      </c>
      <c r="I2" s="15" t="str">
        <f>'pooled normalised values'!M74</f>
        <v>Triphénylphosphate-0,89mg/L</v>
      </c>
      <c r="J2" s="15" t="e">
        <f>'pooled normalised values'!#REF!</f>
        <v>#REF!</v>
      </c>
      <c r="K2" s="15" t="e">
        <f>'pooled normalised values'!#REF!</f>
        <v>#REF!</v>
      </c>
      <c r="L2" s="15" t="e">
        <f>'pooled normalised values'!#REF!</f>
        <v>#REF!</v>
      </c>
      <c r="M2" s="15" t="e">
        <f>'pooled normalised values'!#REF!</f>
        <v>#REF!</v>
      </c>
      <c r="N2" s="15" t="e">
        <f>'pooled normalised values'!#REF!</f>
        <v>#REF!</v>
      </c>
      <c r="O2" s="15" t="e">
        <f>'pooled normalised values'!#REF!</f>
        <v>#REF!</v>
      </c>
      <c r="P2" s="15" t="e">
        <f>'pooled normalised values'!#REF!</f>
        <v>#REF!</v>
      </c>
      <c r="Q2" s="15" t="e">
        <f>'pooled normalised values'!#REF!</f>
        <v>#REF!</v>
      </c>
      <c r="R2" s="15" t="e">
        <f>'pooled normalised values'!#REF!</f>
        <v>#REF!</v>
      </c>
      <c r="S2" s="15" t="e">
        <f>'pooled normalised values'!#REF!</f>
        <v>#REF!</v>
      </c>
      <c r="T2" s="14"/>
      <c r="U2" s="16"/>
      <c r="V2" s="15" t="str">
        <f>'pooled normalised values'!R74</f>
        <v>Triphénylphosphate-0,18mg/L + Testostérone</v>
      </c>
      <c r="W2" s="15" t="str">
        <f>'pooled normalised values'!S74</f>
        <v>Triphénylphosphate-0,26mg/L + Testostérone</v>
      </c>
      <c r="X2" s="15" t="str">
        <f>'pooled normalised values'!T74</f>
        <v>Triphénylphosphate-0,4mg/L + Testostérone</v>
      </c>
      <c r="Y2" s="15" t="str">
        <f>'pooled normalised values'!U74</f>
        <v>Triphénylphosphate-0,59mg/L + Testostérone</v>
      </c>
      <c r="Z2" s="15" t="str">
        <f>'pooled normalised values'!V74</f>
        <v>Triphénylphosphate-0,89mg/L + Testostérone</v>
      </c>
      <c r="AA2" s="15">
        <f>'pooled normalised values'!W74</f>
        <v>0</v>
      </c>
      <c r="AB2" s="15">
        <f>'pooled normalised values'!X74</f>
        <v>0</v>
      </c>
      <c r="AC2" s="15">
        <f>'pooled normalised values'!Y74</f>
        <v>0</v>
      </c>
      <c r="AD2" s="15">
        <f>'pooled normalised values'!Z74</f>
        <v>0</v>
      </c>
      <c r="AE2" s="15">
        <f>'pooled normalised values'!AA74</f>
        <v>0</v>
      </c>
      <c r="AF2" s="15">
        <f>'pooled normalised values'!AB74</f>
        <v>0</v>
      </c>
      <c r="AG2" s="15">
        <f>'pooled normalised values'!AC74</f>
        <v>0</v>
      </c>
      <c r="AH2" s="15">
        <f>'pooled normalised values'!AD74</f>
        <v>0</v>
      </c>
      <c r="AI2" s="15">
        <f>'pooled normalised values'!AK74</f>
        <v>0</v>
      </c>
      <c r="AJ2" s="16"/>
      <c r="AK2" s="13" t="s">
        <v>9</v>
      </c>
    </row>
    <row r="3" spans="1:37" x14ac:dyDescent="0.2">
      <c r="A3" s="13" t="s">
        <v>71</v>
      </c>
      <c r="B3" s="47">
        <f>'summary results'!E6</f>
        <v>0</v>
      </c>
      <c r="D3" s="13" t="s">
        <v>10</v>
      </c>
      <c r="E3" s="14"/>
      <c r="F3" s="15">
        <f>HLOOKUP(F2,'pooled normalised values'!B74:AK83,2,FALSE)</f>
        <v>0.12580410360235189</v>
      </c>
      <c r="G3" s="15">
        <f>HLOOKUP(G2,'pooled normalised values'!C74:AL83,2,FALSE)</f>
        <v>0.19316269500175312</v>
      </c>
      <c r="H3" s="15">
        <f>HLOOKUP(H2,'pooled normalised values'!C74:AM83,2,FALSE)</f>
        <v>0.41264715024110665</v>
      </c>
      <c r="I3" s="15">
        <f>HLOOKUP(I2,'pooled normalised values'!D74:AN83,2,FALSE)</f>
        <v>1.0613784513361271</v>
      </c>
      <c r="J3" s="15" t="e">
        <f>HLOOKUP(J2,'pooled normalised values'!E74:AO83,2,FALSE)</f>
        <v>#REF!</v>
      </c>
      <c r="K3" s="15" t="e">
        <f>HLOOKUP(K2,'pooled normalised values'!F74:AP83,2,FALSE)</f>
        <v>#REF!</v>
      </c>
      <c r="L3" s="15" t="e">
        <f>HLOOKUP(L2,'pooled normalised values'!G74:AQ83,2,FALSE)</f>
        <v>#REF!</v>
      </c>
      <c r="M3" s="15" t="e">
        <f>HLOOKUP(M2,'pooled normalised values'!H74:AR83,2,FALSE)</f>
        <v>#REF!</v>
      </c>
      <c r="N3" s="15" t="e">
        <f>HLOOKUP(N2,'pooled normalised values'!I74:AS83,2,FALSE)</f>
        <v>#REF!</v>
      </c>
      <c r="O3" s="15" t="e">
        <f>HLOOKUP(O2,'pooled normalised values'!J74:AT83,2,FALSE)</f>
        <v>#REF!</v>
      </c>
      <c r="P3" s="15" t="e">
        <f>HLOOKUP(P2,'pooled normalised values'!K74:AU83,2,FALSE)</f>
        <v>#REF!</v>
      </c>
      <c r="Q3" s="15" t="e">
        <f>HLOOKUP(Q2,'pooled normalised values'!L74:AV83,2,FALSE)</f>
        <v>#REF!</v>
      </c>
      <c r="R3" s="15" t="e">
        <f>HLOOKUP(R2,'pooled normalised values'!M74:AW83,2,FALSE)</f>
        <v>#REF!</v>
      </c>
      <c r="S3" s="15" t="e">
        <f>HLOOKUP(S2,'pooled normalised values'!N74:AX83,2,FALSE)</f>
        <v>#REF!</v>
      </c>
      <c r="T3" s="14"/>
      <c r="U3" s="16"/>
      <c r="V3" s="15">
        <f>HLOOKUP(V2,'pooled normalised values'!N74:BA83,2,FALSE)</f>
        <v>1.295990443584083</v>
      </c>
      <c r="W3" s="15">
        <f>HLOOKUP(W2,'pooled normalised values'!N74:BB83,2,FALSE)</f>
        <v>1.6188687674245983</v>
      </c>
      <c r="X3" s="15">
        <f>HLOOKUP(X2,'pooled normalised values'!N74:BC83,2,FALSE)</f>
        <v>1.6671982011063793</v>
      </c>
      <c r="Y3" s="15">
        <f>HLOOKUP(Y2,'pooled normalised values'!N74:BD83,2,FALSE)</f>
        <v>1.5739308181352347</v>
      </c>
      <c r="Z3" s="15">
        <f>HLOOKUP(Z2,'pooled normalised values'!N74:BE83,2,FALSE)</f>
        <v>1.6757802174923313</v>
      </c>
      <c r="AA3" s="15" t="e">
        <f>HLOOKUP(AA2,'pooled normalised values'!N74:BF83,2,FALSE)</f>
        <v>#N/A</v>
      </c>
      <c r="AB3" s="15" t="e">
        <f>HLOOKUP(AB2,'pooled normalised values'!N74:BG83,2,FALSE)</f>
        <v>#N/A</v>
      </c>
      <c r="AC3" s="15" t="e">
        <f>HLOOKUP(AC2,'pooled normalised values'!N74:BH83,2,FALSE)</f>
        <v>#N/A</v>
      </c>
      <c r="AD3" s="15" t="e">
        <f>HLOOKUP(AD2,'pooled normalised values'!N74:BI83,2,FALSE)</f>
        <v>#N/A</v>
      </c>
      <c r="AE3" s="15" t="e">
        <f>HLOOKUP(AE2,'pooled normalised values'!N74:BJ83,2,FALSE)</f>
        <v>#N/A</v>
      </c>
      <c r="AF3" s="15" t="e">
        <f>HLOOKUP(AF2,'pooled normalised values'!N74:BK83,2,FALSE)</f>
        <v>#N/A</v>
      </c>
      <c r="AG3" s="15" t="e">
        <f>HLOOKUP(AG2,'pooled normalised values'!N74:BL83,2,FALSE)</f>
        <v>#N/A</v>
      </c>
      <c r="AH3" s="15" t="e">
        <f>HLOOKUP(AH2,'pooled normalised values'!N74:BM83,2,FALSE)</f>
        <v>#N/A</v>
      </c>
      <c r="AI3" s="15" t="e">
        <f>HLOOKUP(AI2,'pooled normalised values'!N74:BN83,2,FALSE)</f>
        <v>#N/A</v>
      </c>
      <c r="AJ3" s="16"/>
      <c r="AK3" s="13" t="s">
        <v>10</v>
      </c>
    </row>
    <row r="4" spans="1:37" x14ac:dyDescent="0.2">
      <c r="A4" s="13" t="s">
        <v>72</v>
      </c>
      <c r="B4" s="47">
        <f>'pooled normalised values'!O75</f>
        <v>1.0201445992977629</v>
      </c>
      <c r="D4" s="13" t="s">
        <v>2</v>
      </c>
      <c r="E4" s="14"/>
      <c r="F4" s="15">
        <f>HLOOKUP(F2,'pooled normalised values'!B74:AK83,3,FALSE)</f>
        <v>2.0709205538260538E-2</v>
      </c>
      <c r="G4" s="15">
        <f>HLOOKUP(G2,'pooled normalised values'!C74:AL83,3,FALSE)</f>
        <v>2.522717899343065E-2</v>
      </c>
      <c r="H4" s="15">
        <f>HLOOKUP(H2,'pooled normalised values'!C74:AM83,3,FALSE)</f>
        <v>5.4141751784861795E-2</v>
      </c>
      <c r="I4" s="15">
        <f>HLOOKUP(I2,'pooled normalised values'!D74:AN83,3,FALSE)</f>
        <v>0.13181348944358626</v>
      </c>
      <c r="J4" s="15" t="e">
        <f>HLOOKUP(J2,'pooled normalised values'!E74:AO83,3,FALSE)</f>
        <v>#REF!</v>
      </c>
      <c r="K4" s="15" t="e">
        <f>HLOOKUP(K2,'pooled normalised values'!F74:AP83,3,FALSE)</f>
        <v>#REF!</v>
      </c>
      <c r="L4" s="15" t="e">
        <f>HLOOKUP(L2,'pooled normalised values'!G74:AQ83,3,FALSE)</f>
        <v>#REF!</v>
      </c>
      <c r="M4" s="15" t="e">
        <f>HLOOKUP(M2,'pooled normalised values'!H74:AR83,3,FALSE)</f>
        <v>#REF!</v>
      </c>
      <c r="N4" s="15" t="e">
        <f>HLOOKUP(N2,'pooled normalised values'!I74:AS83,3,FALSE)</f>
        <v>#REF!</v>
      </c>
      <c r="O4" s="15" t="e">
        <f>HLOOKUP(O2,'pooled normalised values'!J74:AT83,3,FALSE)</f>
        <v>#REF!</v>
      </c>
      <c r="P4" s="15" t="e">
        <f>HLOOKUP(P2,'pooled normalised values'!K74:AU83,3,FALSE)</f>
        <v>#REF!</v>
      </c>
      <c r="Q4" s="15" t="e">
        <f>HLOOKUP(Q2,'pooled normalised values'!L74:AV83,3,FALSE)</f>
        <v>#REF!</v>
      </c>
      <c r="R4" s="15" t="e">
        <f>HLOOKUP(R2,'pooled normalised values'!M74:AW83,3,FALSE)</f>
        <v>#REF!</v>
      </c>
      <c r="S4" s="15" t="e">
        <f>HLOOKUP(S2,'pooled normalised values'!N74:AX83,3,FALSE)</f>
        <v>#REF!</v>
      </c>
      <c r="T4" s="14"/>
      <c r="U4" s="16"/>
      <c r="V4" s="15">
        <f>HLOOKUP(V2,'pooled normalised values'!N74:BA83,3,FALSE)</f>
        <v>8.8997939015094063E-2</v>
      </c>
      <c r="W4" s="15">
        <f>HLOOKUP(W2,'pooled normalised values'!N74:BB83,3,FALSE)</f>
        <v>0.12729861816727336</v>
      </c>
      <c r="X4" s="15">
        <f>HLOOKUP(X2,'pooled normalised values'!N74:BC83,3,FALSE)</f>
        <v>0.12310773809867062</v>
      </c>
      <c r="Y4" s="15">
        <f>HLOOKUP(Y2,'pooled normalised values'!N74:BD83,3,FALSE)</f>
        <v>0.11479676992392825</v>
      </c>
      <c r="Z4" s="15">
        <f>HLOOKUP(Z2,'pooled normalised values'!N74:BE83,3,FALSE)</f>
        <v>0.11617582458524706</v>
      </c>
      <c r="AA4" s="15" t="e">
        <f>HLOOKUP(AA2,'pooled normalised values'!N74:BF83,3,FALSE)</f>
        <v>#N/A</v>
      </c>
      <c r="AB4" s="15" t="e">
        <f>HLOOKUP(AB2,'pooled normalised values'!N74:BG83,3,FALSE)</f>
        <v>#N/A</v>
      </c>
      <c r="AC4" s="15" t="e">
        <f>HLOOKUP(AC2,'pooled normalised values'!N74:BH83,3,FALSE)</f>
        <v>#N/A</v>
      </c>
      <c r="AD4" s="15" t="e">
        <f>HLOOKUP(AD2,'pooled normalised values'!N74:BI83,3,FALSE)</f>
        <v>#N/A</v>
      </c>
      <c r="AE4" s="15" t="e">
        <f>HLOOKUP(AE2,'pooled normalised values'!N74:BJ83,3,FALSE)</f>
        <v>#N/A</v>
      </c>
      <c r="AF4" s="15" t="e">
        <f>HLOOKUP(AF2,'pooled normalised values'!N74:BK83,3,FALSE)</f>
        <v>#N/A</v>
      </c>
      <c r="AG4" s="15" t="e">
        <f>HLOOKUP(AG2,'pooled normalised values'!N74:BL83,3,FALSE)</f>
        <v>#N/A</v>
      </c>
      <c r="AH4" s="15" t="e">
        <f>HLOOKUP(AH2,'pooled normalised values'!N74:BM83,3,FALSE)</f>
        <v>#N/A</v>
      </c>
      <c r="AI4" s="15" t="e">
        <f>HLOOKUP(AI2,'pooled normalised values'!N74:BN83,3,FALSE)</f>
        <v>#N/A</v>
      </c>
      <c r="AJ4" s="16"/>
      <c r="AK4" s="13" t="s">
        <v>2</v>
      </c>
    </row>
    <row r="5" spans="1:37" x14ac:dyDescent="0.2">
      <c r="A5" s="13" t="s">
        <v>73</v>
      </c>
      <c r="B5" s="47">
        <f>'pooled normalised values'!P75</f>
        <v>1.4797886152756921</v>
      </c>
      <c r="D5" s="13" t="s">
        <v>11</v>
      </c>
      <c r="E5" s="14"/>
      <c r="F5" s="15" t="str">
        <f>HLOOKUP(F2,'pooled normalised values'!B74:AK83,10,FALSE)</f>
        <v>NS</v>
      </c>
      <c r="G5" s="15" t="str">
        <f>HLOOKUP(G2,'pooled normalised values'!C74:AL83,10,FALSE)</f>
        <v>NS</v>
      </c>
      <c r="H5" s="15" t="str">
        <f>HLOOKUP(H2,'pooled normalised values'!C74:AM83,10,FALSE)</f>
        <v>***</v>
      </c>
      <c r="I5" s="15" t="str">
        <f>HLOOKUP(I2,'pooled normalised values'!D74:AN83,10,FALSE)</f>
        <v>***</v>
      </c>
      <c r="J5" s="15" t="e">
        <f>HLOOKUP(J2,'pooled normalised values'!E74:AO83,10,FALSE)</f>
        <v>#REF!</v>
      </c>
      <c r="K5" s="15" t="e">
        <f>HLOOKUP(K2,'pooled normalised values'!F74:AP83,10,FALSE)</f>
        <v>#REF!</v>
      </c>
      <c r="L5" s="15" t="e">
        <f>HLOOKUP(L2,'pooled normalised values'!G74:AQ83,10,FALSE)</f>
        <v>#REF!</v>
      </c>
      <c r="M5" s="15" t="e">
        <f>HLOOKUP(M2,'pooled normalised values'!H74:AR83,10,FALSE)</f>
        <v>#REF!</v>
      </c>
      <c r="N5" s="15" t="e">
        <f>HLOOKUP(N2,'pooled normalised values'!I74:AS83,10,FALSE)</f>
        <v>#REF!</v>
      </c>
      <c r="O5" s="15" t="e">
        <f>HLOOKUP(O2,'pooled normalised values'!J74:AT83,10,FALSE)</f>
        <v>#REF!</v>
      </c>
      <c r="P5" s="15" t="e">
        <f>HLOOKUP(P2,'pooled normalised values'!K74:AU83,10,FALSE)</f>
        <v>#REF!</v>
      </c>
      <c r="Q5" s="15" t="e">
        <f>HLOOKUP(Q2,'pooled normalised values'!L74:AV83,10,FALSE)</f>
        <v>#REF!</v>
      </c>
      <c r="R5" s="15" t="e">
        <f>HLOOKUP(R2,'pooled normalised values'!M74:AW83,10,FALSE)</f>
        <v>#REF!</v>
      </c>
      <c r="S5" s="15" t="e">
        <f>HLOOKUP(S2,'pooled normalised values'!N74:AX83,10,FALSE)</f>
        <v>#REF!</v>
      </c>
      <c r="T5" s="14"/>
      <c r="U5" s="16"/>
      <c r="V5" s="15" t="str">
        <f>HLOOKUP(V2,'pooled normalised values'!N74:BA83,10,FALSE)</f>
        <v>NS</v>
      </c>
      <c r="W5" s="15" t="str">
        <f>HLOOKUP(W2,'pooled normalised values'!N74:BB83,10,FALSE)</f>
        <v>***</v>
      </c>
      <c r="X5" s="15" t="str">
        <f>HLOOKUP(X2,'pooled normalised values'!N74:BC83,10,FALSE)</f>
        <v>***</v>
      </c>
      <c r="Y5" s="15" t="str">
        <f>HLOOKUP(Y2,'pooled normalised values'!N74:BD83,10,FALSE)</f>
        <v>***</v>
      </c>
      <c r="Z5" s="15" t="str">
        <f>HLOOKUP(Z2,'pooled normalised values'!N74:BE83,10,FALSE)</f>
        <v>***</v>
      </c>
      <c r="AA5" s="15" t="e">
        <f>HLOOKUP(AA2,'pooled normalised values'!N74:BF83,10,FALSE)</f>
        <v>#N/A</v>
      </c>
      <c r="AB5" s="15" t="e">
        <f>HLOOKUP(AB2,'pooled normalised values'!N74:BG83,10,FALSE)</f>
        <v>#N/A</v>
      </c>
      <c r="AC5" s="15" t="e">
        <f>HLOOKUP(AC2,'pooled normalised values'!N74:BH83,10,FALSE)</f>
        <v>#N/A</v>
      </c>
      <c r="AD5" s="15" t="e">
        <f>HLOOKUP(AD2,'pooled normalised values'!N74:BI83,10,FALSE)</f>
        <v>#N/A</v>
      </c>
      <c r="AE5" s="15" t="e">
        <f>HLOOKUP(AE2,'pooled normalised values'!N74:BJ83,10,FALSE)</f>
        <v>#N/A</v>
      </c>
      <c r="AF5" s="15" t="e">
        <f>HLOOKUP(AF2,'pooled normalised values'!N74:BK83,10,FALSE)</f>
        <v>#N/A</v>
      </c>
      <c r="AG5" s="15" t="e">
        <f>HLOOKUP(AG2,'pooled normalised values'!N74:BL83,10,FALSE)</f>
        <v>#N/A</v>
      </c>
      <c r="AH5" s="15" t="e">
        <f>HLOOKUP(AH2,'pooled normalised values'!N74:BM83,10,FALSE)</f>
        <v>#N/A</v>
      </c>
      <c r="AI5" s="15" t="e">
        <f>HLOOKUP(AI2,'pooled normalised values'!N74:BN83,10,FALSE)</f>
        <v>#N/A</v>
      </c>
      <c r="AJ5" s="16"/>
      <c r="AK5" s="13" t="s">
        <v>11</v>
      </c>
    </row>
    <row r="6" spans="1:37" x14ac:dyDescent="0.2">
      <c r="A6" s="13" t="s">
        <v>74</v>
      </c>
      <c r="B6" s="47">
        <f>'pooled normalised values'!Q75</f>
        <v>0.12646172416157422</v>
      </c>
      <c r="D6" s="13" t="s">
        <v>12</v>
      </c>
      <c r="E6" s="14">
        <f>$B$2</f>
        <v>0.11600485275828015</v>
      </c>
      <c r="F6" s="14">
        <f>$B$2</f>
        <v>0.11600485275828015</v>
      </c>
      <c r="G6" s="14">
        <f t="shared" ref="G6:R6" si="0">$B$2</f>
        <v>0.11600485275828015</v>
      </c>
      <c r="H6" s="14">
        <f t="shared" si="0"/>
        <v>0.11600485275828015</v>
      </c>
      <c r="I6" s="14">
        <f t="shared" si="0"/>
        <v>0.11600485275828015</v>
      </c>
      <c r="J6" s="14">
        <f t="shared" si="0"/>
        <v>0.11600485275828015</v>
      </c>
      <c r="K6" s="14">
        <f t="shared" si="0"/>
        <v>0.11600485275828015</v>
      </c>
      <c r="L6" s="14">
        <f t="shared" si="0"/>
        <v>0.11600485275828015</v>
      </c>
      <c r="M6" s="14">
        <f t="shared" si="0"/>
        <v>0.11600485275828015</v>
      </c>
      <c r="N6" s="14">
        <f t="shared" si="0"/>
        <v>0.11600485275828015</v>
      </c>
      <c r="O6" s="14">
        <f t="shared" si="0"/>
        <v>0.11600485275828015</v>
      </c>
      <c r="P6" s="14">
        <f t="shared" si="0"/>
        <v>0.11600485275828015</v>
      </c>
      <c r="Q6" s="14">
        <f t="shared" si="0"/>
        <v>0.11600485275828015</v>
      </c>
      <c r="R6" s="14">
        <f t="shared" si="0"/>
        <v>0.11600485275828015</v>
      </c>
      <c r="S6" s="14">
        <f>$B$2</f>
        <v>0.11600485275828015</v>
      </c>
      <c r="T6" s="14">
        <f>$B$2</f>
        <v>0.11600485275828015</v>
      </c>
      <c r="U6" s="16"/>
      <c r="V6" s="16"/>
      <c r="W6" s="16"/>
      <c r="X6" s="16"/>
      <c r="Y6" s="16"/>
      <c r="Z6" s="16"/>
      <c r="AA6" s="16"/>
      <c r="AB6" s="16"/>
      <c r="AC6" s="16"/>
      <c r="AD6" s="16"/>
      <c r="AE6" s="16"/>
      <c r="AF6" s="16"/>
      <c r="AG6" s="16"/>
      <c r="AH6" s="16"/>
      <c r="AI6" s="16"/>
      <c r="AJ6" s="16"/>
      <c r="AK6" s="13" t="s">
        <v>12</v>
      </c>
    </row>
    <row r="7" spans="1:37" x14ac:dyDescent="0.2">
      <c r="D7" s="13" t="s">
        <v>13</v>
      </c>
      <c r="E7" s="14"/>
      <c r="F7" s="14"/>
      <c r="G7" s="14"/>
      <c r="H7" s="14"/>
      <c r="I7" s="14"/>
      <c r="J7" s="14"/>
      <c r="K7" s="14"/>
      <c r="L7" s="14"/>
      <c r="M7" s="14"/>
      <c r="N7" s="14"/>
      <c r="O7" s="14"/>
      <c r="P7" s="14"/>
      <c r="Q7" s="14"/>
      <c r="R7" s="14"/>
      <c r="S7" s="14"/>
      <c r="T7" s="14"/>
      <c r="U7" s="16">
        <f t="shared" ref="U7:AJ7" si="1">$B$4</f>
        <v>1.0201445992977629</v>
      </c>
      <c r="V7" s="16">
        <f t="shared" si="1"/>
        <v>1.0201445992977629</v>
      </c>
      <c r="W7" s="16">
        <f t="shared" si="1"/>
        <v>1.0201445992977629</v>
      </c>
      <c r="X7" s="16">
        <f t="shared" si="1"/>
        <v>1.0201445992977629</v>
      </c>
      <c r="Y7" s="16">
        <f t="shared" si="1"/>
        <v>1.0201445992977629</v>
      </c>
      <c r="Z7" s="16">
        <f t="shared" si="1"/>
        <v>1.0201445992977629</v>
      </c>
      <c r="AA7" s="16">
        <f t="shared" si="1"/>
        <v>1.0201445992977629</v>
      </c>
      <c r="AB7" s="16">
        <f t="shared" si="1"/>
        <v>1.0201445992977629</v>
      </c>
      <c r="AC7" s="16">
        <f t="shared" si="1"/>
        <v>1.0201445992977629</v>
      </c>
      <c r="AD7" s="16">
        <f t="shared" si="1"/>
        <v>1.0201445992977629</v>
      </c>
      <c r="AE7" s="16">
        <f t="shared" si="1"/>
        <v>1.0201445992977629</v>
      </c>
      <c r="AF7" s="16">
        <f t="shared" si="1"/>
        <v>1.0201445992977629</v>
      </c>
      <c r="AG7" s="16">
        <f t="shared" si="1"/>
        <v>1.0201445992977629</v>
      </c>
      <c r="AH7" s="16">
        <f t="shared" si="1"/>
        <v>1.0201445992977629</v>
      </c>
      <c r="AI7" s="16">
        <f t="shared" si="1"/>
        <v>1.0201445992977629</v>
      </c>
      <c r="AJ7" s="16">
        <f t="shared" si="1"/>
        <v>1.0201445992977629</v>
      </c>
      <c r="AK7" s="13" t="s">
        <v>13</v>
      </c>
    </row>
    <row r="8" spans="1:37" x14ac:dyDescent="0.2">
      <c r="D8" s="13" t="s">
        <v>14</v>
      </c>
      <c r="E8" s="14">
        <v>0</v>
      </c>
      <c r="F8" s="14">
        <v>0</v>
      </c>
      <c r="G8" s="14">
        <v>0</v>
      </c>
      <c r="H8" s="14">
        <v>0</v>
      </c>
      <c r="I8" s="14">
        <v>0</v>
      </c>
      <c r="J8" s="14">
        <v>0</v>
      </c>
      <c r="K8" s="14">
        <v>0</v>
      </c>
      <c r="L8" s="14">
        <v>0</v>
      </c>
      <c r="M8" s="14">
        <v>0</v>
      </c>
      <c r="N8" s="14">
        <v>0</v>
      </c>
      <c r="O8" s="14">
        <v>0</v>
      </c>
      <c r="P8" s="14">
        <v>0</v>
      </c>
      <c r="Q8" s="14">
        <v>0</v>
      </c>
      <c r="R8" s="14">
        <v>0</v>
      </c>
      <c r="S8" s="14">
        <v>0</v>
      </c>
      <c r="T8" s="14">
        <v>0</v>
      </c>
      <c r="U8" s="16">
        <f>$B$6</f>
        <v>0.12646172416157422</v>
      </c>
      <c r="V8" s="16">
        <f t="shared" ref="V8:AJ8" si="2">$B$6</f>
        <v>0.12646172416157422</v>
      </c>
      <c r="W8" s="16">
        <f t="shared" si="2"/>
        <v>0.12646172416157422</v>
      </c>
      <c r="X8" s="16">
        <f t="shared" si="2"/>
        <v>0.12646172416157422</v>
      </c>
      <c r="Y8" s="16">
        <f t="shared" si="2"/>
        <v>0.12646172416157422</v>
      </c>
      <c r="Z8" s="16">
        <f t="shared" si="2"/>
        <v>0.12646172416157422</v>
      </c>
      <c r="AA8" s="16">
        <f t="shared" si="2"/>
        <v>0.12646172416157422</v>
      </c>
      <c r="AB8" s="16">
        <f t="shared" si="2"/>
        <v>0.12646172416157422</v>
      </c>
      <c r="AC8" s="16">
        <f t="shared" si="2"/>
        <v>0.12646172416157422</v>
      </c>
      <c r="AD8" s="16">
        <f t="shared" si="2"/>
        <v>0.12646172416157422</v>
      </c>
      <c r="AE8" s="16">
        <f t="shared" si="2"/>
        <v>0.12646172416157422</v>
      </c>
      <c r="AF8" s="16">
        <f t="shared" si="2"/>
        <v>0.12646172416157422</v>
      </c>
      <c r="AG8" s="16">
        <f t="shared" si="2"/>
        <v>0.12646172416157422</v>
      </c>
      <c r="AH8" s="16">
        <f t="shared" si="2"/>
        <v>0.12646172416157422</v>
      </c>
      <c r="AI8" s="16">
        <f t="shared" si="2"/>
        <v>0.12646172416157422</v>
      </c>
      <c r="AJ8" s="16">
        <f t="shared" si="2"/>
        <v>0.12646172416157422</v>
      </c>
      <c r="AK8" s="13" t="s">
        <v>14</v>
      </c>
    </row>
    <row r="9" spans="1:37" x14ac:dyDescent="0.2">
      <c r="D9" s="13" t="s">
        <v>15</v>
      </c>
      <c r="E9" s="14">
        <f>$B$3-E8</f>
        <v>0</v>
      </c>
      <c r="F9" s="14">
        <f>$B$3-F8</f>
        <v>0</v>
      </c>
      <c r="G9" s="14">
        <f t="shared" ref="G9:R9" si="3">$B$3-G8</f>
        <v>0</v>
      </c>
      <c r="H9" s="14">
        <f t="shared" si="3"/>
        <v>0</v>
      </c>
      <c r="I9" s="14">
        <f t="shared" si="3"/>
        <v>0</v>
      </c>
      <c r="J9" s="14">
        <f t="shared" si="3"/>
        <v>0</v>
      </c>
      <c r="K9" s="14">
        <f t="shared" si="3"/>
        <v>0</v>
      </c>
      <c r="L9" s="14">
        <f t="shared" si="3"/>
        <v>0</v>
      </c>
      <c r="M9" s="14">
        <f t="shared" si="3"/>
        <v>0</v>
      </c>
      <c r="N9" s="14">
        <f t="shared" si="3"/>
        <v>0</v>
      </c>
      <c r="O9" s="14">
        <f t="shared" si="3"/>
        <v>0</v>
      </c>
      <c r="P9" s="14">
        <f t="shared" si="3"/>
        <v>0</v>
      </c>
      <c r="Q9" s="14">
        <f t="shared" si="3"/>
        <v>0</v>
      </c>
      <c r="R9" s="14">
        <f t="shared" si="3"/>
        <v>0</v>
      </c>
      <c r="S9" s="14">
        <f>$B$3-S8</f>
        <v>0</v>
      </c>
      <c r="T9" s="14">
        <f>$B$3-T8</f>
        <v>0</v>
      </c>
      <c r="U9" s="16">
        <f>$B$5-U8</f>
        <v>1.3533268911141179</v>
      </c>
      <c r="V9" s="16">
        <f>$B$5-V8</f>
        <v>1.3533268911141179</v>
      </c>
      <c r="W9" s="16">
        <f t="shared" ref="W9:AH9" si="4">$B$5-W8</f>
        <v>1.3533268911141179</v>
      </c>
      <c r="X9" s="16">
        <f t="shared" si="4"/>
        <v>1.3533268911141179</v>
      </c>
      <c r="Y9" s="16">
        <f t="shared" si="4"/>
        <v>1.3533268911141179</v>
      </c>
      <c r="Z9" s="16">
        <f t="shared" si="4"/>
        <v>1.3533268911141179</v>
      </c>
      <c r="AA9" s="16">
        <f t="shared" si="4"/>
        <v>1.3533268911141179</v>
      </c>
      <c r="AB9" s="16">
        <f t="shared" si="4"/>
        <v>1.3533268911141179</v>
      </c>
      <c r="AC9" s="16">
        <f t="shared" si="4"/>
        <v>1.3533268911141179</v>
      </c>
      <c r="AD9" s="16">
        <f t="shared" si="4"/>
        <v>1.3533268911141179</v>
      </c>
      <c r="AE9" s="16">
        <f t="shared" si="4"/>
        <v>1.3533268911141179</v>
      </c>
      <c r="AF9" s="16">
        <f t="shared" si="4"/>
        <v>1.3533268911141179</v>
      </c>
      <c r="AG9" s="16">
        <f t="shared" si="4"/>
        <v>1.3533268911141179</v>
      </c>
      <c r="AH9" s="16">
        <f t="shared" si="4"/>
        <v>1.3533268911141179</v>
      </c>
      <c r="AI9" s="16">
        <f>$B$5-AI8</f>
        <v>1.3533268911141179</v>
      </c>
      <c r="AJ9" s="16">
        <f>$B$5-AJ8</f>
        <v>1.3533268911141179</v>
      </c>
      <c r="AK9" s="13" t="s">
        <v>15</v>
      </c>
    </row>
    <row r="10" spans="1:37" x14ac:dyDescent="0.2">
      <c r="D10" s="13" t="s">
        <v>16</v>
      </c>
      <c r="E10" s="14">
        <f>2.5-E9</f>
        <v>2.5</v>
      </c>
      <c r="F10" s="14">
        <f>2.5-F9</f>
        <v>2.5</v>
      </c>
      <c r="G10" s="14">
        <f t="shared" ref="G10:R10" si="5">2.5-G9</f>
        <v>2.5</v>
      </c>
      <c r="H10" s="14">
        <f t="shared" si="5"/>
        <v>2.5</v>
      </c>
      <c r="I10" s="14">
        <f t="shared" si="5"/>
        <v>2.5</v>
      </c>
      <c r="J10" s="14">
        <f t="shared" si="5"/>
        <v>2.5</v>
      </c>
      <c r="K10" s="14">
        <f t="shared" si="5"/>
        <v>2.5</v>
      </c>
      <c r="L10" s="14">
        <f t="shared" si="5"/>
        <v>2.5</v>
      </c>
      <c r="M10" s="14">
        <f t="shared" si="5"/>
        <v>2.5</v>
      </c>
      <c r="N10" s="14">
        <f t="shared" si="5"/>
        <v>2.5</v>
      </c>
      <c r="O10" s="14">
        <f t="shared" si="5"/>
        <v>2.5</v>
      </c>
      <c r="P10" s="14">
        <f t="shared" si="5"/>
        <v>2.5</v>
      </c>
      <c r="Q10" s="14">
        <f t="shared" si="5"/>
        <v>2.5</v>
      </c>
      <c r="R10" s="14">
        <f t="shared" si="5"/>
        <v>2.5</v>
      </c>
      <c r="S10" s="14">
        <f>2.5-S9</f>
        <v>2.5</v>
      </c>
      <c r="T10" s="14">
        <f>2.5-T9</f>
        <v>2.5</v>
      </c>
      <c r="U10" s="16">
        <f>2.5-U9</f>
        <v>1.1466731088858821</v>
      </c>
      <c r="V10" s="16">
        <f>2.5-V9</f>
        <v>1.1466731088858821</v>
      </c>
      <c r="W10" s="16">
        <f t="shared" ref="W10:AH10" si="6">2.5-W9</f>
        <v>1.1466731088858821</v>
      </c>
      <c r="X10" s="16">
        <f t="shared" si="6"/>
        <v>1.1466731088858821</v>
      </c>
      <c r="Y10" s="16">
        <f t="shared" si="6"/>
        <v>1.1466731088858821</v>
      </c>
      <c r="Z10" s="16">
        <f t="shared" si="6"/>
        <v>1.1466731088858821</v>
      </c>
      <c r="AA10" s="16">
        <f t="shared" si="6"/>
        <v>1.1466731088858821</v>
      </c>
      <c r="AB10" s="16">
        <f t="shared" si="6"/>
        <v>1.1466731088858821</v>
      </c>
      <c r="AC10" s="16">
        <f t="shared" si="6"/>
        <v>1.1466731088858821</v>
      </c>
      <c r="AD10" s="16">
        <f t="shared" si="6"/>
        <v>1.1466731088858821</v>
      </c>
      <c r="AE10" s="16">
        <f t="shared" si="6"/>
        <v>1.1466731088858821</v>
      </c>
      <c r="AF10" s="16">
        <f t="shared" si="6"/>
        <v>1.1466731088858821</v>
      </c>
      <c r="AG10" s="16">
        <f t="shared" si="6"/>
        <v>1.1466731088858821</v>
      </c>
      <c r="AH10" s="16">
        <f t="shared" si="6"/>
        <v>1.1466731088858821</v>
      </c>
      <c r="AI10" s="16">
        <f>2.5-AI9</f>
        <v>1.1466731088858821</v>
      </c>
      <c r="AJ10" s="16">
        <f>2.5-AJ9</f>
        <v>1.1466731088858821</v>
      </c>
      <c r="AK10" s="13" t="s">
        <v>16</v>
      </c>
    </row>
    <row r="18" spans="2:2" x14ac:dyDescent="0.2">
      <c r="B18" s="17"/>
    </row>
    <row r="19" spans="2:2" x14ac:dyDescent="0.2">
      <c r="B19" s="17"/>
    </row>
    <row r="20" spans="2:2" x14ac:dyDescent="0.2">
      <c r="B20" s="17"/>
    </row>
    <row r="21" spans="2:2" x14ac:dyDescent="0.2">
      <c r="B21" s="17"/>
    </row>
    <row r="22" spans="2:2" x14ac:dyDescent="0.2">
      <c r="B22" s="17"/>
    </row>
    <row r="23" spans="2:2" x14ac:dyDescent="0.2">
      <c r="B23" s="17"/>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3"/>
  <sheetViews>
    <sheetView topLeftCell="A16" zoomScale="70" zoomScaleNormal="70" workbookViewId="0">
      <selection activeCell="N34" sqref="N34"/>
    </sheetView>
  </sheetViews>
  <sheetFormatPr defaultColWidth="11.42578125" defaultRowHeight="12.75" x14ac:dyDescent="0.2"/>
  <cols>
    <col min="1" max="1" width="18.85546875" style="13" customWidth="1"/>
    <col min="2" max="2" width="7.28515625" style="13" bestFit="1" customWidth="1"/>
    <col min="3" max="3" width="10.5703125" style="13" customWidth="1"/>
    <col min="4" max="4" width="13.7109375" style="13" bestFit="1" customWidth="1"/>
    <col min="5" max="5" width="12" style="13" bestFit="1" customWidth="1"/>
    <col min="6" max="6" width="14.85546875" style="13" customWidth="1"/>
    <col min="7" max="8" width="11.42578125" style="13"/>
    <col min="9" max="9" width="13.5703125" style="13" bestFit="1" customWidth="1"/>
    <col min="10" max="256" width="11.42578125" style="13"/>
    <col min="257" max="257" width="18.7109375" style="13" customWidth="1"/>
    <col min="258" max="258" width="13.7109375" style="13" bestFit="1" customWidth="1"/>
    <col min="259" max="259" width="17.28515625" style="13" customWidth="1"/>
    <col min="260" max="260" width="11" style="13" customWidth="1"/>
    <col min="261" max="261" width="12" style="13" bestFit="1" customWidth="1"/>
    <col min="262" max="262" width="14.85546875" style="13" customWidth="1"/>
    <col min="263" max="512" width="11.42578125" style="13"/>
    <col min="513" max="513" width="18.7109375" style="13" customWidth="1"/>
    <col min="514" max="514" width="13.7109375" style="13" bestFit="1" customWidth="1"/>
    <col min="515" max="515" width="17.28515625" style="13" customWidth="1"/>
    <col min="516" max="516" width="11" style="13" customWidth="1"/>
    <col min="517" max="517" width="12" style="13" bestFit="1" customWidth="1"/>
    <col min="518" max="518" width="14.85546875" style="13" customWidth="1"/>
    <col min="519" max="768" width="11.42578125" style="13"/>
    <col min="769" max="769" width="18.7109375" style="13" customWidth="1"/>
    <col min="770" max="770" width="13.7109375" style="13" bestFit="1" customWidth="1"/>
    <col min="771" max="771" width="17.28515625" style="13" customWidth="1"/>
    <col min="772" max="772" width="11" style="13" customWidth="1"/>
    <col min="773" max="773" width="12" style="13" bestFit="1" customWidth="1"/>
    <col min="774" max="774" width="14.85546875" style="13" customWidth="1"/>
    <col min="775" max="1024" width="11.42578125" style="13"/>
    <col min="1025" max="1025" width="18.7109375" style="13" customWidth="1"/>
    <col min="1026" max="1026" width="13.7109375" style="13" bestFit="1" customWidth="1"/>
    <col min="1027" max="1027" width="17.28515625" style="13" customWidth="1"/>
    <col min="1028" max="1028" width="11" style="13" customWidth="1"/>
    <col min="1029" max="1029" width="12" style="13" bestFit="1" customWidth="1"/>
    <col min="1030" max="1030" width="14.85546875" style="13" customWidth="1"/>
    <col min="1031" max="1280" width="11.42578125" style="13"/>
    <col min="1281" max="1281" width="18.7109375" style="13" customWidth="1"/>
    <col min="1282" max="1282" width="13.7109375" style="13" bestFit="1" customWidth="1"/>
    <col min="1283" max="1283" width="17.28515625" style="13" customWidth="1"/>
    <col min="1284" max="1284" width="11" style="13" customWidth="1"/>
    <col min="1285" max="1285" width="12" style="13" bestFit="1" customWidth="1"/>
    <col min="1286" max="1286" width="14.85546875" style="13" customWidth="1"/>
    <col min="1287" max="1536" width="11.42578125" style="13"/>
    <col min="1537" max="1537" width="18.7109375" style="13" customWidth="1"/>
    <col min="1538" max="1538" width="13.7109375" style="13" bestFit="1" customWidth="1"/>
    <col min="1539" max="1539" width="17.28515625" style="13" customWidth="1"/>
    <col min="1540" max="1540" width="11" style="13" customWidth="1"/>
    <col min="1541" max="1541" width="12" style="13" bestFit="1" customWidth="1"/>
    <col min="1542" max="1542" width="14.85546875" style="13" customWidth="1"/>
    <col min="1543" max="1792" width="11.42578125" style="13"/>
    <col min="1793" max="1793" width="18.7109375" style="13" customWidth="1"/>
    <col min="1794" max="1794" width="13.7109375" style="13" bestFit="1" customWidth="1"/>
    <col min="1795" max="1795" width="17.28515625" style="13" customWidth="1"/>
    <col min="1796" max="1796" width="11" style="13" customWidth="1"/>
    <col min="1797" max="1797" width="12" style="13" bestFit="1" customWidth="1"/>
    <col min="1798" max="1798" width="14.85546875" style="13" customWidth="1"/>
    <col min="1799" max="2048" width="11.42578125" style="13"/>
    <col min="2049" max="2049" width="18.7109375" style="13" customWidth="1"/>
    <col min="2050" max="2050" width="13.7109375" style="13" bestFit="1" customWidth="1"/>
    <col min="2051" max="2051" width="17.28515625" style="13" customWidth="1"/>
    <col min="2052" max="2052" width="11" style="13" customWidth="1"/>
    <col min="2053" max="2053" width="12" style="13" bestFit="1" customWidth="1"/>
    <col min="2054" max="2054" width="14.85546875" style="13" customWidth="1"/>
    <col min="2055" max="2304" width="11.42578125" style="13"/>
    <col min="2305" max="2305" width="18.7109375" style="13" customWidth="1"/>
    <col min="2306" max="2306" width="13.7109375" style="13" bestFit="1" customWidth="1"/>
    <col min="2307" max="2307" width="17.28515625" style="13" customWidth="1"/>
    <col min="2308" max="2308" width="11" style="13" customWidth="1"/>
    <col min="2309" max="2309" width="12" style="13" bestFit="1" customWidth="1"/>
    <col min="2310" max="2310" width="14.85546875" style="13" customWidth="1"/>
    <col min="2311" max="2560" width="11.42578125" style="13"/>
    <col min="2561" max="2561" width="18.7109375" style="13" customWidth="1"/>
    <col min="2562" max="2562" width="13.7109375" style="13" bestFit="1" customWidth="1"/>
    <col min="2563" max="2563" width="17.28515625" style="13" customWidth="1"/>
    <col min="2564" max="2564" width="11" style="13" customWidth="1"/>
    <col min="2565" max="2565" width="12" style="13" bestFit="1" customWidth="1"/>
    <col min="2566" max="2566" width="14.85546875" style="13" customWidth="1"/>
    <col min="2567" max="2816" width="11.42578125" style="13"/>
    <col min="2817" max="2817" width="18.7109375" style="13" customWidth="1"/>
    <col min="2818" max="2818" width="13.7109375" style="13" bestFit="1" customWidth="1"/>
    <col min="2819" max="2819" width="17.28515625" style="13" customWidth="1"/>
    <col min="2820" max="2820" width="11" style="13" customWidth="1"/>
    <col min="2821" max="2821" width="12" style="13" bestFit="1" customWidth="1"/>
    <col min="2822" max="2822" width="14.85546875" style="13" customWidth="1"/>
    <col min="2823" max="3072" width="11.42578125" style="13"/>
    <col min="3073" max="3073" width="18.7109375" style="13" customWidth="1"/>
    <col min="3074" max="3074" width="13.7109375" style="13" bestFit="1" customWidth="1"/>
    <col min="3075" max="3075" width="17.28515625" style="13" customWidth="1"/>
    <col min="3076" max="3076" width="11" style="13" customWidth="1"/>
    <col min="3077" max="3077" width="12" style="13" bestFit="1" customWidth="1"/>
    <col min="3078" max="3078" width="14.85546875" style="13" customWidth="1"/>
    <col min="3079" max="3328" width="11.42578125" style="13"/>
    <col min="3329" max="3329" width="18.7109375" style="13" customWidth="1"/>
    <col min="3330" max="3330" width="13.7109375" style="13" bestFit="1" customWidth="1"/>
    <col min="3331" max="3331" width="17.28515625" style="13" customWidth="1"/>
    <col min="3332" max="3332" width="11" style="13" customWidth="1"/>
    <col min="3333" max="3333" width="12" style="13" bestFit="1" customWidth="1"/>
    <col min="3334" max="3334" width="14.85546875" style="13" customWidth="1"/>
    <col min="3335" max="3584" width="11.42578125" style="13"/>
    <col min="3585" max="3585" width="18.7109375" style="13" customWidth="1"/>
    <col min="3586" max="3586" width="13.7109375" style="13" bestFit="1" customWidth="1"/>
    <col min="3587" max="3587" width="17.28515625" style="13" customWidth="1"/>
    <col min="3588" max="3588" width="11" style="13" customWidth="1"/>
    <col min="3589" max="3589" width="12" style="13" bestFit="1" customWidth="1"/>
    <col min="3590" max="3590" width="14.85546875" style="13" customWidth="1"/>
    <col min="3591" max="3840" width="11.42578125" style="13"/>
    <col min="3841" max="3841" width="18.7109375" style="13" customWidth="1"/>
    <col min="3842" max="3842" width="13.7109375" style="13" bestFit="1" customWidth="1"/>
    <col min="3843" max="3843" width="17.28515625" style="13" customWidth="1"/>
    <col min="3844" max="3844" width="11" style="13" customWidth="1"/>
    <col min="3845" max="3845" width="12" style="13" bestFit="1" customWidth="1"/>
    <col min="3846" max="3846" width="14.85546875" style="13" customWidth="1"/>
    <col min="3847" max="4096" width="11.42578125" style="13"/>
    <col min="4097" max="4097" width="18.7109375" style="13" customWidth="1"/>
    <col min="4098" max="4098" width="13.7109375" style="13" bestFit="1" customWidth="1"/>
    <col min="4099" max="4099" width="17.28515625" style="13" customWidth="1"/>
    <col min="4100" max="4100" width="11" style="13" customWidth="1"/>
    <col min="4101" max="4101" width="12" style="13" bestFit="1" customWidth="1"/>
    <col min="4102" max="4102" width="14.85546875" style="13" customWidth="1"/>
    <col min="4103" max="4352" width="11.42578125" style="13"/>
    <col min="4353" max="4353" width="18.7109375" style="13" customWidth="1"/>
    <col min="4354" max="4354" width="13.7109375" style="13" bestFit="1" customWidth="1"/>
    <col min="4355" max="4355" width="17.28515625" style="13" customWidth="1"/>
    <col min="4356" max="4356" width="11" style="13" customWidth="1"/>
    <col min="4357" max="4357" width="12" style="13" bestFit="1" customWidth="1"/>
    <col min="4358" max="4358" width="14.85546875" style="13" customWidth="1"/>
    <col min="4359" max="4608" width="11.42578125" style="13"/>
    <col min="4609" max="4609" width="18.7109375" style="13" customWidth="1"/>
    <col min="4610" max="4610" width="13.7109375" style="13" bestFit="1" customWidth="1"/>
    <col min="4611" max="4611" width="17.28515625" style="13" customWidth="1"/>
    <col min="4612" max="4612" width="11" style="13" customWidth="1"/>
    <col min="4613" max="4613" width="12" style="13" bestFit="1" customWidth="1"/>
    <col min="4614" max="4614" width="14.85546875" style="13" customWidth="1"/>
    <col min="4615" max="4864" width="11.42578125" style="13"/>
    <col min="4865" max="4865" width="18.7109375" style="13" customWidth="1"/>
    <col min="4866" max="4866" width="13.7109375" style="13" bestFit="1" customWidth="1"/>
    <col min="4867" max="4867" width="17.28515625" style="13" customWidth="1"/>
    <col min="4868" max="4868" width="11" style="13" customWidth="1"/>
    <col min="4869" max="4869" width="12" style="13" bestFit="1" customWidth="1"/>
    <col min="4870" max="4870" width="14.85546875" style="13" customWidth="1"/>
    <col min="4871" max="5120" width="11.42578125" style="13"/>
    <col min="5121" max="5121" width="18.7109375" style="13" customWidth="1"/>
    <col min="5122" max="5122" width="13.7109375" style="13" bestFit="1" customWidth="1"/>
    <col min="5123" max="5123" width="17.28515625" style="13" customWidth="1"/>
    <col min="5124" max="5124" width="11" style="13" customWidth="1"/>
    <col min="5125" max="5125" width="12" style="13" bestFit="1" customWidth="1"/>
    <col min="5126" max="5126" width="14.85546875" style="13" customWidth="1"/>
    <col min="5127" max="5376" width="11.42578125" style="13"/>
    <col min="5377" max="5377" width="18.7109375" style="13" customWidth="1"/>
    <col min="5378" max="5378" width="13.7109375" style="13" bestFit="1" customWidth="1"/>
    <col min="5379" max="5379" width="17.28515625" style="13" customWidth="1"/>
    <col min="5380" max="5380" width="11" style="13" customWidth="1"/>
    <col min="5381" max="5381" width="12" style="13" bestFit="1" customWidth="1"/>
    <col min="5382" max="5382" width="14.85546875" style="13" customWidth="1"/>
    <col min="5383" max="5632" width="11.42578125" style="13"/>
    <col min="5633" max="5633" width="18.7109375" style="13" customWidth="1"/>
    <col min="5634" max="5634" width="13.7109375" style="13" bestFit="1" customWidth="1"/>
    <col min="5635" max="5635" width="17.28515625" style="13" customWidth="1"/>
    <col min="5636" max="5636" width="11" style="13" customWidth="1"/>
    <col min="5637" max="5637" width="12" style="13" bestFit="1" customWidth="1"/>
    <col min="5638" max="5638" width="14.85546875" style="13" customWidth="1"/>
    <col min="5639" max="5888" width="11.42578125" style="13"/>
    <col min="5889" max="5889" width="18.7109375" style="13" customWidth="1"/>
    <col min="5890" max="5890" width="13.7109375" style="13" bestFit="1" customWidth="1"/>
    <col min="5891" max="5891" width="17.28515625" style="13" customWidth="1"/>
    <col min="5892" max="5892" width="11" style="13" customWidth="1"/>
    <col min="5893" max="5893" width="12" style="13" bestFit="1" customWidth="1"/>
    <col min="5894" max="5894" width="14.85546875" style="13" customWidth="1"/>
    <col min="5895" max="6144" width="11.42578125" style="13"/>
    <col min="6145" max="6145" width="18.7109375" style="13" customWidth="1"/>
    <col min="6146" max="6146" width="13.7109375" style="13" bestFit="1" customWidth="1"/>
    <col min="6147" max="6147" width="17.28515625" style="13" customWidth="1"/>
    <col min="6148" max="6148" width="11" style="13" customWidth="1"/>
    <col min="6149" max="6149" width="12" style="13" bestFit="1" customWidth="1"/>
    <col min="6150" max="6150" width="14.85546875" style="13" customWidth="1"/>
    <col min="6151" max="6400" width="11.42578125" style="13"/>
    <col min="6401" max="6401" width="18.7109375" style="13" customWidth="1"/>
    <col min="6402" max="6402" width="13.7109375" style="13" bestFit="1" customWidth="1"/>
    <col min="6403" max="6403" width="17.28515625" style="13" customWidth="1"/>
    <col min="6404" max="6404" width="11" style="13" customWidth="1"/>
    <col min="6405" max="6405" width="12" style="13" bestFit="1" customWidth="1"/>
    <col min="6406" max="6406" width="14.85546875" style="13" customWidth="1"/>
    <col min="6407" max="6656" width="11.42578125" style="13"/>
    <col min="6657" max="6657" width="18.7109375" style="13" customWidth="1"/>
    <col min="6658" max="6658" width="13.7109375" style="13" bestFit="1" customWidth="1"/>
    <col min="6659" max="6659" width="17.28515625" style="13" customWidth="1"/>
    <col min="6660" max="6660" width="11" style="13" customWidth="1"/>
    <col min="6661" max="6661" width="12" style="13" bestFit="1" customWidth="1"/>
    <col min="6662" max="6662" width="14.85546875" style="13" customWidth="1"/>
    <col min="6663" max="6912" width="11.42578125" style="13"/>
    <col min="6913" max="6913" width="18.7109375" style="13" customWidth="1"/>
    <col min="6914" max="6914" width="13.7109375" style="13" bestFit="1" customWidth="1"/>
    <col min="6915" max="6915" width="17.28515625" style="13" customWidth="1"/>
    <col min="6916" max="6916" width="11" style="13" customWidth="1"/>
    <col min="6917" max="6917" width="12" style="13" bestFit="1" customWidth="1"/>
    <col min="6918" max="6918" width="14.85546875" style="13" customWidth="1"/>
    <col min="6919" max="7168" width="11.42578125" style="13"/>
    <col min="7169" max="7169" width="18.7109375" style="13" customWidth="1"/>
    <col min="7170" max="7170" width="13.7109375" style="13" bestFit="1" customWidth="1"/>
    <col min="7171" max="7171" width="17.28515625" style="13" customWidth="1"/>
    <col min="7172" max="7172" width="11" style="13" customWidth="1"/>
    <col min="7173" max="7173" width="12" style="13" bestFit="1" customWidth="1"/>
    <col min="7174" max="7174" width="14.85546875" style="13" customWidth="1"/>
    <col min="7175" max="7424" width="11.42578125" style="13"/>
    <col min="7425" max="7425" width="18.7109375" style="13" customWidth="1"/>
    <col min="7426" max="7426" width="13.7109375" style="13" bestFit="1" customWidth="1"/>
    <col min="7427" max="7427" width="17.28515625" style="13" customWidth="1"/>
    <col min="7428" max="7428" width="11" style="13" customWidth="1"/>
    <col min="7429" max="7429" width="12" style="13" bestFit="1" customWidth="1"/>
    <col min="7430" max="7430" width="14.85546875" style="13" customWidth="1"/>
    <col min="7431" max="7680" width="11.42578125" style="13"/>
    <col min="7681" max="7681" width="18.7109375" style="13" customWidth="1"/>
    <col min="7682" max="7682" width="13.7109375" style="13" bestFit="1" customWidth="1"/>
    <col min="7683" max="7683" width="17.28515625" style="13" customWidth="1"/>
    <col min="7684" max="7684" width="11" style="13" customWidth="1"/>
    <col min="7685" max="7685" width="12" style="13" bestFit="1" customWidth="1"/>
    <col min="7686" max="7686" width="14.85546875" style="13" customWidth="1"/>
    <col min="7687" max="7936" width="11.42578125" style="13"/>
    <col min="7937" max="7937" width="18.7109375" style="13" customWidth="1"/>
    <col min="7938" max="7938" width="13.7109375" style="13" bestFit="1" customWidth="1"/>
    <col min="7939" max="7939" width="17.28515625" style="13" customWidth="1"/>
    <col min="7940" max="7940" width="11" style="13" customWidth="1"/>
    <col min="7941" max="7941" width="12" style="13" bestFit="1" customWidth="1"/>
    <col min="7942" max="7942" width="14.85546875" style="13" customWidth="1"/>
    <col min="7943" max="8192" width="11.42578125" style="13"/>
    <col min="8193" max="8193" width="18.7109375" style="13" customWidth="1"/>
    <col min="8194" max="8194" width="13.7109375" style="13" bestFit="1" customWidth="1"/>
    <col min="8195" max="8195" width="17.28515625" style="13" customWidth="1"/>
    <col min="8196" max="8196" width="11" style="13" customWidth="1"/>
    <col min="8197" max="8197" width="12" style="13" bestFit="1" customWidth="1"/>
    <col min="8198" max="8198" width="14.85546875" style="13" customWidth="1"/>
    <col min="8199" max="8448" width="11.42578125" style="13"/>
    <col min="8449" max="8449" width="18.7109375" style="13" customWidth="1"/>
    <col min="8450" max="8450" width="13.7109375" style="13" bestFit="1" customWidth="1"/>
    <col min="8451" max="8451" width="17.28515625" style="13" customWidth="1"/>
    <col min="8452" max="8452" width="11" style="13" customWidth="1"/>
    <col min="8453" max="8453" width="12" style="13" bestFit="1" customWidth="1"/>
    <col min="8454" max="8454" width="14.85546875" style="13" customWidth="1"/>
    <col min="8455" max="8704" width="11.42578125" style="13"/>
    <col min="8705" max="8705" width="18.7109375" style="13" customWidth="1"/>
    <col min="8706" max="8706" width="13.7109375" style="13" bestFit="1" customWidth="1"/>
    <col min="8707" max="8707" width="17.28515625" style="13" customWidth="1"/>
    <col min="8708" max="8708" width="11" style="13" customWidth="1"/>
    <col min="8709" max="8709" width="12" style="13" bestFit="1" customWidth="1"/>
    <col min="8710" max="8710" width="14.85546875" style="13" customWidth="1"/>
    <col min="8711" max="8960" width="11.42578125" style="13"/>
    <col min="8961" max="8961" width="18.7109375" style="13" customWidth="1"/>
    <col min="8962" max="8962" width="13.7109375" style="13" bestFit="1" customWidth="1"/>
    <col min="8963" max="8963" width="17.28515625" style="13" customWidth="1"/>
    <col min="8964" max="8964" width="11" style="13" customWidth="1"/>
    <col min="8965" max="8965" width="12" style="13" bestFit="1" customWidth="1"/>
    <col min="8966" max="8966" width="14.85546875" style="13" customWidth="1"/>
    <col min="8967" max="9216" width="11.42578125" style="13"/>
    <col min="9217" max="9217" width="18.7109375" style="13" customWidth="1"/>
    <col min="9218" max="9218" width="13.7109375" style="13" bestFit="1" customWidth="1"/>
    <col min="9219" max="9219" width="17.28515625" style="13" customWidth="1"/>
    <col min="9220" max="9220" width="11" style="13" customWidth="1"/>
    <col min="9221" max="9221" width="12" style="13" bestFit="1" customWidth="1"/>
    <col min="9222" max="9222" width="14.85546875" style="13" customWidth="1"/>
    <col min="9223" max="9472" width="11.42578125" style="13"/>
    <col min="9473" max="9473" width="18.7109375" style="13" customWidth="1"/>
    <col min="9474" max="9474" width="13.7109375" style="13" bestFit="1" customWidth="1"/>
    <col min="9475" max="9475" width="17.28515625" style="13" customWidth="1"/>
    <col min="9476" max="9476" width="11" style="13" customWidth="1"/>
    <col min="9477" max="9477" width="12" style="13" bestFit="1" customWidth="1"/>
    <col min="9478" max="9478" width="14.85546875" style="13" customWidth="1"/>
    <col min="9479" max="9728" width="11.42578125" style="13"/>
    <col min="9729" max="9729" width="18.7109375" style="13" customWidth="1"/>
    <col min="9730" max="9730" width="13.7109375" style="13" bestFit="1" customWidth="1"/>
    <col min="9731" max="9731" width="17.28515625" style="13" customWidth="1"/>
    <col min="9732" max="9732" width="11" style="13" customWidth="1"/>
    <col min="9733" max="9733" width="12" style="13" bestFit="1" customWidth="1"/>
    <col min="9734" max="9734" width="14.85546875" style="13" customWidth="1"/>
    <col min="9735" max="9984" width="11.42578125" style="13"/>
    <col min="9985" max="9985" width="18.7109375" style="13" customWidth="1"/>
    <col min="9986" max="9986" width="13.7109375" style="13" bestFit="1" customWidth="1"/>
    <col min="9987" max="9987" width="17.28515625" style="13" customWidth="1"/>
    <col min="9988" max="9988" width="11" style="13" customWidth="1"/>
    <col min="9989" max="9989" width="12" style="13" bestFit="1" customWidth="1"/>
    <col min="9990" max="9990" width="14.85546875" style="13" customWidth="1"/>
    <col min="9991" max="10240" width="11.42578125" style="13"/>
    <col min="10241" max="10241" width="18.7109375" style="13" customWidth="1"/>
    <col min="10242" max="10242" width="13.7109375" style="13" bestFit="1" customWidth="1"/>
    <col min="10243" max="10243" width="17.28515625" style="13" customWidth="1"/>
    <col min="10244" max="10244" width="11" style="13" customWidth="1"/>
    <col min="10245" max="10245" width="12" style="13" bestFit="1" customWidth="1"/>
    <col min="10246" max="10246" width="14.85546875" style="13" customWidth="1"/>
    <col min="10247" max="10496" width="11.42578125" style="13"/>
    <col min="10497" max="10497" width="18.7109375" style="13" customWidth="1"/>
    <col min="10498" max="10498" width="13.7109375" style="13" bestFit="1" customWidth="1"/>
    <col min="10499" max="10499" width="17.28515625" style="13" customWidth="1"/>
    <col min="10500" max="10500" width="11" style="13" customWidth="1"/>
    <col min="10501" max="10501" width="12" style="13" bestFit="1" customWidth="1"/>
    <col min="10502" max="10502" width="14.85546875" style="13" customWidth="1"/>
    <col min="10503" max="10752" width="11.42578125" style="13"/>
    <col min="10753" max="10753" width="18.7109375" style="13" customWidth="1"/>
    <col min="10754" max="10754" width="13.7109375" style="13" bestFit="1" customWidth="1"/>
    <col min="10755" max="10755" width="17.28515625" style="13" customWidth="1"/>
    <col min="10756" max="10756" width="11" style="13" customWidth="1"/>
    <col min="10757" max="10757" width="12" style="13" bestFit="1" customWidth="1"/>
    <col min="10758" max="10758" width="14.85546875" style="13" customWidth="1"/>
    <col min="10759" max="11008" width="11.42578125" style="13"/>
    <col min="11009" max="11009" width="18.7109375" style="13" customWidth="1"/>
    <col min="11010" max="11010" width="13.7109375" style="13" bestFit="1" customWidth="1"/>
    <col min="11011" max="11011" width="17.28515625" style="13" customWidth="1"/>
    <col min="11012" max="11012" width="11" style="13" customWidth="1"/>
    <col min="11013" max="11013" width="12" style="13" bestFit="1" customWidth="1"/>
    <col min="11014" max="11014" width="14.85546875" style="13" customWidth="1"/>
    <col min="11015" max="11264" width="11.42578125" style="13"/>
    <col min="11265" max="11265" width="18.7109375" style="13" customWidth="1"/>
    <col min="11266" max="11266" width="13.7109375" style="13" bestFit="1" customWidth="1"/>
    <col min="11267" max="11267" width="17.28515625" style="13" customWidth="1"/>
    <col min="11268" max="11268" width="11" style="13" customWidth="1"/>
    <col min="11269" max="11269" width="12" style="13" bestFit="1" customWidth="1"/>
    <col min="11270" max="11270" width="14.85546875" style="13" customWidth="1"/>
    <col min="11271" max="11520" width="11.42578125" style="13"/>
    <col min="11521" max="11521" width="18.7109375" style="13" customWidth="1"/>
    <col min="11522" max="11522" width="13.7109375" style="13" bestFit="1" customWidth="1"/>
    <col min="11523" max="11523" width="17.28515625" style="13" customWidth="1"/>
    <col min="11524" max="11524" width="11" style="13" customWidth="1"/>
    <col min="11525" max="11525" width="12" style="13" bestFit="1" customWidth="1"/>
    <col min="11526" max="11526" width="14.85546875" style="13" customWidth="1"/>
    <col min="11527" max="11776" width="11.42578125" style="13"/>
    <col min="11777" max="11777" width="18.7109375" style="13" customWidth="1"/>
    <col min="11778" max="11778" width="13.7109375" style="13" bestFit="1" customWidth="1"/>
    <col min="11779" max="11779" width="17.28515625" style="13" customWidth="1"/>
    <col min="11780" max="11780" width="11" style="13" customWidth="1"/>
    <col min="11781" max="11781" width="12" style="13" bestFit="1" customWidth="1"/>
    <col min="11782" max="11782" width="14.85546875" style="13" customWidth="1"/>
    <col min="11783" max="12032" width="11.42578125" style="13"/>
    <col min="12033" max="12033" width="18.7109375" style="13" customWidth="1"/>
    <col min="12034" max="12034" width="13.7109375" style="13" bestFit="1" customWidth="1"/>
    <col min="12035" max="12035" width="17.28515625" style="13" customWidth="1"/>
    <col min="12036" max="12036" width="11" style="13" customWidth="1"/>
    <col min="12037" max="12037" width="12" style="13" bestFit="1" customWidth="1"/>
    <col min="12038" max="12038" width="14.85546875" style="13" customWidth="1"/>
    <col min="12039" max="12288" width="11.42578125" style="13"/>
    <col min="12289" max="12289" width="18.7109375" style="13" customWidth="1"/>
    <col min="12290" max="12290" width="13.7109375" style="13" bestFit="1" customWidth="1"/>
    <col min="12291" max="12291" width="17.28515625" style="13" customWidth="1"/>
    <col min="12292" max="12292" width="11" style="13" customWidth="1"/>
    <col min="12293" max="12293" width="12" style="13" bestFit="1" customWidth="1"/>
    <col min="12294" max="12294" width="14.85546875" style="13" customWidth="1"/>
    <col min="12295" max="12544" width="11.42578125" style="13"/>
    <col min="12545" max="12545" width="18.7109375" style="13" customWidth="1"/>
    <col min="12546" max="12546" width="13.7109375" style="13" bestFit="1" customWidth="1"/>
    <col min="12547" max="12547" width="17.28515625" style="13" customWidth="1"/>
    <col min="12548" max="12548" width="11" style="13" customWidth="1"/>
    <col min="12549" max="12549" width="12" style="13" bestFit="1" customWidth="1"/>
    <col min="12550" max="12550" width="14.85546875" style="13" customWidth="1"/>
    <col min="12551" max="12800" width="11.42578125" style="13"/>
    <col min="12801" max="12801" width="18.7109375" style="13" customWidth="1"/>
    <col min="12802" max="12802" width="13.7109375" style="13" bestFit="1" customWidth="1"/>
    <col min="12803" max="12803" width="17.28515625" style="13" customWidth="1"/>
    <col min="12804" max="12804" width="11" style="13" customWidth="1"/>
    <col min="12805" max="12805" width="12" style="13" bestFit="1" customWidth="1"/>
    <col min="12806" max="12806" width="14.85546875" style="13" customWidth="1"/>
    <col min="12807" max="13056" width="11.42578125" style="13"/>
    <col min="13057" max="13057" width="18.7109375" style="13" customWidth="1"/>
    <col min="13058" max="13058" width="13.7109375" style="13" bestFit="1" customWidth="1"/>
    <col min="13059" max="13059" width="17.28515625" style="13" customWidth="1"/>
    <col min="13060" max="13060" width="11" style="13" customWidth="1"/>
    <col min="13061" max="13061" width="12" style="13" bestFit="1" customWidth="1"/>
    <col min="13062" max="13062" width="14.85546875" style="13" customWidth="1"/>
    <col min="13063" max="13312" width="11.42578125" style="13"/>
    <col min="13313" max="13313" width="18.7109375" style="13" customWidth="1"/>
    <col min="13314" max="13314" width="13.7109375" style="13" bestFit="1" customWidth="1"/>
    <col min="13315" max="13315" width="17.28515625" style="13" customWidth="1"/>
    <col min="13316" max="13316" width="11" style="13" customWidth="1"/>
    <col min="13317" max="13317" width="12" style="13" bestFit="1" customWidth="1"/>
    <col min="13318" max="13318" width="14.85546875" style="13" customWidth="1"/>
    <col min="13319" max="13568" width="11.42578125" style="13"/>
    <col min="13569" max="13569" width="18.7109375" style="13" customWidth="1"/>
    <col min="13570" max="13570" width="13.7109375" style="13" bestFit="1" customWidth="1"/>
    <col min="13571" max="13571" width="17.28515625" style="13" customWidth="1"/>
    <col min="13572" max="13572" width="11" style="13" customWidth="1"/>
    <col min="13573" max="13573" width="12" style="13" bestFit="1" customWidth="1"/>
    <col min="13574" max="13574" width="14.85546875" style="13" customWidth="1"/>
    <col min="13575" max="13824" width="11.42578125" style="13"/>
    <col min="13825" max="13825" width="18.7109375" style="13" customWidth="1"/>
    <col min="13826" max="13826" width="13.7109375" style="13" bestFit="1" customWidth="1"/>
    <col min="13827" max="13827" width="17.28515625" style="13" customWidth="1"/>
    <col min="13828" max="13828" width="11" style="13" customWidth="1"/>
    <col min="13829" max="13829" width="12" style="13" bestFit="1" customWidth="1"/>
    <col min="13830" max="13830" width="14.85546875" style="13" customWidth="1"/>
    <col min="13831" max="14080" width="11.42578125" style="13"/>
    <col min="14081" max="14081" width="18.7109375" style="13" customWidth="1"/>
    <col min="14082" max="14082" width="13.7109375" style="13" bestFit="1" customWidth="1"/>
    <col min="14083" max="14083" width="17.28515625" style="13" customWidth="1"/>
    <col min="14084" max="14084" width="11" style="13" customWidth="1"/>
    <col min="14085" max="14085" width="12" style="13" bestFit="1" customWidth="1"/>
    <col min="14086" max="14086" width="14.85546875" style="13" customWidth="1"/>
    <col min="14087" max="14336" width="11.42578125" style="13"/>
    <col min="14337" max="14337" width="18.7109375" style="13" customWidth="1"/>
    <col min="14338" max="14338" width="13.7109375" style="13" bestFit="1" customWidth="1"/>
    <col min="14339" max="14339" width="17.28515625" style="13" customWidth="1"/>
    <col min="14340" max="14340" width="11" style="13" customWidth="1"/>
    <col min="14341" max="14341" width="12" style="13" bestFit="1" customWidth="1"/>
    <col min="14342" max="14342" width="14.85546875" style="13" customWidth="1"/>
    <col min="14343" max="14592" width="11.42578125" style="13"/>
    <col min="14593" max="14593" width="18.7109375" style="13" customWidth="1"/>
    <col min="14594" max="14594" width="13.7109375" style="13" bestFit="1" customWidth="1"/>
    <col min="14595" max="14595" width="17.28515625" style="13" customWidth="1"/>
    <col min="14596" max="14596" width="11" style="13" customWidth="1"/>
    <col min="14597" max="14597" width="12" style="13" bestFit="1" customWidth="1"/>
    <col min="14598" max="14598" width="14.85546875" style="13" customWidth="1"/>
    <col min="14599" max="14848" width="11.42578125" style="13"/>
    <col min="14849" max="14849" width="18.7109375" style="13" customWidth="1"/>
    <col min="14850" max="14850" width="13.7109375" style="13" bestFit="1" customWidth="1"/>
    <col min="14851" max="14851" width="17.28515625" style="13" customWidth="1"/>
    <col min="14852" max="14852" width="11" style="13" customWidth="1"/>
    <col min="14853" max="14853" width="12" style="13" bestFit="1" customWidth="1"/>
    <col min="14854" max="14854" width="14.85546875" style="13" customWidth="1"/>
    <col min="14855" max="15104" width="11.42578125" style="13"/>
    <col min="15105" max="15105" width="18.7109375" style="13" customWidth="1"/>
    <col min="15106" max="15106" width="13.7109375" style="13" bestFit="1" customWidth="1"/>
    <col min="15107" max="15107" width="17.28515625" style="13" customWidth="1"/>
    <col min="15108" max="15108" width="11" style="13" customWidth="1"/>
    <col min="15109" max="15109" width="12" style="13" bestFit="1" customWidth="1"/>
    <col min="15110" max="15110" width="14.85546875" style="13" customWidth="1"/>
    <col min="15111" max="15360" width="11.42578125" style="13"/>
    <col min="15361" max="15361" width="18.7109375" style="13" customWidth="1"/>
    <col min="15362" max="15362" width="13.7109375" style="13" bestFit="1" customWidth="1"/>
    <col min="15363" max="15363" width="17.28515625" style="13" customWidth="1"/>
    <col min="15364" max="15364" width="11" style="13" customWidth="1"/>
    <col min="15365" max="15365" width="12" style="13" bestFit="1" customWidth="1"/>
    <col min="15366" max="15366" width="14.85546875" style="13" customWidth="1"/>
    <col min="15367" max="15616" width="11.42578125" style="13"/>
    <col min="15617" max="15617" width="18.7109375" style="13" customWidth="1"/>
    <col min="15618" max="15618" width="13.7109375" style="13" bestFit="1" customWidth="1"/>
    <col min="15619" max="15619" width="17.28515625" style="13" customWidth="1"/>
    <col min="15620" max="15620" width="11" style="13" customWidth="1"/>
    <col min="15621" max="15621" width="12" style="13" bestFit="1" customWidth="1"/>
    <col min="15622" max="15622" width="14.85546875" style="13" customWidth="1"/>
    <col min="15623" max="15872" width="11.42578125" style="13"/>
    <col min="15873" max="15873" width="18.7109375" style="13" customWidth="1"/>
    <col min="15874" max="15874" width="13.7109375" style="13" bestFit="1" customWidth="1"/>
    <col min="15875" max="15875" width="17.28515625" style="13" customWidth="1"/>
    <col min="15876" max="15876" width="11" style="13" customWidth="1"/>
    <col min="15877" max="15877" width="12" style="13" bestFit="1" customWidth="1"/>
    <col min="15878" max="15878" width="14.85546875" style="13" customWidth="1"/>
    <col min="15879" max="16128" width="11.42578125" style="13"/>
    <col min="16129" max="16129" width="18.7109375" style="13" customWidth="1"/>
    <col min="16130" max="16130" width="13.7109375" style="13" bestFit="1" customWidth="1"/>
    <col min="16131" max="16131" width="17.28515625" style="13" customWidth="1"/>
    <col min="16132" max="16132" width="11" style="13" customWidth="1"/>
    <col min="16133" max="16133" width="12" style="13" bestFit="1" customWidth="1"/>
    <col min="16134" max="16134" width="14.85546875" style="13" customWidth="1"/>
    <col min="16135" max="16384" width="11.42578125" style="13"/>
  </cols>
  <sheetData>
    <row r="2" spans="1:11" x14ac:dyDescent="0.2">
      <c r="A2" s="13" t="s">
        <v>70</v>
      </c>
      <c r="B2" s="47">
        <f>'pooled normalised values'!B75</f>
        <v>0.11600485275828015</v>
      </c>
      <c r="D2" s="13" t="s">
        <v>9</v>
      </c>
      <c r="E2" s="14"/>
      <c r="F2" s="15" t="str">
        <f>'pooled normalised values'!J74</f>
        <v>Triphénylphosphate-0,26mg/L</v>
      </c>
      <c r="G2" s="14"/>
      <c r="H2" s="16"/>
      <c r="I2" s="15" t="str">
        <f>'pooled normalised values'!R74</f>
        <v>Triphénylphosphate-0,18mg/L + Testostérone</v>
      </c>
      <c r="J2" s="16"/>
      <c r="K2" s="13" t="s">
        <v>9</v>
      </c>
    </row>
    <row r="3" spans="1:11" x14ac:dyDescent="0.2">
      <c r="A3" s="13" t="s">
        <v>71</v>
      </c>
      <c r="B3" s="47">
        <f>'summary results'!E6</f>
        <v>0</v>
      </c>
      <c r="D3" s="13" t="s">
        <v>10</v>
      </c>
      <c r="E3" s="14"/>
      <c r="F3" s="15">
        <f>HLOOKUP(F2,'pooled normalised values'!B74:AK83,2,FALSE)</f>
        <v>0.12580410360235189</v>
      </c>
      <c r="G3" s="14"/>
      <c r="H3" s="16"/>
      <c r="I3" s="15">
        <f>HLOOKUP(I2,'pooled normalised values'!N74:BA83,2,FALSE)</f>
        <v>1.295990443584083</v>
      </c>
      <c r="J3" s="16"/>
      <c r="K3" s="13" t="s">
        <v>10</v>
      </c>
    </row>
    <row r="4" spans="1:11" x14ac:dyDescent="0.2">
      <c r="A4" s="13" t="s">
        <v>72</v>
      </c>
      <c r="B4" s="47">
        <f>'pooled normalised values'!O75</f>
        <v>1.0201445992977629</v>
      </c>
      <c r="D4" s="13" t="s">
        <v>2</v>
      </c>
      <c r="E4" s="14"/>
      <c r="F4" s="15">
        <f>HLOOKUP(F2,'pooled normalised values'!B74:AK83,3,FALSE)</f>
        <v>2.0709205538260538E-2</v>
      </c>
      <c r="G4" s="14"/>
      <c r="H4" s="16"/>
      <c r="I4" s="15">
        <f>HLOOKUP(I2,'pooled normalised values'!N74:BA83,3,FALSE)</f>
        <v>8.8997939015094063E-2</v>
      </c>
      <c r="J4" s="16"/>
      <c r="K4" s="13" t="s">
        <v>2</v>
      </c>
    </row>
    <row r="5" spans="1:11" x14ac:dyDescent="0.2">
      <c r="A5" s="13" t="s">
        <v>73</v>
      </c>
      <c r="B5" s="47">
        <f>'pooled normalised values'!P75</f>
        <v>1.4797886152756921</v>
      </c>
      <c r="D5" s="13" t="s">
        <v>11</v>
      </c>
      <c r="E5" s="14"/>
      <c r="F5" s="15" t="str">
        <f>HLOOKUP(F2,'pooled normalised values'!B74:AK83,10,FALSE)</f>
        <v>NS</v>
      </c>
      <c r="G5" s="14"/>
      <c r="H5" s="16"/>
      <c r="I5" s="15" t="str">
        <f>HLOOKUP(I2,'pooled normalised values'!N74:BA83,10,FALSE)</f>
        <v>NS</v>
      </c>
      <c r="J5" s="16"/>
      <c r="K5" s="13" t="s">
        <v>11</v>
      </c>
    </row>
    <row r="6" spans="1:11" x14ac:dyDescent="0.2">
      <c r="A6" s="13" t="s">
        <v>74</v>
      </c>
      <c r="B6" s="47">
        <f>'pooled normalised values'!Q75</f>
        <v>0.12646172416157422</v>
      </c>
      <c r="D6" s="13" t="s">
        <v>12</v>
      </c>
      <c r="E6" s="14">
        <f>$B$2</f>
        <v>0.11600485275828015</v>
      </c>
      <c r="F6" s="14">
        <f>$B$2</f>
        <v>0.11600485275828015</v>
      </c>
      <c r="G6" s="14">
        <f>$B$2</f>
        <v>0.11600485275828015</v>
      </c>
      <c r="H6" s="16"/>
      <c r="I6" s="16"/>
      <c r="J6" s="16"/>
      <c r="K6" s="13" t="s">
        <v>12</v>
      </c>
    </row>
    <row r="7" spans="1:11" x14ac:dyDescent="0.2">
      <c r="D7" s="13" t="s">
        <v>13</v>
      </c>
      <c r="E7" s="14"/>
      <c r="F7" s="14"/>
      <c r="G7" s="14"/>
      <c r="H7" s="16">
        <f t="shared" ref="H7:J7" si="0">$B$4</f>
        <v>1.0201445992977629</v>
      </c>
      <c r="I7" s="16">
        <f t="shared" si="0"/>
        <v>1.0201445992977629</v>
      </c>
      <c r="J7" s="16">
        <f t="shared" si="0"/>
        <v>1.0201445992977629</v>
      </c>
      <c r="K7" s="13" t="s">
        <v>13</v>
      </c>
    </row>
    <row r="8" spans="1:11" x14ac:dyDescent="0.2">
      <c r="D8" s="13" t="s">
        <v>14</v>
      </c>
      <c r="E8" s="14">
        <v>0</v>
      </c>
      <c r="F8" s="14">
        <v>0</v>
      </c>
      <c r="G8" s="14">
        <v>0</v>
      </c>
      <c r="H8" s="16">
        <f>$B$6</f>
        <v>0.12646172416157422</v>
      </c>
      <c r="I8" s="16">
        <f t="shared" ref="I8:J8" si="1">$B$6</f>
        <v>0.12646172416157422</v>
      </c>
      <c r="J8" s="16">
        <f t="shared" si="1"/>
        <v>0.12646172416157422</v>
      </c>
      <c r="K8" s="13" t="s">
        <v>14</v>
      </c>
    </row>
    <row r="9" spans="1:11" x14ac:dyDescent="0.2">
      <c r="D9" s="13" t="s">
        <v>15</v>
      </c>
      <c r="E9" s="14">
        <f>$B$3-E8</f>
        <v>0</v>
      </c>
      <c r="F9" s="14">
        <f>$B$3-F8</f>
        <v>0</v>
      </c>
      <c r="G9" s="14">
        <f>$B$3-G8</f>
        <v>0</v>
      </c>
      <c r="H9" s="16">
        <f>$B$5-H8</f>
        <v>1.3533268911141179</v>
      </c>
      <c r="I9" s="16">
        <f>$B$5-I8</f>
        <v>1.3533268911141179</v>
      </c>
      <c r="J9" s="16">
        <f>$B$5-J8</f>
        <v>1.3533268911141179</v>
      </c>
      <c r="K9" s="13" t="s">
        <v>15</v>
      </c>
    </row>
    <row r="10" spans="1:11" x14ac:dyDescent="0.2">
      <c r="D10" s="13" t="s">
        <v>16</v>
      </c>
      <c r="E10" s="14">
        <f t="shared" ref="E10:J10" si="2">2.5-E9</f>
        <v>2.5</v>
      </c>
      <c r="F10" s="14">
        <f t="shared" si="2"/>
        <v>2.5</v>
      </c>
      <c r="G10" s="14">
        <f t="shared" si="2"/>
        <v>2.5</v>
      </c>
      <c r="H10" s="16">
        <f t="shared" si="2"/>
        <v>1.1466731088858821</v>
      </c>
      <c r="I10" s="16">
        <f t="shared" si="2"/>
        <v>1.1466731088858821</v>
      </c>
      <c r="J10" s="16">
        <f t="shared" si="2"/>
        <v>1.1466731088858821</v>
      </c>
      <c r="K10" s="13" t="s">
        <v>16</v>
      </c>
    </row>
    <row r="18" spans="2:2" x14ac:dyDescent="0.2">
      <c r="B18" s="17"/>
    </row>
    <row r="19" spans="2:2" x14ac:dyDescent="0.2">
      <c r="B19" s="17"/>
    </row>
    <row r="20" spans="2:2" x14ac:dyDescent="0.2">
      <c r="B20" s="17"/>
    </row>
    <row r="21" spans="2:2" x14ac:dyDescent="0.2">
      <c r="B21" s="17"/>
    </row>
    <row r="22" spans="2:2" x14ac:dyDescent="0.2">
      <c r="B22" s="17"/>
    </row>
    <row r="23" spans="2:2" x14ac:dyDescent="0.2">
      <c r="B23" s="17"/>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1000000}">
          <x14:formula1>
            <xm:f>'pooled normalised values'!$R$74:$AK$74</xm:f>
          </x14:formula1>
          <xm:sqref>I2</xm:sqref>
        </x14:dataValidation>
        <x14:dataValidation type="list" allowBlank="1" showInputMessage="1" showErrorMessage="1" xr:uid="{00000000-0002-0000-1000-000000000000}">
          <x14:formula1>
            <xm:f>'pooled normalised values'!$J$74:$M$74</xm:f>
          </x14:formula1>
          <xm:sqref>F2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42578125" defaultRowHeight="15" x14ac:dyDescent="0.25"/>
  <cols>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22" t="s">
        <v>102</v>
      </c>
      <c r="B1" s="122" t="s">
        <v>103</v>
      </c>
      <c r="C1" s="119" t="s">
        <v>86</v>
      </c>
      <c r="D1" s="119" t="s">
        <v>87</v>
      </c>
      <c r="E1" s="120" t="s">
        <v>88</v>
      </c>
      <c r="F1" s="120" t="s">
        <v>89</v>
      </c>
      <c r="G1" s="119" t="s">
        <v>90</v>
      </c>
      <c r="H1" s="119" t="s">
        <v>91</v>
      </c>
      <c r="I1" s="119" t="s">
        <v>92</v>
      </c>
      <c r="J1" s="119" t="s">
        <v>93</v>
      </c>
      <c r="K1" s="119" t="s">
        <v>94</v>
      </c>
      <c r="L1" s="119" t="s">
        <v>95</v>
      </c>
      <c r="M1" s="119" t="s">
        <v>96</v>
      </c>
      <c r="N1" s="119" t="s">
        <v>97</v>
      </c>
      <c r="Q1" s="206" t="s">
        <v>99</v>
      </c>
      <c r="R1" s="206"/>
      <c r="S1" s="206"/>
      <c r="U1" s="206" t="s">
        <v>98</v>
      </c>
      <c r="V1" s="206"/>
      <c r="W1" s="206"/>
    </row>
    <row r="2" spans="1:23" x14ac:dyDescent="0.25">
      <c r="A2"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values'!$B$74:$AK$83,4,FALSE)</f>
        <v>#N/A</v>
      </c>
      <c r="F2" t="e">
        <f>HLOOKUP(Tableau3[[#This Row],[Nom ND]],'pooled normalised values'!$B$74:$AK$83,8,FALSE)</f>
        <v>#N/A</v>
      </c>
      <c r="G2" t="e">
        <f>VLOOKUP(Tableau3[[#This Row],[Nom ND]],'summary results'!$A$6:$N$26,9,FALSE)</f>
        <v>#N/A</v>
      </c>
      <c r="H2" t="e">
        <f>VLOOKUP(Tableau3[[#This Row],[Nom ND]],'summary results'!$A$6:$N$26,11,FALSE)</f>
        <v>#N/A</v>
      </c>
      <c r="I2" t="e">
        <f>HLOOKUP(Tableau3[[#This Row],[Nom D]],'pooled normalised values'!$B$74:$AK$83,4,FALSE)</f>
        <v>#N/A</v>
      </c>
      <c r="J2" t="e">
        <f>HLOOKUP(Tableau3[[#This Row],[Nom D]],'pooled normalised values'!$B$74:$AK$83,8,FALSE)</f>
        <v>#N/A</v>
      </c>
      <c r="K2" t="e">
        <f>VLOOKUP(Tableau3[[#This Row],[Nom D]],'summary results'!$A$29:$N$51,9,FALSE)</f>
        <v>#N/A</v>
      </c>
      <c r="L2" t="e">
        <f>VLOOKUP(Tableau3[[#This Row],[Nom D]],'summary results'!$A$29:$N$51,11,FALSE)</f>
        <v>#N/A</v>
      </c>
      <c r="M2" t="e">
        <f>'summary results'!$G$30</f>
        <v>#NUM!</v>
      </c>
      <c r="N2" t="e">
        <f>'summary results'!$G$31</f>
        <v>#NUM!</v>
      </c>
      <c r="Q2" s="96" t="s">
        <v>7</v>
      </c>
      <c r="R2" t="s">
        <v>131</v>
      </c>
      <c r="U2" s="96" t="s">
        <v>7</v>
      </c>
      <c r="V2" t="s">
        <v>131</v>
      </c>
    </row>
    <row r="3" spans="1:23" x14ac:dyDescent="0.25">
      <c r="A3" t="str">
        <f>Q7</f>
        <v>Triphénylphosphate-0,18mg/L</v>
      </c>
      <c r="B3" t="str">
        <f t="shared" si="0"/>
        <v>Triphénylphosphate-0,18mg/L + Testostérone</v>
      </c>
      <c r="D3" t="str">
        <f>CONCATENATE(VLOOKUP(Tableau3[[#This Row],[Nom ND]],liste_groupe[],3,FALSE),VLOOKUP(Tableau3[[#This Row],[Nom ND]],liste_groupe[],4,FALSE))</f>
        <v>0,18mg/L</v>
      </c>
      <c r="E3">
        <f>HLOOKUP(Tableau3[[#This Row],[Nom ND]],'pooled normalised values'!$B$74:$AK$83,4,FALSE)</f>
        <v>55.573805648993329</v>
      </c>
      <c r="F3" t="str">
        <f ca="1">HLOOKUP(Tableau3[[#This Row],[Nom ND]],'pooled normalised values'!$B$74:$AK$83,8,FALSE)</f>
        <v>ANOVA</v>
      </c>
      <c r="G3" t="str">
        <f>VLOOKUP(Tableau3[[#This Row],[Nom ND]],'summary results'!$A$6:$N$26,9,FALSE)</f>
        <v>NC</v>
      </c>
      <c r="H3">
        <f>VLOOKUP(Tableau3[[#This Row],[Nom ND]],'summary results'!$A$6:$N$26,11,FALSE)</f>
        <v>0</v>
      </c>
      <c r="I3">
        <f>HLOOKUP(Tableau3[[#This Row],[Nom D]],'pooled normalised values'!$B$74:$AK$83,4,FALSE)</f>
        <v>27.039876942563239</v>
      </c>
      <c r="J3" t="e">
        <f ca="1">HLOOKUP(Tableau3[[#This Row],[Nom D]],'pooled normalised values'!$B$74:$AK$83,8,FALSE)</f>
        <v>#NAME?</v>
      </c>
      <c r="K3" t="str">
        <f>VLOOKUP(Tableau3[[#This Row],[Nom D]],'summary results'!$A$29:$N$51,9,FALSE)</f>
        <v>NC</v>
      </c>
      <c r="L3">
        <f>VLOOKUP(Tableau3[[#This Row],[Nom D]],'summary results'!$A$29:$N$51,11,FALSE)</f>
        <v>0</v>
      </c>
      <c r="M3" t="e">
        <f>'summary results'!$G$30</f>
        <v>#NUM!</v>
      </c>
      <c r="N3" t="e">
        <f>'summary results'!$G$31</f>
        <v>#NUM!</v>
      </c>
      <c r="Q3" s="96" t="s">
        <v>78</v>
      </c>
      <c r="R3" t="s">
        <v>106</v>
      </c>
      <c r="U3" s="96" t="s">
        <v>78</v>
      </c>
      <c r="V3" t="s">
        <v>50</v>
      </c>
    </row>
    <row r="4" spans="1:23" x14ac:dyDescent="0.25">
      <c r="A4" t="str">
        <f t="shared" ref="A4:A15" si="1">Q8</f>
        <v>Triphénylphosphate-0,26mg/L</v>
      </c>
      <c r="B4" t="str">
        <f t="shared" ref="B4:B15" si="2">U8</f>
        <v>Triphénylphosphate-0,26mg/L + Testostérone</v>
      </c>
      <c r="D4" t="str">
        <f>CONCATENATE(VLOOKUP(Tableau3[[#This Row],[Nom ND]],liste_groupe[],3,FALSE),VLOOKUP(Tableau3[[#This Row],[Nom ND]],liste_groupe[],4,FALSE))</f>
        <v>0,26mg/L</v>
      </c>
      <c r="E4">
        <f>HLOOKUP(Tableau3[[#This Row],[Nom ND]],'pooled normalised values'!$B$74:$AK$83,4,FALSE)</f>
        <v>8.4472766535814543</v>
      </c>
      <c r="F4" t="e">
        <f ca="1">HLOOKUP(Tableau3[[#This Row],[Nom ND]],'pooled normalised values'!$B$74:$AK$83,8,FALSE)</f>
        <v>#NAME?</v>
      </c>
      <c r="G4" t="str">
        <f>VLOOKUP(Tableau3[[#This Row],[Nom ND]],'summary results'!$A$6:$N$26,9,FALSE)</f>
        <v>NC</v>
      </c>
      <c r="H4">
        <f>VLOOKUP(Tableau3[[#This Row],[Nom ND]],'summary results'!$A$6:$N$26,11,FALSE)</f>
        <v>0</v>
      </c>
      <c r="I4">
        <f>HLOOKUP(Tableau3[[#This Row],[Nom D]],'pooled normalised values'!$B$74:$AK$83,4,FALSE)</f>
        <v>58.69012770728574</v>
      </c>
      <c r="J4" t="e">
        <f ca="1">HLOOKUP(Tableau3[[#This Row],[Nom D]],'pooled normalised values'!$B$74:$AK$83,8,FALSE)</f>
        <v>#NAME?</v>
      </c>
      <c r="K4" t="e">
        <f>VLOOKUP(Tableau3[[#This Row],[Nom D]],'summary results'!$A$29:$N$51,9,FALSE)</f>
        <v>#NUM!</v>
      </c>
      <c r="L4" t="e">
        <f>VLOOKUP(Tableau3[[#This Row],[Nom D]],'summary results'!$A$29:$N$51,11,FALSE)</f>
        <v>#NUM!</v>
      </c>
      <c r="M4" t="e">
        <f>'summary results'!$G$30</f>
        <v>#NUM!</v>
      </c>
      <c r="N4" t="e">
        <f>'summary results'!$G$31</f>
        <v>#NUM!</v>
      </c>
    </row>
    <row r="5" spans="1:23" x14ac:dyDescent="0.25">
      <c r="A5" t="str">
        <f t="shared" si="1"/>
        <v>Triphénylphosphate-0,4mg/L</v>
      </c>
      <c r="B5" t="str">
        <f t="shared" si="2"/>
        <v>Triphénylphosphate-0,4mg/L + Testostérone</v>
      </c>
      <c r="D5" t="str">
        <f>CONCATENATE(VLOOKUP(Tableau3[[#This Row],[Nom ND]],liste_groupe[],3,FALSE),VLOOKUP(Tableau3[[#This Row],[Nom ND]],liste_groupe[],4,FALSE))</f>
        <v>0,4mg/L</v>
      </c>
      <c r="E5">
        <f>HLOOKUP(Tableau3[[#This Row],[Nom ND]],'pooled normalised values'!$B$74:$AK$83,4,FALSE)</f>
        <v>66.512598748129221</v>
      </c>
      <c r="F5" t="e">
        <f ca="1">HLOOKUP(Tableau3[[#This Row],[Nom ND]],'pooled normalised values'!$B$74:$AK$83,8,FALSE)</f>
        <v>#NAME?</v>
      </c>
      <c r="G5" t="str">
        <f>VLOOKUP(Tableau3[[#This Row],[Nom ND]],'summary results'!$A$6:$N$26,9,FALSE)</f>
        <v>NC</v>
      </c>
      <c r="H5">
        <f>VLOOKUP(Tableau3[[#This Row],[Nom ND]],'summary results'!$A$6:$N$26,11,FALSE)</f>
        <v>0</v>
      </c>
      <c r="I5">
        <f>HLOOKUP(Tableau3[[#This Row],[Nom D]],'pooled normalised values'!$B$74:$AK$83,4,FALSE)</f>
        <v>63.427635871819433</v>
      </c>
      <c r="J5" t="e">
        <f ca="1">HLOOKUP(Tableau3[[#This Row],[Nom D]],'pooled normalised values'!$B$74:$AK$83,8,FALSE)</f>
        <v>#NAME?</v>
      </c>
      <c r="K5" t="e">
        <f>VLOOKUP(Tableau3[[#This Row],[Nom D]],'summary results'!$A$29:$N$51,9,FALSE)</f>
        <v>#NUM!</v>
      </c>
      <c r="L5" t="e">
        <f>VLOOKUP(Tableau3[[#This Row],[Nom D]],'summary results'!$A$29:$N$51,11,FALSE)</f>
        <v>#NUM!</v>
      </c>
      <c r="M5" t="e">
        <f>'summary results'!$G$30</f>
        <v>#NUM!</v>
      </c>
      <c r="N5" t="e">
        <f>'summary results'!$G$31</f>
        <v>#NUM!</v>
      </c>
      <c r="Q5" s="96" t="s">
        <v>100</v>
      </c>
      <c r="U5" s="96" t="s">
        <v>100</v>
      </c>
    </row>
    <row r="6" spans="1:23" x14ac:dyDescent="0.25">
      <c r="A6" t="str">
        <f t="shared" si="1"/>
        <v>Triphénylphosphate-0,59mg/L</v>
      </c>
      <c r="B6" t="str">
        <f t="shared" si="2"/>
        <v>Triphénylphosphate-0,59mg/L + Testostérone</v>
      </c>
      <c r="D6" t="str">
        <f>CONCATENATE(VLOOKUP(Tableau3[[#This Row],[Nom ND]],liste_groupe[],3,FALSE),VLOOKUP(Tableau3[[#This Row],[Nom ND]],liste_groupe[],4,FALSE))</f>
        <v>0,59mg/L</v>
      </c>
      <c r="E6">
        <f>HLOOKUP(Tableau3[[#This Row],[Nom ND]],'pooled normalised values'!$B$74:$AK$83,4,FALSE)</f>
        <v>255.71542088928072</v>
      </c>
      <c r="F6" t="e">
        <f ca="1">HLOOKUP(Tableau3[[#This Row],[Nom ND]],'pooled normalised values'!$B$74:$AK$83,8,FALSE)</f>
        <v>#NAME?</v>
      </c>
      <c r="G6" t="e">
        <f>VLOOKUP(Tableau3[[#This Row],[Nom ND]],'summary results'!$A$6:$N$26,9,FALSE)</f>
        <v>#NUM!</v>
      </c>
      <c r="H6" t="e">
        <f>VLOOKUP(Tableau3[[#This Row],[Nom ND]],'summary results'!$A$6:$N$26,11,FALSE)</f>
        <v>#NUM!</v>
      </c>
      <c r="I6">
        <f>HLOOKUP(Tableau3[[#This Row],[Nom D]],'pooled normalised values'!$B$74:$AK$83,4,FALSE)</f>
        <v>54.285070882959303</v>
      </c>
      <c r="J6" t="e">
        <f ca="1">HLOOKUP(Tableau3[[#This Row],[Nom D]],'pooled normalised values'!$B$74:$AK$83,8,FALSE)</f>
        <v>#NAME?</v>
      </c>
      <c r="K6" t="e">
        <f>VLOOKUP(Tableau3[[#This Row],[Nom D]],'summary results'!$A$29:$N$51,9,FALSE)</f>
        <v>#NUM!</v>
      </c>
      <c r="L6" t="e">
        <f>VLOOKUP(Tableau3[[#This Row],[Nom D]],'summary results'!$A$29:$N$51,11,FALSE)</f>
        <v>#NUM!</v>
      </c>
      <c r="M6" t="e">
        <f>'summary results'!$G$30</f>
        <v>#NUM!</v>
      </c>
      <c r="N6" t="e">
        <f>'summary results'!$G$31</f>
        <v>#NUM!</v>
      </c>
      <c r="Q6" s="121" t="s">
        <v>112</v>
      </c>
      <c r="U6" s="121" t="s">
        <v>101</v>
      </c>
    </row>
    <row r="7" spans="1:23" x14ac:dyDescent="0.25">
      <c r="A7" t="str">
        <f t="shared" si="1"/>
        <v>Triphénylphosphate-0,89mg/L</v>
      </c>
      <c r="B7" t="str">
        <f t="shared" si="2"/>
        <v>Triphénylphosphate-0,89mg/L + Testostérone</v>
      </c>
      <c r="D7" t="str">
        <f>CONCATENATE(VLOOKUP(Tableau3[[#This Row],[Nom ND]],liste_groupe[],3,FALSE),VLOOKUP(Tableau3[[#This Row],[Nom ND]],liste_groupe[],4,FALSE))</f>
        <v>0,89mg/L</v>
      </c>
      <c r="E7">
        <f>HLOOKUP(Tableau3[[#This Row],[Nom ND]],'pooled normalised values'!$B$74:$AK$83,4,FALSE)</f>
        <v>814.94314772135112</v>
      </c>
      <c r="F7" t="e">
        <f ca="1">HLOOKUP(Tableau3[[#This Row],[Nom ND]],'pooled normalised values'!$B$74:$AK$83,8,FALSE)</f>
        <v>#NAME?</v>
      </c>
      <c r="G7" t="e">
        <f>VLOOKUP(Tableau3[[#This Row],[Nom ND]],'summary results'!$A$6:$N$26,9,FALSE)</f>
        <v>#NUM!</v>
      </c>
      <c r="H7" t="e">
        <f>VLOOKUP(Tableau3[[#This Row],[Nom ND]],'summary results'!$A$6:$N$26,11,FALSE)</f>
        <v>#NUM!</v>
      </c>
      <c r="I7">
        <f>HLOOKUP(Tableau3[[#This Row],[Nom D]],'pooled normalised values'!$B$74:$AK$83,4,FALSE)</f>
        <v>64.268890767631206</v>
      </c>
      <c r="J7" t="e">
        <f ca="1">HLOOKUP(Tableau3[[#This Row],[Nom D]],'pooled normalised values'!$B$74:$AK$83,8,FALSE)</f>
        <v>#NAME?</v>
      </c>
      <c r="K7" t="e">
        <f>VLOOKUP(Tableau3[[#This Row],[Nom D]],'summary results'!$A$29:$N$51,9,FALSE)</f>
        <v>#NUM!</v>
      </c>
      <c r="L7" t="e">
        <f>VLOOKUP(Tableau3[[#This Row],[Nom D]],'summary results'!$A$29:$N$51,11,FALSE)</f>
        <v>#NUM!</v>
      </c>
      <c r="M7" t="e">
        <f>'summary results'!$G$30</f>
        <v>#NUM!</v>
      </c>
      <c r="N7" t="e">
        <f>'summary results'!$G$31</f>
        <v>#NUM!</v>
      </c>
      <c r="Q7" s="121" t="s">
        <v>166</v>
      </c>
      <c r="U7" s="121" t="s">
        <v>1671</v>
      </c>
    </row>
    <row r="8" spans="1:23" x14ac:dyDescent="0.25">
      <c r="A8">
        <f t="shared" si="1"/>
        <v>0</v>
      </c>
      <c r="B8">
        <f t="shared" si="2"/>
        <v>0</v>
      </c>
      <c r="D8" t="e">
        <f>CONCATENATE(VLOOKUP(Tableau3[[#This Row],[Nom ND]],liste_groupe[],3,FALSE),VLOOKUP(Tableau3[[#This Row],[Nom ND]],liste_groupe[],4,FALSE))</f>
        <v>#N/A</v>
      </c>
      <c r="E8" s="123" t="e">
        <f>HLOOKUP(Tableau3[[#This Row],[Nom ND]],'pooled normalised values'!$B$74:$AK$83,4,FALSE)</f>
        <v>#N/A</v>
      </c>
      <c r="F8" t="e">
        <f>HLOOKUP(Tableau3[[#This Row],[Nom ND]],'pooled normalised values'!$B$74:$AK$83,8,FALSE)</f>
        <v>#N/A</v>
      </c>
      <c r="G8" t="e">
        <f>VLOOKUP(Tableau3[[#This Row],[Nom ND]],'summary results'!$A$6:$N$26,9,FALSE)</f>
        <v>#N/A</v>
      </c>
      <c r="H8" t="e">
        <f>VLOOKUP(Tableau3[[#This Row],[Nom ND]],'summary results'!$A$6:$N$26,11,FALSE)</f>
        <v>#N/A</v>
      </c>
      <c r="I8" t="e">
        <f>HLOOKUP(Tableau3[[#This Row],[Nom D]],'pooled normalised values'!$B$74:$AK$83,4,FALSE)</f>
        <v>#N/A</v>
      </c>
      <c r="J8" t="e">
        <f>HLOOKUP(Tableau3[[#This Row],[Nom D]],'pooled normalised values'!$B$74:$AK$83,8,FALSE)</f>
        <v>#N/A</v>
      </c>
      <c r="K8" t="e">
        <f>VLOOKUP(Tableau3[[#This Row],[Nom D]],'summary results'!$A$29:$N$51,9,FALSE)</f>
        <v>#N/A</v>
      </c>
      <c r="L8" t="e">
        <f>VLOOKUP(Tableau3[[#This Row],[Nom D]],'summary results'!$A$29:$N$51,11,FALSE)</f>
        <v>#N/A</v>
      </c>
      <c r="M8" t="e">
        <f>'summary results'!$G$30</f>
        <v>#NUM!</v>
      </c>
      <c r="N8" t="e">
        <f>'summary results'!$G$31</f>
        <v>#NUM!</v>
      </c>
      <c r="Q8" s="121" t="s">
        <v>167</v>
      </c>
      <c r="U8" s="121" t="s">
        <v>1672</v>
      </c>
    </row>
    <row r="9" spans="1:23" x14ac:dyDescent="0.25">
      <c r="A9">
        <f t="shared" si="1"/>
        <v>0</v>
      </c>
      <c r="B9">
        <f t="shared" si="2"/>
        <v>0</v>
      </c>
      <c r="D9" t="e">
        <f>CONCATENATE(VLOOKUP(Tableau3[[#This Row],[Nom ND]],liste_groupe[],3,FALSE),VLOOKUP(Tableau3[[#This Row],[Nom ND]],liste_groupe[],4,FALSE))</f>
        <v>#N/A</v>
      </c>
      <c r="E9" t="e">
        <f>HLOOKUP(Tableau3[[#This Row],[Nom ND]],'pooled normalised values'!$B$74:$AK$83,4,FALSE)</f>
        <v>#N/A</v>
      </c>
      <c r="F9" t="e">
        <f>HLOOKUP(Tableau3[[#This Row],[Nom ND]],'pooled normalised values'!$B$74:$AK$83,8,FALSE)</f>
        <v>#N/A</v>
      </c>
      <c r="G9" t="e">
        <f>VLOOKUP(Tableau3[[#This Row],[Nom ND]],'summary results'!$A$6:$N$26,9,FALSE)</f>
        <v>#N/A</v>
      </c>
      <c r="H9" t="e">
        <f>VLOOKUP(Tableau3[[#This Row],[Nom ND]],'summary results'!$A$6:$N$26,11,FALSE)</f>
        <v>#N/A</v>
      </c>
      <c r="I9" t="e">
        <f>HLOOKUP(Tableau3[[#This Row],[Nom D]],'pooled normalised values'!$B$74:$AK$83,4,FALSE)</f>
        <v>#N/A</v>
      </c>
      <c r="J9" t="e">
        <f>HLOOKUP(Tableau3[[#This Row],[Nom D]],'pooled normalised values'!$B$74:$AK$83,8,FALSE)</f>
        <v>#N/A</v>
      </c>
      <c r="K9" t="e">
        <f>VLOOKUP(Tableau3[[#This Row],[Nom D]],'summary results'!$A$29:$N$51,9,FALSE)</f>
        <v>#N/A</v>
      </c>
      <c r="L9" t="e">
        <f>VLOOKUP(Tableau3[[#This Row],[Nom D]],'summary results'!$A$29:$N$51,11,FALSE)</f>
        <v>#N/A</v>
      </c>
      <c r="M9" t="e">
        <f>'summary results'!$G$30</f>
        <v>#NUM!</v>
      </c>
      <c r="N9" t="e">
        <f>'summary results'!$G$31</f>
        <v>#NUM!</v>
      </c>
      <c r="Q9" s="121" t="s">
        <v>168</v>
      </c>
      <c r="U9" s="121" t="s">
        <v>1673</v>
      </c>
    </row>
    <row r="10" spans="1:23" x14ac:dyDescent="0.25">
      <c r="A10">
        <f t="shared" si="1"/>
        <v>0</v>
      </c>
      <c r="B10">
        <f t="shared" si="2"/>
        <v>0</v>
      </c>
      <c r="D10" t="e">
        <f>CONCATENATE(VLOOKUP(Tableau3[[#This Row],[Nom ND]],liste_groupe[],3,FALSE),VLOOKUP(Tableau3[[#This Row],[Nom ND]],liste_groupe[],4,FALSE))</f>
        <v>#N/A</v>
      </c>
      <c r="E10" t="e">
        <f>HLOOKUP(Tableau3[[#This Row],[Nom ND]],'pooled normalised values'!$B$74:$AK$83,4,FALSE)</f>
        <v>#N/A</v>
      </c>
      <c r="F10" t="e">
        <f>HLOOKUP(Tableau3[[#This Row],[Nom ND]],'pooled normalised values'!$B$74:$AK$83,8,FALSE)</f>
        <v>#N/A</v>
      </c>
      <c r="G10" t="e">
        <f>VLOOKUP(Tableau3[[#This Row],[Nom ND]],'summary results'!$A$6:$N$26,9,FALSE)</f>
        <v>#N/A</v>
      </c>
      <c r="H10" t="e">
        <f>VLOOKUP(Tableau3[[#This Row],[Nom ND]],'summary results'!$A$6:$N$26,11,FALSE)</f>
        <v>#N/A</v>
      </c>
      <c r="I10" t="e">
        <f>HLOOKUP(Tableau3[[#This Row],[Nom D]],'pooled normalised values'!$B$74:$AK$83,4,FALSE)</f>
        <v>#N/A</v>
      </c>
      <c r="J10" t="e">
        <f>HLOOKUP(Tableau3[[#This Row],[Nom D]],'pooled normalised values'!$B$74:$AK$83,8,FALSE)</f>
        <v>#N/A</v>
      </c>
      <c r="K10" t="e">
        <f>VLOOKUP(Tableau3[[#This Row],[Nom D]],'summary results'!$A$29:$N$51,9,FALSE)</f>
        <v>#N/A</v>
      </c>
      <c r="L10" t="e">
        <f>VLOOKUP(Tableau3[[#This Row],[Nom D]],'summary results'!$A$29:$N$51,11,FALSE)</f>
        <v>#N/A</v>
      </c>
      <c r="M10" t="e">
        <f>'summary results'!$G$30</f>
        <v>#NUM!</v>
      </c>
      <c r="N10" t="e">
        <f>'summary results'!$G$31</f>
        <v>#NUM!</v>
      </c>
      <c r="Q10" s="121" t="s">
        <v>170</v>
      </c>
      <c r="U10" s="121" t="s">
        <v>1674</v>
      </c>
    </row>
    <row r="11" spans="1:23" x14ac:dyDescent="0.25">
      <c r="A11">
        <f t="shared" si="1"/>
        <v>0</v>
      </c>
      <c r="B11">
        <f t="shared" si="2"/>
        <v>0</v>
      </c>
      <c r="D11" t="e">
        <f>CONCATENATE(VLOOKUP(Tableau3[[#This Row],[Nom ND]],liste_groupe[],3,FALSE),VLOOKUP(Tableau3[[#This Row],[Nom ND]],liste_groupe[],4,FALSE))</f>
        <v>#N/A</v>
      </c>
      <c r="E11" t="e">
        <f>HLOOKUP(Tableau3[[#This Row],[Nom ND]],'pooled normalised values'!$B$74:$AK$83,4,FALSE)</f>
        <v>#N/A</v>
      </c>
      <c r="F11" t="e">
        <f>HLOOKUP(Tableau3[[#This Row],[Nom ND]],'pooled normalised values'!$B$74:$AK$83,8,FALSE)</f>
        <v>#N/A</v>
      </c>
      <c r="G11" t="e">
        <f>VLOOKUP(Tableau3[[#This Row],[Nom ND]],'summary results'!$A$6:$N$26,9,FALSE)</f>
        <v>#N/A</v>
      </c>
      <c r="H11" t="e">
        <f>VLOOKUP(Tableau3[[#This Row],[Nom ND]],'summary results'!$A$6:$N$26,11,FALSE)</f>
        <v>#N/A</v>
      </c>
      <c r="I11" t="e">
        <f>HLOOKUP(Tableau3[[#This Row],[Nom D]],'pooled normalised values'!$B$74:$AK$83,4,FALSE)</f>
        <v>#N/A</v>
      </c>
      <c r="J11" t="e">
        <f>HLOOKUP(Tableau3[[#This Row],[Nom D]],'pooled normalised values'!$B$74:$AK$83,8,FALSE)</f>
        <v>#N/A</v>
      </c>
      <c r="K11" t="e">
        <f>VLOOKUP(Tableau3[[#This Row],[Nom D]],'summary results'!$A$29:$N$51,9,FALSE)</f>
        <v>#N/A</v>
      </c>
      <c r="L11" t="e">
        <f>VLOOKUP(Tableau3[[#This Row],[Nom D]],'summary results'!$A$29:$N$51,11,FALSE)</f>
        <v>#N/A</v>
      </c>
      <c r="M11" t="e">
        <f>'summary results'!$G$30</f>
        <v>#NUM!</v>
      </c>
      <c r="N11" t="e">
        <f>'summary results'!$G$31</f>
        <v>#NUM!</v>
      </c>
      <c r="Q11" s="121" t="s">
        <v>169</v>
      </c>
      <c r="U11" s="121" t="s">
        <v>1675</v>
      </c>
    </row>
    <row r="12" spans="1:23" x14ac:dyDescent="0.25">
      <c r="A12">
        <f t="shared" si="1"/>
        <v>0</v>
      </c>
      <c r="B12">
        <f t="shared" si="2"/>
        <v>0</v>
      </c>
      <c r="D12" t="e">
        <f>CONCATENATE(VLOOKUP(Tableau3[[#This Row],[Nom ND]],liste_groupe[],3,FALSE),VLOOKUP(Tableau3[[#This Row],[Nom ND]],liste_groupe[],4,FALSE))</f>
        <v>#N/A</v>
      </c>
      <c r="E12" t="e">
        <f>HLOOKUP(Tableau3[[#This Row],[Nom ND]],'pooled normalised values'!$B$74:$AK$83,4,FALSE)</f>
        <v>#N/A</v>
      </c>
      <c r="F12" t="e">
        <f>HLOOKUP(Tableau3[[#This Row],[Nom ND]],'pooled normalised values'!$B$74:$AK$83,8,FALSE)</f>
        <v>#N/A</v>
      </c>
      <c r="G12" t="e">
        <f>VLOOKUP(Tableau3[[#This Row],[Nom ND]],'summary results'!$A$6:$N$26,9,FALSE)</f>
        <v>#N/A</v>
      </c>
      <c r="H12" t="e">
        <f>VLOOKUP(Tableau3[[#This Row],[Nom ND]],'summary results'!$A$6:$N$26,11,FALSE)</f>
        <v>#N/A</v>
      </c>
      <c r="I12" t="e">
        <f>HLOOKUP(Tableau3[[#This Row],[Nom D]],'pooled normalised values'!$B$74:$AK$83,4,FALSE)</f>
        <v>#N/A</v>
      </c>
      <c r="J12" t="e">
        <f>HLOOKUP(Tableau3[[#This Row],[Nom D]],'pooled normalised values'!$B$74:$AK$83,8,FALSE)</f>
        <v>#N/A</v>
      </c>
      <c r="K12" t="e">
        <f>VLOOKUP(Tableau3[[#This Row],[Nom D]],'summary results'!$A$29:$N$51,9,FALSE)</f>
        <v>#N/A</v>
      </c>
      <c r="L12" t="e">
        <f>VLOOKUP(Tableau3[[#This Row],[Nom D]],'summary results'!$A$29:$N$51,11,FALSE)</f>
        <v>#N/A</v>
      </c>
      <c r="M12" t="e">
        <f>'summary results'!$G$30</f>
        <v>#NUM!</v>
      </c>
      <c r="N12" t="e">
        <f>'summary results'!$G$31</f>
        <v>#NUM!</v>
      </c>
    </row>
    <row r="13" spans="1:23" x14ac:dyDescent="0.25">
      <c r="A13">
        <f t="shared" si="1"/>
        <v>0</v>
      </c>
      <c r="B13">
        <f t="shared" si="2"/>
        <v>0</v>
      </c>
      <c r="D13" t="e">
        <f>CONCATENATE(VLOOKUP(Tableau3[[#This Row],[Nom ND]],liste_groupe[],3,FALSE),VLOOKUP(Tableau3[[#This Row],[Nom ND]],liste_groupe[],4,FALSE))</f>
        <v>#N/A</v>
      </c>
      <c r="E13" t="e">
        <f>HLOOKUP(Tableau3[[#This Row],[Nom ND]],'pooled normalised values'!$B$74:$AK$83,4,FALSE)</f>
        <v>#N/A</v>
      </c>
      <c r="F13" t="e">
        <f>HLOOKUP(Tableau3[[#This Row],[Nom ND]],'pooled normalised values'!$B$74:$AK$83,8,FALSE)</f>
        <v>#N/A</v>
      </c>
      <c r="G13" t="e">
        <f>VLOOKUP(Tableau3[[#This Row],[Nom ND]],'summary results'!$A$6:$N$26,9,FALSE)</f>
        <v>#N/A</v>
      </c>
      <c r="H13" t="e">
        <f>VLOOKUP(Tableau3[[#This Row],[Nom ND]],'summary results'!$A$6:$N$26,11,FALSE)</f>
        <v>#N/A</v>
      </c>
      <c r="I13" t="e">
        <f>HLOOKUP(Tableau3[[#This Row],[Nom D]],'pooled normalised values'!$B$74:$AK$83,4,FALSE)</f>
        <v>#N/A</v>
      </c>
      <c r="J13" t="e">
        <f>HLOOKUP(Tableau3[[#This Row],[Nom D]],'pooled normalised values'!$B$74:$AK$83,8,FALSE)</f>
        <v>#N/A</v>
      </c>
      <c r="K13" t="e">
        <f>VLOOKUP(Tableau3[[#This Row],[Nom D]],'summary results'!$A$29:$N$51,9,FALSE)</f>
        <v>#N/A</v>
      </c>
      <c r="L13" t="e">
        <f>VLOOKUP(Tableau3[[#This Row],[Nom D]],'summary results'!$A$29:$N$51,11,FALSE)</f>
        <v>#N/A</v>
      </c>
      <c r="M13" t="e">
        <f>'summary results'!$G$30</f>
        <v>#NUM!</v>
      </c>
      <c r="N13" t="e">
        <f>'summary results'!$G$31</f>
        <v>#NUM!</v>
      </c>
    </row>
    <row r="14" spans="1:23" x14ac:dyDescent="0.25">
      <c r="A14">
        <f t="shared" si="1"/>
        <v>0</v>
      </c>
      <c r="B14">
        <f t="shared" si="2"/>
        <v>0</v>
      </c>
      <c r="D14" t="e">
        <f>CONCATENATE(VLOOKUP(Tableau3[[#This Row],[Nom ND]],liste_groupe[],3,FALSE),VLOOKUP(Tableau3[[#This Row],[Nom ND]],liste_groupe[],4,FALSE))</f>
        <v>#N/A</v>
      </c>
      <c r="E14" t="e">
        <f>HLOOKUP(Tableau3[[#This Row],[Nom ND]],'pooled normalised values'!$B$74:$AK$83,4,FALSE)</f>
        <v>#N/A</v>
      </c>
      <c r="F14" t="e">
        <f>HLOOKUP(Tableau3[[#This Row],[Nom ND]],'pooled normalised values'!$B$74:$AK$83,8,FALSE)</f>
        <v>#N/A</v>
      </c>
      <c r="G14" t="e">
        <f>VLOOKUP(Tableau3[[#This Row],[Nom ND]],'summary results'!$A$6:$N$26,9,FALSE)</f>
        <v>#N/A</v>
      </c>
      <c r="H14" t="e">
        <f>VLOOKUP(Tableau3[[#This Row],[Nom ND]],'summary results'!$A$6:$N$26,11,FALSE)</f>
        <v>#N/A</v>
      </c>
      <c r="I14" t="e">
        <f>HLOOKUP(Tableau3[[#This Row],[Nom D]],'pooled normalised values'!$B$74:$AK$83,4,FALSE)</f>
        <v>#N/A</v>
      </c>
      <c r="J14" t="e">
        <f>HLOOKUP(Tableau3[[#This Row],[Nom D]],'pooled normalised values'!$B$74:$AK$83,8,FALSE)</f>
        <v>#N/A</v>
      </c>
      <c r="K14" t="e">
        <f>VLOOKUP(Tableau3[[#This Row],[Nom D]],'summary results'!$A$29:$N$51,9,FALSE)</f>
        <v>#N/A</v>
      </c>
      <c r="L14" t="e">
        <f>VLOOKUP(Tableau3[[#This Row],[Nom D]],'summary results'!$A$29:$N$51,11,FALSE)</f>
        <v>#N/A</v>
      </c>
      <c r="M14" t="e">
        <f>'summary results'!$G$30</f>
        <v>#NUM!</v>
      </c>
      <c r="N14" t="e">
        <f>'summary results'!$G$31</f>
        <v>#NUM!</v>
      </c>
    </row>
    <row r="15" spans="1:23" x14ac:dyDescent="0.25">
      <c r="A15">
        <f t="shared" si="1"/>
        <v>0</v>
      </c>
      <c r="B15">
        <f t="shared" si="2"/>
        <v>0</v>
      </c>
      <c r="D15" t="e">
        <f>CONCATENATE(VLOOKUP(Tableau3[[#This Row],[Nom ND]],liste_groupe[],3,FALSE),VLOOKUP(Tableau3[[#This Row],[Nom ND]],liste_groupe[],4,FALSE))</f>
        <v>#N/A</v>
      </c>
      <c r="E15" t="e">
        <f>HLOOKUP(Tableau3[[#This Row],[Nom ND]],'pooled normalised values'!$B$74:$AK$83,4,FALSE)</f>
        <v>#N/A</v>
      </c>
      <c r="F15" t="e">
        <f>HLOOKUP(Tableau3[[#This Row],[Nom ND]],'pooled normalised values'!$B$74:$AK$83,8,FALSE)</f>
        <v>#N/A</v>
      </c>
      <c r="G15" t="e">
        <f>VLOOKUP(Tableau3[[#This Row],[Nom ND]],'summary results'!$A$6:$N$26,9,FALSE)</f>
        <v>#N/A</v>
      </c>
      <c r="H15" t="e">
        <f>VLOOKUP(Tableau3[[#This Row],[Nom ND]],'summary results'!$A$6:$N$26,11,FALSE)</f>
        <v>#N/A</v>
      </c>
      <c r="I15" t="e">
        <f>HLOOKUP(Tableau3[[#This Row],[Nom D]],'pooled normalised values'!$B$74:$AK$83,4,FALSE)</f>
        <v>#N/A</v>
      </c>
      <c r="J15" t="e">
        <f>HLOOKUP(Tableau3[[#This Row],[Nom D]],'pooled normalised values'!$B$74:$AK$83,8,FALSE)</f>
        <v>#N/A</v>
      </c>
      <c r="K15" t="e">
        <f>VLOOKUP(Tableau3[[#This Row],[Nom D]],'summary results'!$A$29:$N$51,9,FALSE)</f>
        <v>#N/A</v>
      </c>
      <c r="L15"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20" ma:contentTypeDescription="Create a new document." ma:contentTypeScope="" ma:versionID="753e846f9d80314fe54d03d46a804535">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9c73c4d1b248f12e8bdd008c0b76e2dc"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08cc0b8-c8e1-4e41-95d2-be8416ed53ba">
      <Terms xmlns="http://schemas.microsoft.com/office/infopath/2007/PartnerControls"/>
    </lcf76f155ced4ddcb4097134ff3c332f>
    <TaxCatchAll xmlns="cc801401-75a6-4297-ad63-d4d786ff6e7c" xsi:nil="true"/>
  </documentManagement>
</p:properties>
</file>

<file path=customXml/itemProps1.xml><?xml version="1.0" encoding="utf-8"?>
<ds:datastoreItem xmlns:ds="http://schemas.openxmlformats.org/officeDocument/2006/customXml" ds:itemID="{AD2FF0CB-C0E1-473A-8999-617C1EFD18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F92269-F6B7-419A-9E7B-D01304BDD0E3}">
  <ds:schemaRefs>
    <ds:schemaRef ds:uri="http://schemas.microsoft.com/sharepoint/v3/contenttype/forms"/>
  </ds:schemaRefs>
</ds:datastoreItem>
</file>

<file path=customXml/itemProps3.xml><?xml version="1.0" encoding="utf-8"?>
<ds:datastoreItem xmlns:ds="http://schemas.openxmlformats.org/officeDocument/2006/customXml" ds:itemID="{6687F484-1265-4AB6-951D-6178839587CE}">
  <ds:schemaRefs>
    <ds:schemaRef ds:uri="http://schemas.microsoft.com/office/2006/metadata/properties"/>
    <ds:schemaRef ds:uri="http://schemas.microsoft.com/office/infopath/2007/PartnerControls"/>
    <ds:schemaRef ds:uri="508cc0b8-c8e1-4e41-95d2-be8416ed53ba"/>
    <ds:schemaRef ds:uri="cc801401-75a6-4297-ad63-d4d786ff6e7c"/>
  </ds:schemaRefs>
</ds:datastoreItem>
</file>

<file path=docMetadata/LabelInfo.xml><?xml version="1.0" encoding="utf-8"?>
<clbl:labelList xmlns:clbl="http://schemas.microsoft.com/office/2020/mipLabelMetadata">
  <clbl:label id="{06530cf4-8573-4c29-a912-bbcdac835909}" enabled="1" method="Standard" siteId="{ecaa386b-c8df-4ce0-ad01-740cbdb5ba55}"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2024-12-17T16:02:19Z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0x010100776C436BD700BD428C1C0C71E54D8B5E</vt:lpwstr>
  </property>
  <property fmtid="{D5CDD505-2E9C-101B-9397-08002B2CF9AE}" pid="3" name="MediaServiceImageTags">
    <vt:lpwstr/>
  </property>
</Properties>
</file>